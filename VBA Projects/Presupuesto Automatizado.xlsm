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cowrapscol-my.sharepoint.com/personal/ncabral_decowraps_com/Documents/DOCUMENTOS/Rocas/2025/Q1/"/>
    </mc:Choice>
  </mc:AlternateContent>
  <xr:revisionPtr revIDLastSave="0" documentId="8_{E948FDAF-EA22-482D-85C8-9F4D4B2BAAC4}" xr6:coauthVersionLast="47" xr6:coauthVersionMax="47" xr10:uidLastSave="{00000000-0000-0000-0000-000000000000}"/>
  <bookViews>
    <workbookView xWindow="-108" yWindow="-108" windowWidth="23256" windowHeight="12576" xr2:uid="{6FF415EB-3336-448F-94D1-2411F20B066B}"/>
  </bookViews>
  <sheets>
    <sheet name="Ejecutar" sheetId="2" r:id="rId1"/>
    <sheet name="Aging" sheetId="1" r:id="rId2"/>
    <sheet name="QB" sheetId="7" state="hidden" r:id="rId3"/>
    <sheet name="Cuentas" sheetId="16" state="hidden" r:id="rId4"/>
    <sheet name="Presupuesto Finalizado" sheetId="15" r:id="rId5"/>
  </sheets>
  <externalReferences>
    <externalReference r:id="rId6"/>
  </externalReferences>
  <definedNames>
    <definedName name="_xlnm._FilterDatabase" localSheetId="1" hidden="1">Aging!$A$1:$B$427</definedName>
    <definedName name="_xlnm._FilterDatabase" localSheetId="4" hidden="1">'Presupuesto Finalizado'!$A$1:$N$4500</definedName>
    <definedName name="_xlnm._FilterDatabase" localSheetId="2" hidden="1">QB!$A$1:$N$1891</definedName>
    <definedName name="_xleta.IF" hidden="1" xlm="1">#NAME?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15" l="1"/>
  <c r="S7" i="15" s="1"/>
  <c r="Q6" i="15"/>
  <c r="Q7" i="15" s="1"/>
  <c r="A6" i="15"/>
  <c r="A5" i="15"/>
  <c r="A2" i="15"/>
  <c r="A3" i="15"/>
  <c r="A4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45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66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87" i="15"/>
  <c r="A3788" i="15"/>
  <c r="A3789" i="15"/>
  <c r="A3790" i="15"/>
  <c r="A3791" i="15"/>
  <c r="A3792" i="15"/>
  <c r="A3793" i="15"/>
  <c r="A3794" i="15"/>
  <c r="A3795" i="15"/>
  <c r="A3796" i="15"/>
  <c r="A3797" i="15"/>
  <c r="A3798" i="15"/>
  <c r="A3799" i="15"/>
  <c r="A3800" i="15"/>
  <c r="A3801" i="15"/>
  <c r="A3802" i="15"/>
  <c r="A3803" i="15"/>
  <c r="A3804" i="15"/>
  <c r="A3805" i="15"/>
  <c r="A3806" i="15"/>
  <c r="A3807" i="15"/>
  <c r="A3808" i="15"/>
  <c r="A3809" i="15"/>
  <c r="A3810" i="15"/>
  <c r="A3811" i="15"/>
  <c r="A3812" i="15"/>
  <c r="A3813" i="15"/>
  <c r="A3814" i="15"/>
  <c r="A3815" i="15"/>
  <c r="A3816" i="15"/>
  <c r="A3817" i="15"/>
  <c r="A3818" i="15"/>
  <c r="A3819" i="15"/>
  <c r="A3820" i="15"/>
  <c r="A3821" i="15"/>
  <c r="A3822" i="15"/>
  <c r="A3823" i="15"/>
  <c r="A3824" i="15"/>
  <c r="A3825" i="15"/>
  <c r="A3826" i="15"/>
  <c r="A3827" i="15"/>
  <c r="A3828" i="15"/>
  <c r="A3829" i="15"/>
  <c r="A3830" i="15"/>
  <c r="A3831" i="15"/>
  <c r="A3832" i="15"/>
  <c r="A3833" i="15"/>
  <c r="A3834" i="15"/>
  <c r="A3835" i="15"/>
  <c r="A3836" i="15"/>
  <c r="A3837" i="15"/>
  <c r="A3838" i="15"/>
  <c r="A3839" i="15"/>
  <c r="A3840" i="15"/>
  <c r="A3841" i="15"/>
  <c r="A3842" i="15"/>
  <c r="A3843" i="15"/>
  <c r="A3844" i="15"/>
  <c r="A3845" i="15"/>
  <c r="A3846" i="15"/>
  <c r="A3847" i="15"/>
  <c r="A3848" i="15"/>
  <c r="A3849" i="15"/>
  <c r="A3850" i="15"/>
  <c r="A3851" i="15"/>
  <c r="A3852" i="15"/>
  <c r="A3853" i="15"/>
  <c r="A3854" i="15"/>
  <c r="A3855" i="15"/>
  <c r="A3856" i="15"/>
  <c r="A3857" i="15"/>
  <c r="A3858" i="15"/>
  <c r="A3859" i="15"/>
  <c r="A3860" i="15"/>
  <c r="A3861" i="15"/>
  <c r="A3862" i="15"/>
  <c r="A3863" i="15"/>
  <c r="A3864" i="15"/>
  <c r="A3865" i="15"/>
  <c r="A3866" i="15"/>
  <c r="A3867" i="15"/>
  <c r="A3868" i="15"/>
  <c r="A3869" i="15"/>
  <c r="A3870" i="15"/>
  <c r="A3871" i="15"/>
  <c r="A3872" i="15"/>
  <c r="A3873" i="15"/>
  <c r="A3874" i="15"/>
  <c r="A3875" i="15"/>
  <c r="A3876" i="15"/>
  <c r="A3877" i="15"/>
  <c r="A3878" i="15"/>
  <c r="A3879" i="15"/>
  <c r="A3880" i="15"/>
  <c r="A3881" i="15"/>
  <c r="A3882" i="15"/>
  <c r="A3883" i="15"/>
  <c r="A3884" i="15"/>
  <c r="A3885" i="15"/>
  <c r="A3886" i="15"/>
  <c r="A3887" i="15"/>
  <c r="A3888" i="15"/>
  <c r="A3889" i="15"/>
  <c r="A3890" i="15"/>
  <c r="A3891" i="15"/>
  <c r="A3892" i="15"/>
  <c r="A3893" i="15"/>
  <c r="A3894" i="15"/>
  <c r="A3895" i="15"/>
  <c r="A3896" i="15"/>
  <c r="A3897" i="15"/>
  <c r="A3898" i="15"/>
  <c r="A3899" i="15"/>
  <c r="A3900" i="15"/>
  <c r="A3901" i="15"/>
  <c r="A3902" i="15"/>
  <c r="A3903" i="15"/>
  <c r="A3904" i="15"/>
  <c r="A3905" i="15"/>
  <c r="A3906" i="15"/>
  <c r="A3907" i="15"/>
  <c r="A3908" i="15"/>
  <c r="A3909" i="15"/>
  <c r="A3910" i="15"/>
  <c r="A3911" i="15"/>
  <c r="A3912" i="15"/>
  <c r="A3913" i="15"/>
  <c r="A3914" i="15"/>
  <c r="A3915" i="15"/>
  <c r="A3916" i="15"/>
  <c r="A3917" i="15"/>
  <c r="A3918" i="15"/>
  <c r="A3919" i="15"/>
  <c r="A3920" i="15"/>
  <c r="A3921" i="15"/>
  <c r="A3922" i="15"/>
  <c r="A3923" i="15"/>
  <c r="A3924" i="15"/>
  <c r="A3925" i="15"/>
  <c r="A3926" i="15"/>
  <c r="A3927" i="15"/>
  <c r="A3928" i="15"/>
  <c r="A3929" i="15"/>
  <c r="A3930" i="15"/>
  <c r="A3931" i="15"/>
  <c r="A3932" i="15"/>
  <c r="A3933" i="15"/>
  <c r="A3934" i="15"/>
  <c r="A3935" i="15"/>
  <c r="A3936" i="15"/>
  <c r="A3937" i="15"/>
  <c r="A3938" i="15"/>
  <c r="A3939" i="15"/>
  <c r="A3940" i="15"/>
  <c r="A3941" i="15"/>
  <c r="A3942" i="15"/>
  <c r="A3943" i="15"/>
  <c r="A3944" i="15"/>
  <c r="A3945" i="15"/>
  <c r="A3946" i="15"/>
  <c r="A3947" i="15"/>
  <c r="A3948" i="15"/>
  <c r="A3949" i="15"/>
  <c r="A3950" i="15"/>
  <c r="A3951" i="15"/>
  <c r="A3952" i="15"/>
  <c r="A3953" i="15"/>
  <c r="A3954" i="15"/>
  <c r="A3955" i="15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76" i="15"/>
  <c r="A3977" i="15"/>
  <c r="A3978" i="15"/>
  <c r="A3979" i="15"/>
  <c r="A3980" i="15"/>
  <c r="A3981" i="15"/>
  <c r="A3982" i="15"/>
  <c r="A3983" i="15"/>
  <c r="A3984" i="15"/>
  <c r="A3985" i="15"/>
  <c r="A3986" i="15"/>
  <c r="A3987" i="15"/>
  <c r="A3988" i="15"/>
  <c r="A3989" i="15"/>
  <c r="A3990" i="15"/>
  <c r="A3991" i="15"/>
  <c r="A3992" i="15"/>
  <c r="A3993" i="15"/>
  <c r="A3994" i="15"/>
  <c r="A3995" i="15"/>
  <c r="A3996" i="15"/>
  <c r="A3997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4018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91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480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S6" i="15" l="1"/>
  <c r="S9" i="15"/>
  <c r="S8" i="15"/>
  <c r="R6" i="15"/>
  <c r="Q8" i="15"/>
  <c r="Q9" i="15" s="1"/>
  <c r="R9" i="15" s="1"/>
  <c r="R7" i="15"/>
  <c r="T7" i="15" s="1"/>
  <c r="N1891" i="7"/>
  <c r="M1891" i="7"/>
  <c r="L1891" i="7"/>
  <c r="K1891" i="7"/>
  <c r="N1890" i="7"/>
  <c r="M1890" i="7"/>
  <c r="L1890" i="7"/>
  <c r="K1890" i="7"/>
  <c r="N1889" i="7"/>
  <c r="M1889" i="7"/>
  <c r="L1889" i="7"/>
  <c r="K1889" i="7"/>
  <c r="N1888" i="7"/>
  <c r="M1888" i="7"/>
  <c r="L1888" i="7"/>
  <c r="K1888" i="7"/>
  <c r="N1887" i="7"/>
  <c r="M1887" i="7"/>
  <c r="L1887" i="7"/>
  <c r="K1887" i="7"/>
  <c r="N1886" i="7"/>
  <c r="M1886" i="7"/>
  <c r="L1886" i="7"/>
  <c r="K1886" i="7"/>
  <c r="N1885" i="7"/>
  <c r="M1885" i="7"/>
  <c r="L1885" i="7"/>
  <c r="K1885" i="7"/>
  <c r="N1884" i="7"/>
  <c r="M1884" i="7"/>
  <c r="L1884" i="7"/>
  <c r="K1884" i="7"/>
  <c r="N1883" i="7"/>
  <c r="M1883" i="7"/>
  <c r="L1883" i="7"/>
  <c r="K1883" i="7"/>
  <c r="N1882" i="7"/>
  <c r="M1882" i="7"/>
  <c r="L1882" i="7"/>
  <c r="K1882" i="7"/>
  <c r="N1881" i="7"/>
  <c r="M1881" i="7"/>
  <c r="L1881" i="7"/>
  <c r="K1881" i="7"/>
  <c r="N1880" i="7"/>
  <c r="M1880" i="7"/>
  <c r="L1880" i="7"/>
  <c r="K1880" i="7"/>
  <c r="N1879" i="7"/>
  <c r="M1879" i="7"/>
  <c r="L1879" i="7"/>
  <c r="K1879" i="7"/>
  <c r="N1878" i="7"/>
  <c r="M1878" i="7"/>
  <c r="L1878" i="7"/>
  <c r="K1878" i="7"/>
  <c r="N1877" i="7"/>
  <c r="M1877" i="7"/>
  <c r="L1877" i="7"/>
  <c r="K1877" i="7"/>
  <c r="N1876" i="7"/>
  <c r="M1876" i="7"/>
  <c r="L1876" i="7"/>
  <c r="K1876" i="7"/>
  <c r="N1875" i="7"/>
  <c r="M1875" i="7"/>
  <c r="L1875" i="7"/>
  <c r="K1875" i="7"/>
  <c r="N1874" i="7"/>
  <c r="M1874" i="7"/>
  <c r="L1874" i="7"/>
  <c r="K1874" i="7"/>
  <c r="N1873" i="7"/>
  <c r="M1873" i="7"/>
  <c r="L1873" i="7"/>
  <c r="K1873" i="7"/>
  <c r="N1872" i="7"/>
  <c r="M1872" i="7"/>
  <c r="L1872" i="7"/>
  <c r="K1872" i="7"/>
  <c r="N1871" i="7"/>
  <c r="M1871" i="7"/>
  <c r="L1871" i="7"/>
  <c r="K1871" i="7"/>
  <c r="N1870" i="7"/>
  <c r="M1870" i="7"/>
  <c r="L1870" i="7"/>
  <c r="K1870" i="7"/>
  <c r="N1869" i="7"/>
  <c r="M1869" i="7"/>
  <c r="L1869" i="7"/>
  <c r="K1869" i="7"/>
  <c r="N1868" i="7"/>
  <c r="M1868" i="7"/>
  <c r="L1868" i="7"/>
  <c r="K1868" i="7"/>
  <c r="N1867" i="7"/>
  <c r="M1867" i="7"/>
  <c r="L1867" i="7"/>
  <c r="K1867" i="7"/>
  <c r="N1866" i="7"/>
  <c r="M1866" i="7"/>
  <c r="L1866" i="7"/>
  <c r="K1866" i="7"/>
  <c r="N1865" i="7"/>
  <c r="M1865" i="7"/>
  <c r="L1865" i="7"/>
  <c r="K1865" i="7"/>
  <c r="N1864" i="7"/>
  <c r="M1864" i="7"/>
  <c r="L1864" i="7"/>
  <c r="K1864" i="7"/>
  <c r="N1863" i="7"/>
  <c r="M1863" i="7"/>
  <c r="L1863" i="7"/>
  <c r="K1863" i="7"/>
  <c r="N1862" i="7"/>
  <c r="M1862" i="7"/>
  <c r="L1862" i="7"/>
  <c r="K1862" i="7"/>
  <c r="N1861" i="7"/>
  <c r="M1861" i="7"/>
  <c r="L1861" i="7"/>
  <c r="K1861" i="7"/>
  <c r="N1860" i="7"/>
  <c r="M1860" i="7"/>
  <c r="L1860" i="7"/>
  <c r="K1860" i="7"/>
  <c r="N1859" i="7"/>
  <c r="M1859" i="7"/>
  <c r="L1859" i="7"/>
  <c r="K1859" i="7"/>
  <c r="N1858" i="7"/>
  <c r="M1858" i="7"/>
  <c r="L1858" i="7"/>
  <c r="K1858" i="7"/>
  <c r="N1857" i="7"/>
  <c r="M1857" i="7"/>
  <c r="L1857" i="7"/>
  <c r="K1857" i="7"/>
  <c r="N1856" i="7"/>
  <c r="M1856" i="7"/>
  <c r="L1856" i="7"/>
  <c r="K1856" i="7"/>
  <c r="N1855" i="7"/>
  <c r="M1855" i="7"/>
  <c r="L1855" i="7"/>
  <c r="K1855" i="7"/>
  <c r="N1854" i="7"/>
  <c r="M1854" i="7"/>
  <c r="L1854" i="7"/>
  <c r="K1854" i="7"/>
  <c r="N1853" i="7"/>
  <c r="M1853" i="7"/>
  <c r="L1853" i="7"/>
  <c r="K1853" i="7"/>
  <c r="N1852" i="7"/>
  <c r="M1852" i="7"/>
  <c r="L1852" i="7"/>
  <c r="K1852" i="7"/>
  <c r="N1851" i="7"/>
  <c r="M1851" i="7"/>
  <c r="L1851" i="7"/>
  <c r="K1851" i="7"/>
  <c r="N1850" i="7"/>
  <c r="M1850" i="7"/>
  <c r="L1850" i="7"/>
  <c r="K1850" i="7"/>
  <c r="N1849" i="7"/>
  <c r="M1849" i="7"/>
  <c r="L1849" i="7"/>
  <c r="K1849" i="7"/>
  <c r="N1848" i="7"/>
  <c r="M1848" i="7"/>
  <c r="L1848" i="7"/>
  <c r="K1848" i="7"/>
  <c r="N1847" i="7"/>
  <c r="M1847" i="7"/>
  <c r="L1847" i="7"/>
  <c r="K1847" i="7"/>
  <c r="N1846" i="7"/>
  <c r="M1846" i="7"/>
  <c r="L1846" i="7"/>
  <c r="K1846" i="7"/>
  <c r="N1845" i="7"/>
  <c r="M1845" i="7"/>
  <c r="L1845" i="7"/>
  <c r="K1845" i="7"/>
  <c r="N1844" i="7"/>
  <c r="M1844" i="7"/>
  <c r="L1844" i="7"/>
  <c r="K1844" i="7"/>
  <c r="N1843" i="7"/>
  <c r="M1843" i="7"/>
  <c r="L1843" i="7"/>
  <c r="K1843" i="7"/>
  <c r="N1842" i="7"/>
  <c r="M1842" i="7"/>
  <c r="L1842" i="7"/>
  <c r="K1842" i="7"/>
  <c r="N1841" i="7"/>
  <c r="M1841" i="7"/>
  <c r="L1841" i="7"/>
  <c r="K1841" i="7"/>
  <c r="N1840" i="7"/>
  <c r="M1840" i="7"/>
  <c r="L1840" i="7"/>
  <c r="K1840" i="7"/>
  <c r="N1839" i="7"/>
  <c r="M1839" i="7"/>
  <c r="L1839" i="7"/>
  <c r="K1839" i="7"/>
  <c r="N1838" i="7"/>
  <c r="M1838" i="7"/>
  <c r="L1838" i="7"/>
  <c r="K1838" i="7"/>
  <c r="N1837" i="7"/>
  <c r="M1837" i="7"/>
  <c r="L1837" i="7"/>
  <c r="K1837" i="7"/>
  <c r="N1836" i="7"/>
  <c r="M1836" i="7"/>
  <c r="L1836" i="7"/>
  <c r="K1836" i="7"/>
  <c r="N1835" i="7"/>
  <c r="M1835" i="7"/>
  <c r="L1835" i="7"/>
  <c r="K1835" i="7"/>
  <c r="N1834" i="7"/>
  <c r="M1834" i="7"/>
  <c r="L1834" i="7"/>
  <c r="K1834" i="7"/>
  <c r="N1833" i="7"/>
  <c r="M1833" i="7"/>
  <c r="L1833" i="7"/>
  <c r="K1833" i="7"/>
  <c r="N1832" i="7"/>
  <c r="M1832" i="7"/>
  <c r="L1832" i="7"/>
  <c r="K1832" i="7"/>
  <c r="N1831" i="7"/>
  <c r="M1831" i="7"/>
  <c r="L1831" i="7"/>
  <c r="K1831" i="7"/>
  <c r="N1830" i="7"/>
  <c r="M1830" i="7"/>
  <c r="L1830" i="7"/>
  <c r="K1830" i="7"/>
  <c r="N1829" i="7"/>
  <c r="M1829" i="7"/>
  <c r="L1829" i="7"/>
  <c r="K1829" i="7"/>
  <c r="N1828" i="7"/>
  <c r="M1828" i="7"/>
  <c r="L1828" i="7"/>
  <c r="K1828" i="7"/>
  <c r="N1827" i="7"/>
  <c r="M1827" i="7"/>
  <c r="L1827" i="7"/>
  <c r="K1827" i="7"/>
  <c r="N1826" i="7"/>
  <c r="M1826" i="7"/>
  <c r="L1826" i="7"/>
  <c r="K1826" i="7"/>
  <c r="N1825" i="7"/>
  <c r="M1825" i="7"/>
  <c r="L1825" i="7"/>
  <c r="K1825" i="7"/>
  <c r="N1824" i="7"/>
  <c r="M1824" i="7"/>
  <c r="L1824" i="7"/>
  <c r="K1824" i="7"/>
  <c r="N1823" i="7"/>
  <c r="M1823" i="7"/>
  <c r="L1823" i="7"/>
  <c r="K1823" i="7"/>
  <c r="N1822" i="7"/>
  <c r="M1822" i="7"/>
  <c r="L1822" i="7"/>
  <c r="K1822" i="7"/>
  <c r="N1821" i="7"/>
  <c r="M1821" i="7"/>
  <c r="L1821" i="7"/>
  <c r="K1821" i="7"/>
  <c r="N1820" i="7"/>
  <c r="M1820" i="7"/>
  <c r="L1820" i="7"/>
  <c r="K1820" i="7"/>
  <c r="N1819" i="7"/>
  <c r="M1819" i="7"/>
  <c r="L1819" i="7"/>
  <c r="K1819" i="7"/>
  <c r="N1818" i="7"/>
  <c r="M1818" i="7"/>
  <c r="L1818" i="7"/>
  <c r="K1818" i="7"/>
  <c r="N1817" i="7"/>
  <c r="M1817" i="7"/>
  <c r="L1817" i="7"/>
  <c r="K1817" i="7"/>
  <c r="N1816" i="7"/>
  <c r="M1816" i="7"/>
  <c r="L1816" i="7"/>
  <c r="K1816" i="7"/>
  <c r="N1815" i="7"/>
  <c r="M1815" i="7"/>
  <c r="L1815" i="7"/>
  <c r="K1815" i="7"/>
  <c r="N1814" i="7"/>
  <c r="M1814" i="7"/>
  <c r="L1814" i="7"/>
  <c r="K1814" i="7"/>
  <c r="N1813" i="7"/>
  <c r="M1813" i="7"/>
  <c r="L1813" i="7"/>
  <c r="K1813" i="7"/>
  <c r="N1812" i="7"/>
  <c r="M1812" i="7"/>
  <c r="L1812" i="7"/>
  <c r="K1812" i="7"/>
  <c r="N1811" i="7"/>
  <c r="M1811" i="7"/>
  <c r="L1811" i="7"/>
  <c r="K1811" i="7"/>
  <c r="N1810" i="7"/>
  <c r="M1810" i="7"/>
  <c r="L1810" i="7"/>
  <c r="K1810" i="7"/>
  <c r="N1809" i="7"/>
  <c r="M1809" i="7"/>
  <c r="L1809" i="7"/>
  <c r="K1809" i="7"/>
  <c r="N1808" i="7"/>
  <c r="M1808" i="7"/>
  <c r="L1808" i="7"/>
  <c r="K1808" i="7"/>
  <c r="N1807" i="7"/>
  <c r="M1807" i="7"/>
  <c r="L1807" i="7"/>
  <c r="K1807" i="7"/>
  <c r="N1806" i="7"/>
  <c r="M1806" i="7"/>
  <c r="L1806" i="7"/>
  <c r="K1806" i="7"/>
  <c r="N1805" i="7"/>
  <c r="M1805" i="7"/>
  <c r="L1805" i="7"/>
  <c r="K1805" i="7"/>
  <c r="N1804" i="7"/>
  <c r="M1804" i="7"/>
  <c r="L1804" i="7"/>
  <c r="K1804" i="7"/>
  <c r="N1803" i="7"/>
  <c r="M1803" i="7"/>
  <c r="L1803" i="7"/>
  <c r="K1803" i="7"/>
  <c r="N1802" i="7"/>
  <c r="M1802" i="7"/>
  <c r="L1802" i="7"/>
  <c r="K1802" i="7"/>
  <c r="N1801" i="7"/>
  <c r="M1801" i="7"/>
  <c r="L1801" i="7"/>
  <c r="K1801" i="7"/>
  <c r="N1800" i="7"/>
  <c r="M1800" i="7"/>
  <c r="L1800" i="7"/>
  <c r="K1800" i="7"/>
  <c r="N1799" i="7"/>
  <c r="M1799" i="7"/>
  <c r="L1799" i="7"/>
  <c r="K1799" i="7"/>
  <c r="N1798" i="7"/>
  <c r="M1798" i="7"/>
  <c r="L1798" i="7"/>
  <c r="K1798" i="7"/>
  <c r="N1797" i="7"/>
  <c r="M1797" i="7"/>
  <c r="L1797" i="7"/>
  <c r="K1797" i="7"/>
  <c r="N1796" i="7"/>
  <c r="M1796" i="7"/>
  <c r="L1796" i="7"/>
  <c r="K1796" i="7"/>
  <c r="N1795" i="7"/>
  <c r="M1795" i="7"/>
  <c r="L1795" i="7"/>
  <c r="K1795" i="7"/>
  <c r="N1794" i="7"/>
  <c r="M1794" i="7"/>
  <c r="L1794" i="7"/>
  <c r="K1794" i="7"/>
  <c r="N1793" i="7"/>
  <c r="M1793" i="7"/>
  <c r="L1793" i="7"/>
  <c r="K1793" i="7"/>
  <c r="N1792" i="7"/>
  <c r="M1792" i="7"/>
  <c r="L1792" i="7"/>
  <c r="K1792" i="7"/>
  <c r="N1791" i="7"/>
  <c r="M1791" i="7"/>
  <c r="L1791" i="7"/>
  <c r="K1791" i="7"/>
  <c r="N1790" i="7"/>
  <c r="M1790" i="7"/>
  <c r="L1790" i="7"/>
  <c r="K1790" i="7"/>
  <c r="N1789" i="7"/>
  <c r="M1789" i="7"/>
  <c r="L1789" i="7"/>
  <c r="K1789" i="7"/>
  <c r="N1788" i="7"/>
  <c r="M1788" i="7"/>
  <c r="L1788" i="7"/>
  <c r="K1788" i="7"/>
  <c r="N1787" i="7"/>
  <c r="M1787" i="7"/>
  <c r="L1787" i="7"/>
  <c r="K1787" i="7"/>
  <c r="N1786" i="7"/>
  <c r="M1786" i="7"/>
  <c r="L1786" i="7"/>
  <c r="K1786" i="7"/>
  <c r="N1785" i="7"/>
  <c r="M1785" i="7"/>
  <c r="L1785" i="7"/>
  <c r="K1785" i="7"/>
  <c r="N1784" i="7"/>
  <c r="M1784" i="7"/>
  <c r="L1784" i="7"/>
  <c r="K1784" i="7"/>
  <c r="N1783" i="7"/>
  <c r="M1783" i="7"/>
  <c r="L1783" i="7"/>
  <c r="K1783" i="7"/>
  <c r="N1782" i="7"/>
  <c r="M1782" i="7"/>
  <c r="L1782" i="7"/>
  <c r="K1782" i="7"/>
  <c r="N1781" i="7"/>
  <c r="M1781" i="7"/>
  <c r="L1781" i="7"/>
  <c r="K1781" i="7"/>
  <c r="N1780" i="7"/>
  <c r="M1780" i="7"/>
  <c r="L1780" i="7"/>
  <c r="K1780" i="7"/>
  <c r="N1779" i="7"/>
  <c r="M1779" i="7"/>
  <c r="L1779" i="7"/>
  <c r="K1779" i="7"/>
  <c r="N1778" i="7"/>
  <c r="M1778" i="7"/>
  <c r="L1778" i="7"/>
  <c r="K1778" i="7"/>
  <c r="N1777" i="7"/>
  <c r="M1777" i="7"/>
  <c r="L1777" i="7"/>
  <c r="K1777" i="7"/>
  <c r="N1776" i="7"/>
  <c r="M1776" i="7"/>
  <c r="L1776" i="7"/>
  <c r="K1776" i="7"/>
  <c r="N1775" i="7"/>
  <c r="M1775" i="7"/>
  <c r="L1775" i="7"/>
  <c r="K1775" i="7"/>
  <c r="N1774" i="7"/>
  <c r="M1774" i="7"/>
  <c r="L1774" i="7"/>
  <c r="K1774" i="7"/>
  <c r="N1773" i="7"/>
  <c r="M1773" i="7"/>
  <c r="L1773" i="7"/>
  <c r="K1773" i="7"/>
  <c r="N1772" i="7"/>
  <c r="M1772" i="7"/>
  <c r="L1772" i="7"/>
  <c r="K1772" i="7"/>
  <c r="N1771" i="7"/>
  <c r="M1771" i="7"/>
  <c r="L1771" i="7"/>
  <c r="K1771" i="7"/>
  <c r="N1770" i="7"/>
  <c r="M1770" i="7"/>
  <c r="L1770" i="7"/>
  <c r="K1770" i="7"/>
  <c r="N1769" i="7"/>
  <c r="M1769" i="7"/>
  <c r="L1769" i="7"/>
  <c r="K1769" i="7"/>
  <c r="N1768" i="7"/>
  <c r="M1768" i="7"/>
  <c r="L1768" i="7"/>
  <c r="K1768" i="7"/>
  <c r="N1767" i="7"/>
  <c r="M1767" i="7"/>
  <c r="L1767" i="7"/>
  <c r="K1767" i="7"/>
  <c r="N1766" i="7"/>
  <c r="M1766" i="7"/>
  <c r="L1766" i="7"/>
  <c r="K1766" i="7"/>
  <c r="N1765" i="7"/>
  <c r="M1765" i="7"/>
  <c r="L1765" i="7"/>
  <c r="K1765" i="7"/>
  <c r="N1764" i="7"/>
  <c r="M1764" i="7"/>
  <c r="L1764" i="7"/>
  <c r="K1764" i="7"/>
  <c r="N1763" i="7"/>
  <c r="M1763" i="7"/>
  <c r="L1763" i="7"/>
  <c r="K1763" i="7"/>
  <c r="N1762" i="7"/>
  <c r="M1762" i="7"/>
  <c r="L1762" i="7"/>
  <c r="K1762" i="7"/>
  <c r="N1761" i="7"/>
  <c r="M1761" i="7"/>
  <c r="L1761" i="7"/>
  <c r="K1761" i="7"/>
  <c r="N1760" i="7"/>
  <c r="M1760" i="7"/>
  <c r="L1760" i="7"/>
  <c r="K1760" i="7"/>
  <c r="N1759" i="7"/>
  <c r="M1759" i="7"/>
  <c r="L1759" i="7"/>
  <c r="K1759" i="7"/>
  <c r="N1758" i="7"/>
  <c r="M1758" i="7"/>
  <c r="L1758" i="7"/>
  <c r="K1758" i="7"/>
  <c r="N1757" i="7"/>
  <c r="M1757" i="7"/>
  <c r="L1757" i="7"/>
  <c r="K1757" i="7"/>
  <c r="N1756" i="7"/>
  <c r="M1756" i="7"/>
  <c r="L1756" i="7"/>
  <c r="K1756" i="7"/>
  <c r="N1755" i="7"/>
  <c r="M1755" i="7"/>
  <c r="L1755" i="7"/>
  <c r="K1755" i="7"/>
  <c r="N1754" i="7"/>
  <c r="M1754" i="7"/>
  <c r="L1754" i="7"/>
  <c r="K1754" i="7"/>
  <c r="N1753" i="7"/>
  <c r="M1753" i="7"/>
  <c r="L1753" i="7"/>
  <c r="K1753" i="7"/>
  <c r="N1752" i="7"/>
  <c r="M1752" i="7"/>
  <c r="L1752" i="7"/>
  <c r="K1752" i="7"/>
  <c r="N1751" i="7"/>
  <c r="M1751" i="7"/>
  <c r="L1751" i="7"/>
  <c r="K1751" i="7"/>
  <c r="N1750" i="7"/>
  <c r="M1750" i="7"/>
  <c r="L1750" i="7"/>
  <c r="K1750" i="7"/>
  <c r="N1749" i="7"/>
  <c r="M1749" i="7"/>
  <c r="L1749" i="7"/>
  <c r="K1749" i="7"/>
  <c r="N1748" i="7"/>
  <c r="M1748" i="7"/>
  <c r="L1748" i="7"/>
  <c r="K1748" i="7"/>
  <c r="N1747" i="7"/>
  <c r="M1747" i="7"/>
  <c r="L1747" i="7"/>
  <c r="K1747" i="7"/>
  <c r="N1746" i="7"/>
  <c r="M1746" i="7"/>
  <c r="L1746" i="7"/>
  <c r="K1746" i="7"/>
  <c r="N1745" i="7"/>
  <c r="M1745" i="7"/>
  <c r="L1745" i="7"/>
  <c r="K1745" i="7"/>
  <c r="N1744" i="7"/>
  <c r="M1744" i="7"/>
  <c r="L1744" i="7"/>
  <c r="K1744" i="7"/>
  <c r="N1743" i="7"/>
  <c r="M1743" i="7"/>
  <c r="L1743" i="7"/>
  <c r="K1743" i="7"/>
  <c r="N1742" i="7"/>
  <c r="M1742" i="7"/>
  <c r="L1742" i="7"/>
  <c r="K1742" i="7"/>
  <c r="N1741" i="7"/>
  <c r="M1741" i="7"/>
  <c r="L1741" i="7"/>
  <c r="K1741" i="7"/>
  <c r="N1740" i="7"/>
  <c r="M1740" i="7"/>
  <c r="L1740" i="7"/>
  <c r="K1740" i="7"/>
  <c r="N1739" i="7"/>
  <c r="M1739" i="7"/>
  <c r="L1739" i="7"/>
  <c r="K1739" i="7"/>
  <c r="N1738" i="7"/>
  <c r="M1738" i="7"/>
  <c r="L1738" i="7"/>
  <c r="K1738" i="7"/>
  <c r="N1737" i="7"/>
  <c r="M1737" i="7"/>
  <c r="L1737" i="7"/>
  <c r="K1737" i="7"/>
  <c r="N1736" i="7"/>
  <c r="M1736" i="7"/>
  <c r="L1736" i="7"/>
  <c r="K1736" i="7"/>
  <c r="N1735" i="7"/>
  <c r="M1735" i="7"/>
  <c r="L1735" i="7"/>
  <c r="K1735" i="7"/>
  <c r="N1734" i="7"/>
  <c r="M1734" i="7"/>
  <c r="L1734" i="7"/>
  <c r="K1734" i="7"/>
  <c r="N1733" i="7"/>
  <c r="M1733" i="7"/>
  <c r="L1733" i="7"/>
  <c r="K1733" i="7"/>
  <c r="N1732" i="7"/>
  <c r="M1732" i="7"/>
  <c r="L1732" i="7"/>
  <c r="K1732" i="7"/>
  <c r="N1731" i="7"/>
  <c r="M1731" i="7"/>
  <c r="L1731" i="7"/>
  <c r="K1731" i="7"/>
  <c r="N1730" i="7"/>
  <c r="M1730" i="7"/>
  <c r="L1730" i="7"/>
  <c r="K1730" i="7"/>
  <c r="N1729" i="7"/>
  <c r="M1729" i="7"/>
  <c r="L1729" i="7"/>
  <c r="K1729" i="7"/>
  <c r="N1728" i="7"/>
  <c r="M1728" i="7"/>
  <c r="L1728" i="7"/>
  <c r="K1728" i="7"/>
  <c r="N1727" i="7"/>
  <c r="M1727" i="7"/>
  <c r="L1727" i="7"/>
  <c r="K1727" i="7"/>
  <c r="N1726" i="7"/>
  <c r="M1726" i="7"/>
  <c r="L1726" i="7"/>
  <c r="K1726" i="7"/>
  <c r="N1725" i="7"/>
  <c r="M1725" i="7"/>
  <c r="L1725" i="7"/>
  <c r="K1725" i="7"/>
  <c r="N1724" i="7"/>
  <c r="M1724" i="7"/>
  <c r="L1724" i="7"/>
  <c r="K1724" i="7"/>
  <c r="N1723" i="7"/>
  <c r="M1723" i="7"/>
  <c r="L1723" i="7"/>
  <c r="K1723" i="7"/>
  <c r="N1722" i="7"/>
  <c r="M1722" i="7"/>
  <c r="L1722" i="7"/>
  <c r="K1722" i="7"/>
  <c r="N1721" i="7"/>
  <c r="M1721" i="7"/>
  <c r="L1721" i="7"/>
  <c r="K1721" i="7"/>
  <c r="N1720" i="7"/>
  <c r="M1720" i="7"/>
  <c r="L1720" i="7"/>
  <c r="K1720" i="7"/>
  <c r="N1719" i="7"/>
  <c r="M1719" i="7"/>
  <c r="L1719" i="7"/>
  <c r="K1719" i="7"/>
  <c r="N1718" i="7"/>
  <c r="M1718" i="7"/>
  <c r="L1718" i="7"/>
  <c r="K1718" i="7"/>
  <c r="N1717" i="7"/>
  <c r="M1717" i="7"/>
  <c r="L1717" i="7"/>
  <c r="K1717" i="7"/>
  <c r="N1716" i="7"/>
  <c r="M1716" i="7"/>
  <c r="L1716" i="7"/>
  <c r="K1716" i="7"/>
  <c r="N1715" i="7"/>
  <c r="M1715" i="7"/>
  <c r="L1715" i="7"/>
  <c r="K1715" i="7"/>
  <c r="N1714" i="7"/>
  <c r="M1714" i="7"/>
  <c r="L1714" i="7"/>
  <c r="K1714" i="7"/>
  <c r="N1713" i="7"/>
  <c r="M1713" i="7"/>
  <c r="L1713" i="7"/>
  <c r="K1713" i="7"/>
  <c r="N1712" i="7"/>
  <c r="M1712" i="7"/>
  <c r="L1712" i="7"/>
  <c r="K1712" i="7"/>
  <c r="N1711" i="7"/>
  <c r="M1711" i="7"/>
  <c r="L1711" i="7"/>
  <c r="K1711" i="7"/>
  <c r="N1710" i="7"/>
  <c r="M1710" i="7"/>
  <c r="L1710" i="7"/>
  <c r="K1710" i="7"/>
  <c r="N1709" i="7"/>
  <c r="M1709" i="7"/>
  <c r="L1709" i="7"/>
  <c r="K1709" i="7"/>
  <c r="N1708" i="7"/>
  <c r="M1708" i="7"/>
  <c r="L1708" i="7"/>
  <c r="K1708" i="7"/>
  <c r="N1707" i="7"/>
  <c r="M1707" i="7"/>
  <c r="L1707" i="7"/>
  <c r="K1707" i="7"/>
  <c r="N1706" i="7"/>
  <c r="M1706" i="7"/>
  <c r="L1706" i="7"/>
  <c r="K1706" i="7"/>
  <c r="N1705" i="7"/>
  <c r="M1705" i="7"/>
  <c r="L1705" i="7"/>
  <c r="K1705" i="7"/>
  <c r="N1704" i="7"/>
  <c r="M1704" i="7"/>
  <c r="L1704" i="7"/>
  <c r="K1704" i="7"/>
  <c r="N1703" i="7"/>
  <c r="M1703" i="7"/>
  <c r="L1703" i="7"/>
  <c r="K1703" i="7"/>
  <c r="N1702" i="7"/>
  <c r="M1702" i="7"/>
  <c r="L1702" i="7"/>
  <c r="K1702" i="7"/>
  <c r="N1701" i="7"/>
  <c r="M1701" i="7"/>
  <c r="L1701" i="7"/>
  <c r="K1701" i="7"/>
  <c r="N1700" i="7"/>
  <c r="M1700" i="7"/>
  <c r="L1700" i="7"/>
  <c r="K1700" i="7"/>
  <c r="N1699" i="7"/>
  <c r="M1699" i="7"/>
  <c r="L1699" i="7"/>
  <c r="K1699" i="7"/>
  <c r="N1698" i="7"/>
  <c r="M1698" i="7"/>
  <c r="L1698" i="7"/>
  <c r="K1698" i="7"/>
  <c r="N1697" i="7"/>
  <c r="M1697" i="7"/>
  <c r="L1697" i="7"/>
  <c r="K1697" i="7"/>
  <c r="N1696" i="7"/>
  <c r="M1696" i="7"/>
  <c r="L1696" i="7"/>
  <c r="K1696" i="7"/>
  <c r="N1695" i="7"/>
  <c r="M1695" i="7"/>
  <c r="L1695" i="7"/>
  <c r="K1695" i="7"/>
  <c r="N1694" i="7"/>
  <c r="M1694" i="7"/>
  <c r="L1694" i="7"/>
  <c r="K1694" i="7"/>
  <c r="N1693" i="7"/>
  <c r="M1693" i="7"/>
  <c r="L1693" i="7"/>
  <c r="K1693" i="7"/>
  <c r="N1692" i="7"/>
  <c r="M1692" i="7"/>
  <c r="L1692" i="7"/>
  <c r="K1692" i="7"/>
  <c r="N1691" i="7"/>
  <c r="M1691" i="7"/>
  <c r="L1691" i="7"/>
  <c r="K1691" i="7"/>
  <c r="N1690" i="7"/>
  <c r="M1690" i="7"/>
  <c r="L1690" i="7"/>
  <c r="K1690" i="7"/>
  <c r="N1689" i="7"/>
  <c r="M1689" i="7"/>
  <c r="L1689" i="7"/>
  <c r="K1689" i="7"/>
  <c r="N1688" i="7"/>
  <c r="M1688" i="7"/>
  <c r="L1688" i="7"/>
  <c r="K1688" i="7"/>
  <c r="N1687" i="7"/>
  <c r="M1687" i="7"/>
  <c r="L1687" i="7"/>
  <c r="K1687" i="7"/>
  <c r="N1686" i="7"/>
  <c r="M1686" i="7"/>
  <c r="L1686" i="7"/>
  <c r="K1686" i="7"/>
  <c r="N1685" i="7"/>
  <c r="M1685" i="7"/>
  <c r="L1685" i="7"/>
  <c r="K1685" i="7"/>
  <c r="N1684" i="7"/>
  <c r="M1684" i="7"/>
  <c r="L1684" i="7"/>
  <c r="K1684" i="7"/>
  <c r="N1683" i="7"/>
  <c r="M1683" i="7"/>
  <c r="L1683" i="7"/>
  <c r="K1683" i="7"/>
  <c r="N1682" i="7"/>
  <c r="M1682" i="7"/>
  <c r="L1682" i="7"/>
  <c r="K1682" i="7"/>
  <c r="N1681" i="7"/>
  <c r="M1681" i="7"/>
  <c r="L1681" i="7"/>
  <c r="K1681" i="7"/>
  <c r="N1680" i="7"/>
  <c r="M1680" i="7"/>
  <c r="L1680" i="7"/>
  <c r="K1680" i="7"/>
  <c r="N1679" i="7"/>
  <c r="M1679" i="7"/>
  <c r="L1679" i="7"/>
  <c r="K1679" i="7"/>
  <c r="N1678" i="7"/>
  <c r="M1678" i="7"/>
  <c r="L1678" i="7"/>
  <c r="K1678" i="7"/>
  <c r="N1677" i="7"/>
  <c r="M1677" i="7"/>
  <c r="L1677" i="7"/>
  <c r="K1677" i="7"/>
  <c r="N1676" i="7"/>
  <c r="M1676" i="7"/>
  <c r="L1676" i="7"/>
  <c r="K1676" i="7"/>
  <c r="N1675" i="7"/>
  <c r="M1675" i="7"/>
  <c r="L1675" i="7"/>
  <c r="K1675" i="7"/>
  <c r="N1674" i="7"/>
  <c r="M1674" i="7"/>
  <c r="L1674" i="7"/>
  <c r="K1674" i="7"/>
  <c r="N1673" i="7"/>
  <c r="M1673" i="7"/>
  <c r="L1673" i="7"/>
  <c r="K1673" i="7"/>
  <c r="N1672" i="7"/>
  <c r="M1672" i="7"/>
  <c r="L1672" i="7"/>
  <c r="K1672" i="7"/>
  <c r="N1671" i="7"/>
  <c r="M1671" i="7"/>
  <c r="L1671" i="7"/>
  <c r="K1671" i="7"/>
  <c r="N1670" i="7"/>
  <c r="M1670" i="7"/>
  <c r="L1670" i="7"/>
  <c r="K1670" i="7"/>
  <c r="N1669" i="7"/>
  <c r="M1669" i="7"/>
  <c r="L1669" i="7"/>
  <c r="K1669" i="7"/>
  <c r="N1668" i="7"/>
  <c r="M1668" i="7"/>
  <c r="L1668" i="7"/>
  <c r="K1668" i="7"/>
  <c r="N1667" i="7"/>
  <c r="M1667" i="7"/>
  <c r="L1667" i="7"/>
  <c r="K1667" i="7"/>
  <c r="N1666" i="7"/>
  <c r="M1666" i="7"/>
  <c r="L1666" i="7"/>
  <c r="K1666" i="7"/>
  <c r="N1665" i="7"/>
  <c r="M1665" i="7"/>
  <c r="L1665" i="7"/>
  <c r="K1665" i="7"/>
  <c r="N1664" i="7"/>
  <c r="M1664" i="7"/>
  <c r="L1664" i="7"/>
  <c r="K1664" i="7"/>
  <c r="N1663" i="7"/>
  <c r="M1663" i="7"/>
  <c r="L1663" i="7"/>
  <c r="K1663" i="7"/>
  <c r="N1662" i="7"/>
  <c r="M1662" i="7"/>
  <c r="L1662" i="7"/>
  <c r="K1662" i="7"/>
  <c r="N1661" i="7"/>
  <c r="M1661" i="7"/>
  <c r="L1661" i="7"/>
  <c r="K1661" i="7"/>
  <c r="N1660" i="7"/>
  <c r="M1660" i="7"/>
  <c r="L1660" i="7"/>
  <c r="K1660" i="7"/>
  <c r="N1659" i="7"/>
  <c r="M1659" i="7"/>
  <c r="L1659" i="7"/>
  <c r="K1659" i="7"/>
  <c r="N1658" i="7"/>
  <c r="M1658" i="7"/>
  <c r="L1658" i="7"/>
  <c r="K1658" i="7"/>
  <c r="N1657" i="7"/>
  <c r="M1657" i="7"/>
  <c r="L1657" i="7"/>
  <c r="K1657" i="7"/>
  <c r="N1656" i="7"/>
  <c r="M1656" i="7"/>
  <c r="L1656" i="7"/>
  <c r="K1656" i="7"/>
  <c r="N1655" i="7"/>
  <c r="M1655" i="7"/>
  <c r="L1655" i="7"/>
  <c r="K1655" i="7"/>
  <c r="N1654" i="7"/>
  <c r="M1654" i="7"/>
  <c r="L1654" i="7"/>
  <c r="K1654" i="7"/>
  <c r="N1653" i="7"/>
  <c r="M1653" i="7"/>
  <c r="L1653" i="7"/>
  <c r="K1653" i="7"/>
  <c r="N1652" i="7"/>
  <c r="M1652" i="7"/>
  <c r="L1652" i="7"/>
  <c r="K1652" i="7"/>
  <c r="N1651" i="7"/>
  <c r="M1651" i="7"/>
  <c r="L1651" i="7"/>
  <c r="K1651" i="7"/>
  <c r="N1650" i="7"/>
  <c r="M1650" i="7"/>
  <c r="L1650" i="7"/>
  <c r="K1650" i="7"/>
  <c r="N1649" i="7"/>
  <c r="M1649" i="7"/>
  <c r="L1649" i="7"/>
  <c r="K1649" i="7"/>
  <c r="N1648" i="7"/>
  <c r="M1648" i="7"/>
  <c r="L1648" i="7"/>
  <c r="K1648" i="7"/>
  <c r="N1647" i="7"/>
  <c r="M1647" i="7"/>
  <c r="L1647" i="7"/>
  <c r="K1647" i="7"/>
  <c r="N1646" i="7"/>
  <c r="M1646" i="7"/>
  <c r="L1646" i="7"/>
  <c r="K1646" i="7"/>
  <c r="N1645" i="7"/>
  <c r="M1645" i="7"/>
  <c r="L1645" i="7"/>
  <c r="K1645" i="7"/>
  <c r="N1644" i="7"/>
  <c r="M1644" i="7"/>
  <c r="L1644" i="7"/>
  <c r="K1644" i="7"/>
  <c r="N1643" i="7"/>
  <c r="M1643" i="7"/>
  <c r="L1643" i="7"/>
  <c r="K1643" i="7"/>
  <c r="N1642" i="7"/>
  <c r="M1642" i="7"/>
  <c r="L1642" i="7"/>
  <c r="K1642" i="7"/>
  <c r="N1641" i="7"/>
  <c r="M1641" i="7"/>
  <c r="L1641" i="7"/>
  <c r="K1641" i="7"/>
  <c r="N1640" i="7"/>
  <c r="M1640" i="7"/>
  <c r="L1640" i="7"/>
  <c r="K1640" i="7"/>
  <c r="N1639" i="7"/>
  <c r="M1639" i="7"/>
  <c r="L1639" i="7"/>
  <c r="K1639" i="7"/>
  <c r="N1638" i="7"/>
  <c r="M1638" i="7"/>
  <c r="L1638" i="7"/>
  <c r="K1638" i="7"/>
  <c r="N1637" i="7"/>
  <c r="M1637" i="7"/>
  <c r="L1637" i="7"/>
  <c r="K1637" i="7"/>
  <c r="N1636" i="7"/>
  <c r="M1636" i="7"/>
  <c r="L1636" i="7"/>
  <c r="K1636" i="7"/>
  <c r="N1635" i="7"/>
  <c r="M1635" i="7"/>
  <c r="L1635" i="7"/>
  <c r="K1635" i="7"/>
  <c r="N1634" i="7"/>
  <c r="M1634" i="7"/>
  <c r="L1634" i="7"/>
  <c r="K1634" i="7"/>
  <c r="N1633" i="7"/>
  <c r="M1633" i="7"/>
  <c r="L1633" i="7"/>
  <c r="K1633" i="7"/>
  <c r="N1632" i="7"/>
  <c r="M1632" i="7"/>
  <c r="L1632" i="7"/>
  <c r="K1632" i="7"/>
  <c r="N1631" i="7"/>
  <c r="M1631" i="7"/>
  <c r="L1631" i="7"/>
  <c r="K1631" i="7"/>
  <c r="N1630" i="7"/>
  <c r="M1630" i="7"/>
  <c r="L1630" i="7"/>
  <c r="K1630" i="7"/>
  <c r="N1629" i="7"/>
  <c r="M1629" i="7"/>
  <c r="L1629" i="7"/>
  <c r="K1629" i="7"/>
  <c r="N1628" i="7"/>
  <c r="M1628" i="7"/>
  <c r="L1628" i="7"/>
  <c r="K1628" i="7"/>
  <c r="N1627" i="7"/>
  <c r="M1627" i="7"/>
  <c r="L1627" i="7"/>
  <c r="K1627" i="7"/>
  <c r="N1626" i="7"/>
  <c r="M1626" i="7"/>
  <c r="L1626" i="7"/>
  <c r="K1626" i="7"/>
  <c r="N1625" i="7"/>
  <c r="M1625" i="7"/>
  <c r="L1625" i="7"/>
  <c r="K1625" i="7"/>
  <c r="N1624" i="7"/>
  <c r="M1624" i="7"/>
  <c r="L1624" i="7"/>
  <c r="K1624" i="7"/>
  <c r="N1623" i="7"/>
  <c r="M1623" i="7"/>
  <c r="L1623" i="7"/>
  <c r="K1623" i="7"/>
  <c r="N1622" i="7"/>
  <c r="M1622" i="7"/>
  <c r="L1622" i="7"/>
  <c r="K1622" i="7"/>
  <c r="N1621" i="7"/>
  <c r="M1621" i="7"/>
  <c r="L1621" i="7"/>
  <c r="K1621" i="7"/>
  <c r="N1620" i="7"/>
  <c r="M1620" i="7"/>
  <c r="L1620" i="7"/>
  <c r="K1620" i="7"/>
  <c r="N1619" i="7"/>
  <c r="M1619" i="7"/>
  <c r="L1619" i="7"/>
  <c r="K1619" i="7"/>
  <c r="N1618" i="7"/>
  <c r="M1618" i="7"/>
  <c r="L1618" i="7"/>
  <c r="K1618" i="7"/>
  <c r="N1617" i="7"/>
  <c r="M1617" i="7"/>
  <c r="L1617" i="7"/>
  <c r="K1617" i="7"/>
  <c r="N1616" i="7"/>
  <c r="M1616" i="7"/>
  <c r="L1616" i="7"/>
  <c r="K1616" i="7"/>
  <c r="N1615" i="7"/>
  <c r="M1615" i="7"/>
  <c r="L1615" i="7"/>
  <c r="K1615" i="7"/>
  <c r="N1614" i="7"/>
  <c r="M1614" i="7"/>
  <c r="L1614" i="7"/>
  <c r="K1614" i="7"/>
  <c r="N1613" i="7"/>
  <c r="M1613" i="7"/>
  <c r="L1613" i="7"/>
  <c r="K1613" i="7"/>
  <c r="N1612" i="7"/>
  <c r="M1612" i="7"/>
  <c r="L1612" i="7"/>
  <c r="K1612" i="7"/>
  <c r="N1611" i="7"/>
  <c r="M1611" i="7"/>
  <c r="L1611" i="7"/>
  <c r="K1611" i="7"/>
  <c r="N1610" i="7"/>
  <c r="M1610" i="7"/>
  <c r="L1610" i="7"/>
  <c r="K1610" i="7"/>
  <c r="N1609" i="7"/>
  <c r="M1609" i="7"/>
  <c r="L1609" i="7"/>
  <c r="K1609" i="7"/>
  <c r="N1608" i="7"/>
  <c r="M1608" i="7"/>
  <c r="L1608" i="7"/>
  <c r="K1608" i="7"/>
  <c r="N1607" i="7"/>
  <c r="M1607" i="7"/>
  <c r="L1607" i="7"/>
  <c r="K1607" i="7"/>
  <c r="N1606" i="7"/>
  <c r="M1606" i="7"/>
  <c r="L1606" i="7"/>
  <c r="K1606" i="7"/>
  <c r="N1605" i="7"/>
  <c r="M1605" i="7"/>
  <c r="L1605" i="7"/>
  <c r="K1605" i="7"/>
  <c r="N1604" i="7"/>
  <c r="M1604" i="7"/>
  <c r="L1604" i="7"/>
  <c r="K1604" i="7"/>
  <c r="N1603" i="7"/>
  <c r="M1603" i="7"/>
  <c r="L1603" i="7"/>
  <c r="K1603" i="7"/>
  <c r="N1602" i="7"/>
  <c r="M1602" i="7"/>
  <c r="L1602" i="7"/>
  <c r="K1602" i="7"/>
  <c r="N1601" i="7"/>
  <c r="M1601" i="7"/>
  <c r="L1601" i="7"/>
  <c r="K1601" i="7"/>
  <c r="N1600" i="7"/>
  <c r="M1600" i="7"/>
  <c r="L1600" i="7"/>
  <c r="K1600" i="7"/>
  <c r="N1599" i="7"/>
  <c r="M1599" i="7"/>
  <c r="L1599" i="7"/>
  <c r="K1599" i="7"/>
  <c r="N1598" i="7"/>
  <c r="M1598" i="7"/>
  <c r="L1598" i="7"/>
  <c r="K1598" i="7"/>
  <c r="N1597" i="7"/>
  <c r="M1597" i="7"/>
  <c r="L1597" i="7"/>
  <c r="K1597" i="7"/>
  <c r="N1596" i="7"/>
  <c r="M1596" i="7"/>
  <c r="L1596" i="7"/>
  <c r="K1596" i="7"/>
  <c r="N1595" i="7"/>
  <c r="M1595" i="7"/>
  <c r="L1595" i="7"/>
  <c r="K1595" i="7"/>
  <c r="N1594" i="7"/>
  <c r="M1594" i="7"/>
  <c r="L1594" i="7"/>
  <c r="K1594" i="7"/>
  <c r="N1593" i="7"/>
  <c r="M1593" i="7"/>
  <c r="L1593" i="7"/>
  <c r="K1593" i="7"/>
  <c r="N1592" i="7"/>
  <c r="M1592" i="7"/>
  <c r="L1592" i="7"/>
  <c r="K1592" i="7"/>
  <c r="N1591" i="7"/>
  <c r="M1591" i="7"/>
  <c r="L1591" i="7"/>
  <c r="K1591" i="7"/>
  <c r="N1590" i="7"/>
  <c r="M1590" i="7"/>
  <c r="L1590" i="7"/>
  <c r="K1590" i="7"/>
  <c r="N1589" i="7"/>
  <c r="M1589" i="7"/>
  <c r="L1589" i="7"/>
  <c r="K1589" i="7"/>
  <c r="N1588" i="7"/>
  <c r="M1588" i="7"/>
  <c r="L1588" i="7"/>
  <c r="K1588" i="7"/>
  <c r="N1587" i="7"/>
  <c r="M1587" i="7"/>
  <c r="L1587" i="7"/>
  <c r="K1587" i="7"/>
  <c r="N1586" i="7"/>
  <c r="M1586" i="7"/>
  <c r="L1586" i="7"/>
  <c r="K1586" i="7"/>
  <c r="N1585" i="7"/>
  <c r="M1585" i="7"/>
  <c r="L1585" i="7"/>
  <c r="K1585" i="7"/>
  <c r="N1584" i="7"/>
  <c r="M1584" i="7"/>
  <c r="L1584" i="7"/>
  <c r="K1584" i="7"/>
  <c r="N1583" i="7"/>
  <c r="M1583" i="7"/>
  <c r="L1583" i="7"/>
  <c r="K1583" i="7"/>
  <c r="N1582" i="7"/>
  <c r="M1582" i="7"/>
  <c r="L1582" i="7"/>
  <c r="K1582" i="7"/>
  <c r="N1581" i="7"/>
  <c r="M1581" i="7"/>
  <c r="L1581" i="7"/>
  <c r="K1581" i="7"/>
  <c r="N1580" i="7"/>
  <c r="M1580" i="7"/>
  <c r="L1580" i="7"/>
  <c r="K1580" i="7"/>
  <c r="N1579" i="7"/>
  <c r="M1579" i="7"/>
  <c r="L1579" i="7"/>
  <c r="K1579" i="7"/>
  <c r="N1578" i="7"/>
  <c r="M1578" i="7"/>
  <c r="L1578" i="7"/>
  <c r="K1578" i="7"/>
  <c r="N1577" i="7"/>
  <c r="M1577" i="7"/>
  <c r="L1577" i="7"/>
  <c r="K1577" i="7"/>
  <c r="N1576" i="7"/>
  <c r="M1576" i="7"/>
  <c r="L1576" i="7"/>
  <c r="K1576" i="7"/>
  <c r="N1575" i="7"/>
  <c r="M1575" i="7"/>
  <c r="L1575" i="7"/>
  <c r="K1575" i="7"/>
  <c r="N1574" i="7"/>
  <c r="M1574" i="7"/>
  <c r="L1574" i="7"/>
  <c r="K1574" i="7"/>
  <c r="N1573" i="7"/>
  <c r="M1573" i="7"/>
  <c r="L1573" i="7"/>
  <c r="K1573" i="7"/>
  <c r="N1572" i="7"/>
  <c r="M1572" i="7"/>
  <c r="L1572" i="7"/>
  <c r="K1572" i="7"/>
  <c r="N1571" i="7"/>
  <c r="M1571" i="7"/>
  <c r="L1571" i="7"/>
  <c r="K1571" i="7"/>
  <c r="N1570" i="7"/>
  <c r="M1570" i="7"/>
  <c r="L1570" i="7"/>
  <c r="K1570" i="7"/>
  <c r="N1569" i="7"/>
  <c r="M1569" i="7"/>
  <c r="L1569" i="7"/>
  <c r="K1569" i="7"/>
  <c r="N1568" i="7"/>
  <c r="M1568" i="7"/>
  <c r="L1568" i="7"/>
  <c r="K1568" i="7"/>
  <c r="N1567" i="7"/>
  <c r="M1567" i="7"/>
  <c r="L1567" i="7"/>
  <c r="K1567" i="7"/>
  <c r="N1566" i="7"/>
  <c r="M1566" i="7"/>
  <c r="L1566" i="7"/>
  <c r="K1566" i="7"/>
  <c r="N1565" i="7"/>
  <c r="M1565" i="7"/>
  <c r="L1565" i="7"/>
  <c r="K1565" i="7"/>
  <c r="N1564" i="7"/>
  <c r="M1564" i="7"/>
  <c r="L1564" i="7"/>
  <c r="K1564" i="7"/>
  <c r="N1563" i="7"/>
  <c r="M1563" i="7"/>
  <c r="L1563" i="7"/>
  <c r="K1563" i="7"/>
  <c r="N1562" i="7"/>
  <c r="M1562" i="7"/>
  <c r="L1562" i="7"/>
  <c r="K1562" i="7"/>
  <c r="N1561" i="7"/>
  <c r="M1561" i="7"/>
  <c r="L1561" i="7"/>
  <c r="K1561" i="7"/>
  <c r="N1560" i="7"/>
  <c r="M1560" i="7"/>
  <c r="L1560" i="7"/>
  <c r="K1560" i="7"/>
  <c r="N1559" i="7"/>
  <c r="M1559" i="7"/>
  <c r="L1559" i="7"/>
  <c r="K1559" i="7"/>
  <c r="N1558" i="7"/>
  <c r="M1558" i="7"/>
  <c r="L1558" i="7"/>
  <c r="K1558" i="7"/>
  <c r="N1557" i="7"/>
  <c r="M1557" i="7"/>
  <c r="L1557" i="7"/>
  <c r="K1557" i="7"/>
  <c r="N1556" i="7"/>
  <c r="M1556" i="7"/>
  <c r="L1556" i="7"/>
  <c r="K1556" i="7"/>
  <c r="N1555" i="7"/>
  <c r="M1555" i="7"/>
  <c r="L1555" i="7"/>
  <c r="K1555" i="7"/>
  <c r="N1554" i="7"/>
  <c r="M1554" i="7"/>
  <c r="L1554" i="7"/>
  <c r="K1554" i="7"/>
  <c r="N1553" i="7"/>
  <c r="M1553" i="7"/>
  <c r="L1553" i="7"/>
  <c r="K1553" i="7"/>
  <c r="N1552" i="7"/>
  <c r="M1552" i="7"/>
  <c r="L1552" i="7"/>
  <c r="K1552" i="7"/>
  <c r="N1551" i="7"/>
  <c r="M1551" i="7"/>
  <c r="L1551" i="7"/>
  <c r="K1551" i="7"/>
  <c r="N1550" i="7"/>
  <c r="M1550" i="7"/>
  <c r="L1550" i="7"/>
  <c r="K1550" i="7"/>
  <c r="N1549" i="7"/>
  <c r="M1549" i="7"/>
  <c r="L1549" i="7"/>
  <c r="K1549" i="7"/>
  <c r="N1548" i="7"/>
  <c r="M1548" i="7"/>
  <c r="L1548" i="7"/>
  <c r="K1548" i="7"/>
  <c r="N1547" i="7"/>
  <c r="M1547" i="7"/>
  <c r="L1547" i="7"/>
  <c r="K1547" i="7"/>
  <c r="N1546" i="7"/>
  <c r="M1546" i="7"/>
  <c r="L1546" i="7"/>
  <c r="K1546" i="7"/>
  <c r="N1545" i="7"/>
  <c r="M1545" i="7"/>
  <c r="L1545" i="7"/>
  <c r="K1545" i="7"/>
  <c r="N1544" i="7"/>
  <c r="M1544" i="7"/>
  <c r="L1544" i="7"/>
  <c r="K1544" i="7"/>
  <c r="N1543" i="7"/>
  <c r="M1543" i="7"/>
  <c r="L1543" i="7"/>
  <c r="K1543" i="7"/>
  <c r="N1542" i="7"/>
  <c r="M1542" i="7"/>
  <c r="L1542" i="7"/>
  <c r="K1542" i="7"/>
  <c r="N1541" i="7"/>
  <c r="M1541" i="7"/>
  <c r="L1541" i="7"/>
  <c r="K1541" i="7"/>
  <c r="N1540" i="7"/>
  <c r="M1540" i="7"/>
  <c r="L1540" i="7"/>
  <c r="K1540" i="7"/>
  <c r="N1539" i="7"/>
  <c r="M1539" i="7"/>
  <c r="L1539" i="7"/>
  <c r="K1539" i="7"/>
  <c r="N1538" i="7"/>
  <c r="M1538" i="7"/>
  <c r="L1538" i="7"/>
  <c r="K1538" i="7"/>
  <c r="N1537" i="7"/>
  <c r="M1537" i="7"/>
  <c r="L1537" i="7"/>
  <c r="K1537" i="7"/>
  <c r="N1536" i="7"/>
  <c r="M1536" i="7"/>
  <c r="L1536" i="7"/>
  <c r="K1536" i="7"/>
  <c r="N1535" i="7"/>
  <c r="M1535" i="7"/>
  <c r="L1535" i="7"/>
  <c r="K1535" i="7"/>
  <c r="N1534" i="7"/>
  <c r="M1534" i="7"/>
  <c r="L1534" i="7"/>
  <c r="K1534" i="7"/>
  <c r="N1533" i="7"/>
  <c r="M1533" i="7"/>
  <c r="L1533" i="7"/>
  <c r="K1533" i="7"/>
  <c r="N1532" i="7"/>
  <c r="M1532" i="7"/>
  <c r="L1532" i="7"/>
  <c r="K1532" i="7"/>
  <c r="N1531" i="7"/>
  <c r="M1531" i="7"/>
  <c r="L1531" i="7"/>
  <c r="K1531" i="7"/>
  <c r="N1530" i="7"/>
  <c r="M1530" i="7"/>
  <c r="L1530" i="7"/>
  <c r="K1530" i="7"/>
  <c r="N1529" i="7"/>
  <c r="M1529" i="7"/>
  <c r="L1529" i="7"/>
  <c r="K1529" i="7"/>
  <c r="N1528" i="7"/>
  <c r="M1528" i="7"/>
  <c r="L1528" i="7"/>
  <c r="K1528" i="7"/>
  <c r="N1527" i="7"/>
  <c r="M1527" i="7"/>
  <c r="L1527" i="7"/>
  <c r="K1527" i="7"/>
  <c r="N1526" i="7"/>
  <c r="M1526" i="7"/>
  <c r="L1526" i="7"/>
  <c r="K1526" i="7"/>
  <c r="N1525" i="7"/>
  <c r="M1525" i="7"/>
  <c r="L1525" i="7"/>
  <c r="K1525" i="7"/>
  <c r="N1524" i="7"/>
  <c r="M1524" i="7"/>
  <c r="L1524" i="7"/>
  <c r="K1524" i="7"/>
  <c r="N1523" i="7"/>
  <c r="M1523" i="7"/>
  <c r="L1523" i="7"/>
  <c r="K1523" i="7"/>
  <c r="N1522" i="7"/>
  <c r="M1522" i="7"/>
  <c r="L1522" i="7"/>
  <c r="K1522" i="7"/>
  <c r="N1521" i="7"/>
  <c r="M1521" i="7"/>
  <c r="L1521" i="7"/>
  <c r="K1521" i="7"/>
  <c r="N1520" i="7"/>
  <c r="M1520" i="7"/>
  <c r="L1520" i="7"/>
  <c r="K1520" i="7"/>
  <c r="N1519" i="7"/>
  <c r="M1519" i="7"/>
  <c r="L1519" i="7"/>
  <c r="K1519" i="7"/>
  <c r="N1518" i="7"/>
  <c r="M1518" i="7"/>
  <c r="L1518" i="7"/>
  <c r="K1518" i="7"/>
  <c r="N1517" i="7"/>
  <c r="M1517" i="7"/>
  <c r="L1517" i="7"/>
  <c r="K1517" i="7"/>
  <c r="N1516" i="7"/>
  <c r="M1516" i="7"/>
  <c r="L1516" i="7"/>
  <c r="K1516" i="7"/>
  <c r="N1515" i="7"/>
  <c r="M1515" i="7"/>
  <c r="L1515" i="7"/>
  <c r="K1515" i="7"/>
  <c r="N1514" i="7"/>
  <c r="M1514" i="7"/>
  <c r="L1514" i="7"/>
  <c r="K1514" i="7"/>
  <c r="N1513" i="7"/>
  <c r="M1513" i="7"/>
  <c r="L1513" i="7"/>
  <c r="K1513" i="7"/>
  <c r="N1512" i="7"/>
  <c r="M1512" i="7"/>
  <c r="L1512" i="7"/>
  <c r="K1512" i="7"/>
  <c r="N1511" i="7"/>
  <c r="M1511" i="7"/>
  <c r="L1511" i="7"/>
  <c r="K1511" i="7"/>
  <c r="N1510" i="7"/>
  <c r="M1510" i="7"/>
  <c r="L1510" i="7"/>
  <c r="K1510" i="7"/>
  <c r="N1509" i="7"/>
  <c r="M1509" i="7"/>
  <c r="L1509" i="7"/>
  <c r="K1509" i="7"/>
  <c r="N1508" i="7"/>
  <c r="M1508" i="7"/>
  <c r="L1508" i="7"/>
  <c r="K1508" i="7"/>
  <c r="N1507" i="7"/>
  <c r="M1507" i="7"/>
  <c r="L1507" i="7"/>
  <c r="K1507" i="7"/>
  <c r="N1506" i="7"/>
  <c r="M1506" i="7"/>
  <c r="L1506" i="7"/>
  <c r="K1506" i="7"/>
  <c r="N1505" i="7"/>
  <c r="M1505" i="7"/>
  <c r="L1505" i="7"/>
  <c r="K1505" i="7"/>
  <c r="N1504" i="7"/>
  <c r="M1504" i="7"/>
  <c r="L1504" i="7"/>
  <c r="K1504" i="7"/>
  <c r="N1503" i="7"/>
  <c r="M1503" i="7"/>
  <c r="L1503" i="7"/>
  <c r="K1503" i="7"/>
  <c r="N1502" i="7"/>
  <c r="M1502" i="7"/>
  <c r="L1502" i="7"/>
  <c r="K1502" i="7"/>
  <c r="N1501" i="7"/>
  <c r="M1501" i="7"/>
  <c r="L1501" i="7"/>
  <c r="K1501" i="7"/>
  <c r="N1500" i="7"/>
  <c r="M1500" i="7"/>
  <c r="L1500" i="7"/>
  <c r="K1500" i="7"/>
  <c r="N1499" i="7"/>
  <c r="M1499" i="7"/>
  <c r="L1499" i="7"/>
  <c r="K1499" i="7"/>
  <c r="N1498" i="7"/>
  <c r="M1498" i="7"/>
  <c r="L1498" i="7"/>
  <c r="K1498" i="7"/>
  <c r="N1497" i="7"/>
  <c r="M1497" i="7"/>
  <c r="L1497" i="7"/>
  <c r="K1497" i="7"/>
  <c r="N1496" i="7"/>
  <c r="M1496" i="7"/>
  <c r="L1496" i="7"/>
  <c r="K1496" i="7"/>
  <c r="N1495" i="7"/>
  <c r="M1495" i="7"/>
  <c r="L1495" i="7"/>
  <c r="K1495" i="7"/>
  <c r="N1494" i="7"/>
  <c r="M1494" i="7"/>
  <c r="L1494" i="7"/>
  <c r="K1494" i="7"/>
  <c r="N1493" i="7"/>
  <c r="M1493" i="7"/>
  <c r="L1493" i="7"/>
  <c r="K1493" i="7"/>
  <c r="N1492" i="7"/>
  <c r="M1492" i="7"/>
  <c r="L1492" i="7"/>
  <c r="K1492" i="7"/>
  <c r="N1491" i="7"/>
  <c r="M1491" i="7"/>
  <c r="L1491" i="7"/>
  <c r="K1491" i="7"/>
  <c r="N1490" i="7"/>
  <c r="M1490" i="7"/>
  <c r="L1490" i="7"/>
  <c r="K1490" i="7"/>
  <c r="N1489" i="7"/>
  <c r="M1489" i="7"/>
  <c r="L1489" i="7"/>
  <c r="K1489" i="7"/>
  <c r="N1488" i="7"/>
  <c r="M1488" i="7"/>
  <c r="L1488" i="7"/>
  <c r="K1488" i="7"/>
  <c r="N1487" i="7"/>
  <c r="M1487" i="7"/>
  <c r="L1487" i="7"/>
  <c r="K1487" i="7"/>
  <c r="N1486" i="7"/>
  <c r="M1486" i="7"/>
  <c r="L1486" i="7"/>
  <c r="K1486" i="7"/>
  <c r="N1485" i="7"/>
  <c r="M1485" i="7"/>
  <c r="L1485" i="7"/>
  <c r="K1485" i="7"/>
  <c r="N1484" i="7"/>
  <c r="M1484" i="7"/>
  <c r="L1484" i="7"/>
  <c r="K1484" i="7"/>
  <c r="N1483" i="7"/>
  <c r="M1483" i="7"/>
  <c r="L1483" i="7"/>
  <c r="K1483" i="7"/>
  <c r="N1482" i="7"/>
  <c r="M1482" i="7"/>
  <c r="L1482" i="7"/>
  <c r="K1482" i="7"/>
  <c r="N1481" i="7"/>
  <c r="M1481" i="7"/>
  <c r="L1481" i="7"/>
  <c r="K1481" i="7"/>
  <c r="N1480" i="7"/>
  <c r="M1480" i="7"/>
  <c r="L1480" i="7"/>
  <c r="K1480" i="7"/>
  <c r="N1479" i="7"/>
  <c r="M1479" i="7"/>
  <c r="L1479" i="7"/>
  <c r="K1479" i="7"/>
  <c r="N1478" i="7"/>
  <c r="M1478" i="7"/>
  <c r="L1478" i="7"/>
  <c r="K1478" i="7"/>
  <c r="N1477" i="7"/>
  <c r="M1477" i="7"/>
  <c r="L1477" i="7"/>
  <c r="K1477" i="7"/>
  <c r="N1476" i="7"/>
  <c r="M1476" i="7"/>
  <c r="L1476" i="7"/>
  <c r="K1476" i="7"/>
  <c r="N1475" i="7"/>
  <c r="M1475" i="7"/>
  <c r="L1475" i="7"/>
  <c r="K1475" i="7"/>
  <c r="N1474" i="7"/>
  <c r="M1474" i="7"/>
  <c r="L1474" i="7"/>
  <c r="K1474" i="7"/>
  <c r="N1473" i="7"/>
  <c r="M1473" i="7"/>
  <c r="L1473" i="7"/>
  <c r="K1473" i="7"/>
  <c r="N1472" i="7"/>
  <c r="M1472" i="7"/>
  <c r="L1472" i="7"/>
  <c r="K1472" i="7"/>
  <c r="N1471" i="7"/>
  <c r="M1471" i="7"/>
  <c r="L1471" i="7"/>
  <c r="K1471" i="7"/>
  <c r="N1470" i="7"/>
  <c r="M1470" i="7"/>
  <c r="L1470" i="7"/>
  <c r="K1470" i="7"/>
  <c r="N1469" i="7"/>
  <c r="M1469" i="7"/>
  <c r="L1469" i="7"/>
  <c r="K1469" i="7"/>
  <c r="N1468" i="7"/>
  <c r="M1468" i="7"/>
  <c r="L1468" i="7"/>
  <c r="K1468" i="7"/>
  <c r="N1467" i="7"/>
  <c r="M1467" i="7"/>
  <c r="L1467" i="7"/>
  <c r="K1467" i="7"/>
  <c r="N1466" i="7"/>
  <c r="M1466" i="7"/>
  <c r="L1466" i="7"/>
  <c r="K1466" i="7"/>
  <c r="N1465" i="7"/>
  <c r="M1465" i="7"/>
  <c r="L1465" i="7"/>
  <c r="K1465" i="7"/>
  <c r="N1464" i="7"/>
  <c r="M1464" i="7"/>
  <c r="L1464" i="7"/>
  <c r="K1464" i="7"/>
  <c r="N1463" i="7"/>
  <c r="M1463" i="7"/>
  <c r="L1463" i="7"/>
  <c r="K1463" i="7"/>
  <c r="N1462" i="7"/>
  <c r="M1462" i="7"/>
  <c r="L1462" i="7"/>
  <c r="K1462" i="7"/>
  <c r="N1461" i="7"/>
  <c r="M1461" i="7"/>
  <c r="L1461" i="7"/>
  <c r="K1461" i="7"/>
  <c r="N1460" i="7"/>
  <c r="M1460" i="7"/>
  <c r="L1460" i="7"/>
  <c r="K1460" i="7"/>
  <c r="N1459" i="7"/>
  <c r="M1459" i="7"/>
  <c r="L1459" i="7"/>
  <c r="K1459" i="7"/>
  <c r="N1458" i="7"/>
  <c r="M1458" i="7"/>
  <c r="L1458" i="7"/>
  <c r="K1458" i="7"/>
  <c r="N1457" i="7"/>
  <c r="M1457" i="7"/>
  <c r="L1457" i="7"/>
  <c r="K1457" i="7"/>
  <c r="N1456" i="7"/>
  <c r="M1456" i="7"/>
  <c r="L1456" i="7"/>
  <c r="K1456" i="7"/>
  <c r="N1455" i="7"/>
  <c r="M1455" i="7"/>
  <c r="L1455" i="7"/>
  <c r="K1455" i="7"/>
  <c r="N1454" i="7"/>
  <c r="M1454" i="7"/>
  <c r="L1454" i="7"/>
  <c r="K1454" i="7"/>
  <c r="N1453" i="7"/>
  <c r="M1453" i="7"/>
  <c r="L1453" i="7"/>
  <c r="K1453" i="7"/>
  <c r="N1452" i="7"/>
  <c r="M1452" i="7"/>
  <c r="L1452" i="7"/>
  <c r="K1452" i="7"/>
  <c r="N1451" i="7"/>
  <c r="M1451" i="7"/>
  <c r="L1451" i="7"/>
  <c r="K1451" i="7"/>
  <c r="N1450" i="7"/>
  <c r="M1450" i="7"/>
  <c r="L1450" i="7"/>
  <c r="K1450" i="7"/>
  <c r="N1449" i="7"/>
  <c r="M1449" i="7"/>
  <c r="L1449" i="7"/>
  <c r="K1449" i="7"/>
  <c r="N1448" i="7"/>
  <c r="M1448" i="7"/>
  <c r="L1448" i="7"/>
  <c r="K1448" i="7"/>
  <c r="N1447" i="7"/>
  <c r="M1447" i="7"/>
  <c r="L1447" i="7"/>
  <c r="K1447" i="7"/>
  <c r="N1446" i="7"/>
  <c r="M1446" i="7"/>
  <c r="L1446" i="7"/>
  <c r="K1446" i="7"/>
  <c r="N1445" i="7"/>
  <c r="M1445" i="7"/>
  <c r="L1445" i="7"/>
  <c r="K1445" i="7"/>
  <c r="N1444" i="7"/>
  <c r="M1444" i="7"/>
  <c r="L1444" i="7"/>
  <c r="K1444" i="7"/>
  <c r="N1443" i="7"/>
  <c r="M1443" i="7"/>
  <c r="L1443" i="7"/>
  <c r="K1443" i="7"/>
  <c r="N1442" i="7"/>
  <c r="M1442" i="7"/>
  <c r="L1442" i="7"/>
  <c r="K1442" i="7"/>
  <c r="N1441" i="7"/>
  <c r="M1441" i="7"/>
  <c r="L1441" i="7"/>
  <c r="K1441" i="7"/>
  <c r="N1440" i="7"/>
  <c r="M1440" i="7"/>
  <c r="L1440" i="7"/>
  <c r="K1440" i="7"/>
  <c r="N1439" i="7"/>
  <c r="M1439" i="7"/>
  <c r="L1439" i="7"/>
  <c r="K1439" i="7"/>
  <c r="N1438" i="7"/>
  <c r="M1438" i="7"/>
  <c r="L1438" i="7"/>
  <c r="K1438" i="7"/>
  <c r="N1437" i="7"/>
  <c r="M1437" i="7"/>
  <c r="L1437" i="7"/>
  <c r="K1437" i="7"/>
  <c r="N1436" i="7"/>
  <c r="M1436" i="7"/>
  <c r="L1436" i="7"/>
  <c r="K1436" i="7"/>
  <c r="N1435" i="7"/>
  <c r="M1435" i="7"/>
  <c r="L1435" i="7"/>
  <c r="K1435" i="7"/>
  <c r="N1434" i="7"/>
  <c r="M1434" i="7"/>
  <c r="L1434" i="7"/>
  <c r="K1434" i="7"/>
  <c r="N1433" i="7"/>
  <c r="M1433" i="7"/>
  <c r="L1433" i="7"/>
  <c r="K1433" i="7"/>
  <c r="N1432" i="7"/>
  <c r="M1432" i="7"/>
  <c r="L1432" i="7"/>
  <c r="K1432" i="7"/>
  <c r="N1431" i="7"/>
  <c r="M1431" i="7"/>
  <c r="L1431" i="7"/>
  <c r="K1431" i="7"/>
  <c r="N1430" i="7"/>
  <c r="M1430" i="7"/>
  <c r="L1430" i="7"/>
  <c r="K1430" i="7"/>
  <c r="N1429" i="7"/>
  <c r="M1429" i="7"/>
  <c r="L1429" i="7"/>
  <c r="K1429" i="7"/>
  <c r="N1428" i="7"/>
  <c r="M1428" i="7"/>
  <c r="L1428" i="7"/>
  <c r="K1428" i="7"/>
  <c r="N1427" i="7"/>
  <c r="M1427" i="7"/>
  <c r="L1427" i="7"/>
  <c r="K1427" i="7"/>
  <c r="N1426" i="7"/>
  <c r="M1426" i="7"/>
  <c r="L1426" i="7"/>
  <c r="K1426" i="7"/>
  <c r="N1425" i="7"/>
  <c r="M1425" i="7"/>
  <c r="L1425" i="7"/>
  <c r="K1425" i="7"/>
  <c r="N1424" i="7"/>
  <c r="M1424" i="7"/>
  <c r="L1424" i="7"/>
  <c r="K1424" i="7"/>
  <c r="N1423" i="7"/>
  <c r="M1423" i="7"/>
  <c r="L1423" i="7"/>
  <c r="K1423" i="7"/>
  <c r="N1422" i="7"/>
  <c r="M1422" i="7"/>
  <c r="L1422" i="7"/>
  <c r="K1422" i="7"/>
  <c r="N1421" i="7"/>
  <c r="M1421" i="7"/>
  <c r="L1421" i="7"/>
  <c r="K1421" i="7"/>
  <c r="N1420" i="7"/>
  <c r="M1420" i="7"/>
  <c r="L1420" i="7"/>
  <c r="K1420" i="7"/>
  <c r="N1419" i="7"/>
  <c r="M1419" i="7"/>
  <c r="L1419" i="7"/>
  <c r="K1419" i="7"/>
  <c r="N1418" i="7"/>
  <c r="M1418" i="7"/>
  <c r="L1418" i="7"/>
  <c r="K1418" i="7"/>
  <c r="N1417" i="7"/>
  <c r="M1417" i="7"/>
  <c r="L1417" i="7"/>
  <c r="K1417" i="7"/>
  <c r="N1416" i="7"/>
  <c r="M1416" i="7"/>
  <c r="L1416" i="7"/>
  <c r="K1416" i="7"/>
  <c r="N1415" i="7"/>
  <c r="M1415" i="7"/>
  <c r="L1415" i="7"/>
  <c r="K1415" i="7"/>
  <c r="N1414" i="7"/>
  <c r="M1414" i="7"/>
  <c r="L1414" i="7"/>
  <c r="K1414" i="7"/>
  <c r="N1413" i="7"/>
  <c r="M1413" i="7"/>
  <c r="L1413" i="7"/>
  <c r="K1413" i="7"/>
  <c r="N1412" i="7"/>
  <c r="M1412" i="7"/>
  <c r="L1412" i="7"/>
  <c r="K1412" i="7"/>
  <c r="N1411" i="7"/>
  <c r="M1411" i="7"/>
  <c r="L1411" i="7"/>
  <c r="K1411" i="7"/>
  <c r="N1410" i="7"/>
  <c r="M1410" i="7"/>
  <c r="L1410" i="7"/>
  <c r="K1410" i="7"/>
  <c r="N1409" i="7"/>
  <c r="M1409" i="7"/>
  <c r="L1409" i="7"/>
  <c r="K1409" i="7"/>
  <c r="N1408" i="7"/>
  <c r="M1408" i="7"/>
  <c r="L1408" i="7"/>
  <c r="K1408" i="7"/>
  <c r="N1407" i="7"/>
  <c r="M1407" i="7"/>
  <c r="L1407" i="7"/>
  <c r="K1407" i="7"/>
  <c r="N1406" i="7"/>
  <c r="M1406" i="7"/>
  <c r="L1406" i="7"/>
  <c r="K1406" i="7"/>
  <c r="N1405" i="7"/>
  <c r="M1405" i="7"/>
  <c r="L1405" i="7"/>
  <c r="K1405" i="7"/>
  <c r="N1404" i="7"/>
  <c r="M1404" i="7"/>
  <c r="L1404" i="7"/>
  <c r="K1404" i="7"/>
  <c r="N1403" i="7"/>
  <c r="M1403" i="7"/>
  <c r="L1403" i="7"/>
  <c r="K1403" i="7"/>
  <c r="N1402" i="7"/>
  <c r="M1402" i="7"/>
  <c r="L1402" i="7"/>
  <c r="K1402" i="7"/>
  <c r="N1401" i="7"/>
  <c r="M1401" i="7"/>
  <c r="L1401" i="7"/>
  <c r="K1401" i="7"/>
  <c r="N1400" i="7"/>
  <c r="M1400" i="7"/>
  <c r="L1400" i="7"/>
  <c r="K1400" i="7"/>
  <c r="N1399" i="7"/>
  <c r="M1399" i="7"/>
  <c r="L1399" i="7"/>
  <c r="K1399" i="7"/>
  <c r="N1398" i="7"/>
  <c r="M1398" i="7"/>
  <c r="L1398" i="7"/>
  <c r="K1398" i="7"/>
  <c r="N1397" i="7"/>
  <c r="M1397" i="7"/>
  <c r="L1397" i="7"/>
  <c r="K1397" i="7"/>
  <c r="N1396" i="7"/>
  <c r="M1396" i="7"/>
  <c r="L1396" i="7"/>
  <c r="K1396" i="7"/>
  <c r="N1395" i="7"/>
  <c r="M1395" i="7"/>
  <c r="L1395" i="7"/>
  <c r="K1395" i="7"/>
  <c r="N1394" i="7"/>
  <c r="M1394" i="7"/>
  <c r="L1394" i="7"/>
  <c r="K1394" i="7"/>
  <c r="N1393" i="7"/>
  <c r="M1393" i="7"/>
  <c r="L1393" i="7"/>
  <c r="K1393" i="7"/>
  <c r="N1392" i="7"/>
  <c r="M1392" i="7"/>
  <c r="L1392" i="7"/>
  <c r="K1392" i="7"/>
  <c r="N1391" i="7"/>
  <c r="M1391" i="7"/>
  <c r="L1391" i="7"/>
  <c r="K1391" i="7"/>
  <c r="N1390" i="7"/>
  <c r="M1390" i="7"/>
  <c r="L1390" i="7"/>
  <c r="K1390" i="7"/>
  <c r="N1389" i="7"/>
  <c r="M1389" i="7"/>
  <c r="L1389" i="7"/>
  <c r="K1389" i="7"/>
  <c r="N1388" i="7"/>
  <c r="M1388" i="7"/>
  <c r="L1388" i="7"/>
  <c r="K1388" i="7"/>
  <c r="N1387" i="7"/>
  <c r="M1387" i="7"/>
  <c r="L1387" i="7"/>
  <c r="K1387" i="7"/>
  <c r="N1386" i="7"/>
  <c r="M1386" i="7"/>
  <c r="L1386" i="7"/>
  <c r="K1386" i="7"/>
  <c r="N1385" i="7"/>
  <c r="M1385" i="7"/>
  <c r="L1385" i="7"/>
  <c r="K1385" i="7"/>
  <c r="N1384" i="7"/>
  <c r="M1384" i="7"/>
  <c r="L1384" i="7"/>
  <c r="K1384" i="7"/>
  <c r="N1383" i="7"/>
  <c r="M1383" i="7"/>
  <c r="L1383" i="7"/>
  <c r="K1383" i="7"/>
  <c r="N1382" i="7"/>
  <c r="M1382" i="7"/>
  <c r="L1382" i="7"/>
  <c r="K1382" i="7"/>
  <c r="N1381" i="7"/>
  <c r="M1381" i="7"/>
  <c r="L1381" i="7"/>
  <c r="K1381" i="7"/>
  <c r="N1380" i="7"/>
  <c r="M1380" i="7"/>
  <c r="L1380" i="7"/>
  <c r="K1380" i="7"/>
  <c r="N1379" i="7"/>
  <c r="M1379" i="7"/>
  <c r="L1379" i="7"/>
  <c r="K1379" i="7"/>
  <c r="N1378" i="7"/>
  <c r="M1378" i="7"/>
  <c r="L1378" i="7"/>
  <c r="K1378" i="7"/>
  <c r="N1377" i="7"/>
  <c r="M1377" i="7"/>
  <c r="L1377" i="7"/>
  <c r="K1377" i="7"/>
  <c r="N1376" i="7"/>
  <c r="M1376" i="7"/>
  <c r="L1376" i="7"/>
  <c r="K1376" i="7"/>
  <c r="N1375" i="7"/>
  <c r="M1375" i="7"/>
  <c r="L1375" i="7"/>
  <c r="K1375" i="7"/>
  <c r="N1374" i="7"/>
  <c r="M1374" i="7"/>
  <c r="L1374" i="7"/>
  <c r="K1374" i="7"/>
  <c r="N1373" i="7"/>
  <c r="M1373" i="7"/>
  <c r="L1373" i="7"/>
  <c r="K1373" i="7"/>
  <c r="N1372" i="7"/>
  <c r="M1372" i="7"/>
  <c r="L1372" i="7"/>
  <c r="K1372" i="7"/>
  <c r="N1371" i="7"/>
  <c r="M1371" i="7"/>
  <c r="L1371" i="7"/>
  <c r="K1371" i="7"/>
  <c r="N1370" i="7"/>
  <c r="M1370" i="7"/>
  <c r="L1370" i="7"/>
  <c r="K1370" i="7"/>
  <c r="N1369" i="7"/>
  <c r="M1369" i="7"/>
  <c r="L1369" i="7"/>
  <c r="K1369" i="7"/>
  <c r="N1368" i="7"/>
  <c r="M1368" i="7"/>
  <c r="L1368" i="7"/>
  <c r="K1368" i="7"/>
  <c r="N1367" i="7"/>
  <c r="M1367" i="7"/>
  <c r="L1367" i="7"/>
  <c r="K1367" i="7"/>
  <c r="N1366" i="7"/>
  <c r="M1366" i="7"/>
  <c r="L1366" i="7"/>
  <c r="K1366" i="7"/>
  <c r="N1365" i="7"/>
  <c r="M1365" i="7"/>
  <c r="L1365" i="7"/>
  <c r="K1365" i="7"/>
  <c r="N1364" i="7"/>
  <c r="M1364" i="7"/>
  <c r="L1364" i="7"/>
  <c r="K1364" i="7"/>
  <c r="N1363" i="7"/>
  <c r="M1363" i="7"/>
  <c r="L1363" i="7"/>
  <c r="K1363" i="7"/>
  <c r="N1362" i="7"/>
  <c r="M1362" i="7"/>
  <c r="L1362" i="7"/>
  <c r="K1362" i="7"/>
  <c r="N1361" i="7"/>
  <c r="M1361" i="7"/>
  <c r="L1361" i="7"/>
  <c r="K1361" i="7"/>
  <c r="N1360" i="7"/>
  <c r="M1360" i="7"/>
  <c r="L1360" i="7"/>
  <c r="K1360" i="7"/>
  <c r="N1359" i="7"/>
  <c r="M1359" i="7"/>
  <c r="L1359" i="7"/>
  <c r="K1359" i="7"/>
  <c r="N1358" i="7"/>
  <c r="M1358" i="7"/>
  <c r="L1358" i="7"/>
  <c r="K1358" i="7"/>
  <c r="N1357" i="7"/>
  <c r="M1357" i="7"/>
  <c r="L1357" i="7"/>
  <c r="K1357" i="7"/>
  <c r="N1356" i="7"/>
  <c r="M1356" i="7"/>
  <c r="L1356" i="7"/>
  <c r="K1356" i="7"/>
  <c r="N1355" i="7"/>
  <c r="M1355" i="7"/>
  <c r="L1355" i="7"/>
  <c r="K1355" i="7"/>
  <c r="N1354" i="7"/>
  <c r="M1354" i="7"/>
  <c r="L1354" i="7"/>
  <c r="K1354" i="7"/>
  <c r="N1353" i="7"/>
  <c r="M1353" i="7"/>
  <c r="L1353" i="7"/>
  <c r="K1353" i="7"/>
  <c r="N1352" i="7"/>
  <c r="M1352" i="7"/>
  <c r="L1352" i="7"/>
  <c r="K1352" i="7"/>
  <c r="N1351" i="7"/>
  <c r="M1351" i="7"/>
  <c r="L1351" i="7"/>
  <c r="K1351" i="7"/>
  <c r="N1350" i="7"/>
  <c r="M1350" i="7"/>
  <c r="L1350" i="7"/>
  <c r="K1350" i="7"/>
  <c r="N1349" i="7"/>
  <c r="M1349" i="7"/>
  <c r="L1349" i="7"/>
  <c r="K1349" i="7"/>
  <c r="N1348" i="7"/>
  <c r="M1348" i="7"/>
  <c r="L1348" i="7"/>
  <c r="K1348" i="7"/>
  <c r="N1347" i="7"/>
  <c r="M1347" i="7"/>
  <c r="L1347" i="7"/>
  <c r="K1347" i="7"/>
  <c r="N1346" i="7"/>
  <c r="M1346" i="7"/>
  <c r="L1346" i="7"/>
  <c r="K1346" i="7"/>
  <c r="N1345" i="7"/>
  <c r="M1345" i="7"/>
  <c r="L1345" i="7"/>
  <c r="K1345" i="7"/>
  <c r="N1344" i="7"/>
  <c r="M1344" i="7"/>
  <c r="L1344" i="7"/>
  <c r="K1344" i="7"/>
  <c r="N1343" i="7"/>
  <c r="M1343" i="7"/>
  <c r="L1343" i="7"/>
  <c r="K1343" i="7"/>
  <c r="N1342" i="7"/>
  <c r="M1342" i="7"/>
  <c r="L1342" i="7"/>
  <c r="K1342" i="7"/>
  <c r="N1341" i="7"/>
  <c r="M1341" i="7"/>
  <c r="L1341" i="7"/>
  <c r="K1341" i="7"/>
  <c r="N1340" i="7"/>
  <c r="M1340" i="7"/>
  <c r="L1340" i="7"/>
  <c r="K1340" i="7"/>
  <c r="N1339" i="7"/>
  <c r="M1339" i="7"/>
  <c r="L1339" i="7"/>
  <c r="K1339" i="7"/>
  <c r="N1338" i="7"/>
  <c r="M1338" i="7"/>
  <c r="L1338" i="7"/>
  <c r="K1338" i="7"/>
  <c r="N1337" i="7"/>
  <c r="M1337" i="7"/>
  <c r="L1337" i="7"/>
  <c r="K1337" i="7"/>
  <c r="N1336" i="7"/>
  <c r="M1336" i="7"/>
  <c r="L1336" i="7"/>
  <c r="K1336" i="7"/>
  <c r="N1335" i="7"/>
  <c r="M1335" i="7"/>
  <c r="L1335" i="7"/>
  <c r="K1335" i="7"/>
  <c r="N1334" i="7"/>
  <c r="M1334" i="7"/>
  <c r="L1334" i="7"/>
  <c r="K1334" i="7"/>
  <c r="N1333" i="7"/>
  <c r="M1333" i="7"/>
  <c r="L1333" i="7"/>
  <c r="K1333" i="7"/>
  <c r="N1332" i="7"/>
  <c r="M1332" i="7"/>
  <c r="L1332" i="7"/>
  <c r="K1332" i="7"/>
  <c r="N1331" i="7"/>
  <c r="M1331" i="7"/>
  <c r="L1331" i="7"/>
  <c r="K1331" i="7"/>
  <c r="N1330" i="7"/>
  <c r="M1330" i="7"/>
  <c r="L1330" i="7"/>
  <c r="K1330" i="7"/>
  <c r="N1329" i="7"/>
  <c r="M1329" i="7"/>
  <c r="L1329" i="7"/>
  <c r="K1329" i="7"/>
  <c r="N1328" i="7"/>
  <c r="M1328" i="7"/>
  <c r="L1328" i="7"/>
  <c r="K1328" i="7"/>
  <c r="N1327" i="7"/>
  <c r="M1327" i="7"/>
  <c r="L1327" i="7"/>
  <c r="K1327" i="7"/>
  <c r="N1326" i="7"/>
  <c r="M1326" i="7"/>
  <c r="L1326" i="7"/>
  <c r="K1326" i="7"/>
  <c r="N1325" i="7"/>
  <c r="M1325" i="7"/>
  <c r="L1325" i="7"/>
  <c r="K1325" i="7"/>
  <c r="N1324" i="7"/>
  <c r="M1324" i="7"/>
  <c r="L1324" i="7"/>
  <c r="K1324" i="7"/>
  <c r="N1323" i="7"/>
  <c r="M1323" i="7"/>
  <c r="L1323" i="7"/>
  <c r="K1323" i="7"/>
  <c r="N1322" i="7"/>
  <c r="M1322" i="7"/>
  <c r="L1322" i="7"/>
  <c r="K1322" i="7"/>
  <c r="N1321" i="7"/>
  <c r="M1321" i="7"/>
  <c r="L1321" i="7"/>
  <c r="K1321" i="7"/>
  <c r="N1320" i="7"/>
  <c r="M1320" i="7"/>
  <c r="L1320" i="7"/>
  <c r="K1320" i="7"/>
  <c r="N1319" i="7"/>
  <c r="M1319" i="7"/>
  <c r="L1319" i="7"/>
  <c r="K1319" i="7"/>
  <c r="N1318" i="7"/>
  <c r="M1318" i="7"/>
  <c r="L1318" i="7"/>
  <c r="K1318" i="7"/>
  <c r="N1317" i="7"/>
  <c r="M1317" i="7"/>
  <c r="L1317" i="7"/>
  <c r="K1317" i="7"/>
  <c r="N1316" i="7"/>
  <c r="M1316" i="7"/>
  <c r="L1316" i="7"/>
  <c r="K1316" i="7"/>
  <c r="N1315" i="7"/>
  <c r="M1315" i="7"/>
  <c r="L1315" i="7"/>
  <c r="K1315" i="7"/>
  <c r="N1314" i="7"/>
  <c r="M1314" i="7"/>
  <c r="L1314" i="7"/>
  <c r="K1314" i="7"/>
  <c r="N1313" i="7"/>
  <c r="M1313" i="7"/>
  <c r="L1313" i="7"/>
  <c r="K1313" i="7"/>
  <c r="N1312" i="7"/>
  <c r="M1312" i="7"/>
  <c r="L1312" i="7"/>
  <c r="K1312" i="7"/>
  <c r="N1311" i="7"/>
  <c r="M1311" i="7"/>
  <c r="L1311" i="7"/>
  <c r="K1311" i="7"/>
  <c r="N1310" i="7"/>
  <c r="M1310" i="7"/>
  <c r="L1310" i="7"/>
  <c r="K1310" i="7"/>
  <c r="N1309" i="7"/>
  <c r="M1309" i="7"/>
  <c r="L1309" i="7"/>
  <c r="K1309" i="7"/>
  <c r="N1308" i="7"/>
  <c r="M1308" i="7"/>
  <c r="L1308" i="7"/>
  <c r="K1308" i="7"/>
  <c r="N1307" i="7"/>
  <c r="M1307" i="7"/>
  <c r="L1307" i="7"/>
  <c r="K1307" i="7"/>
  <c r="N1306" i="7"/>
  <c r="M1306" i="7"/>
  <c r="L1306" i="7"/>
  <c r="K1306" i="7"/>
  <c r="N1305" i="7"/>
  <c r="M1305" i="7"/>
  <c r="L1305" i="7"/>
  <c r="K1305" i="7"/>
  <c r="N1304" i="7"/>
  <c r="M1304" i="7"/>
  <c r="L1304" i="7"/>
  <c r="K1304" i="7"/>
  <c r="N1303" i="7"/>
  <c r="M1303" i="7"/>
  <c r="L1303" i="7"/>
  <c r="K1303" i="7"/>
  <c r="N1302" i="7"/>
  <c r="M1302" i="7"/>
  <c r="L1302" i="7"/>
  <c r="K1302" i="7"/>
  <c r="N1301" i="7"/>
  <c r="M1301" i="7"/>
  <c r="L1301" i="7"/>
  <c r="K1301" i="7"/>
  <c r="N1300" i="7"/>
  <c r="M1300" i="7"/>
  <c r="L1300" i="7"/>
  <c r="K1300" i="7"/>
  <c r="N1299" i="7"/>
  <c r="M1299" i="7"/>
  <c r="L1299" i="7"/>
  <c r="K1299" i="7"/>
  <c r="N1298" i="7"/>
  <c r="M1298" i="7"/>
  <c r="L1298" i="7"/>
  <c r="K1298" i="7"/>
  <c r="N1297" i="7"/>
  <c r="M1297" i="7"/>
  <c r="L1297" i="7"/>
  <c r="K1297" i="7"/>
  <c r="N1296" i="7"/>
  <c r="M1296" i="7"/>
  <c r="L1296" i="7"/>
  <c r="K1296" i="7"/>
  <c r="N1295" i="7"/>
  <c r="M1295" i="7"/>
  <c r="L1295" i="7"/>
  <c r="K1295" i="7"/>
  <c r="N1294" i="7"/>
  <c r="M1294" i="7"/>
  <c r="L1294" i="7"/>
  <c r="K1294" i="7"/>
  <c r="N1293" i="7"/>
  <c r="M1293" i="7"/>
  <c r="L1293" i="7"/>
  <c r="K1293" i="7"/>
  <c r="N1292" i="7"/>
  <c r="M1292" i="7"/>
  <c r="L1292" i="7"/>
  <c r="K1292" i="7"/>
  <c r="N1291" i="7"/>
  <c r="M1291" i="7"/>
  <c r="L1291" i="7"/>
  <c r="K1291" i="7"/>
  <c r="N1290" i="7"/>
  <c r="M1290" i="7"/>
  <c r="L1290" i="7"/>
  <c r="K1290" i="7"/>
  <c r="N1289" i="7"/>
  <c r="M1289" i="7"/>
  <c r="L1289" i="7"/>
  <c r="K1289" i="7"/>
  <c r="N1288" i="7"/>
  <c r="M1288" i="7"/>
  <c r="L1288" i="7"/>
  <c r="K1288" i="7"/>
  <c r="N1287" i="7"/>
  <c r="M1287" i="7"/>
  <c r="L1287" i="7"/>
  <c r="K1287" i="7"/>
  <c r="N1286" i="7"/>
  <c r="M1286" i="7"/>
  <c r="L1286" i="7"/>
  <c r="K1286" i="7"/>
  <c r="N1285" i="7"/>
  <c r="M1285" i="7"/>
  <c r="L1285" i="7"/>
  <c r="K1285" i="7"/>
  <c r="N1284" i="7"/>
  <c r="M1284" i="7"/>
  <c r="L1284" i="7"/>
  <c r="K1284" i="7"/>
  <c r="N1283" i="7"/>
  <c r="M1283" i="7"/>
  <c r="L1283" i="7"/>
  <c r="K1283" i="7"/>
  <c r="N1282" i="7"/>
  <c r="M1282" i="7"/>
  <c r="L1282" i="7"/>
  <c r="K1282" i="7"/>
  <c r="N1281" i="7"/>
  <c r="M1281" i="7"/>
  <c r="L1281" i="7"/>
  <c r="K1281" i="7"/>
  <c r="N1280" i="7"/>
  <c r="M1280" i="7"/>
  <c r="L1280" i="7"/>
  <c r="K1280" i="7"/>
  <c r="N1279" i="7"/>
  <c r="M1279" i="7"/>
  <c r="L1279" i="7"/>
  <c r="K1279" i="7"/>
  <c r="N1278" i="7"/>
  <c r="M1278" i="7"/>
  <c r="L1278" i="7"/>
  <c r="K1278" i="7"/>
  <c r="N1277" i="7"/>
  <c r="M1277" i="7"/>
  <c r="L1277" i="7"/>
  <c r="K1277" i="7"/>
  <c r="N1276" i="7"/>
  <c r="M1276" i="7"/>
  <c r="L1276" i="7"/>
  <c r="K1276" i="7"/>
  <c r="N1275" i="7"/>
  <c r="M1275" i="7"/>
  <c r="L1275" i="7"/>
  <c r="K1275" i="7"/>
  <c r="N1274" i="7"/>
  <c r="M1274" i="7"/>
  <c r="L1274" i="7"/>
  <c r="K1274" i="7"/>
  <c r="N1273" i="7"/>
  <c r="M1273" i="7"/>
  <c r="L1273" i="7"/>
  <c r="K1273" i="7"/>
  <c r="N1272" i="7"/>
  <c r="M1272" i="7"/>
  <c r="L1272" i="7"/>
  <c r="K1272" i="7"/>
  <c r="N1271" i="7"/>
  <c r="M1271" i="7"/>
  <c r="L1271" i="7"/>
  <c r="K1271" i="7"/>
  <c r="N1270" i="7"/>
  <c r="M1270" i="7"/>
  <c r="L1270" i="7"/>
  <c r="K1270" i="7"/>
  <c r="N1269" i="7"/>
  <c r="M1269" i="7"/>
  <c r="L1269" i="7"/>
  <c r="K1269" i="7"/>
  <c r="N1268" i="7"/>
  <c r="M1268" i="7"/>
  <c r="L1268" i="7"/>
  <c r="K1268" i="7"/>
  <c r="N1267" i="7"/>
  <c r="M1267" i="7"/>
  <c r="L1267" i="7"/>
  <c r="K1267" i="7"/>
  <c r="N1266" i="7"/>
  <c r="M1266" i="7"/>
  <c r="L1266" i="7"/>
  <c r="K1266" i="7"/>
  <c r="N1265" i="7"/>
  <c r="M1265" i="7"/>
  <c r="L1265" i="7"/>
  <c r="K1265" i="7"/>
  <c r="N1264" i="7"/>
  <c r="M1264" i="7"/>
  <c r="L1264" i="7"/>
  <c r="K1264" i="7"/>
  <c r="N1263" i="7"/>
  <c r="M1263" i="7"/>
  <c r="L1263" i="7"/>
  <c r="K1263" i="7"/>
  <c r="N1262" i="7"/>
  <c r="M1262" i="7"/>
  <c r="L1262" i="7"/>
  <c r="K1262" i="7"/>
  <c r="N1261" i="7"/>
  <c r="M1261" i="7"/>
  <c r="L1261" i="7"/>
  <c r="K1261" i="7"/>
  <c r="N1260" i="7"/>
  <c r="M1260" i="7"/>
  <c r="L1260" i="7"/>
  <c r="K1260" i="7"/>
  <c r="N1259" i="7"/>
  <c r="M1259" i="7"/>
  <c r="L1259" i="7"/>
  <c r="K1259" i="7"/>
  <c r="N1258" i="7"/>
  <c r="M1258" i="7"/>
  <c r="L1258" i="7"/>
  <c r="K1258" i="7"/>
  <c r="N1257" i="7"/>
  <c r="M1257" i="7"/>
  <c r="L1257" i="7"/>
  <c r="K1257" i="7"/>
  <c r="N1256" i="7"/>
  <c r="M1256" i="7"/>
  <c r="L1256" i="7"/>
  <c r="K1256" i="7"/>
  <c r="N1255" i="7"/>
  <c r="M1255" i="7"/>
  <c r="L1255" i="7"/>
  <c r="K1255" i="7"/>
  <c r="N1254" i="7"/>
  <c r="M1254" i="7"/>
  <c r="L1254" i="7"/>
  <c r="K1254" i="7"/>
  <c r="N1253" i="7"/>
  <c r="M1253" i="7"/>
  <c r="L1253" i="7"/>
  <c r="K1253" i="7"/>
  <c r="N1252" i="7"/>
  <c r="M1252" i="7"/>
  <c r="L1252" i="7"/>
  <c r="K1252" i="7"/>
  <c r="N1251" i="7"/>
  <c r="M1251" i="7"/>
  <c r="L1251" i="7"/>
  <c r="K1251" i="7"/>
  <c r="N1250" i="7"/>
  <c r="M1250" i="7"/>
  <c r="L1250" i="7"/>
  <c r="K1250" i="7"/>
  <c r="N1249" i="7"/>
  <c r="M1249" i="7"/>
  <c r="L1249" i="7"/>
  <c r="K1249" i="7"/>
  <c r="N1248" i="7"/>
  <c r="M1248" i="7"/>
  <c r="L1248" i="7"/>
  <c r="K1248" i="7"/>
  <c r="N1247" i="7"/>
  <c r="M1247" i="7"/>
  <c r="L1247" i="7"/>
  <c r="K1247" i="7"/>
  <c r="N1246" i="7"/>
  <c r="M1246" i="7"/>
  <c r="L1246" i="7"/>
  <c r="K1246" i="7"/>
  <c r="N1245" i="7"/>
  <c r="M1245" i="7"/>
  <c r="L1245" i="7"/>
  <c r="K1245" i="7"/>
  <c r="N1244" i="7"/>
  <c r="M1244" i="7"/>
  <c r="L1244" i="7"/>
  <c r="K1244" i="7"/>
  <c r="N1243" i="7"/>
  <c r="M1243" i="7"/>
  <c r="L1243" i="7"/>
  <c r="K1243" i="7"/>
  <c r="N1242" i="7"/>
  <c r="M1242" i="7"/>
  <c r="L1242" i="7"/>
  <c r="K1242" i="7"/>
  <c r="N1241" i="7"/>
  <c r="M1241" i="7"/>
  <c r="L1241" i="7"/>
  <c r="K1241" i="7"/>
  <c r="N1240" i="7"/>
  <c r="M1240" i="7"/>
  <c r="L1240" i="7"/>
  <c r="K1240" i="7"/>
  <c r="N1239" i="7"/>
  <c r="M1239" i="7"/>
  <c r="L1239" i="7"/>
  <c r="K1239" i="7"/>
  <c r="N1238" i="7"/>
  <c r="M1238" i="7"/>
  <c r="L1238" i="7"/>
  <c r="K1238" i="7"/>
  <c r="N1237" i="7"/>
  <c r="M1237" i="7"/>
  <c r="L1237" i="7"/>
  <c r="K1237" i="7"/>
  <c r="N1236" i="7"/>
  <c r="M1236" i="7"/>
  <c r="L1236" i="7"/>
  <c r="K1236" i="7"/>
  <c r="N1235" i="7"/>
  <c r="M1235" i="7"/>
  <c r="L1235" i="7"/>
  <c r="K1235" i="7"/>
  <c r="N1234" i="7"/>
  <c r="M1234" i="7"/>
  <c r="L1234" i="7"/>
  <c r="K1234" i="7"/>
  <c r="N1233" i="7"/>
  <c r="M1233" i="7"/>
  <c r="L1233" i="7"/>
  <c r="K1233" i="7"/>
  <c r="N1232" i="7"/>
  <c r="M1232" i="7"/>
  <c r="L1232" i="7"/>
  <c r="K1232" i="7"/>
  <c r="N1231" i="7"/>
  <c r="M1231" i="7"/>
  <c r="L1231" i="7"/>
  <c r="K1231" i="7"/>
  <c r="N1230" i="7"/>
  <c r="M1230" i="7"/>
  <c r="L1230" i="7"/>
  <c r="K1230" i="7"/>
  <c r="N1229" i="7"/>
  <c r="M1229" i="7"/>
  <c r="L1229" i="7"/>
  <c r="K1229" i="7"/>
  <c r="N1228" i="7"/>
  <c r="M1228" i="7"/>
  <c r="L1228" i="7"/>
  <c r="K1228" i="7"/>
  <c r="N1227" i="7"/>
  <c r="M1227" i="7"/>
  <c r="L1227" i="7"/>
  <c r="K1227" i="7"/>
  <c r="N1226" i="7"/>
  <c r="M1226" i="7"/>
  <c r="L1226" i="7"/>
  <c r="K1226" i="7"/>
  <c r="N1225" i="7"/>
  <c r="M1225" i="7"/>
  <c r="L1225" i="7"/>
  <c r="K1225" i="7"/>
  <c r="N1224" i="7"/>
  <c r="M1224" i="7"/>
  <c r="L1224" i="7"/>
  <c r="K1224" i="7"/>
  <c r="N1223" i="7"/>
  <c r="M1223" i="7"/>
  <c r="L1223" i="7"/>
  <c r="K1223" i="7"/>
  <c r="N1222" i="7"/>
  <c r="M1222" i="7"/>
  <c r="L1222" i="7"/>
  <c r="K1222" i="7"/>
  <c r="N1221" i="7"/>
  <c r="M1221" i="7"/>
  <c r="L1221" i="7"/>
  <c r="K1221" i="7"/>
  <c r="N1220" i="7"/>
  <c r="M1220" i="7"/>
  <c r="L1220" i="7"/>
  <c r="K1220" i="7"/>
  <c r="N1219" i="7"/>
  <c r="M1219" i="7"/>
  <c r="L1219" i="7"/>
  <c r="K1219" i="7"/>
  <c r="N1218" i="7"/>
  <c r="M1218" i="7"/>
  <c r="L1218" i="7"/>
  <c r="K1218" i="7"/>
  <c r="N1217" i="7"/>
  <c r="M1217" i="7"/>
  <c r="L1217" i="7"/>
  <c r="K1217" i="7"/>
  <c r="N1216" i="7"/>
  <c r="M1216" i="7"/>
  <c r="L1216" i="7"/>
  <c r="K1216" i="7"/>
  <c r="N1215" i="7"/>
  <c r="M1215" i="7"/>
  <c r="L1215" i="7"/>
  <c r="K1215" i="7"/>
  <c r="N1214" i="7"/>
  <c r="M1214" i="7"/>
  <c r="L1214" i="7"/>
  <c r="K1214" i="7"/>
  <c r="N1213" i="7"/>
  <c r="M1213" i="7"/>
  <c r="L1213" i="7"/>
  <c r="K1213" i="7"/>
  <c r="N1212" i="7"/>
  <c r="M1212" i="7"/>
  <c r="L1212" i="7"/>
  <c r="K1212" i="7"/>
  <c r="N1211" i="7"/>
  <c r="M1211" i="7"/>
  <c r="L1211" i="7"/>
  <c r="K1211" i="7"/>
  <c r="N1210" i="7"/>
  <c r="M1210" i="7"/>
  <c r="L1210" i="7"/>
  <c r="K1210" i="7"/>
  <c r="N1209" i="7"/>
  <c r="M1209" i="7"/>
  <c r="L1209" i="7"/>
  <c r="K1209" i="7"/>
  <c r="N1208" i="7"/>
  <c r="M1208" i="7"/>
  <c r="L1208" i="7"/>
  <c r="K1208" i="7"/>
  <c r="N1207" i="7"/>
  <c r="M1207" i="7"/>
  <c r="L1207" i="7"/>
  <c r="K1207" i="7"/>
  <c r="N1206" i="7"/>
  <c r="M1206" i="7"/>
  <c r="L1206" i="7"/>
  <c r="K1206" i="7"/>
  <c r="N1205" i="7"/>
  <c r="M1205" i="7"/>
  <c r="L1205" i="7"/>
  <c r="K1205" i="7"/>
  <c r="N1204" i="7"/>
  <c r="M1204" i="7"/>
  <c r="L1204" i="7"/>
  <c r="K1204" i="7"/>
  <c r="N1203" i="7"/>
  <c r="M1203" i="7"/>
  <c r="L1203" i="7"/>
  <c r="K1203" i="7"/>
  <c r="N1202" i="7"/>
  <c r="M1202" i="7"/>
  <c r="L1202" i="7"/>
  <c r="K1202" i="7"/>
  <c r="N1201" i="7"/>
  <c r="M1201" i="7"/>
  <c r="L1201" i="7"/>
  <c r="K1201" i="7"/>
  <c r="N1200" i="7"/>
  <c r="M1200" i="7"/>
  <c r="L1200" i="7"/>
  <c r="K1200" i="7"/>
  <c r="N1199" i="7"/>
  <c r="M1199" i="7"/>
  <c r="L1199" i="7"/>
  <c r="K1199" i="7"/>
  <c r="N1198" i="7"/>
  <c r="M1198" i="7"/>
  <c r="L1198" i="7"/>
  <c r="K1198" i="7"/>
  <c r="N1197" i="7"/>
  <c r="M1197" i="7"/>
  <c r="L1197" i="7"/>
  <c r="K1197" i="7"/>
  <c r="N1196" i="7"/>
  <c r="M1196" i="7"/>
  <c r="L1196" i="7"/>
  <c r="K1196" i="7"/>
  <c r="N1195" i="7"/>
  <c r="M1195" i="7"/>
  <c r="L1195" i="7"/>
  <c r="K1195" i="7"/>
  <c r="N1194" i="7"/>
  <c r="M1194" i="7"/>
  <c r="L1194" i="7"/>
  <c r="K1194" i="7"/>
  <c r="N1193" i="7"/>
  <c r="M1193" i="7"/>
  <c r="L1193" i="7"/>
  <c r="K1193" i="7"/>
  <c r="N1192" i="7"/>
  <c r="M1192" i="7"/>
  <c r="L1192" i="7"/>
  <c r="K1192" i="7"/>
  <c r="N1191" i="7"/>
  <c r="M1191" i="7"/>
  <c r="L1191" i="7"/>
  <c r="K1191" i="7"/>
  <c r="N1190" i="7"/>
  <c r="M1190" i="7"/>
  <c r="L1190" i="7"/>
  <c r="K1190" i="7"/>
  <c r="N1189" i="7"/>
  <c r="M1189" i="7"/>
  <c r="L1189" i="7"/>
  <c r="K1189" i="7"/>
  <c r="N1188" i="7"/>
  <c r="M1188" i="7"/>
  <c r="L1188" i="7"/>
  <c r="K1188" i="7"/>
  <c r="N1187" i="7"/>
  <c r="M1187" i="7"/>
  <c r="L1187" i="7"/>
  <c r="K1187" i="7"/>
  <c r="N1186" i="7"/>
  <c r="M1186" i="7"/>
  <c r="L1186" i="7"/>
  <c r="K1186" i="7"/>
  <c r="N1185" i="7"/>
  <c r="M1185" i="7"/>
  <c r="L1185" i="7"/>
  <c r="K1185" i="7"/>
  <c r="N1184" i="7"/>
  <c r="M1184" i="7"/>
  <c r="L1184" i="7"/>
  <c r="K1184" i="7"/>
  <c r="N1183" i="7"/>
  <c r="M1183" i="7"/>
  <c r="L1183" i="7"/>
  <c r="K1183" i="7"/>
  <c r="N1182" i="7"/>
  <c r="M1182" i="7"/>
  <c r="L1182" i="7"/>
  <c r="K1182" i="7"/>
  <c r="N1181" i="7"/>
  <c r="M1181" i="7"/>
  <c r="L1181" i="7"/>
  <c r="K1181" i="7"/>
  <c r="N1180" i="7"/>
  <c r="M1180" i="7"/>
  <c r="L1180" i="7"/>
  <c r="K1180" i="7"/>
  <c r="N1179" i="7"/>
  <c r="M1179" i="7"/>
  <c r="L1179" i="7"/>
  <c r="K1179" i="7"/>
  <c r="N1178" i="7"/>
  <c r="M1178" i="7"/>
  <c r="L1178" i="7"/>
  <c r="K1178" i="7"/>
  <c r="N1177" i="7"/>
  <c r="M1177" i="7"/>
  <c r="L1177" i="7"/>
  <c r="K1177" i="7"/>
  <c r="N1176" i="7"/>
  <c r="M1176" i="7"/>
  <c r="L1176" i="7"/>
  <c r="K1176" i="7"/>
  <c r="N1175" i="7"/>
  <c r="M1175" i="7"/>
  <c r="L1175" i="7"/>
  <c r="K1175" i="7"/>
  <c r="N1174" i="7"/>
  <c r="M1174" i="7"/>
  <c r="L1174" i="7"/>
  <c r="K1174" i="7"/>
  <c r="N1173" i="7"/>
  <c r="M1173" i="7"/>
  <c r="L1173" i="7"/>
  <c r="K1173" i="7"/>
  <c r="N1172" i="7"/>
  <c r="M1172" i="7"/>
  <c r="L1172" i="7"/>
  <c r="K1172" i="7"/>
  <c r="N1171" i="7"/>
  <c r="M1171" i="7"/>
  <c r="L1171" i="7"/>
  <c r="K1171" i="7"/>
  <c r="N1170" i="7"/>
  <c r="M1170" i="7"/>
  <c r="L1170" i="7"/>
  <c r="K1170" i="7"/>
  <c r="N1169" i="7"/>
  <c r="M1169" i="7"/>
  <c r="L1169" i="7"/>
  <c r="K1169" i="7"/>
  <c r="N1168" i="7"/>
  <c r="M1168" i="7"/>
  <c r="L1168" i="7"/>
  <c r="K1168" i="7"/>
  <c r="N1167" i="7"/>
  <c r="M1167" i="7"/>
  <c r="L1167" i="7"/>
  <c r="K1167" i="7"/>
  <c r="N1166" i="7"/>
  <c r="M1166" i="7"/>
  <c r="L1166" i="7"/>
  <c r="K1166" i="7"/>
  <c r="N1165" i="7"/>
  <c r="M1165" i="7"/>
  <c r="L1165" i="7"/>
  <c r="K1165" i="7"/>
  <c r="N1164" i="7"/>
  <c r="M1164" i="7"/>
  <c r="L1164" i="7"/>
  <c r="K1164" i="7"/>
  <c r="N1163" i="7"/>
  <c r="M1163" i="7"/>
  <c r="L1163" i="7"/>
  <c r="K1163" i="7"/>
  <c r="N1162" i="7"/>
  <c r="M1162" i="7"/>
  <c r="L1162" i="7"/>
  <c r="K1162" i="7"/>
  <c r="N1161" i="7"/>
  <c r="M1161" i="7"/>
  <c r="L1161" i="7"/>
  <c r="K1161" i="7"/>
  <c r="N1160" i="7"/>
  <c r="M1160" i="7"/>
  <c r="L1160" i="7"/>
  <c r="K1160" i="7"/>
  <c r="N1159" i="7"/>
  <c r="M1159" i="7"/>
  <c r="L1159" i="7"/>
  <c r="K1159" i="7"/>
  <c r="N1158" i="7"/>
  <c r="M1158" i="7"/>
  <c r="L1158" i="7"/>
  <c r="K1158" i="7"/>
  <c r="N1157" i="7"/>
  <c r="M1157" i="7"/>
  <c r="L1157" i="7"/>
  <c r="K1157" i="7"/>
  <c r="N1156" i="7"/>
  <c r="M1156" i="7"/>
  <c r="L1156" i="7"/>
  <c r="K1156" i="7"/>
  <c r="N1155" i="7"/>
  <c r="M1155" i="7"/>
  <c r="L1155" i="7"/>
  <c r="K1155" i="7"/>
  <c r="N1154" i="7"/>
  <c r="M1154" i="7"/>
  <c r="L1154" i="7"/>
  <c r="K1154" i="7"/>
  <c r="N1153" i="7"/>
  <c r="M1153" i="7"/>
  <c r="L1153" i="7"/>
  <c r="K1153" i="7"/>
  <c r="N1152" i="7"/>
  <c r="M1152" i="7"/>
  <c r="L1152" i="7"/>
  <c r="K1152" i="7"/>
  <c r="N1151" i="7"/>
  <c r="M1151" i="7"/>
  <c r="L1151" i="7"/>
  <c r="K1151" i="7"/>
  <c r="N1150" i="7"/>
  <c r="M1150" i="7"/>
  <c r="L1150" i="7"/>
  <c r="K1150" i="7"/>
  <c r="N1149" i="7"/>
  <c r="M1149" i="7"/>
  <c r="L1149" i="7"/>
  <c r="K1149" i="7"/>
  <c r="N1148" i="7"/>
  <c r="M1148" i="7"/>
  <c r="L1148" i="7"/>
  <c r="K1148" i="7"/>
  <c r="N1147" i="7"/>
  <c r="M1147" i="7"/>
  <c r="L1147" i="7"/>
  <c r="K1147" i="7"/>
  <c r="N1146" i="7"/>
  <c r="M1146" i="7"/>
  <c r="L1146" i="7"/>
  <c r="K1146" i="7"/>
  <c r="N1145" i="7"/>
  <c r="M1145" i="7"/>
  <c r="L1145" i="7"/>
  <c r="K1145" i="7"/>
  <c r="N1144" i="7"/>
  <c r="M1144" i="7"/>
  <c r="L1144" i="7"/>
  <c r="K1144" i="7"/>
  <c r="N1143" i="7"/>
  <c r="M1143" i="7"/>
  <c r="L1143" i="7"/>
  <c r="K1143" i="7"/>
  <c r="N1142" i="7"/>
  <c r="M1142" i="7"/>
  <c r="L1142" i="7"/>
  <c r="K1142" i="7"/>
  <c r="N1141" i="7"/>
  <c r="M1141" i="7"/>
  <c r="L1141" i="7"/>
  <c r="K1141" i="7"/>
  <c r="N1140" i="7"/>
  <c r="M1140" i="7"/>
  <c r="L1140" i="7"/>
  <c r="K1140" i="7"/>
  <c r="N1139" i="7"/>
  <c r="M1139" i="7"/>
  <c r="L1139" i="7"/>
  <c r="K1139" i="7"/>
  <c r="N1138" i="7"/>
  <c r="M1138" i="7"/>
  <c r="L1138" i="7"/>
  <c r="K1138" i="7"/>
  <c r="N1137" i="7"/>
  <c r="M1137" i="7"/>
  <c r="L1137" i="7"/>
  <c r="K1137" i="7"/>
  <c r="N1136" i="7"/>
  <c r="M1136" i="7"/>
  <c r="L1136" i="7"/>
  <c r="K1136" i="7"/>
  <c r="N1135" i="7"/>
  <c r="M1135" i="7"/>
  <c r="L1135" i="7"/>
  <c r="K1135" i="7"/>
  <c r="N1134" i="7"/>
  <c r="M1134" i="7"/>
  <c r="L1134" i="7"/>
  <c r="K1134" i="7"/>
  <c r="N1133" i="7"/>
  <c r="M1133" i="7"/>
  <c r="L1133" i="7"/>
  <c r="K1133" i="7"/>
  <c r="N1132" i="7"/>
  <c r="M1132" i="7"/>
  <c r="L1132" i="7"/>
  <c r="K1132" i="7"/>
  <c r="N1131" i="7"/>
  <c r="M1131" i="7"/>
  <c r="L1131" i="7"/>
  <c r="K1131" i="7"/>
  <c r="N1130" i="7"/>
  <c r="M1130" i="7"/>
  <c r="L1130" i="7"/>
  <c r="K1130" i="7"/>
  <c r="N1129" i="7"/>
  <c r="M1129" i="7"/>
  <c r="L1129" i="7"/>
  <c r="K1129" i="7"/>
  <c r="N1128" i="7"/>
  <c r="M1128" i="7"/>
  <c r="L1128" i="7"/>
  <c r="K1128" i="7"/>
  <c r="N1127" i="7"/>
  <c r="M1127" i="7"/>
  <c r="L1127" i="7"/>
  <c r="K1127" i="7"/>
  <c r="N1126" i="7"/>
  <c r="M1126" i="7"/>
  <c r="L1126" i="7"/>
  <c r="K1126" i="7"/>
  <c r="N1125" i="7"/>
  <c r="M1125" i="7"/>
  <c r="L1125" i="7"/>
  <c r="K1125" i="7"/>
  <c r="N1124" i="7"/>
  <c r="M1124" i="7"/>
  <c r="L1124" i="7"/>
  <c r="K1124" i="7"/>
  <c r="N1123" i="7"/>
  <c r="M1123" i="7"/>
  <c r="L1123" i="7"/>
  <c r="K1123" i="7"/>
  <c r="N1122" i="7"/>
  <c r="M1122" i="7"/>
  <c r="L1122" i="7"/>
  <c r="K1122" i="7"/>
  <c r="N1121" i="7"/>
  <c r="M1121" i="7"/>
  <c r="L1121" i="7"/>
  <c r="K1121" i="7"/>
  <c r="N1120" i="7"/>
  <c r="M1120" i="7"/>
  <c r="L1120" i="7"/>
  <c r="K1120" i="7"/>
  <c r="N1119" i="7"/>
  <c r="M1119" i="7"/>
  <c r="L1119" i="7"/>
  <c r="K1119" i="7"/>
  <c r="N1118" i="7"/>
  <c r="M1118" i="7"/>
  <c r="L1118" i="7"/>
  <c r="K1118" i="7"/>
  <c r="N1117" i="7"/>
  <c r="M1117" i="7"/>
  <c r="L1117" i="7"/>
  <c r="K1117" i="7"/>
  <c r="N1116" i="7"/>
  <c r="M1116" i="7"/>
  <c r="L1116" i="7"/>
  <c r="K1116" i="7"/>
  <c r="N1115" i="7"/>
  <c r="M1115" i="7"/>
  <c r="L1115" i="7"/>
  <c r="K1115" i="7"/>
  <c r="N1114" i="7"/>
  <c r="M1114" i="7"/>
  <c r="L1114" i="7"/>
  <c r="K1114" i="7"/>
  <c r="N1113" i="7"/>
  <c r="M1113" i="7"/>
  <c r="L1113" i="7"/>
  <c r="K1113" i="7"/>
  <c r="N1112" i="7"/>
  <c r="M1112" i="7"/>
  <c r="L1112" i="7"/>
  <c r="K1112" i="7"/>
  <c r="N1111" i="7"/>
  <c r="M1111" i="7"/>
  <c r="L1111" i="7"/>
  <c r="K1111" i="7"/>
  <c r="N1110" i="7"/>
  <c r="M1110" i="7"/>
  <c r="L1110" i="7"/>
  <c r="K1110" i="7"/>
  <c r="N1109" i="7"/>
  <c r="M1109" i="7"/>
  <c r="L1109" i="7"/>
  <c r="K1109" i="7"/>
  <c r="N1108" i="7"/>
  <c r="M1108" i="7"/>
  <c r="L1108" i="7"/>
  <c r="K1108" i="7"/>
  <c r="N1107" i="7"/>
  <c r="M1107" i="7"/>
  <c r="L1107" i="7"/>
  <c r="K1107" i="7"/>
  <c r="N1106" i="7"/>
  <c r="M1106" i="7"/>
  <c r="L1106" i="7"/>
  <c r="K1106" i="7"/>
  <c r="N1105" i="7"/>
  <c r="M1105" i="7"/>
  <c r="L1105" i="7"/>
  <c r="K1105" i="7"/>
  <c r="N1104" i="7"/>
  <c r="M1104" i="7"/>
  <c r="L1104" i="7"/>
  <c r="K1104" i="7"/>
  <c r="N1103" i="7"/>
  <c r="M1103" i="7"/>
  <c r="L1103" i="7"/>
  <c r="K1103" i="7"/>
  <c r="N1102" i="7"/>
  <c r="M1102" i="7"/>
  <c r="L1102" i="7"/>
  <c r="K1102" i="7"/>
  <c r="N1101" i="7"/>
  <c r="M1101" i="7"/>
  <c r="L1101" i="7"/>
  <c r="K1101" i="7"/>
  <c r="N1100" i="7"/>
  <c r="M1100" i="7"/>
  <c r="L1100" i="7"/>
  <c r="K1100" i="7"/>
  <c r="N1099" i="7"/>
  <c r="M1099" i="7"/>
  <c r="L1099" i="7"/>
  <c r="K1099" i="7"/>
  <c r="N1098" i="7"/>
  <c r="M1098" i="7"/>
  <c r="L1098" i="7"/>
  <c r="K1098" i="7"/>
  <c r="N1097" i="7"/>
  <c r="M1097" i="7"/>
  <c r="L1097" i="7"/>
  <c r="K1097" i="7"/>
  <c r="N1096" i="7"/>
  <c r="M1096" i="7"/>
  <c r="L1096" i="7"/>
  <c r="K1096" i="7"/>
  <c r="N1095" i="7"/>
  <c r="M1095" i="7"/>
  <c r="L1095" i="7"/>
  <c r="K1095" i="7"/>
  <c r="N1094" i="7"/>
  <c r="M1094" i="7"/>
  <c r="L1094" i="7"/>
  <c r="K1094" i="7"/>
  <c r="N1093" i="7"/>
  <c r="M1093" i="7"/>
  <c r="L1093" i="7"/>
  <c r="K1093" i="7"/>
  <c r="N1092" i="7"/>
  <c r="M1092" i="7"/>
  <c r="L1092" i="7"/>
  <c r="K1092" i="7"/>
  <c r="N1091" i="7"/>
  <c r="M1091" i="7"/>
  <c r="L1091" i="7"/>
  <c r="K1091" i="7"/>
  <c r="N1090" i="7"/>
  <c r="M1090" i="7"/>
  <c r="L1090" i="7"/>
  <c r="K1090" i="7"/>
  <c r="N1089" i="7"/>
  <c r="M1089" i="7"/>
  <c r="L1089" i="7"/>
  <c r="K1089" i="7"/>
  <c r="N1088" i="7"/>
  <c r="M1088" i="7"/>
  <c r="L1088" i="7"/>
  <c r="K1088" i="7"/>
  <c r="N1087" i="7"/>
  <c r="M1087" i="7"/>
  <c r="L1087" i="7"/>
  <c r="K1087" i="7"/>
  <c r="N1086" i="7"/>
  <c r="M1086" i="7"/>
  <c r="L1086" i="7"/>
  <c r="K1086" i="7"/>
  <c r="N1085" i="7"/>
  <c r="M1085" i="7"/>
  <c r="L1085" i="7"/>
  <c r="K1085" i="7"/>
  <c r="N1084" i="7"/>
  <c r="M1084" i="7"/>
  <c r="L1084" i="7"/>
  <c r="K1084" i="7"/>
  <c r="N1083" i="7"/>
  <c r="M1083" i="7"/>
  <c r="L1083" i="7"/>
  <c r="K1083" i="7"/>
  <c r="N1082" i="7"/>
  <c r="M1082" i="7"/>
  <c r="L1082" i="7"/>
  <c r="K1082" i="7"/>
  <c r="N1081" i="7"/>
  <c r="M1081" i="7"/>
  <c r="L1081" i="7"/>
  <c r="K1081" i="7"/>
  <c r="N1080" i="7"/>
  <c r="M1080" i="7"/>
  <c r="L1080" i="7"/>
  <c r="K1080" i="7"/>
  <c r="N1079" i="7"/>
  <c r="M1079" i="7"/>
  <c r="L1079" i="7"/>
  <c r="K1079" i="7"/>
  <c r="N1078" i="7"/>
  <c r="M1078" i="7"/>
  <c r="L1078" i="7"/>
  <c r="K1078" i="7"/>
  <c r="N1077" i="7"/>
  <c r="M1077" i="7"/>
  <c r="L1077" i="7"/>
  <c r="K1077" i="7"/>
  <c r="N1076" i="7"/>
  <c r="M1076" i="7"/>
  <c r="L1076" i="7"/>
  <c r="K1076" i="7"/>
  <c r="N1075" i="7"/>
  <c r="M1075" i="7"/>
  <c r="L1075" i="7"/>
  <c r="K1075" i="7"/>
  <c r="N1074" i="7"/>
  <c r="M1074" i="7"/>
  <c r="L1074" i="7"/>
  <c r="K1074" i="7"/>
  <c r="N1073" i="7"/>
  <c r="M1073" i="7"/>
  <c r="L1073" i="7"/>
  <c r="K1073" i="7"/>
  <c r="N1072" i="7"/>
  <c r="M1072" i="7"/>
  <c r="L1072" i="7"/>
  <c r="K1072" i="7"/>
  <c r="N1071" i="7"/>
  <c r="M1071" i="7"/>
  <c r="L1071" i="7"/>
  <c r="K1071" i="7"/>
  <c r="N1070" i="7"/>
  <c r="M1070" i="7"/>
  <c r="L1070" i="7"/>
  <c r="K1070" i="7"/>
  <c r="N1069" i="7"/>
  <c r="M1069" i="7"/>
  <c r="L1069" i="7"/>
  <c r="K1069" i="7"/>
  <c r="N1068" i="7"/>
  <c r="M1068" i="7"/>
  <c r="L1068" i="7"/>
  <c r="K1068" i="7"/>
  <c r="N1067" i="7"/>
  <c r="M1067" i="7"/>
  <c r="L1067" i="7"/>
  <c r="K1067" i="7"/>
  <c r="N1066" i="7"/>
  <c r="M1066" i="7"/>
  <c r="L1066" i="7"/>
  <c r="K1066" i="7"/>
  <c r="N1065" i="7"/>
  <c r="M1065" i="7"/>
  <c r="L1065" i="7"/>
  <c r="K1065" i="7"/>
  <c r="N1064" i="7"/>
  <c r="M1064" i="7"/>
  <c r="L1064" i="7"/>
  <c r="K1064" i="7"/>
  <c r="N1063" i="7"/>
  <c r="M1063" i="7"/>
  <c r="L1063" i="7"/>
  <c r="K1063" i="7"/>
  <c r="N1062" i="7"/>
  <c r="M1062" i="7"/>
  <c r="L1062" i="7"/>
  <c r="K1062" i="7"/>
  <c r="N1061" i="7"/>
  <c r="M1061" i="7"/>
  <c r="L1061" i="7"/>
  <c r="K1061" i="7"/>
  <c r="N1060" i="7"/>
  <c r="M1060" i="7"/>
  <c r="L1060" i="7"/>
  <c r="K1060" i="7"/>
  <c r="N1059" i="7"/>
  <c r="M1059" i="7"/>
  <c r="L1059" i="7"/>
  <c r="K1059" i="7"/>
  <c r="N1058" i="7"/>
  <c r="M1058" i="7"/>
  <c r="L1058" i="7"/>
  <c r="K1058" i="7"/>
  <c r="N1057" i="7"/>
  <c r="M1057" i="7"/>
  <c r="L1057" i="7"/>
  <c r="K1057" i="7"/>
  <c r="N1056" i="7"/>
  <c r="M1056" i="7"/>
  <c r="L1056" i="7"/>
  <c r="K1056" i="7"/>
  <c r="N1055" i="7"/>
  <c r="M1055" i="7"/>
  <c r="L1055" i="7"/>
  <c r="K1055" i="7"/>
  <c r="N1054" i="7"/>
  <c r="M1054" i="7"/>
  <c r="L1054" i="7"/>
  <c r="K1054" i="7"/>
  <c r="N1053" i="7"/>
  <c r="M1053" i="7"/>
  <c r="L1053" i="7"/>
  <c r="K1053" i="7"/>
  <c r="N1052" i="7"/>
  <c r="M1052" i="7"/>
  <c r="L1052" i="7"/>
  <c r="K1052" i="7"/>
  <c r="N1051" i="7"/>
  <c r="M1051" i="7"/>
  <c r="L1051" i="7"/>
  <c r="K1051" i="7"/>
  <c r="N1050" i="7"/>
  <c r="M1050" i="7"/>
  <c r="L1050" i="7"/>
  <c r="K1050" i="7"/>
  <c r="N1049" i="7"/>
  <c r="M1049" i="7"/>
  <c r="L1049" i="7"/>
  <c r="K1049" i="7"/>
  <c r="N1048" i="7"/>
  <c r="M1048" i="7"/>
  <c r="L1048" i="7"/>
  <c r="K1048" i="7"/>
  <c r="N1047" i="7"/>
  <c r="M1047" i="7"/>
  <c r="L1047" i="7"/>
  <c r="K1047" i="7"/>
  <c r="N1046" i="7"/>
  <c r="M1046" i="7"/>
  <c r="L1046" i="7"/>
  <c r="K1046" i="7"/>
  <c r="N1045" i="7"/>
  <c r="M1045" i="7"/>
  <c r="L1045" i="7"/>
  <c r="K1045" i="7"/>
  <c r="N1044" i="7"/>
  <c r="M1044" i="7"/>
  <c r="L1044" i="7"/>
  <c r="K1044" i="7"/>
  <c r="N1043" i="7"/>
  <c r="M1043" i="7"/>
  <c r="L1043" i="7"/>
  <c r="K1043" i="7"/>
  <c r="N1042" i="7"/>
  <c r="M1042" i="7"/>
  <c r="L1042" i="7"/>
  <c r="K1042" i="7"/>
  <c r="N1041" i="7"/>
  <c r="M1041" i="7"/>
  <c r="L1041" i="7"/>
  <c r="K1041" i="7"/>
  <c r="N1040" i="7"/>
  <c r="M1040" i="7"/>
  <c r="L1040" i="7"/>
  <c r="K1040" i="7"/>
  <c r="N1039" i="7"/>
  <c r="M1039" i="7"/>
  <c r="L1039" i="7"/>
  <c r="K1039" i="7"/>
  <c r="N1038" i="7"/>
  <c r="M1038" i="7"/>
  <c r="L1038" i="7"/>
  <c r="K1038" i="7"/>
  <c r="N1037" i="7"/>
  <c r="M1037" i="7"/>
  <c r="L1037" i="7"/>
  <c r="K1037" i="7"/>
  <c r="N1036" i="7"/>
  <c r="M1036" i="7"/>
  <c r="L1036" i="7"/>
  <c r="K1036" i="7"/>
  <c r="N1035" i="7"/>
  <c r="M1035" i="7"/>
  <c r="L1035" i="7"/>
  <c r="K1035" i="7"/>
  <c r="N1034" i="7"/>
  <c r="M1034" i="7"/>
  <c r="L1034" i="7"/>
  <c r="K1034" i="7"/>
  <c r="N1033" i="7"/>
  <c r="M1033" i="7"/>
  <c r="L1033" i="7"/>
  <c r="K1033" i="7"/>
  <c r="N1032" i="7"/>
  <c r="M1032" i="7"/>
  <c r="L1032" i="7"/>
  <c r="K1032" i="7"/>
  <c r="N1031" i="7"/>
  <c r="M1031" i="7"/>
  <c r="L1031" i="7"/>
  <c r="K1031" i="7"/>
  <c r="N1030" i="7"/>
  <c r="M1030" i="7"/>
  <c r="L1030" i="7"/>
  <c r="K1030" i="7"/>
  <c r="N1029" i="7"/>
  <c r="M1029" i="7"/>
  <c r="L1029" i="7"/>
  <c r="K1029" i="7"/>
  <c r="N1028" i="7"/>
  <c r="M1028" i="7"/>
  <c r="L1028" i="7"/>
  <c r="K1028" i="7"/>
  <c r="N1027" i="7"/>
  <c r="M1027" i="7"/>
  <c r="L1027" i="7"/>
  <c r="K1027" i="7"/>
  <c r="N1026" i="7"/>
  <c r="M1026" i="7"/>
  <c r="L1026" i="7"/>
  <c r="K1026" i="7"/>
  <c r="N1025" i="7"/>
  <c r="M1025" i="7"/>
  <c r="L1025" i="7"/>
  <c r="K1025" i="7"/>
  <c r="N1024" i="7"/>
  <c r="M1024" i="7"/>
  <c r="L1024" i="7"/>
  <c r="K1024" i="7"/>
  <c r="N1023" i="7"/>
  <c r="M1023" i="7"/>
  <c r="L1023" i="7"/>
  <c r="K1023" i="7"/>
  <c r="N1022" i="7"/>
  <c r="M1022" i="7"/>
  <c r="L1022" i="7"/>
  <c r="K1022" i="7"/>
  <c r="N1021" i="7"/>
  <c r="M1021" i="7"/>
  <c r="L1021" i="7"/>
  <c r="K1021" i="7"/>
  <c r="N1020" i="7"/>
  <c r="M1020" i="7"/>
  <c r="L1020" i="7"/>
  <c r="K1020" i="7"/>
  <c r="N1019" i="7"/>
  <c r="M1019" i="7"/>
  <c r="L1019" i="7"/>
  <c r="K1019" i="7"/>
  <c r="N1018" i="7"/>
  <c r="M1018" i="7"/>
  <c r="L1018" i="7"/>
  <c r="K1018" i="7"/>
  <c r="N1017" i="7"/>
  <c r="M1017" i="7"/>
  <c r="L1017" i="7"/>
  <c r="K1017" i="7"/>
  <c r="N1016" i="7"/>
  <c r="M1016" i="7"/>
  <c r="L1016" i="7"/>
  <c r="K1016" i="7"/>
  <c r="N1015" i="7"/>
  <c r="M1015" i="7"/>
  <c r="L1015" i="7"/>
  <c r="K1015" i="7"/>
  <c r="N1014" i="7"/>
  <c r="M1014" i="7"/>
  <c r="L1014" i="7"/>
  <c r="K1014" i="7"/>
  <c r="N1013" i="7"/>
  <c r="M1013" i="7"/>
  <c r="L1013" i="7"/>
  <c r="K1013" i="7"/>
  <c r="N1012" i="7"/>
  <c r="M1012" i="7"/>
  <c r="L1012" i="7"/>
  <c r="K1012" i="7"/>
  <c r="N1011" i="7"/>
  <c r="M1011" i="7"/>
  <c r="L1011" i="7"/>
  <c r="K1011" i="7"/>
  <c r="N1010" i="7"/>
  <c r="M1010" i="7"/>
  <c r="L1010" i="7"/>
  <c r="K1010" i="7"/>
  <c r="N1009" i="7"/>
  <c r="M1009" i="7"/>
  <c r="L1009" i="7"/>
  <c r="K1009" i="7"/>
  <c r="N1008" i="7"/>
  <c r="M1008" i="7"/>
  <c r="L1008" i="7"/>
  <c r="K1008" i="7"/>
  <c r="N1007" i="7"/>
  <c r="M1007" i="7"/>
  <c r="L1007" i="7"/>
  <c r="K1007" i="7"/>
  <c r="N1006" i="7"/>
  <c r="M1006" i="7"/>
  <c r="L1006" i="7"/>
  <c r="K1006" i="7"/>
  <c r="N1005" i="7"/>
  <c r="M1005" i="7"/>
  <c r="L1005" i="7"/>
  <c r="K1005" i="7"/>
  <c r="N1004" i="7"/>
  <c r="M1004" i="7"/>
  <c r="L1004" i="7"/>
  <c r="K1004" i="7"/>
  <c r="N1003" i="7"/>
  <c r="M1003" i="7"/>
  <c r="L1003" i="7"/>
  <c r="K1003" i="7"/>
  <c r="N1002" i="7"/>
  <c r="M1002" i="7"/>
  <c r="L1002" i="7"/>
  <c r="K1002" i="7"/>
  <c r="N1001" i="7"/>
  <c r="M1001" i="7"/>
  <c r="L1001" i="7"/>
  <c r="K1001" i="7"/>
  <c r="N1000" i="7"/>
  <c r="M1000" i="7"/>
  <c r="L1000" i="7"/>
  <c r="K1000" i="7"/>
  <c r="N999" i="7"/>
  <c r="M999" i="7"/>
  <c r="L999" i="7"/>
  <c r="K999" i="7"/>
  <c r="N998" i="7"/>
  <c r="M998" i="7"/>
  <c r="L998" i="7"/>
  <c r="K998" i="7"/>
  <c r="N997" i="7"/>
  <c r="M997" i="7"/>
  <c r="L997" i="7"/>
  <c r="K997" i="7"/>
  <c r="N996" i="7"/>
  <c r="M996" i="7"/>
  <c r="L996" i="7"/>
  <c r="K996" i="7"/>
  <c r="N995" i="7"/>
  <c r="M995" i="7"/>
  <c r="L995" i="7"/>
  <c r="K995" i="7"/>
  <c r="N994" i="7"/>
  <c r="M994" i="7"/>
  <c r="L994" i="7"/>
  <c r="K994" i="7"/>
  <c r="N993" i="7"/>
  <c r="M993" i="7"/>
  <c r="L993" i="7"/>
  <c r="K993" i="7"/>
  <c r="N992" i="7"/>
  <c r="M992" i="7"/>
  <c r="L992" i="7"/>
  <c r="K992" i="7"/>
  <c r="N991" i="7"/>
  <c r="M991" i="7"/>
  <c r="L991" i="7"/>
  <c r="K991" i="7"/>
  <c r="N990" i="7"/>
  <c r="M990" i="7"/>
  <c r="L990" i="7"/>
  <c r="K990" i="7"/>
  <c r="N989" i="7"/>
  <c r="M989" i="7"/>
  <c r="L989" i="7"/>
  <c r="K989" i="7"/>
  <c r="N988" i="7"/>
  <c r="M988" i="7"/>
  <c r="L988" i="7"/>
  <c r="K988" i="7"/>
  <c r="N987" i="7"/>
  <c r="M987" i="7"/>
  <c r="L987" i="7"/>
  <c r="K987" i="7"/>
  <c r="N986" i="7"/>
  <c r="M986" i="7"/>
  <c r="L986" i="7"/>
  <c r="K986" i="7"/>
  <c r="N985" i="7"/>
  <c r="M985" i="7"/>
  <c r="L985" i="7"/>
  <c r="K985" i="7"/>
  <c r="N984" i="7"/>
  <c r="M984" i="7"/>
  <c r="L984" i="7"/>
  <c r="K984" i="7"/>
  <c r="N983" i="7"/>
  <c r="M983" i="7"/>
  <c r="L983" i="7"/>
  <c r="K983" i="7"/>
  <c r="N982" i="7"/>
  <c r="M982" i="7"/>
  <c r="L982" i="7"/>
  <c r="K982" i="7"/>
  <c r="N981" i="7"/>
  <c r="M981" i="7"/>
  <c r="L981" i="7"/>
  <c r="K981" i="7"/>
  <c r="N980" i="7"/>
  <c r="M980" i="7"/>
  <c r="L980" i="7"/>
  <c r="K980" i="7"/>
  <c r="N979" i="7"/>
  <c r="M979" i="7"/>
  <c r="L979" i="7"/>
  <c r="K979" i="7"/>
  <c r="N978" i="7"/>
  <c r="M978" i="7"/>
  <c r="L978" i="7"/>
  <c r="K978" i="7"/>
  <c r="N977" i="7"/>
  <c r="M977" i="7"/>
  <c r="L977" i="7"/>
  <c r="K977" i="7"/>
  <c r="N976" i="7"/>
  <c r="M976" i="7"/>
  <c r="L976" i="7"/>
  <c r="K976" i="7"/>
  <c r="N975" i="7"/>
  <c r="M975" i="7"/>
  <c r="L975" i="7"/>
  <c r="K975" i="7"/>
  <c r="N974" i="7"/>
  <c r="M974" i="7"/>
  <c r="L974" i="7"/>
  <c r="K974" i="7"/>
  <c r="N973" i="7"/>
  <c r="M973" i="7"/>
  <c r="L973" i="7"/>
  <c r="K973" i="7"/>
  <c r="N972" i="7"/>
  <c r="M972" i="7"/>
  <c r="L972" i="7"/>
  <c r="K972" i="7"/>
  <c r="N971" i="7"/>
  <c r="M971" i="7"/>
  <c r="L971" i="7"/>
  <c r="K971" i="7"/>
  <c r="N970" i="7"/>
  <c r="M970" i="7"/>
  <c r="L970" i="7"/>
  <c r="K970" i="7"/>
  <c r="N969" i="7"/>
  <c r="M969" i="7"/>
  <c r="L969" i="7"/>
  <c r="K969" i="7"/>
  <c r="N968" i="7"/>
  <c r="M968" i="7"/>
  <c r="L968" i="7"/>
  <c r="K968" i="7"/>
  <c r="N967" i="7"/>
  <c r="M967" i="7"/>
  <c r="L967" i="7"/>
  <c r="K967" i="7"/>
  <c r="N966" i="7"/>
  <c r="M966" i="7"/>
  <c r="L966" i="7"/>
  <c r="K966" i="7"/>
  <c r="N965" i="7"/>
  <c r="M965" i="7"/>
  <c r="L965" i="7"/>
  <c r="K965" i="7"/>
  <c r="N964" i="7"/>
  <c r="M964" i="7"/>
  <c r="L964" i="7"/>
  <c r="K964" i="7"/>
  <c r="N963" i="7"/>
  <c r="M963" i="7"/>
  <c r="L963" i="7"/>
  <c r="K963" i="7"/>
  <c r="N962" i="7"/>
  <c r="M962" i="7"/>
  <c r="L962" i="7"/>
  <c r="K962" i="7"/>
  <c r="N961" i="7"/>
  <c r="M961" i="7"/>
  <c r="L961" i="7"/>
  <c r="K961" i="7"/>
  <c r="N960" i="7"/>
  <c r="M960" i="7"/>
  <c r="L960" i="7"/>
  <c r="K960" i="7"/>
  <c r="N959" i="7"/>
  <c r="M959" i="7"/>
  <c r="L959" i="7"/>
  <c r="K959" i="7"/>
  <c r="N958" i="7"/>
  <c r="M958" i="7"/>
  <c r="L958" i="7"/>
  <c r="K958" i="7"/>
  <c r="N957" i="7"/>
  <c r="M957" i="7"/>
  <c r="L957" i="7"/>
  <c r="K957" i="7"/>
  <c r="N956" i="7"/>
  <c r="M956" i="7"/>
  <c r="L956" i="7"/>
  <c r="K956" i="7"/>
  <c r="N955" i="7"/>
  <c r="M955" i="7"/>
  <c r="L955" i="7"/>
  <c r="K955" i="7"/>
  <c r="N954" i="7"/>
  <c r="M954" i="7"/>
  <c r="L954" i="7"/>
  <c r="K954" i="7"/>
  <c r="N953" i="7"/>
  <c r="M953" i="7"/>
  <c r="L953" i="7"/>
  <c r="K953" i="7"/>
  <c r="N952" i="7"/>
  <c r="M952" i="7"/>
  <c r="L952" i="7"/>
  <c r="K952" i="7"/>
  <c r="N951" i="7"/>
  <c r="M951" i="7"/>
  <c r="L951" i="7"/>
  <c r="K951" i="7"/>
  <c r="N950" i="7"/>
  <c r="M950" i="7"/>
  <c r="L950" i="7"/>
  <c r="K950" i="7"/>
  <c r="N949" i="7"/>
  <c r="M949" i="7"/>
  <c r="L949" i="7"/>
  <c r="K949" i="7"/>
  <c r="N948" i="7"/>
  <c r="M948" i="7"/>
  <c r="L948" i="7"/>
  <c r="K948" i="7"/>
  <c r="N947" i="7"/>
  <c r="M947" i="7"/>
  <c r="L947" i="7"/>
  <c r="K947" i="7"/>
  <c r="N946" i="7"/>
  <c r="M946" i="7"/>
  <c r="L946" i="7"/>
  <c r="K946" i="7"/>
  <c r="N945" i="7"/>
  <c r="M945" i="7"/>
  <c r="L945" i="7"/>
  <c r="K945" i="7"/>
  <c r="N944" i="7"/>
  <c r="M944" i="7"/>
  <c r="L944" i="7"/>
  <c r="K944" i="7"/>
  <c r="N943" i="7"/>
  <c r="M943" i="7"/>
  <c r="L943" i="7"/>
  <c r="K943" i="7"/>
  <c r="N942" i="7"/>
  <c r="M942" i="7"/>
  <c r="L942" i="7"/>
  <c r="K942" i="7"/>
  <c r="N941" i="7"/>
  <c r="M941" i="7"/>
  <c r="L941" i="7"/>
  <c r="K941" i="7"/>
  <c r="N940" i="7"/>
  <c r="M940" i="7"/>
  <c r="L940" i="7"/>
  <c r="K940" i="7"/>
  <c r="N939" i="7"/>
  <c r="M939" i="7"/>
  <c r="L939" i="7"/>
  <c r="K939" i="7"/>
  <c r="N938" i="7"/>
  <c r="M938" i="7"/>
  <c r="L938" i="7"/>
  <c r="K938" i="7"/>
  <c r="N937" i="7"/>
  <c r="M937" i="7"/>
  <c r="L937" i="7"/>
  <c r="K937" i="7"/>
  <c r="N936" i="7"/>
  <c r="M936" i="7"/>
  <c r="L936" i="7"/>
  <c r="K936" i="7"/>
  <c r="N935" i="7"/>
  <c r="M935" i="7"/>
  <c r="L935" i="7"/>
  <c r="K935" i="7"/>
  <c r="N934" i="7"/>
  <c r="M934" i="7"/>
  <c r="L934" i="7"/>
  <c r="K934" i="7"/>
  <c r="N933" i="7"/>
  <c r="M933" i="7"/>
  <c r="L933" i="7"/>
  <c r="K933" i="7"/>
  <c r="N932" i="7"/>
  <c r="M932" i="7"/>
  <c r="L932" i="7"/>
  <c r="K932" i="7"/>
  <c r="N931" i="7"/>
  <c r="M931" i="7"/>
  <c r="L931" i="7"/>
  <c r="K931" i="7"/>
  <c r="N930" i="7"/>
  <c r="M930" i="7"/>
  <c r="L930" i="7"/>
  <c r="K930" i="7"/>
  <c r="N929" i="7"/>
  <c r="M929" i="7"/>
  <c r="L929" i="7"/>
  <c r="K929" i="7"/>
  <c r="N928" i="7"/>
  <c r="M928" i="7"/>
  <c r="L928" i="7"/>
  <c r="K928" i="7"/>
  <c r="N927" i="7"/>
  <c r="M927" i="7"/>
  <c r="L927" i="7"/>
  <c r="K927" i="7"/>
  <c r="N926" i="7"/>
  <c r="M926" i="7"/>
  <c r="L926" i="7"/>
  <c r="K926" i="7"/>
  <c r="N925" i="7"/>
  <c r="M925" i="7"/>
  <c r="L925" i="7"/>
  <c r="K925" i="7"/>
  <c r="N924" i="7"/>
  <c r="M924" i="7"/>
  <c r="L924" i="7"/>
  <c r="K924" i="7"/>
  <c r="N923" i="7"/>
  <c r="M923" i="7"/>
  <c r="L923" i="7"/>
  <c r="K923" i="7"/>
  <c r="N922" i="7"/>
  <c r="M922" i="7"/>
  <c r="L922" i="7"/>
  <c r="K922" i="7"/>
  <c r="N921" i="7"/>
  <c r="M921" i="7"/>
  <c r="L921" i="7"/>
  <c r="K921" i="7"/>
  <c r="N920" i="7"/>
  <c r="M920" i="7"/>
  <c r="L920" i="7"/>
  <c r="K920" i="7"/>
  <c r="N919" i="7"/>
  <c r="M919" i="7"/>
  <c r="L919" i="7"/>
  <c r="K919" i="7"/>
  <c r="N918" i="7"/>
  <c r="M918" i="7"/>
  <c r="L918" i="7"/>
  <c r="K918" i="7"/>
  <c r="N917" i="7"/>
  <c r="M917" i="7"/>
  <c r="L917" i="7"/>
  <c r="K917" i="7"/>
  <c r="N916" i="7"/>
  <c r="M916" i="7"/>
  <c r="L916" i="7"/>
  <c r="K916" i="7"/>
  <c r="N915" i="7"/>
  <c r="M915" i="7"/>
  <c r="L915" i="7"/>
  <c r="K915" i="7"/>
  <c r="N914" i="7"/>
  <c r="M914" i="7"/>
  <c r="L914" i="7"/>
  <c r="K914" i="7"/>
  <c r="N913" i="7"/>
  <c r="M913" i="7"/>
  <c r="L913" i="7"/>
  <c r="K913" i="7"/>
  <c r="N912" i="7"/>
  <c r="M912" i="7"/>
  <c r="L912" i="7"/>
  <c r="K912" i="7"/>
  <c r="N911" i="7"/>
  <c r="M911" i="7"/>
  <c r="L911" i="7"/>
  <c r="K911" i="7"/>
  <c r="N910" i="7"/>
  <c r="M910" i="7"/>
  <c r="L910" i="7"/>
  <c r="K910" i="7"/>
  <c r="N909" i="7"/>
  <c r="M909" i="7"/>
  <c r="L909" i="7"/>
  <c r="K909" i="7"/>
  <c r="N908" i="7"/>
  <c r="M908" i="7"/>
  <c r="L908" i="7"/>
  <c r="K908" i="7"/>
  <c r="N907" i="7"/>
  <c r="M907" i="7"/>
  <c r="L907" i="7"/>
  <c r="K907" i="7"/>
  <c r="N906" i="7"/>
  <c r="M906" i="7"/>
  <c r="L906" i="7"/>
  <c r="K906" i="7"/>
  <c r="N905" i="7"/>
  <c r="M905" i="7"/>
  <c r="L905" i="7"/>
  <c r="K905" i="7"/>
  <c r="N904" i="7"/>
  <c r="M904" i="7"/>
  <c r="L904" i="7"/>
  <c r="K904" i="7"/>
  <c r="N903" i="7"/>
  <c r="M903" i="7"/>
  <c r="L903" i="7"/>
  <c r="K903" i="7"/>
  <c r="N902" i="7"/>
  <c r="M902" i="7"/>
  <c r="L902" i="7"/>
  <c r="K902" i="7"/>
  <c r="N901" i="7"/>
  <c r="M901" i="7"/>
  <c r="L901" i="7"/>
  <c r="K901" i="7"/>
  <c r="N900" i="7"/>
  <c r="M900" i="7"/>
  <c r="L900" i="7"/>
  <c r="K900" i="7"/>
  <c r="N899" i="7"/>
  <c r="M899" i="7"/>
  <c r="L899" i="7"/>
  <c r="K899" i="7"/>
  <c r="N898" i="7"/>
  <c r="M898" i="7"/>
  <c r="L898" i="7"/>
  <c r="K898" i="7"/>
  <c r="N897" i="7"/>
  <c r="M897" i="7"/>
  <c r="L897" i="7"/>
  <c r="K897" i="7"/>
  <c r="N896" i="7"/>
  <c r="M896" i="7"/>
  <c r="L896" i="7"/>
  <c r="K896" i="7"/>
  <c r="N895" i="7"/>
  <c r="M895" i="7"/>
  <c r="L895" i="7"/>
  <c r="K895" i="7"/>
  <c r="N894" i="7"/>
  <c r="M894" i="7"/>
  <c r="L894" i="7"/>
  <c r="K894" i="7"/>
  <c r="N893" i="7"/>
  <c r="M893" i="7"/>
  <c r="L893" i="7"/>
  <c r="K893" i="7"/>
  <c r="N892" i="7"/>
  <c r="M892" i="7"/>
  <c r="L892" i="7"/>
  <c r="K892" i="7"/>
  <c r="N891" i="7"/>
  <c r="M891" i="7"/>
  <c r="L891" i="7"/>
  <c r="K891" i="7"/>
  <c r="N890" i="7"/>
  <c r="M890" i="7"/>
  <c r="L890" i="7"/>
  <c r="K890" i="7"/>
  <c r="N889" i="7"/>
  <c r="M889" i="7"/>
  <c r="L889" i="7"/>
  <c r="K889" i="7"/>
  <c r="N888" i="7"/>
  <c r="M888" i="7"/>
  <c r="L888" i="7"/>
  <c r="K888" i="7"/>
  <c r="N887" i="7"/>
  <c r="M887" i="7"/>
  <c r="L887" i="7"/>
  <c r="K887" i="7"/>
  <c r="N886" i="7"/>
  <c r="M886" i="7"/>
  <c r="L886" i="7"/>
  <c r="K886" i="7"/>
  <c r="N885" i="7"/>
  <c r="M885" i="7"/>
  <c r="L885" i="7"/>
  <c r="K885" i="7"/>
  <c r="N884" i="7"/>
  <c r="M884" i="7"/>
  <c r="L884" i="7"/>
  <c r="K884" i="7"/>
  <c r="N883" i="7"/>
  <c r="M883" i="7"/>
  <c r="L883" i="7"/>
  <c r="K883" i="7"/>
  <c r="N882" i="7"/>
  <c r="M882" i="7"/>
  <c r="L882" i="7"/>
  <c r="K882" i="7"/>
  <c r="N881" i="7"/>
  <c r="M881" i="7"/>
  <c r="L881" i="7"/>
  <c r="K881" i="7"/>
  <c r="N880" i="7"/>
  <c r="M880" i="7"/>
  <c r="L880" i="7"/>
  <c r="K880" i="7"/>
  <c r="N879" i="7"/>
  <c r="M879" i="7"/>
  <c r="L879" i="7"/>
  <c r="K879" i="7"/>
  <c r="N878" i="7"/>
  <c r="M878" i="7"/>
  <c r="L878" i="7"/>
  <c r="K878" i="7"/>
  <c r="N877" i="7"/>
  <c r="M877" i="7"/>
  <c r="L877" i="7"/>
  <c r="K877" i="7"/>
  <c r="N876" i="7"/>
  <c r="M876" i="7"/>
  <c r="L876" i="7"/>
  <c r="K876" i="7"/>
  <c r="N875" i="7"/>
  <c r="M875" i="7"/>
  <c r="L875" i="7"/>
  <c r="K875" i="7"/>
  <c r="N874" i="7"/>
  <c r="M874" i="7"/>
  <c r="L874" i="7"/>
  <c r="K874" i="7"/>
  <c r="N873" i="7"/>
  <c r="M873" i="7"/>
  <c r="L873" i="7"/>
  <c r="K873" i="7"/>
  <c r="N872" i="7"/>
  <c r="M872" i="7"/>
  <c r="L872" i="7"/>
  <c r="K872" i="7"/>
  <c r="N871" i="7"/>
  <c r="M871" i="7"/>
  <c r="L871" i="7"/>
  <c r="K871" i="7"/>
  <c r="N870" i="7"/>
  <c r="M870" i="7"/>
  <c r="L870" i="7"/>
  <c r="K870" i="7"/>
  <c r="N869" i="7"/>
  <c r="M869" i="7"/>
  <c r="L869" i="7"/>
  <c r="K869" i="7"/>
  <c r="N868" i="7"/>
  <c r="M868" i="7"/>
  <c r="L868" i="7"/>
  <c r="K868" i="7"/>
  <c r="N867" i="7"/>
  <c r="M867" i="7"/>
  <c r="L867" i="7"/>
  <c r="K867" i="7"/>
  <c r="N866" i="7"/>
  <c r="M866" i="7"/>
  <c r="L866" i="7"/>
  <c r="K866" i="7"/>
  <c r="N865" i="7"/>
  <c r="M865" i="7"/>
  <c r="L865" i="7"/>
  <c r="K865" i="7"/>
  <c r="N864" i="7"/>
  <c r="M864" i="7"/>
  <c r="L864" i="7"/>
  <c r="K864" i="7"/>
  <c r="N863" i="7"/>
  <c r="M863" i="7"/>
  <c r="L863" i="7"/>
  <c r="K863" i="7"/>
  <c r="N862" i="7"/>
  <c r="M862" i="7"/>
  <c r="L862" i="7"/>
  <c r="K862" i="7"/>
  <c r="N861" i="7"/>
  <c r="M861" i="7"/>
  <c r="L861" i="7"/>
  <c r="K861" i="7"/>
  <c r="N860" i="7"/>
  <c r="M860" i="7"/>
  <c r="L860" i="7"/>
  <c r="K860" i="7"/>
  <c r="N859" i="7"/>
  <c r="M859" i="7"/>
  <c r="L859" i="7"/>
  <c r="K859" i="7"/>
  <c r="N858" i="7"/>
  <c r="M858" i="7"/>
  <c r="L858" i="7"/>
  <c r="K858" i="7"/>
  <c r="N857" i="7"/>
  <c r="M857" i="7"/>
  <c r="L857" i="7"/>
  <c r="K857" i="7"/>
  <c r="N856" i="7"/>
  <c r="M856" i="7"/>
  <c r="L856" i="7"/>
  <c r="K856" i="7"/>
  <c r="N855" i="7"/>
  <c r="M855" i="7"/>
  <c r="L855" i="7"/>
  <c r="K855" i="7"/>
  <c r="N854" i="7"/>
  <c r="M854" i="7"/>
  <c r="L854" i="7"/>
  <c r="K854" i="7"/>
  <c r="N853" i="7"/>
  <c r="M853" i="7"/>
  <c r="L853" i="7"/>
  <c r="K853" i="7"/>
  <c r="N852" i="7"/>
  <c r="M852" i="7"/>
  <c r="L852" i="7"/>
  <c r="K852" i="7"/>
  <c r="N851" i="7"/>
  <c r="M851" i="7"/>
  <c r="L851" i="7"/>
  <c r="K851" i="7"/>
  <c r="N850" i="7"/>
  <c r="M850" i="7"/>
  <c r="L850" i="7"/>
  <c r="K850" i="7"/>
  <c r="N849" i="7"/>
  <c r="M849" i="7"/>
  <c r="L849" i="7"/>
  <c r="K849" i="7"/>
  <c r="N848" i="7"/>
  <c r="M848" i="7"/>
  <c r="L848" i="7"/>
  <c r="K848" i="7"/>
  <c r="N847" i="7"/>
  <c r="M847" i="7"/>
  <c r="L847" i="7"/>
  <c r="K847" i="7"/>
  <c r="N846" i="7"/>
  <c r="M846" i="7"/>
  <c r="L846" i="7"/>
  <c r="K846" i="7"/>
  <c r="N845" i="7"/>
  <c r="M845" i="7"/>
  <c r="L845" i="7"/>
  <c r="K845" i="7"/>
  <c r="N844" i="7"/>
  <c r="M844" i="7"/>
  <c r="L844" i="7"/>
  <c r="K844" i="7"/>
  <c r="N843" i="7"/>
  <c r="M843" i="7"/>
  <c r="L843" i="7"/>
  <c r="K843" i="7"/>
  <c r="N842" i="7"/>
  <c r="M842" i="7"/>
  <c r="L842" i="7"/>
  <c r="K842" i="7"/>
  <c r="N841" i="7"/>
  <c r="M841" i="7"/>
  <c r="L841" i="7"/>
  <c r="K841" i="7"/>
  <c r="N840" i="7"/>
  <c r="M840" i="7"/>
  <c r="L840" i="7"/>
  <c r="K840" i="7"/>
  <c r="N839" i="7"/>
  <c r="M839" i="7"/>
  <c r="L839" i="7"/>
  <c r="K839" i="7"/>
  <c r="N838" i="7"/>
  <c r="M838" i="7"/>
  <c r="L838" i="7"/>
  <c r="K838" i="7"/>
  <c r="N837" i="7"/>
  <c r="M837" i="7"/>
  <c r="L837" i="7"/>
  <c r="K837" i="7"/>
  <c r="N836" i="7"/>
  <c r="M836" i="7"/>
  <c r="L836" i="7"/>
  <c r="K836" i="7"/>
  <c r="N835" i="7"/>
  <c r="M835" i="7"/>
  <c r="L835" i="7"/>
  <c r="K835" i="7"/>
  <c r="N834" i="7"/>
  <c r="M834" i="7"/>
  <c r="L834" i="7"/>
  <c r="K834" i="7"/>
  <c r="N833" i="7"/>
  <c r="M833" i="7"/>
  <c r="L833" i="7"/>
  <c r="K833" i="7"/>
  <c r="N832" i="7"/>
  <c r="M832" i="7"/>
  <c r="L832" i="7"/>
  <c r="K832" i="7"/>
  <c r="N831" i="7"/>
  <c r="M831" i="7"/>
  <c r="L831" i="7"/>
  <c r="K831" i="7"/>
  <c r="N830" i="7"/>
  <c r="M830" i="7"/>
  <c r="L830" i="7"/>
  <c r="K830" i="7"/>
  <c r="N829" i="7"/>
  <c r="M829" i="7"/>
  <c r="L829" i="7"/>
  <c r="K829" i="7"/>
  <c r="N828" i="7"/>
  <c r="M828" i="7"/>
  <c r="L828" i="7"/>
  <c r="K828" i="7"/>
  <c r="N827" i="7"/>
  <c r="M827" i="7"/>
  <c r="L827" i="7"/>
  <c r="K827" i="7"/>
  <c r="N826" i="7"/>
  <c r="M826" i="7"/>
  <c r="L826" i="7"/>
  <c r="K826" i="7"/>
  <c r="N825" i="7"/>
  <c r="M825" i="7"/>
  <c r="L825" i="7"/>
  <c r="K825" i="7"/>
  <c r="N824" i="7"/>
  <c r="M824" i="7"/>
  <c r="L824" i="7"/>
  <c r="K824" i="7"/>
  <c r="N823" i="7"/>
  <c r="M823" i="7"/>
  <c r="L823" i="7"/>
  <c r="K823" i="7"/>
  <c r="N822" i="7"/>
  <c r="M822" i="7"/>
  <c r="L822" i="7"/>
  <c r="K822" i="7"/>
  <c r="N821" i="7"/>
  <c r="M821" i="7"/>
  <c r="L821" i="7"/>
  <c r="K821" i="7"/>
  <c r="N820" i="7"/>
  <c r="M820" i="7"/>
  <c r="L820" i="7"/>
  <c r="K820" i="7"/>
  <c r="N819" i="7"/>
  <c r="M819" i="7"/>
  <c r="L819" i="7"/>
  <c r="K819" i="7"/>
  <c r="N818" i="7"/>
  <c r="M818" i="7"/>
  <c r="L818" i="7"/>
  <c r="K818" i="7"/>
  <c r="N817" i="7"/>
  <c r="M817" i="7"/>
  <c r="L817" i="7"/>
  <c r="K817" i="7"/>
  <c r="N816" i="7"/>
  <c r="M816" i="7"/>
  <c r="L816" i="7"/>
  <c r="K816" i="7"/>
  <c r="N815" i="7"/>
  <c r="M815" i="7"/>
  <c r="L815" i="7"/>
  <c r="K815" i="7"/>
  <c r="N814" i="7"/>
  <c r="M814" i="7"/>
  <c r="L814" i="7"/>
  <c r="K814" i="7"/>
  <c r="N813" i="7"/>
  <c r="M813" i="7"/>
  <c r="L813" i="7"/>
  <c r="K813" i="7"/>
  <c r="N812" i="7"/>
  <c r="M812" i="7"/>
  <c r="L812" i="7"/>
  <c r="K812" i="7"/>
  <c r="N811" i="7"/>
  <c r="M811" i="7"/>
  <c r="L811" i="7"/>
  <c r="K811" i="7"/>
  <c r="N810" i="7"/>
  <c r="M810" i="7"/>
  <c r="L810" i="7"/>
  <c r="K810" i="7"/>
  <c r="N809" i="7"/>
  <c r="M809" i="7"/>
  <c r="L809" i="7"/>
  <c r="K809" i="7"/>
  <c r="N808" i="7"/>
  <c r="M808" i="7"/>
  <c r="L808" i="7"/>
  <c r="K808" i="7"/>
  <c r="N807" i="7"/>
  <c r="M807" i="7"/>
  <c r="L807" i="7"/>
  <c r="K807" i="7"/>
  <c r="N806" i="7"/>
  <c r="M806" i="7"/>
  <c r="L806" i="7"/>
  <c r="K806" i="7"/>
  <c r="N805" i="7"/>
  <c r="M805" i="7"/>
  <c r="L805" i="7"/>
  <c r="K805" i="7"/>
  <c r="N804" i="7"/>
  <c r="M804" i="7"/>
  <c r="L804" i="7"/>
  <c r="K804" i="7"/>
  <c r="N803" i="7"/>
  <c r="M803" i="7"/>
  <c r="L803" i="7"/>
  <c r="K803" i="7"/>
  <c r="N802" i="7"/>
  <c r="M802" i="7"/>
  <c r="L802" i="7"/>
  <c r="K802" i="7"/>
  <c r="N801" i="7"/>
  <c r="M801" i="7"/>
  <c r="L801" i="7"/>
  <c r="K801" i="7"/>
  <c r="N800" i="7"/>
  <c r="M800" i="7"/>
  <c r="L800" i="7"/>
  <c r="K800" i="7"/>
  <c r="N799" i="7"/>
  <c r="M799" i="7"/>
  <c r="L799" i="7"/>
  <c r="K799" i="7"/>
  <c r="N798" i="7"/>
  <c r="M798" i="7"/>
  <c r="L798" i="7"/>
  <c r="K798" i="7"/>
  <c r="N797" i="7"/>
  <c r="M797" i="7"/>
  <c r="L797" i="7"/>
  <c r="K797" i="7"/>
  <c r="N796" i="7"/>
  <c r="M796" i="7"/>
  <c r="L796" i="7"/>
  <c r="K796" i="7"/>
  <c r="N795" i="7"/>
  <c r="M795" i="7"/>
  <c r="L795" i="7"/>
  <c r="K795" i="7"/>
  <c r="N794" i="7"/>
  <c r="M794" i="7"/>
  <c r="L794" i="7"/>
  <c r="K794" i="7"/>
  <c r="N793" i="7"/>
  <c r="M793" i="7"/>
  <c r="L793" i="7"/>
  <c r="K793" i="7"/>
  <c r="N792" i="7"/>
  <c r="M792" i="7"/>
  <c r="L792" i="7"/>
  <c r="K792" i="7"/>
  <c r="N791" i="7"/>
  <c r="M791" i="7"/>
  <c r="L791" i="7"/>
  <c r="K791" i="7"/>
  <c r="N790" i="7"/>
  <c r="M790" i="7"/>
  <c r="L790" i="7"/>
  <c r="K790" i="7"/>
  <c r="N789" i="7"/>
  <c r="M789" i="7"/>
  <c r="L789" i="7"/>
  <c r="K789" i="7"/>
  <c r="N788" i="7"/>
  <c r="M788" i="7"/>
  <c r="L788" i="7"/>
  <c r="K788" i="7"/>
  <c r="N787" i="7"/>
  <c r="M787" i="7"/>
  <c r="L787" i="7"/>
  <c r="K787" i="7"/>
  <c r="N786" i="7"/>
  <c r="M786" i="7"/>
  <c r="L786" i="7"/>
  <c r="K786" i="7"/>
  <c r="N785" i="7"/>
  <c r="M785" i="7"/>
  <c r="L785" i="7"/>
  <c r="K785" i="7"/>
  <c r="N784" i="7"/>
  <c r="M784" i="7"/>
  <c r="L784" i="7"/>
  <c r="K784" i="7"/>
  <c r="N783" i="7"/>
  <c r="M783" i="7"/>
  <c r="L783" i="7"/>
  <c r="K783" i="7"/>
  <c r="N782" i="7"/>
  <c r="M782" i="7"/>
  <c r="L782" i="7"/>
  <c r="K782" i="7"/>
  <c r="N781" i="7"/>
  <c r="M781" i="7"/>
  <c r="L781" i="7"/>
  <c r="K781" i="7"/>
  <c r="N780" i="7"/>
  <c r="M780" i="7"/>
  <c r="L780" i="7"/>
  <c r="K780" i="7"/>
  <c r="N779" i="7"/>
  <c r="M779" i="7"/>
  <c r="L779" i="7"/>
  <c r="K779" i="7"/>
  <c r="N778" i="7"/>
  <c r="M778" i="7"/>
  <c r="L778" i="7"/>
  <c r="K778" i="7"/>
  <c r="N777" i="7"/>
  <c r="M777" i="7"/>
  <c r="L777" i="7"/>
  <c r="K777" i="7"/>
  <c r="N776" i="7"/>
  <c r="M776" i="7"/>
  <c r="L776" i="7"/>
  <c r="K776" i="7"/>
  <c r="N775" i="7"/>
  <c r="M775" i="7"/>
  <c r="L775" i="7"/>
  <c r="K775" i="7"/>
  <c r="N774" i="7"/>
  <c r="M774" i="7"/>
  <c r="L774" i="7"/>
  <c r="K774" i="7"/>
  <c r="N773" i="7"/>
  <c r="M773" i="7"/>
  <c r="L773" i="7"/>
  <c r="K773" i="7"/>
  <c r="N772" i="7"/>
  <c r="M772" i="7"/>
  <c r="L772" i="7"/>
  <c r="K772" i="7"/>
  <c r="N771" i="7"/>
  <c r="M771" i="7"/>
  <c r="L771" i="7"/>
  <c r="K771" i="7"/>
  <c r="N770" i="7"/>
  <c r="M770" i="7"/>
  <c r="L770" i="7"/>
  <c r="K770" i="7"/>
  <c r="N769" i="7"/>
  <c r="M769" i="7"/>
  <c r="L769" i="7"/>
  <c r="K769" i="7"/>
  <c r="N768" i="7"/>
  <c r="M768" i="7"/>
  <c r="L768" i="7"/>
  <c r="K768" i="7"/>
  <c r="N767" i="7"/>
  <c r="M767" i="7"/>
  <c r="L767" i="7"/>
  <c r="K767" i="7"/>
  <c r="N766" i="7"/>
  <c r="M766" i="7"/>
  <c r="L766" i="7"/>
  <c r="K766" i="7"/>
  <c r="N765" i="7"/>
  <c r="M765" i="7"/>
  <c r="L765" i="7"/>
  <c r="K765" i="7"/>
  <c r="N764" i="7"/>
  <c r="M764" i="7"/>
  <c r="L764" i="7"/>
  <c r="K764" i="7"/>
  <c r="N763" i="7"/>
  <c r="M763" i="7"/>
  <c r="L763" i="7"/>
  <c r="K763" i="7"/>
  <c r="N762" i="7"/>
  <c r="M762" i="7"/>
  <c r="L762" i="7"/>
  <c r="K762" i="7"/>
  <c r="N761" i="7"/>
  <c r="M761" i="7"/>
  <c r="L761" i="7"/>
  <c r="K761" i="7"/>
  <c r="N760" i="7"/>
  <c r="M760" i="7"/>
  <c r="L760" i="7"/>
  <c r="K760" i="7"/>
  <c r="N759" i="7"/>
  <c r="M759" i="7"/>
  <c r="L759" i="7"/>
  <c r="K759" i="7"/>
  <c r="N758" i="7"/>
  <c r="M758" i="7"/>
  <c r="L758" i="7"/>
  <c r="K758" i="7"/>
  <c r="N757" i="7"/>
  <c r="M757" i="7"/>
  <c r="L757" i="7"/>
  <c r="K757" i="7"/>
  <c r="N756" i="7"/>
  <c r="M756" i="7"/>
  <c r="L756" i="7"/>
  <c r="K756" i="7"/>
  <c r="N755" i="7"/>
  <c r="M755" i="7"/>
  <c r="L755" i="7"/>
  <c r="K755" i="7"/>
  <c r="N754" i="7"/>
  <c r="M754" i="7"/>
  <c r="L754" i="7"/>
  <c r="K754" i="7"/>
  <c r="N753" i="7"/>
  <c r="M753" i="7"/>
  <c r="L753" i="7"/>
  <c r="K753" i="7"/>
  <c r="N752" i="7"/>
  <c r="M752" i="7"/>
  <c r="L752" i="7"/>
  <c r="K752" i="7"/>
  <c r="N751" i="7"/>
  <c r="M751" i="7"/>
  <c r="L751" i="7"/>
  <c r="K751" i="7"/>
  <c r="N750" i="7"/>
  <c r="M750" i="7"/>
  <c r="L750" i="7"/>
  <c r="K750" i="7"/>
  <c r="N749" i="7"/>
  <c r="M749" i="7"/>
  <c r="L749" i="7"/>
  <c r="K749" i="7"/>
  <c r="N748" i="7"/>
  <c r="M748" i="7"/>
  <c r="L748" i="7"/>
  <c r="K748" i="7"/>
  <c r="N747" i="7"/>
  <c r="M747" i="7"/>
  <c r="L747" i="7"/>
  <c r="K747" i="7"/>
  <c r="N746" i="7"/>
  <c r="M746" i="7"/>
  <c r="L746" i="7"/>
  <c r="K746" i="7"/>
  <c r="N745" i="7"/>
  <c r="M745" i="7"/>
  <c r="L745" i="7"/>
  <c r="K745" i="7"/>
  <c r="N744" i="7"/>
  <c r="M744" i="7"/>
  <c r="L744" i="7"/>
  <c r="K744" i="7"/>
  <c r="N743" i="7"/>
  <c r="M743" i="7"/>
  <c r="L743" i="7"/>
  <c r="K743" i="7"/>
  <c r="N742" i="7"/>
  <c r="M742" i="7"/>
  <c r="L742" i="7"/>
  <c r="K742" i="7"/>
  <c r="N741" i="7"/>
  <c r="M741" i="7"/>
  <c r="L741" i="7"/>
  <c r="K741" i="7"/>
  <c r="N740" i="7"/>
  <c r="M740" i="7"/>
  <c r="L740" i="7"/>
  <c r="K740" i="7"/>
  <c r="N739" i="7"/>
  <c r="M739" i="7"/>
  <c r="L739" i="7"/>
  <c r="K739" i="7"/>
  <c r="N738" i="7"/>
  <c r="M738" i="7"/>
  <c r="L738" i="7"/>
  <c r="K738" i="7"/>
  <c r="N737" i="7"/>
  <c r="M737" i="7"/>
  <c r="L737" i="7"/>
  <c r="K737" i="7"/>
  <c r="N736" i="7"/>
  <c r="M736" i="7"/>
  <c r="L736" i="7"/>
  <c r="K736" i="7"/>
  <c r="N735" i="7"/>
  <c r="M735" i="7"/>
  <c r="L735" i="7"/>
  <c r="K735" i="7"/>
  <c r="N734" i="7"/>
  <c r="M734" i="7"/>
  <c r="L734" i="7"/>
  <c r="K734" i="7"/>
  <c r="N733" i="7"/>
  <c r="M733" i="7"/>
  <c r="L733" i="7"/>
  <c r="K733" i="7"/>
  <c r="N732" i="7"/>
  <c r="M732" i="7"/>
  <c r="L732" i="7"/>
  <c r="K732" i="7"/>
  <c r="N731" i="7"/>
  <c r="M731" i="7"/>
  <c r="L731" i="7"/>
  <c r="K731" i="7"/>
  <c r="N730" i="7"/>
  <c r="M730" i="7"/>
  <c r="L730" i="7"/>
  <c r="K730" i="7"/>
  <c r="N729" i="7"/>
  <c r="M729" i="7"/>
  <c r="L729" i="7"/>
  <c r="K729" i="7"/>
  <c r="N728" i="7"/>
  <c r="M728" i="7"/>
  <c r="L728" i="7"/>
  <c r="K728" i="7"/>
  <c r="N727" i="7"/>
  <c r="M727" i="7"/>
  <c r="L727" i="7"/>
  <c r="K727" i="7"/>
  <c r="N726" i="7"/>
  <c r="M726" i="7"/>
  <c r="L726" i="7"/>
  <c r="K726" i="7"/>
  <c r="N725" i="7"/>
  <c r="M725" i="7"/>
  <c r="L725" i="7"/>
  <c r="K725" i="7"/>
  <c r="N724" i="7"/>
  <c r="M724" i="7"/>
  <c r="L724" i="7"/>
  <c r="K724" i="7"/>
  <c r="N723" i="7"/>
  <c r="M723" i="7"/>
  <c r="L723" i="7"/>
  <c r="K723" i="7"/>
  <c r="N722" i="7"/>
  <c r="M722" i="7"/>
  <c r="L722" i="7"/>
  <c r="K722" i="7"/>
  <c r="N721" i="7"/>
  <c r="M721" i="7"/>
  <c r="L721" i="7"/>
  <c r="K721" i="7"/>
  <c r="N720" i="7"/>
  <c r="M720" i="7"/>
  <c r="L720" i="7"/>
  <c r="K720" i="7"/>
  <c r="N719" i="7"/>
  <c r="M719" i="7"/>
  <c r="L719" i="7"/>
  <c r="K719" i="7"/>
  <c r="N718" i="7"/>
  <c r="M718" i="7"/>
  <c r="L718" i="7"/>
  <c r="K718" i="7"/>
  <c r="N717" i="7"/>
  <c r="M717" i="7"/>
  <c r="L717" i="7"/>
  <c r="K717" i="7"/>
  <c r="N716" i="7"/>
  <c r="M716" i="7"/>
  <c r="L716" i="7"/>
  <c r="K716" i="7"/>
  <c r="N715" i="7"/>
  <c r="M715" i="7"/>
  <c r="L715" i="7"/>
  <c r="K715" i="7"/>
  <c r="N714" i="7"/>
  <c r="M714" i="7"/>
  <c r="L714" i="7"/>
  <c r="K714" i="7"/>
  <c r="N713" i="7"/>
  <c r="M713" i="7"/>
  <c r="L713" i="7"/>
  <c r="K713" i="7"/>
  <c r="N712" i="7"/>
  <c r="M712" i="7"/>
  <c r="L712" i="7"/>
  <c r="K712" i="7"/>
  <c r="N711" i="7"/>
  <c r="M711" i="7"/>
  <c r="L711" i="7"/>
  <c r="K711" i="7"/>
  <c r="N710" i="7"/>
  <c r="M710" i="7"/>
  <c r="L710" i="7"/>
  <c r="K710" i="7"/>
  <c r="N709" i="7"/>
  <c r="M709" i="7"/>
  <c r="L709" i="7"/>
  <c r="K709" i="7"/>
  <c r="N708" i="7"/>
  <c r="M708" i="7"/>
  <c r="L708" i="7"/>
  <c r="K708" i="7"/>
  <c r="N707" i="7"/>
  <c r="M707" i="7"/>
  <c r="L707" i="7"/>
  <c r="K707" i="7"/>
  <c r="N706" i="7"/>
  <c r="M706" i="7"/>
  <c r="L706" i="7"/>
  <c r="K706" i="7"/>
  <c r="N705" i="7"/>
  <c r="M705" i="7"/>
  <c r="L705" i="7"/>
  <c r="K705" i="7"/>
  <c r="N704" i="7"/>
  <c r="M704" i="7"/>
  <c r="L704" i="7"/>
  <c r="K704" i="7"/>
  <c r="N703" i="7"/>
  <c r="M703" i="7"/>
  <c r="L703" i="7"/>
  <c r="K703" i="7"/>
  <c r="N702" i="7"/>
  <c r="M702" i="7"/>
  <c r="L702" i="7"/>
  <c r="K702" i="7"/>
  <c r="N701" i="7"/>
  <c r="M701" i="7"/>
  <c r="L701" i="7"/>
  <c r="K701" i="7"/>
  <c r="N700" i="7"/>
  <c r="M700" i="7"/>
  <c r="L700" i="7"/>
  <c r="K700" i="7"/>
  <c r="N699" i="7"/>
  <c r="M699" i="7"/>
  <c r="L699" i="7"/>
  <c r="K699" i="7"/>
  <c r="N698" i="7"/>
  <c r="M698" i="7"/>
  <c r="L698" i="7"/>
  <c r="K698" i="7"/>
  <c r="N697" i="7"/>
  <c r="M697" i="7"/>
  <c r="L697" i="7"/>
  <c r="K697" i="7"/>
  <c r="N696" i="7"/>
  <c r="M696" i="7"/>
  <c r="L696" i="7"/>
  <c r="K696" i="7"/>
  <c r="N695" i="7"/>
  <c r="M695" i="7"/>
  <c r="L695" i="7"/>
  <c r="K695" i="7"/>
  <c r="N694" i="7"/>
  <c r="M694" i="7"/>
  <c r="L694" i="7"/>
  <c r="K694" i="7"/>
  <c r="N693" i="7"/>
  <c r="M693" i="7"/>
  <c r="L693" i="7"/>
  <c r="K693" i="7"/>
  <c r="N692" i="7"/>
  <c r="M692" i="7"/>
  <c r="L692" i="7"/>
  <c r="K692" i="7"/>
  <c r="N691" i="7"/>
  <c r="M691" i="7"/>
  <c r="L691" i="7"/>
  <c r="K691" i="7"/>
  <c r="N690" i="7"/>
  <c r="M690" i="7"/>
  <c r="L690" i="7"/>
  <c r="K690" i="7"/>
  <c r="N689" i="7"/>
  <c r="M689" i="7"/>
  <c r="L689" i="7"/>
  <c r="K689" i="7"/>
  <c r="N688" i="7"/>
  <c r="M688" i="7"/>
  <c r="L688" i="7"/>
  <c r="K688" i="7"/>
  <c r="N687" i="7"/>
  <c r="M687" i="7"/>
  <c r="L687" i="7"/>
  <c r="K687" i="7"/>
  <c r="N686" i="7"/>
  <c r="M686" i="7"/>
  <c r="L686" i="7"/>
  <c r="K686" i="7"/>
  <c r="N685" i="7"/>
  <c r="M685" i="7"/>
  <c r="L685" i="7"/>
  <c r="K685" i="7"/>
  <c r="N684" i="7"/>
  <c r="M684" i="7"/>
  <c r="L684" i="7"/>
  <c r="K684" i="7"/>
  <c r="N683" i="7"/>
  <c r="M683" i="7"/>
  <c r="L683" i="7"/>
  <c r="K683" i="7"/>
  <c r="N682" i="7"/>
  <c r="M682" i="7"/>
  <c r="L682" i="7"/>
  <c r="K682" i="7"/>
  <c r="N681" i="7"/>
  <c r="M681" i="7"/>
  <c r="L681" i="7"/>
  <c r="K681" i="7"/>
  <c r="N680" i="7"/>
  <c r="M680" i="7"/>
  <c r="L680" i="7"/>
  <c r="K680" i="7"/>
  <c r="N679" i="7"/>
  <c r="M679" i="7"/>
  <c r="L679" i="7"/>
  <c r="K679" i="7"/>
  <c r="N678" i="7"/>
  <c r="M678" i="7"/>
  <c r="L678" i="7"/>
  <c r="K678" i="7"/>
  <c r="N677" i="7"/>
  <c r="M677" i="7"/>
  <c r="L677" i="7"/>
  <c r="K677" i="7"/>
  <c r="N676" i="7"/>
  <c r="M676" i="7"/>
  <c r="L676" i="7"/>
  <c r="K676" i="7"/>
  <c r="N675" i="7"/>
  <c r="M675" i="7"/>
  <c r="L675" i="7"/>
  <c r="K675" i="7"/>
  <c r="N674" i="7"/>
  <c r="M674" i="7"/>
  <c r="L674" i="7"/>
  <c r="K674" i="7"/>
  <c r="N673" i="7"/>
  <c r="M673" i="7"/>
  <c r="L673" i="7"/>
  <c r="K673" i="7"/>
  <c r="N672" i="7"/>
  <c r="M672" i="7"/>
  <c r="L672" i="7"/>
  <c r="K672" i="7"/>
  <c r="N671" i="7"/>
  <c r="M671" i="7"/>
  <c r="L671" i="7"/>
  <c r="K671" i="7"/>
  <c r="N670" i="7"/>
  <c r="M670" i="7"/>
  <c r="L670" i="7"/>
  <c r="K670" i="7"/>
  <c r="N669" i="7"/>
  <c r="M669" i="7"/>
  <c r="L669" i="7"/>
  <c r="K669" i="7"/>
  <c r="N668" i="7"/>
  <c r="M668" i="7"/>
  <c r="L668" i="7"/>
  <c r="K668" i="7"/>
  <c r="N667" i="7"/>
  <c r="M667" i="7"/>
  <c r="L667" i="7"/>
  <c r="K667" i="7"/>
  <c r="N666" i="7"/>
  <c r="M666" i="7"/>
  <c r="L666" i="7"/>
  <c r="K666" i="7"/>
  <c r="N665" i="7"/>
  <c r="M665" i="7"/>
  <c r="L665" i="7"/>
  <c r="K665" i="7"/>
  <c r="N664" i="7"/>
  <c r="M664" i="7"/>
  <c r="L664" i="7"/>
  <c r="K664" i="7"/>
  <c r="N663" i="7"/>
  <c r="M663" i="7"/>
  <c r="L663" i="7"/>
  <c r="K663" i="7"/>
  <c r="N662" i="7"/>
  <c r="M662" i="7"/>
  <c r="L662" i="7"/>
  <c r="K662" i="7"/>
  <c r="N661" i="7"/>
  <c r="M661" i="7"/>
  <c r="L661" i="7"/>
  <c r="K661" i="7"/>
  <c r="N660" i="7"/>
  <c r="M660" i="7"/>
  <c r="L660" i="7"/>
  <c r="K660" i="7"/>
  <c r="N659" i="7"/>
  <c r="M659" i="7"/>
  <c r="L659" i="7"/>
  <c r="K659" i="7"/>
  <c r="N658" i="7"/>
  <c r="M658" i="7"/>
  <c r="L658" i="7"/>
  <c r="K658" i="7"/>
  <c r="N657" i="7"/>
  <c r="M657" i="7"/>
  <c r="L657" i="7"/>
  <c r="K657" i="7"/>
  <c r="N656" i="7"/>
  <c r="M656" i="7"/>
  <c r="L656" i="7"/>
  <c r="K656" i="7"/>
  <c r="N655" i="7"/>
  <c r="M655" i="7"/>
  <c r="L655" i="7"/>
  <c r="K655" i="7"/>
  <c r="N654" i="7"/>
  <c r="M654" i="7"/>
  <c r="L654" i="7"/>
  <c r="K654" i="7"/>
  <c r="N653" i="7"/>
  <c r="M653" i="7"/>
  <c r="L653" i="7"/>
  <c r="K653" i="7"/>
  <c r="N652" i="7"/>
  <c r="M652" i="7"/>
  <c r="L652" i="7"/>
  <c r="K652" i="7"/>
  <c r="N651" i="7"/>
  <c r="M651" i="7"/>
  <c r="L651" i="7"/>
  <c r="K651" i="7"/>
  <c r="N650" i="7"/>
  <c r="M650" i="7"/>
  <c r="L650" i="7"/>
  <c r="K650" i="7"/>
  <c r="N649" i="7"/>
  <c r="M649" i="7"/>
  <c r="L649" i="7"/>
  <c r="K649" i="7"/>
  <c r="N648" i="7"/>
  <c r="M648" i="7"/>
  <c r="L648" i="7"/>
  <c r="K648" i="7"/>
  <c r="N647" i="7"/>
  <c r="M647" i="7"/>
  <c r="L647" i="7"/>
  <c r="K647" i="7"/>
  <c r="N646" i="7"/>
  <c r="M646" i="7"/>
  <c r="L646" i="7"/>
  <c r="K646" i="7"/>
  <c r="N645" i="7"/>
  <c r="M645" i="7"/>
  <c r="L645" i="7"/>
  <c r="K645" i="7"/>
  <c r="N644" i="7"/>
  <c r="M644" i="7"/>
  <c r="L644" i="7"/>
  <c r="K644" i="7"/>
  <c r="N643" i="7"/>
  <c r="M643" i="7"/>
  <c r="L643" i="7"/>
  <c r="K643" i="7"/>
  <c r="N642" i="7"/>
  <c r="M642" i="7"/>
  <c r="L642" i="7"/>
  <c r="K642" i="7"/>
  <c r="N641" i="7"/>
  <c r="M641" i="7"/>
  <c r="L641" i="7"/>
  <c r="K641" i="7"/>
  <c r="N640" i="7"/>
  <c r="M640" i="7"/>
  <c r="L640" i="7"/>
  <c r="K640" i="7"/>
  <c r="N639" i="7"/>
  <c r="M639" i="7"/>
  <c r="L639" i="7"/>
  <c r="K639" i="7"/>
  <c r="N638" i="7"/>
  <c r="M638" i="7"/>
  <c r="L638" i="7"/>
  <c r="K638" i="7"/>
  <c r="N637" i="7"/>
  <c r="M637" i="7"/>
  <c r="L637" i="7"/>
  <c r="K637" i="7"/>
  <c r="N636" i="7"/>
  <c r="M636" i="7"/>
  <c r="L636" i="7"/>
  <c r="K636" i="7"/>
  <c r="N635" i="7"/>
  <c r="M635" i="7"/>
  <c r="L635" i="7"/>
  <c r="K635" i="7"/>
  <c r="N634" i="7"/>
  <c r="M634" i="7"/>
  <c r="L634" i="7"/>
  <c r="K634" i="7"/>
  <c r="N633" i="7"/>
  <c r="M633" i="7"/>
  <c r="L633" i="7"/>
  <c r="K633" i="7"/>
  <c r="N632" i="7"/>
  <c r="M632" i="7"/>
  <c r="L632" i="7"/>
  <c r="K632" i="7"/>
  <c r="N631" i="7"/>
  <c r="M631" i="7"/>
  <c r="L631" i="7"/>
  <c r="K631" i="7"/>
  <c r="N630" i="7"/>
  <c r="M630" i="7"/>
  <c r="L630" i="7"/>
  <c r="K630" i="7"/>
  <c r="N629" i="7"/>
  <c r="M629" i="7"/>
  <c r="L629" i="7"/>
  <c r="K629" i="7"/>
  <c r="N628" i="7"/>
  <c r="M628" i="7"/>
  <c r="L628" i="7"/>
  <c r="K628" i="7"/>
  <c r="N627" i="7"/>
  <c r="M627" i="7"/>
  <c r="L627" i="7"/>
  <c r="K627" i="7"/>
  <c r="N626" i="7"/>
  <c r="M626" i="7"/>
  <c r="L626" i="7"/>
  <c r="K626" i="7"/>
  <c r="N625" i="7"/>
  <c r="M625" i="7"/>
  <c r="L625" i="7"/>
  <c r="K625" i="7"/>
  <c r="N624" i="7"/>
  <c r="M624" i="7"/>
  <c r="L624" i="7"/>
  <c r="K624" i="7"/>
  <c r="N623" i="7"/>
  <c r="M623" i="7"/>
  <c r="L623" i="7"/>
  <c r="K623" i="7"/>
  <c r="N622" i="7"/>
  <c r="M622" i="7"/>
  <c r="L622" i="7"/>
  <c r="K622" i="7"/>
  <c r="N621" i="7"/>
  <c r="M621" i="7"/>
  <c r="L621" i="7"/>
  <c r="K621" i="7"/>
  <c r="N620" i="7"/>
  <c r="M620" i="7"/>
  <c r="L620" i="7"/>
  <c r="K620" i="7"/>
  <c r="N619" i="7"/>
  <c r="M619" i="7"/>
  <c r="L619" i="7"/>
  <c r="K619" i="7"/>
  <c r="N618" i="7"/>
  <c r="M618" i="7"/>
  <c r="L618" i="7"/>
  <c r="K618" i="7"/>
  <c r="N617" i="7"/>
  <c r="M617" i="7"/>
  <c r="L617" i="7"/>
  <c r="K617" i="7"/>
  <c r="N616" i="7"/>
  <c r="M616" i="7"/>
  <c r="L616" i="7"/>
  <c r="K616" i="7"/>
  <c r="N615" i="7"/>
  <c r="M615" i="7"/>
  <c r="L615" i="7"/>
  <c r="K615" i="7"/>
  <c r="N614" i="7"/>
  <c r="M614" i="7"/>
  <c r="L614" i="7"/>
  <c r="K614" i="7"/>
  <c r="N613" i="7"/>
  <c r="M613" i="7"/>
  <c r="L613" i="7"/>
  <c r="K613" i="7"/>
  <c r="N612" i="7"/>
  <c r="M612" i="7"/>
  <c r="L612" i="7"/>
  <c r="K612" i="7"/>
  <c r="N611" i="7"/>
  <c r="M611" i="7"/>
  <c r="L611" i="7"/>
  <c r="K611" i="7"/>
  <c r="N610" i="7"/>
  <c r="M610" i="7"/>
  <c r="L610" i="7"/>
  <c r="K610" i="7"/>
  <c r="N609" i="7"/>
  <c r="M609" i="7"/>
  <c r="L609" i="7"/>
  <c r="K609" i="7"/>
  <c r="N608" i="7"/>
  <c r="M608" i="7"/>
  <c r="L608" i="7"/>
  <c r="K608" i="7"/>
  <c r="N607" i="7"/>
  <c r="M607" i="7"/>
  <c r="L607" i="7"/>
  <c r="K607" i="7"/>
  <c r="N606" i="7"/>
  <c r="M606" i="7"/>
  <c r="L606" i="7"/>
  <c r="K606" i="7"/>
  <c r="N605" i="7"/>
  <c r="M605" i="7"/>
  <c r="L605" i="7"/>
  <c r="K605" i="7"/>
  <c r="N604" i="7"/>
  <c r="M604" i="7"/>
  <c r="L604" i="7"/>
  <c r="K604" i="7"/>
  <c r="N603" i="7"/>
  <c r="M603" i="7"/>
  <c r="L603" i="7"/>
  <c r="K603" i="7"/>
  <c r="N602" i="7"/>
  <c r="M602" i="7"/>
  <c r="L602" i="7"/>
  <c r="K602" i="7"/>
  <c r="N601" i="7"/>
  <c r="M601" i="7"/>
  <c r="L601" i="7"/>
  <c r="K601" i="7"/>
  <c r="N600" i="7"/>
  <c r="M600" i="7"/>
  <c r="L600" i="7"/>
  <c r="K600" i="7"/>
  <c r="N599" i="7"/>
  <c r="M599" i="7"/>
  <c r="L599" i="7"/>
  <c r="K599" i="7"/>
  <c r="N598" i="7"/>
  <c r="M598" i="7"/>
  <c r="L598" i="7"/>
  <c r="K598" i="7"/>
  <c r="N597" i="7"/>
  <c r="M597" i="7"/>
  <c r="L597" i="7"/>
  <c r="K597" i="7"/>
  <c r="N596" i="7"/>
  <c r="M596" i="7"/>
  <c r="L596" i="7"/>
  <c r="K596" i="7"/>
  <c r="N595" i="7"/>
  <c r="M595" i="7"/>
  <c r="L595" i="7"/>
  <c r="K595" i="7"/>
  <c r="N594" i="7"/>
  <c r="M594" i="7"/>
  <c r="L594" i="7"/>
  <c r="K594" i="7"/>
  <c r="N593" i="7"/>
  <c r="M593" i="7"/>
  <c r="L593" i="7"/>
  <c r="K593" i="7"/>
  <c r="N592" i="7"/>
  <c r="M592" i="7"/>
  <c r="L592" i="7"/>
  <c r="K592" i="7"/>
  <c r="N591" i="7"/>
  <c r="M591" i="7"/>
  <c r="L591" i="7"/>
  <c r="K591" i="7"/>
  <c r="N590" i="7"/>
  <c r="M590" i="7"/>
  <c r="L590" i="7"/>
  <c r="K590" i="7"/>
  <c r="N589" i="7"/>
  <c r="M589" i="7"/>
  <c r="L589" i="7"/>
  <c r="K589" i="7"/>
  <c r="N588" i="7"/>
  <c r="M588" i="7"/>
  <c r="L588" i="7"/>
  <c r="K588" i="7"/>
  <c r="N587" i="7"/>
  <c r="M587" i="7"/>
  <c r="L587" i="7"/>
  <c r="K587" i="7"/>
  <c r="N586" i="7"/>
  <c r="M586" i="7"/>
  <c r="L586" i="7"/>
  <c r="K586" i="7"/>
  <c r="N585" i="7"/>
  <c r="M585" i="7"/>
  <c r="L585" i="7"/>
  <c r="K585" i="7"/>
  <c r="N584" i="7"/>
  <c r="M584" i="7"/>
  <c r="L584" i="7"/>
  <c r="K584" i="7"/>
  <c r="N583" i="7"/>
  <c r="M583" i="7"/>
  <c r="L583" i="7"/>
  <c r="K583" i="7"/>
  <c r="N582" i="7"/>
  <c r="M582" i="7"/>
  <c r="L582" i="7"/>
  <c r="K582" i="7"/>
  <c r="N581" i="7"/>
  <c r="M581" i="7"/>
  <c r="L581" i="7"/>
  <c r="K581" i="7"/>
  <c r="N580" i="7"/>
  <c r="M580" i="7"/>
  <c r="L580" i="7"/>
  <c r="K580" i="7"/>
  <c r="N579" i="7"/>
  <c r="M579" i="7"/>
  <c r="L579" i="7"/>
  <c r="K579" i="7"/>
  <c r="N578" i="7"/>
  <c r="M578" i="7"/>
  <c r="L578" i="7"/>
  <c r="K578" i="7"/>
  <c r="N577" i="7"/>
  <c r="M577" i="7"/>
  <c r="L577" i="7"/>
  <c r="K577" i="7"/>
  <c r="N576" i="7"/>
  <c r="M576" i="7"/>
  <c r="L576" i="7"/>
  <c r="K576" i="7"/>
  <c r="N575" i="7"/>
  <c r="M575" i="7"/>
  <c r="L575" i="7"/>
  <c r="K575" i="7"/>
  <c r="N574" i="7"/>
  <c r="M574" i="7"/>
  <c r="L574" i="7"/>
  <c r="K574" i="7"/>
  <c r="N573" i="7"/>
  <c r="M573" i="7"/>
  <c r="L573" i="7"/>
  <c r="K573" i="7"/>
  <c r="N572" i="7"/>
  <c r="M572" i="7"/>
  <c r="L572" i="7"/>
  <c r="K572" i="7"/>
  <c r="N571" i="7"/>
  <c r="M571" i="7"/>
  <c r="L571" i="7"/>
  <c r="K571" i="7"/>
  <c r="N570" i="7"/>
  <c r="M570" i="7"/>
  <c r="L570" i="7"/>
  <c r="K570" i="7"/>
  <c r="N569" i="7"/>
  <c r="M569" i="7"/>
  <c r="L569" i="7"/>
  <c r="K569" i="7"/>
  <c r="N568" i="7"/>
  <c r="M568" i="7"/>
  <c r="L568" i="7"/>
  <c r="K568" i="7"/>
  <c r="N567" i="7"/>
  <c r="M567" i="7"/>
  <c r="L567" i="7"/>
  <c r="K567" i="7"/>
  <c r="N566" i="7"/>
  <c r="M566" i="7"/>
  <c r="L566" i="7"/>
  <c r="K566" i="7"/>
  <c r="N565" i="7"/>
  <c r="M565" i="7"/>
  <c r="L565" i="7"/>
  <c r="K565" i="7"/>
  <c r="N564" i="7"/>
  <c r="M564" i="7"/>
  <c r="L564" i="7"/>
  <c r="K564" i="7"/>
  <c r="N563" i="7"/>
  <c r="M563" i="7"/>
  <c r="L563" i="7"/>
  <c r="K563" i="7"/>
  <c r="N562" i="7"/>
  <c r="M562" i="7"/>
  <c r="L562" i="7"/>
  <c r="K562" i="7"/>
  <c r="N561" i="7"/>
  <c r="M561" i="7"/>
  <c r="L561" i="7"/>
  <c r="K561" i="7"/>
  <c r="N560" i="7"/>
  <c r="M560" i="7"/>
  <c r="L560" i="7"/>
  <c r="K560" i="7"/>
  <c r="N559" i="7"/>
  <c r="M559" i="7"/>
  <c r="L559" i="7"/>
  <c r="K559" i="7"/>
  <c r="N558" i="7"/>
  <c r="M558" i="7"/>
  <c r="L558" i="7"/>
  <c r="K558" i="7"/>
  <c r="N557" i="7"/>
  <c r="M557" i="7"/>
  <c r="L557" i="7"/>
  <c r="K557" i="7"/>
  <c r="N556" i="7"/>
  <c r="M556" i="7"/>
  <c r="L556" i="7"/>
  <c r="K556" i="7"/>
  <c r="N555" i="7"/>
  <c r="M555" i="7"/>
  <c r="L555" i="7"/>
  <c r="K555" i="7"/>
  <c r="N554" i="7"/>
  <c r="M554" i="7"/>
  <c r="L554" i="7"/>
  <c r="K554" i="7"/>
  <c r="N553" i="7"/>
  <c r="M553" i="7"/>
  <c r="L553" i="7"/>
  <c r="K553" i="7"/>
  <c r="N552" i="7"/>
  <c r="M552" i="7"/>
  <c r="L552" i="7"/>
  <c r="K552" i="7"/>
  <c r="N551" i="7"/>
  <c r="M551" i="7"/>
  <c r="L551" i="7"/>
  <c r="K551" i="7"/>
  <c r="N550" i="7"/>
  <c r="M550" i="7"/>
  <c r="L550" i="7"/>
  <c r="K550" i="7"/>
  <c r="N549" i="7"/>
  <c r="M549" i="7"/>
  <c r="L549" i="7"/>
  <c r="K549" i="7"/>
  <c r="N548" i="7"/>
  <c r="M548" i="7"/>
  <c r="L548" i="7"/>
  <c r="K548" i="7"/>
  <c r="N547" i="7"/>
  <c r="M547" i="7"/>
  <c r="L547" i="7"/>
  <c r="K547" i="7"/>
  <c r="N546" i="7"/>
  <c r="M546" i="7"/>
  <c r="L546" i="7"/>
  <c r="K546" i="7"/>
  <c r="N545" i="7"/>
  <c r="M545" i="7"/>
  <c r="L545" i="7"/>
  <c r="K545" i="7"/>
  <c r="N544" i="7"/>
  <c r="M544" i="7"/>
  <c r="L544" i="7"/>
  <c r="K544" i="7"/>
  <c r="N543" i="7"/>
  <c r="M543" i="7"/>
  <c r="L543" i="7"/>
  <c r="K543" i="7"/>
  <c r="N542" i="7"/>
  <c r="M542" i="7"/>
  <c r="L542" i="7"/>
  <c r="K542" i="7"/>
  <c r="N541" i="7"/>
  <c r="M541" i="7"/>
  <c r="L541" i="7"/>
  <c r="K541" i="7"/>
  <c r="N540" i="7"/>
  <c r="M540" i="7"/>
  <c r="L540" i="7"/>
  <c r="K540" i="7"/>
  <c r="N539" i="7"/>
  <c r="M539" i="7"/>
  <c r="L539" i="7"/>
  <c r="K539" i="7"/>
  <c r="N538" i="7"/>
  <c r="M538" i="7"/>
  <c r="L538" i="7"/>
  <c r="K538" i="7"/>
  <c r="N537" i="7"/>
  <c r="M537" i="7"/>
  <c r="L537" i="7"/>
  <c r="K537" i="7"/>
  <c r="N536" i="7"/>
  <c r="M536" i="7"/>
  <c r="L536" i="7"/>
  <c r="K536" i="7"/>
  <c r="N535" i="7"/>
  <c r="M535" i="7"/>
  <c r="L535" i="7"/>
  <c r="K535" i="7"/>
  <c r="N534" i="7"/>
  <c r="M534" i="7"/>
  <c r="L534" i="7"/>
  <c r="K534" i="7"/>
  <c r="N533" i="7"/>
  <c r="M533" i="7"/>
  <c r="L533" i="7"/>
  <c r="K533" i="7"/>
  <c r="N532" i="7"/>
  <c r="M532" i="7"/>
  <c r="L532" i="7"/>
  <c r="K532" i="7"/>
  <c r="N531" i="7"/>
  <c r="M531" i="7"/>
  <c r="L531" i="7"/>
  <c r="K531" i="7"/>
  <c r="N530" i="7"/>
  <c r="M530" i="7"/>
  <c r="L530" i="7"/>
  <c r="K530" i="7"/>
  <c r="N529" i="7"/>
  <c r="M529" i="7"/>
  <c r="L529" i="7"/>
  <c r="K529" i="7"/>
  <c r="N528" i="7"/>
  <c r="M528" i="7"/>
  <c r="L528" i="7"/>
  <c r="K528" i="7"/>
  <c r="N527" i="7"/>
  <c r="M527" i="7"/>
  <c r="L527" i="7"/>
  <c r="K527" i="7"/>
  <c r="N526" i="7"/>
  <c r="M526" i="7"/>
  <c r="L526" i="7"/>
  <c r="K526" i="7"/>
  <c r="N525" i="7"/>
  <c r="M525" i="7"/>
  <c r="L525" i="7"/>
  <c r="K525" i="7"/>
  <c r="N524" i="7"/>
  <c r="M524" i="7"/>
  <c r="L524" i="7"/>
  <c r="K524" i="7"/>
  <c r="N523" i="7"/>
  <c r="M523" i="7"/>
  <c r="L523" i="7"/>
  <c r="K523" i="7"/>
  <c r="N522" i="7"/>
  <c r="M522" i="7"/>
  <c r="L522" i="7"/>
  <c r="K522" i="7"/>
  <c r="N521" i="7"/>
  <c r="M521" i="7"/>
  <c r="L521" i="7"/>
  <c r="K521" i="7"/>
  <c r="N520" i="7"/>
  <c r="M520" i="7"/>
  <c r="L520" i="7"/>
  <c r="K520" i="7"/>
  <c r="N519" i="7"/>
  <c r="M519" i="7"/>
  <c r="L519" i="7"/>
  <c r="K519" i="7"/>
  <c r="N518" i="7"/>
  <c r="M518" i="7"/>
  <c r="L518" i="7"/>
  <c r="K518" i="7"/>
  <c r="N517" i="7"/>
  <c r="M517" i="7"/>
  <c r="L517" i="7"/>
  <c r="K517" i="7"/>
  <c r="N516" i="7"/>
  <c r="M516" i="7"/>
  <c r="L516" i="7"/>
  <c r="K516" i="7"/>
  <c r="N515" i="7"/>
  <c r="M515" i="7"/>
  <c r="L515" i="7"/>
  <c r="K515" i="7"/>
  <c r="N514" i="7"/>
  <c r="M514" i="7"/>
  <c r="L514" i="7"/>
  <c r="K514" i="7"/>
  <c r="N513" i="7"/>
  <c r="M513" i="7"/>
  <c r="L513" i="7"/>
  <c r="K513" i="7"/>
  <c r="N512" i="7"/>
  <c r="M512" i="7"/>
  <c r="L512" i="7"/>
  <c r="K512" i="7"/>
  <c r="N511" i="7"/>
  <c r="M511" i="7"/>
  <c r="L511" i="7"/>
  <c r="K511" i="7"/>
  <c r="N510" i="7"/>
  <c r="M510" i="7"/>
  <c r="L510" i="7"/>
  <c r="K510" i="7"/>
  <c r="N509" i="7"/>
  <c r="M509" i="7"/>
  <c r="L509" i="7"/>
  <c r="K509" i="7"/>
  <c r="N508" i="7"/>
  <c r="M508" i="7"/>
  <c r="L508" i="7"/>
  <c r="K508" i="7"/>
  <c r="N507" i="7"/>
  <c r="M507" i="7"/>
  <c r="L507" i="7"/>
  <c r="K507" i="7"/>
  <c r="N506" i="7"/>
  <c r="M506" i="7"/>
  <c r="L506" i="7"/>
  <c r="K506" i="7"/>
  <c r="N505" i="7"/>
  <c r="M505" i="7"/>
  <c r="L505" i="7"/>
  <c r="K505" i="7"/>
  <c r="N504" i="7"/>
  <c r="M504" i="7"/>
  <c r="L504" i="7"/>
  <c r="K504" i="7"/>
  <c r="N503" i="7"/>
  <c r="M503" i="7"/>
  <c r="L503" i="7"/>
  <c r="K503" i="7"/>
  <c r="N502" i="7"/>
  <c r="M502" i="7"/>
  <c r="L502" i="7"/>
  <c r="K502" i="7"/>
  <c r="N501" i="7"/>
  <c r="M501" i="7"/>
  <c r="L501" i="7"/>
  <c r="K501" i="7"/>
  <c r="N500" i="7"/>
  <c r="M500" i="7"/>
  <c r="L500" i="7"/>
  <c r="K500" i="7"/>
  <c r="N499" i="7"/>
  <c r="M499" i="7"/>
  <c r="L499" i="7"/>
  <c r="K499" i="7"/>
  <c r="N498" i="7"/>
  <c r="M498" i="7"/>
  <c r="L498" i="7"/>
  <c r="K498" i="7"/>
  <c r="N497" i="7"/>
  <c r="M497" i="7"/>
  <c r="L497" i="7"/>
  <c r="K497" i="7"/>
  <c r="N496" i="7"/>
  <c r="M496" i="7"/>
  <c r="L496" i="7"/>
  <c r="K496" i="7"/>
  <c r="N495" i="7"/>
  <c r="M495" i="7"/>
  <c r="L495" i="7"/>
  <c r="K495" i="7"/>
  <c r="N494" i="7"/>
  <c r="M494" i="7"/>
  <c r="L494" i="7"/>
  <c r="K494" i="7"/>
  <c r="N493" i="7"/>
  <c r="M493" i="7"/>
  <c r="L493" i="7"/>
  <c r="K493" i="7"/>
  <c r="N492" i="7"/>
  <c r="M492" i="7"/>
  <c r="L492" i="7"/>
  <c r="K492" i="7"/>
  <c r="N491" i="7"/>
  <c r="M491" i="7"/>
  <c r="L491" i="7"/>
  <c r="K491" i="7"/>
  <c r="N490" i="7"/>
  <c r="M490" i="7"/>
  <c r="L490" i="7"/>
  <c r="K490" i="7"/>
  <c r="N489" i="7"/>
  <c r="M489" i="7"/>
  <c r="L489" i="7"/>
  <c r="K489" i="7"/>
  <c r="N488" i="7"/>
  <c r="M488" i="7"/>
  <c r="L488" i="7"/>
  <c r="K488" i="7"/>
  <c r="N487" i="7"/>
  <c r="M487" i="7"/>
  <c r="L487" i="7"/>
  <c r="K487" i="7"/>
  <c r="N486" i="7"/>
  <c r="M486" i="7"/>
  <c r="L486" i="7"/>
  <c r="K486" i="7"/>
  <c r="N485" i="7"/>
  <c r="M485" i="7"/>
  <c r="L485" i="7"/>
  <c r="K485" i="7"/>
  <c r="N484" i="7"/>
  <c r="M484" i="7"/>
  <c r="L484" i="7"/>
  <c r="K484" i="7"/>
  <c r="N483" i="7"/>
  <c r="M483" i="7"/>
  <c r="L483" i="7"/>
  <c r="K483" i="7"/>
  <c r="N482" i="7"/>
  <c r="M482" i="7"/>
  <c r="L482" i="7"/>
  <c r="K482" i="7"/>
  <c r="N481" i="7"/>
  <c r="M481" i="7"/>
  <c r="L481" i="7"/>
  <c r="K481" i="7"/>
  <c r="N480" i="7"/>
  <c r="M480" i="7"/>
  <c r="L480" i="7"/>
  <c r="K480" i="7"/>
  <c r="N479" i="7"/>
  <c r="M479" i="7"/>
  <c r="L479" i="7"/>
  <c r="K479" i="7"/>
  <c r="N478" i="7"/>
  <c r="M478" i="7"/>
  <c r="L478" i="7"/>
  <c r="K478" i="7"/>
  <c r="N477" i="7"/>
  <c r="M477" i="7"/>
  <c r="L477" i="7"/>
  <c r="K477" i="7"/>
  <c r="N476" i="7"/>
  <c r="M476" i="7"/>
  <c r="L476" i="7"/>
  <c r="K476" i="7"/>
  <c r="N475" i="7"/>
  <c r="M475" i="7"/>
  <c r="L475" i="7"/>
  <c r="K475" i="7"/>
  <c r="N474" i="7"/>
  <c r="M474" i="7"/>
  <c r="L474" i="7"/>
  <c r="K474" i="7"/>
  <c r="N473" i="7"/>
  <c r="M473" i="7"/>
  <c r="L473" i="7"/>
  <c r="K473" i="7"/>
  <c r="N472" i="7"/>
  <c r="M472" i="7"/>
  <c r="L472" i="7"/>
  <c r="K472" i="7"/>
  <c r="N471" i="7"/>
  <c r="M471" i="7"/>
  <c r="L471" i="7"/>
  <c r="K471" i="7"/>
  <c r="N470" i="7"/>
  <c r="M470" i="7"/>
  <c r="L470" i="7"/>
  <c r="K470" i="7"/>
  <c r="N469" i="7"/>
  <c r="M469" i="7"/>
  <c r="L469" i="7"/>
  <c r="K469" i="7"/>
  <c r="N468" i="7"/>
  <c r="M468" i="7"/>
  <c r="L468" i="7"/>
  <c r="K468" i="7"/>
  <c r="N467" i="7"/>
  <c r="M467" i="7"/>
  <c r="L467" i="7"/>
  <c r="K467" i="7"/>
  <c r="N466" i="7"/>
  <c r="M466" i="7"/>
  <c r="L466" i="7"/>
  <c r="K466" i="7"/>
  <c r="N465" i="7"/>
  <c r="M465" i="7"/>
  <c r="L465" i="7"/>
  <c r="K465" i="7"/>
  <c r="N464" i="7"/>
  <c r="M464" i="7"/>
  <c r="L464" i="7"/>
  <c r="K464" i="7"/>
  <c r="N463" i="7"/>
  <c r="M463" i="7"/>
  <c r="L463" i="7"/>
  <c r="K463" i="7"/>
  <c r="N462" i="7"/>
  <c r="M462" i="7"/>
  <c r="L462" i="7"/>
  <c r="K462" i="7"/>
  <c r="N461" i="7"/>
  <c r="M461" i="7"/>
  <c r="L461" i="7"/>
  <c r="K461" i="7"/>
  <c r="N460" i="7"/>
  <c r="M460" i="7"/>
  <c r="L460" i="7"/>
  <c r="K460" i="7"/>
  <c r="N459" i="7"/>
  <c r="M459" i="7"/>
  <c r="L459" i="7"/>
  <c r="K459" i="7"/>
  <c r="N458" i="7"/>
  <c r="M458" i="7"/>
  <c r="L458" i="7"/>
  <c r="K458" i="7"/>
  <c r="N457" i="7"/>
  <c r="M457" i="7"/>
  <c r="L457" i="7"/>
  <c r="K457" i="7"/>
  <c r="N456" i="7"/>
  <c r="M456" i="7"/>
  <c r="L456" i="7"/>
  <c r="K456" i="7"/>
  <c r="N455" i="7"/>
  <c r="M455" i="7"/>
  <c r="L455" i="7"/>
  <c r="K455" i="7"/>
  <c r="N454" i="7"/>
  <c r="M454" i="7"/>
  <c r="L454" i="7"/>
  <c r="K454" i="7"/>
  <c r="N453" i="7"/>
  <c r="M453" i="7"/>
  <c r="L453" i="7"/>
  <c r="K453" i="7"/>
  <c r="N452" i="7"/>
  <c r="M452" i="7"/>
  <c r="L452" i="7"/>
  <c r="K452" i="7"/>
  <c r="N451" i="7"/>
  <c r="M451" i="7"/>
  <c r="L451" i="7"/>
  <c r="K451" i="7"/>
  <c r="N450" i="7"/>
  <c r="M450" i="7"/>
  <c r="L450" i="7"/>
  <c r="K450" i="7"/>
  <c r="N449" i="7"/>
  <c r="M449" i="7"/>
  <c r="L449" i="7"/>
  <c r="K449" i="7"/>
  <c r="N448" i="7"/>
  <c r="M448" i="7"/>
  <c r="L448" i="7"/>
  <c r="K448" i="7"/>
  <c r="N447" i="7"/>
  <c r="M447" i="7"/>
  <c r="L447" i="7"/>
  <c r="K447" i="7"/>
  <c r="N446" i="7"/>
  <c r="M446" i="7"/>
  <c r="L446" i="7"/>
  <c r="K446" i="7"/>
  <c r="N445" i="7"/>
  <c r="M445" i="7"/>
  <c r="L445" i="7"/>
  <c r="K445" i="7"/>
  <c r="N444" i="7"/>
  <c r="M444" i="7"/>
  <c r="L444" i="7"/>
  <c r="K444" i="7"/>
  <c r="N443" i="7"/>
  <c r="M443" i="7"/>
  <c r="L443" i="7"/>
  <c r="K443" i="7"/>
  <c r="N442" i="7"/>
  <c r="M442" i="7"/>
  <c r="L442" i="7"/>
  <c r="K442" i="7"/>
  <c r="N441" i="7"/>
  <c r="M441" i="7"/>
  <c r="L441" i="7"/>
  <c r="K441" i="7"/>
  <c r="N440" i="7"/>
  <c r="M440" i="7"/>
  <c r="L440" i="7"/>
  <c r="K440" i="7"/>
  <c r="N439" i="7"/>
  <c r="M439" i="7"/>
  <c r="L439" i="7"/>
  <c r="K439" i="7"/>
  <c r="N438" i="7"/>
  <c r="M438" i="7"/>
  <c r="L438" i="7"/>
  <c r="K438" i="7"/>
  <c r="N437" i="7"/>
  <c r="M437" i="7"/>
  <c r="L437" i="7"/>
  <c r="K437" i="7"/>
  <c r="N436" i="7"/>
  <c r="M436" i="7"/>
  <c r="L436" i="7"/>
  <c r="K436" i="7"/>
  <c r="N435" i="7"/>
  <c r="M435" i="7"/>
  <c r="L435" i="7"/>
  <c r="K435" i="7"/>
  <c r="N434" i="7"/>
  <c r="M434" i="7"/>
  <c r="L434" i="7"/>
  <c r="K434" i="7"/>
  <c r="N433" i="7"/>
  <c r="M433" i="7"/>
  <c r="L433" i="7"/>
  <c r="K433" i="7"/>
  <c r="N432" i="7"/>
  <c r="M432" i="7"/>
  <c r="L432" i="7"/>
  <c r="K432" i="7"/>
  <c r="N431" i="7"/>
  <c r="M431" i="7"/>
  <c r="L431" i="7"/>
  <c r="K431" i="7"/>
  <c r="N430" i="7"/>
  <c r="M430" i="7"/>
  <c r="L430" i="7"/>
  <c r="K430" i="7"/>
  <c r="N429" i="7"/>
  <c r="M429" i="7"/>
  <c r="L429" i="7"/>
  <c r="K429" i="7"/>
  <c r="N428" i="7"/>
  <c r="M428" i="7"/>
  <c r="L428" i="7"/>
  <c r="K428" i="7"/>
  <c r="N427" i="7"/>
  <c r="M427" i="7"/>
  <c r="L427" i="7"/>
  <c r="K427" i="7"/>
  <c r="N426" i="7"/>
  <c r="M426" i="7"/>
  <c r="L426" i="7"/>
  <c r="K426" i="7"/>
  <c r="N425" i="7"/>
  <c r="M425" i="7"/>
  <c r="L425" i="7"/>
  <c r="K425" i="7"/>
  <c r="N424" i="7"/>
  <c r="M424" i="7"/>
  <c r="L424" i="7"/>
  <c r="K424" i="7"/>
  <c r="N423" i="7"/>
  <c r="M423" i="7"/>
  <c r="L423" i="7"/>
  <c r="K423" i="7"/>
  <c r="N422" i="7"/>
  <c r="M422" i="7"/>
  <c r="L422" i="7"/>
  <c r="K422" i="7"/>
  <c r="N421" i="7"/>
  <c r="M421" i="7"/>
  <c r="L421" i="7"/>
  <c r="K421" i="7"/>
  <c r="N420" i="7"/>
  <c r="M420" i="7"/>
  <c r="L420" i="7"/>
  <c r="K420" i="7"/>
  <c r="N419" i="7"/>
  <c r="M419" i="7"/>
  <c r="L419" i="7"/>
  <c r="K419" i="7"/>
  <c r="N418" i="7"/>
  <c r="M418" i="7"/>
  <c r="L418" i="7"/>
  <c r="K418" i="7"/>
  <c r="N417" i="7"/>
  <c r="M417" i="7"/>
  <c r="L417" i="7"/>
  <c r="K417" i="7"/>
  <c r="N416" i="7"/>
  <c r="M416" i="7"/>
  <c r="L416" i="7"/>
  <c r="K416" i="7"/>
  <c r="N415" i="7"/>
  <c r="M415" i="7"/>
  <c r="L415" i="7"/>
  <c r="K415" i="7"/>
  <c r="N414" i="7"/>
  <c r="M414" i="7"/>
  <c r="L414" i="7"/>
  <c r="K414" i="7"/>
  <c r="N413" i="7"/>
  <c r="M413" i="7"/>
  <c r="L413" i="7"/>
  <c r="K413" i="7"/>
  <c r="N412" i="7"/>
  <c r="M412" i="7"/>
  <c r="L412" i="7"/>
  <c r="K412" i="7"/>
  <c r="N411" i="7"/>
  <c r="M411" i="7"/>
  <c r="L411" i="7"/>
  <c r="K411" i="7"/>
  <c r="N410" i="7"/>
  <c r="M410" i="7"/>
  <c r="L410" i="7"/>
  <c r="K410" i="7"/>
  <c r="N409" i="7"/>
  <c r="M409" i="7"/>
  <c r="L409" i="7"/>
  <c r="K409" i="7"/>
  <c r="N408" i="7"/>
  <c r="M408" i="7"/>
  <c r="L408" i="7"/>
  <c r="K408" i="7"/>
  <c r="N407" i="7"/>
  <c r="M407" i="7"/>
  <c r="L407" i="7"/>
  <c r="K407" i="7"/>
  <c r="N406" i="7"/>
  <c r="M406" i="7"/>
  <c r="L406" i="7"/>
  <c r="K406" i="7"/>
  <c r="N405" i="7"/>
  <c r="M405" i="7"/>
  <c r="L405" i="7"/>
  <c r="K405" i="7"/>
  <c r="N404" i="7"/>
  <c r="M404" i="7"/>
  <c r="L404" i="7"/>
  <c r="K404" i="7"/>
  <c r="N403" i="7"/>
  <c r="M403" i="7"/>
  <c r="L403" i="7"/>
  <c r="K403" i="7"/>
  <c r="N402" i="7"/>
  <c r="M402" i="7"/>
  <c r="L402" i="7"/>
  <c r="K402" i="7"/>
  <c r="N401" i="7"/>
  <c r="M401" i="7"/>
  <c r="L401" i="7"/>
  <c r="K401" i="7"/>
  <c r="N400" i="7"/>
  <c r="M400" i="7"/>
  <c r="L400" i="7"/>
  <c r="K400" i="7"/>
  <c r="N399" i="7"/>
  <c r="M399" i="7"/>
  <c r="L399" i="7"/>
  <c r="K399" i="7"/>
  <c r="N398" i="7"/>
  <c r="M398" i="7"/>
  <c r="L398" i="7"/>
  <c r="K398" i="7"/>
  <c r="N397" i="7"/>
  <c r="M397" i="7"/>
  <c r="L397" i="7"/>
  <c r="K397" i="7"/>
  <c r="N396" i="7"/>
  <c r="M396" i="7"/>
  <c r="L396" i="7"/>
  <c r="K396" i="7"/>
  <c r="N395" i="7"/>
  <c r="M395" i="7"/>
  <c r="L395" i="7"/>
  <c r="K395" i="7"/>
  <c r="N394" i="7"/>
  <c r="M394" i="7"/>
  <c r="L394" i="7"/>
  <c r="K394" i="7"/>
  <c r="N393" i="7"/>
  <c r="M393" i="7"/>
  <c r="L393" i="7"/>
  <c r="K393" i="7"/>
  <c r="N392" i="7"/>
  <c r="M392" i="7"/>
  <c r="L392" i="7"/>
  <c r="K392" i="7"/>
  <c r="N391" i="7"/>
  <c r="M391" i="7"/>
  <c r="L391" i="7"/>
  <c r="K391" i="7"/>
  <c r="N390" i="7"/>
  <c r="M390" i="7"/>
  <c r="L390" i="7"/>
  <c r="K390" i="7"/>
  <c r="N389" i="7"/>
  <c r="M389" i="7"/>
  <c r="L389" i="7"/>
  <c r="K389" i="7"/>
  <c r="N388" i="7"/>
  <c r="M388" i="7"/>
  <c r="L388" i="7"/>
  <c r="K388" i="7"/>
  <c r="N387" i="7"/>
  <c r="M387" i="7"/>
  <c r="L387" i="7"/>
  <c r="K387" i="7"/>
  <c r="N386" i="7"/>
  <c r="M386" i="7"/>
  <c r="L386" i="7"/>
  <c r="K386" i="7"/>
  <c r="N385" i="7"/>
  <c r="M385" i="7"/>
  <c r="L385" i="7"/>
  <c r="K385" i="7"/>
  <c r="N384" i="7"/>
  <c r="M384" i="7"/>
  <c r="L384" i="7"/>
  <c r="K384" i="7"/>
  <c r="N383" i="7"/>
  <c r="M383" i="7"/>
  <c r="L383" i="7"/>
  <c r="K383" i="7"/>
  <c r="N382" i="7"/>
  <c r="M382" i="7"/>
  <c r="L382" i="7"/>
  <c r="K382" i="7"/>
  <c r="N381" i="7"/>
  <c r="M381" i="7"/>
  <c r="L381" i="7"/>
  <c r="K381" i="7"/>
  <c r="N380" i="7"/>
  <c r="M380" i="7"/>
  <c r="L380" i="7"/>
  <c r="K380" i="7"/>
  <c r="N379" i="7"/>
  <c r="M379" i="7"/>
  <c r="L379" i="7"/>
  <c r="K379" i="7"/>
  <c r="N378" i="7"/>
  <c r="M378" i="7"/>
  <c r="L378" i="7"/>
  <c r="K378" i="7"/>
  <c r="N377" i="7"/>
  <c r="M377" i="7"/>
  <c r="L377" i="7"/>
  <c r="K377" i="7"/>
  <c r="N376" i="7"/>
  <c r="M376" i="7"/>
  <c r="L376" i="7"/>
  <c r="K376" i="7"/>
  <c r="N375" i="7"/>
  <c r="M375" i="7"/>
  <c r="L375" i="7"/>
  <c r="K375" i="7"/>
  <c r="N374" i="7"/>
  <c r="M374" i="7"/>
  <c r="L374" i="7"/>
  <c r="K374" i="7"/>
  <c r="N373" i="7"/>
  <c r="M373" i="7"/>
  <c r="L373" i="7"/>
  <c r="K373" i="7"/>
  <c r="N372" i="7"/>
  <c r="M372" i="7"/>
  <c r="L372" i="7"/>
  <c r="K372" i="7"/>
  <c r="N371" i="7"/>
  <c r="M371" i="7"/>
  <c r="L371" i="7"/>
  <c r="K371" i="7"/>
  <c r="N370" i="7"/>
  <c r="M370" i="7"/>
  <c r="L370" i="7"/>
  <c r="K370" i="7"/>
  <c r="N369" i="7"/>
  <c r="M369" i="7"/>
  <c r="L369" i="7"/>
  <c r="K369" i="7"/>
  <c r="N368" i="7"/>
  <c r="M368" i="7"/>
  <c r="L368" i="7"/>
  <c r="K368" i="7"/>
  <c r="N367" i="7"/>
  <c r="M367" i="7"/>
  <c r="L367" i="7"/>
  <c r="K367" i="7"/>
  <c r="N366" i="7"/>
  <c r="M366" i="7"/>
  <c r="L366" i="7"/>
  <c r="K366" i="7"/>
  <c r="N365" i="7"/>
  <c r="M365" i="7"/>
  <c r="L365" i="7"/>
  <c r="K365" i="7"/>
  <c r="N364" i="7"/>
  <c r="M364" i="7"/>
  <c r="L364" i="7"/>
  <c r="K364" i="7"/>
  <c r="N363" i="7"/>
  <c r="M363" i="7"/>
  <c r="L363" i="7"/>
  <c r="K363" i="7"/>
  <c r="N362" i="7"/>
  <c r="M362" i="7"/>
  <c r="L362" i="7"/>
  <c r="K362" i="7"/>
  <c r="N361" i="7"/>
  <c r="M361" i="7"/>
  <c r="L361" i="7"/>
  <c r="K361" i="7"/>
  <c r="N360" i="7"/>
  <c r="M360" i="7"/>
  <c r="L360" i="7"/>
  <c r="K360" i="7"/>
  <c r="N359" i="7"/>
  <c r="M359" i="7"/>
  <c r="L359" i="7"/>
  <c r="K359" i="7"/>
  <c r="N358" i="7"/>
  <c r="M358" i="7"/>
  <c r="L358" i="7"/>
  <c r="K358" i="7"/>
  <c r="N357" i="7"/>
  <c r="M357" i="7"/>
  <c r="L357" i="7"/>
  <c r="K357" i="7"/>
  <c r="N356" i="7"/>
  <c r="M356" i="7"/>
  <c r="L356" i="7"/>
  <c r="K356" i="7"/>
  <c r="N355" i="7"/>
  <c r="M355" i="7"/>
  <c r="L355" i="7"/>
  <c r="K355" i="7"/>
  <c r="N354" i="7"/>
  <c r="M354" i="7"/>
  <c r="L354" i="7"/>
  <c r="K354" i="7"/>
  <c r="N353" i="7"/>
  <c r="M353" i="7"/>
  <c r="L353" i="7"/>
  <c r="K353" i="7"/>
  <c r="N352" i="7"/>
  <c r="M352" i="7"/>
  <c r="L352" i="7"/>
  <c r="K352" i="7"/>
  <c r="N351" i="7"/>
  <c r="M351" i="7"/>
  <c r="L351" i="7"/>
  <c r="K351" i="7"/>
  <c r="N350" i="7"/>
  <c r="M350" i="7"/>
  <c r="L350" i="7"/>
  <c r="K350" i="7"/>
  <c r="N349" i="7"/>
  <c r="M349" i="7"/>
  <c r="L349" i="7"/>
  <c r="K349" i="7"/>
  <c r="N348" i="7"/>
  <c r="M348" i="7"/>
  <c r="L348" i="7"/>
  <c r="K348" i="7"/>
  <c r="N347" i="7"/>
  <c r="M347" i="7"/>
  <c r="L347" i="7"/>
  <c r="K347" i="7"/>
  <c r="N346" i="7"/>
  <c r="M346" i="7"/>
  <c r="L346" i="7"/>
  <c r="K346" i="7"/>
  <c r="N345" i="7"/>
  <c r="M345" i="7"/>
  <c r="L345" i="7"/>
  <c r="K345" i="7"/>
  <c r="N344" i="7"/>
  <c r="M344" i="7"/>
  <c r="L344" i="7"/>
  <c r="K344" i="7"/>
  <c r="N343" i="7"/>
  <c r="M343" i="7"/>
  <c r="L343" i="7"/>
  <c r="K343" i="7"/>
  <c r="N342" i="7"/>
  <c r="M342" i="7"/>
  <c r="L342" i="7"/>
  <c r="K342" i="7"/>
  <c r="N341" i="7"/>
  <c r="M341" i="7"/>
  <c r="L341" i="7"/>
  <c r="K341" i="7"/>
  <c r="N340" i="7"/>
  <c r="M340" i="7"/>
  <c r="L340" i="7"/>
  <c r="K340" i="7"/>
  <c r="N339" i="7"/>
  <c r="M339" i="7"/>
  <c r="L339" i="7"/>
  <c r="K339" i="7"/>
  <c r="N338" i="7"/>
  <c r="M338" i="7"/>
  <c r="L338" i="7"/>
  <c r="K338" i="7"/>
  <c r="N337" i="7"/>
  <c r="M337" i="7"/>
  <c r="L337" i="7"/>
  <c r="K337" i="7"/>
  <c r="N336" i="7"/>
  <c r="M336" i="7"/>
  <c r="L336" i="7"/>
  <c r="K336" i="7"/>
  <c r="N335" i="7"/>
  <c r="M335" i="7"/>
  <c r="L335" i="7"/>
  <c r="K335" i="7"/>
  <c r="N334" i="7"/>
  <c r="M334" i="7"/>
  <c r="L334" i="7"/>
  <c r="K334" i="7"/>
  <c r="N333" i="7"/>
  <c r="M333" i="7"/>
  <c r="L333" i="7"/>
  <c r="K333" i="7"/>
  <c r="N332" i="7"/>
  <c r="M332" i="7"/>
  <c r="L332" i="7"/>
  <c r="K332" i="7"/>
  <c r="N331" i="7"/>
  <c r="M331" i="7"/>
  <c r="L331" i="7"/>
  <c r="K331" i="7"/>
  <c r="N330" i="7"/>
  <c r="M330" i="7"/>
  <c r="L330" i="7"/>
  <c r="K330" i="7"/>
  <c r="N329" i="7"/>
  <c r="M329" i="7"/>
  <c r="L329" i="7"/>
  <c r="K329" i="7"/>
  <c r="N328" i="7"/>
  <c r="M328" i="7"/>
  <c r="L328" i="7"/>
  <c r="K328" i="7"/>
  <c r="N327" i="7"/>
  <c r="M327" i="7"/>
  <c r="L327" i="7"/>
  <c r="K327" i="7"/>
  <c r="N326" i="7"/>
  <c r="M326" i="7"/>
  <c r="L326" i="7"/>
  <c r="K326" i="7"/>
  <c r="N325" i="7"/>
  <c r="M325" i="7"/>
  <c r="L325" i="7"/>
  <c r="K325" i="7"/>
  <c r="N324" i="7"/>
  <c r="M324" i="7"/>
  <c r="L324" i="7"/>
  <c r="K324" i="7"/>
  <c r="N323" i="7"/>
  <c r="M323" i="7"/>
  <c r="L323" i="7"/>
  <c r="K323" i="7"/>
  <c r="N322" i="7"/>
  <c r="M322" i="7"/>
  <c r="L322" i="7"/>
  <c r="K322" i="7"/>
  <c r="N321" i="7"/>
  <c r="M321" i="7"/>
  <c r="L321" i="7"/>
  <c r="K321" i="7"/>
  <c r="N320" i="7"/>
  <c r="M320" i="7"/>
  <c r="L320" i="7"/>
  <c r="K320" i="7"/>
  <c r="N319" i="7"/>
  <c r="M319" i="7"/>
  <c r="L319" i="7"/>
  <c r="K319" i="7"/>
  <c r="N318" i="7"/>
  <c r="M318" i="7"/>
  <c r="L318" i="7"/>
  <c r="K318" i="7"/>
  <c r="N317" i="7"/>
  <c r="M317" i="7"/>
  <c r="L317" i="7"/>
  <c r="K317" i="7"/>
  <c r="N316" i="7"/>
  <c r="M316" i="7"/>
  <c r="L316" i="7"/>
  <c r="K316" i="7"/>
  <c r="N315" i="7"/>
  <c r="M315" i="7"/>
  <c r="L315" i="7"/>
  <c r="K315" i="7"/>
  <c r="N314" i="7"/>
  <c r="M314" i="7"/>
  <c r="L314" i="7"/>
  <c r="K314" i="7"/>
  <c r="N313" i="7"/>
  <c r="M313" i="7"/>
  <c r="L313" i="7"/>
  <c r="K313" i="7"/>
  <c r="N312" i="7"/>
  <c r="M312" i="7"/>
  <c r="L312" i="7"/>
  <c r="K312" i="7"/>
  <c r="N311" i="7"/>
  <c r="M311" i="7"/>
  <c r="L311" i="7"/>
  <c r="K311" i="7"/>
  <c r="N310" i="7"/>
  <c r="M310" i="7"/>
  <c r="L310" i="7"/>
  <c r="K310" i="7"/>
  <c r="N309" i="7"/>
  <c r="M309" i="7"/>
  <c r="L309" i="7"/>
  <c r="K309" i="7"/>
  <c r="N308" i="7"/>
  <c r="M308" i="7"/>
  <c r="L308" i="7"/>
  <c r="K308" i="7"/>
  <c r="N307" i="7"/>
  <c r="M307" i="7"/>
  <c r="L307" i="7"/>
  <c r="K307" i="7"/>
  <c r="N306" i="7"/>
  <c r="M306" i="7"/>
  <c r="L306" i="7"/>
  <c r="K306" i="7"/>
  <c r="N305" i="7"/>
  <c r="M305" i="7"/>
  <c r="L305" i="7"/>
  <c r="K305" i="7"/>
  <c r="N304" i="7"/>
  <c r="M304" i="7"/>
  <c r="L304" i="7"/>
  <c r="K304" i="7"/>
  <c r="N303" i="7"/>
  <c r="M303" i="7"/>
  <c r="L303" i="7"/>
  <c r="K303" i="7"/>
  <c r="N302" i="7"/>
  <c r="M302" i="7"/>
  <c r="L302" i="7"/>
  <c r="K302" i="7"/>
  <c r="N301" i="7"/>
  <c r="M301" i="7"/>
  <c r="L301" i="7"/>
  <c r="K301" i="7"/>
  <c r="N300" i="7"/>
  <c r="M300" i="7"/>
  <c r="L300" i="7"/>
  <c r="K300" i="7"/>
  <c r="N299" i="7"/>
  <c r="M299" i="7"/>
  <c r="L299" i="7"/>
  <c r="K299" i="7"/>
  <c r="N298" i="7"/>
  <c r="M298" i="7"/>
  <c r="L298" i="7"/>
  <c r="K298" i="7"/>
  <c r="N297" i="7"/>
  <c r="M297" i="7"/>
  <c r="L297" i="7"/>
  <c r="K297" i="7"/>
  <c r="N296" i="7"/>
  <c r="M296" i="7"/>
  <c r="L296" i="7"/>
  <c r="K296" i="7"/>
  <c r="N295" i="7"/>
  <c r="M295" i="7"/>
  <c r="L295" i="7"/>
  <c r="K295" i="7"/>
  <c r="N294" i="7"/>
  <c r="M294" i="7"/>
  <c r="L294" i="7"/>
  <c r="K294" i="7"/>
  <c r="N293" i="7"/>
  <c r="M293" i="7"/>
  <c r="L293" i="7"/>
  <c r="K293" i="7"/>
  <c r="N292" i="7"/>
  <c r="M292" i="7"/>
  <c r="L292" i="7"/>
  <c r="K292" i="7"/>
  <c r="N291" i="7"/>
  <c r="M291" i="7"/>
  <c r="L291" i="7"/>
  <c r="K291" i="7"/>
  <c r="N290" i="7"/>
  <c r="M290" i="7"/>
  <c r="L290" i="7"/>
  <c r="K290" i="7"/>
  <c r="N289" i="7"/>
  <c r="M289" i="7"/>
  <c r="L289" i="7"/>
  <c r="K289" i="7"/>
  <c r="N288" i="7"/>
  <c r="M288" i="7"/>
  <c r="L288" i="7"/>
  <c r="K288" i="7"/>
  <c r="N287" i="7"/>
  <c r="M287" i="7"/>
  <c r="L287" i="7"/>
  <c r="K287" i="7"/>
  <c r="N286" i="7"/>
  <c r="M286" i="7"/>
  <c r="L286" i="7"/>
  <c r="K286" i="7"/>
  <c r="N285" i="7"/>
  <c r="M285" i="7"/>
  <c r="L285" i="7"/>
  <c r="K285" i="7"/>
  <c r="N284" i="7"/>
  <c r="M284" i="7"/>
  <c r="L284" i="7"/>
  <c r="K284" i="7"/>
  <c r="N283" i="7"/>
  <c r="M283" i="7"/>
  <c r="L283" i="7"/>
  <c r="K283" i="7"/>
  <c r="N282" i="7"/>
  <c r="M282" i="7"/>
  <c r="L282" i="7"/>
  <c r="K282" i="7"/>
  <c r="N281" i="7"/>
  <c r="M281" i="7"/>
  <c r="L281" i="7"/>
  <c r="K281" i="7"/>
  <c r="N280" i="7"/>
  <c r="M280" i="7"/>
  <c r="L280" i="7"/>
  <c r="K280" i="7"/>
  <c r="N279" i="7"/>
  <c r="M279" i="7"/>
  <c r="L279" i="7"/>
  <c r="K279" i="7"/>
  <c r="N278" i="7"/>
  <c r="M278" i="7"/>
  <c r="L278" i="7"/>
  <c r="K278" i="7"/>
  <c r="N277" i="7"/>
  <c r="M277" i="7"/>
  <c r="L277" i="7"/>
  <c r="K277" i="7"/>
  <c r="N276" i="7"/>
  <c r="M276" i="7"/>
  <c r="L276" i="7"/>
  <c r="K276" i="7"/>
  <c r="N275" i="7"/>
  <c r="M275" i="7"/>
  <c r="L275" i="7"/>
  <c r="K275" i="7"/>
  <c r="N274" i="7"/>
  <c r="M274" i="7"/>
  <c r="L274" i="7"/>
  <c r="K274" i="7"/>
  <c r="N273" i="7"/>
  <c r="M273" i="7"/>
  <c r="L273" i="7"/>
  <c r="K273" i="7"/>
  <c r="N272" i="7"/>
  <c r="M272" i="7"/>
  <c r="L272" i="7"/>
  <c r="K272" i="7"/>
  <c r="N271" i="7"/>
  <c r="M271" i="7"/>
  <c r="L271" i="7"/>
  <c r="K271" i="7"/>
  <c r="N270" i="7"/>
  <c r="M270" i="7"/>
  <c r="L270" i="7"/>
  <c r="K270" i="7"/>
  <c r="N269" i="7"/>
  <c r="M269" i="7"/>
  <c r="L269" i="7"/>
  <c r="K269" i="7"/>
  <c r="N268" i="7"/>
  <c r="M268" i="7"/>
  <c r="L268" i="7"/>
  <c r="K268" i="7"/>
  <c r="N267" i="7"/>
  <c r="M267" i="7"/>
  <c r="L267" i="7"/>
  <c r="K267" i="7"/>
  <c r="N266" i="7"/>
  <c r="M266" i="7"/>
  <c r="L266" i="7"/>
  <c r="K266" i="7"/>
  <c r="N265" i="7"/>
  <c r="M265" i="7"/>
  <c r="L265" i="7"/>
  <c r="K265" i="7"/>
  <c r="N264" i="7"/>
  <c r="M264" i="7"/>
  <c r="L264" i="7"/>
  <c r="K264" i="7"/>
  <c r="N263" i="7"/>
  <c r="M263" i="7"/>
  <c r="L263" i="7"/>
  <c r="K263" i="7"/>
  <c r="N262" i="7"/>
  <c r="M262" i="7"/>
  <c r="L262" i="7"/>
  <c r="K262" i="7"/>
  <c r="N261" i="7"/>
  <c r="M261" i="7"/>
  <c r="L261" i="7"/>
  <c r="K261" i="7"/>
  <c r="N260" i="7"/>
  <c r="M260" i="7"/>
  <c r="L260" i="7"/>
  <c r="K260" i="7"/>
  <c r="N259" i="7"/>
  <c r="M259" i="7"/>
  <c r="L259" i="7"/>
  <c r="K259" i="7"/>
  <c r="N258" i="7"/>
  <c r="M258" i="7"/>
  <c r="L258" i="7"/>
  <c r="K258" i="7"/>
  <c r="N257" i="7"/>
  <c r="M257" i="7"/>
  <c r="L257" i="7"/>
  <c r="K257" i="7"/>
  <c r="N256" i="7"/>
  <c r="M256" i="7"/>
  <c r="L256" i="7"/>
  <c r="K256" i="7"/>
  <c r="N255" i="7"/>
  <c r="M255" i="7"/>
  <c r="L255" i="7"/>
  <c r="K255" i="7"/>
  <c r="N254" i="7"/>
  <c r="M254" i="7"/>
  <c r="L254" i="7"/>
  <c r="K254" i="7"/>
  <c r="N253" i="7"/>
  <c r="M253" i="7"/>
  <c r="L253" i="7"/>
  <c r="K253" i="7"/>
  <c r="N252" i="7"/>
  <c r="M252" i="7"/>
  <c r="L252" i="7"/>
  <c r="K252" i="7"/>
  <c r="N251" i="7"/>
  <c r="M251" i="7"/>
  <c r="L251" i="7"/>
  <c r="K251" i="7"/>
  <c r="N250" i="7"/>
  <c r="M250" i="7"/>
  <c r="L250" i="7"/>
  <c r="K250" i="7"/>
  <c r="N249" i="7"/>
  <c r="M249" i="7"/>
  <c r="L249" i="7"/>
  <c r="K249" i="7"/>
  <c r="N248" i="7"/>
  <c r="M248" i="7"/>
  <c r="L248" i="7"/>
  <c r="K248" i="7"/>
  <c r="N247" i="7"/>
  <c r="M247" i="7"/>
  <c r="L247" i="7"/>
  <c r="K247" i="7"/>
  <c r="N246" i="7"/>
  <c r="M246" i="7"/>
  <c r="L246" i="7"/>
  <c r="K246" i="7"/>
  <c r="N245" i="7"/>
  <c r="M245" i="7"/>
  <c r="L245" i="7"/>
  <c r="K245" i="7"/>
  <c r="N244" i="7"/>
  <c r="M244" i="7"/>
  <c r="L244" i="7"/>
  <c r="K244" i="7"/>
  <c r="N243" i="7"/>
  <c r="M243" i="7"/>
  <c r="L243" i="7"/>
  <c r="K243" i="7"/>
  <c r="N242" i="7"/>
  <c r="M242" i="7"/>
  <c r="L242" i="7"/>
  <c r="K242" i="7"/>
  <c r="N241" i="7"/>
  <c r="M241" i="7"/>
  <c r="L241" i="7"/>
  <c r="K241" i="7"/>
  <c r="N240" i="7"/>
  <c r="M240" i="7"/>
  <c r="L240" i="7"/>
  <c r="K240" i="7"/>
  <c r="N239" i="7"/>
  <c r="M239" i="7"/>
  <c r="L239" i="7"/>
  <c r="K239" i="7"/>
  <c r="N238" i="7"/>
  <c r="M238" i="7"/>
  <c r="L238" i="7"/>
  <c r="K238" i="7"/>
  <c r="N237" i="7"/>
  <c r="M237" i="7"/>
  <c r="L237" i="7"/>
  <c r="K237" i="7"/>
  <c r="N236" i="7"/>
  <c r="M236" i="7"/>
  <c r="L236" i="7"/>
  <c r="K236" i="7"/>
  <c r="N235" i="7"/>
  <c r="M235" i="7"/>
  <c r="L235" i="7"/>
  <c r="K235" i="7"/>
  <c r="N234" i="7"/>
  <c r="M234" i="7"/>
  <c r="L234" i="7"/>
  <c r="K234" i="7"/>
  <c r="N233" i="7"/>
  <c r="M233" i="7"/>
  <c r="L233" i="7"/>
  <c r="K233" i="7"/>
  <c r="N232" i="7"/>
  <c r="M232" i="7"/>
  <c r="L232" i="7"/>
  <c r="K232" i="7"/>
  <c r="N231" i="7"/>
  <c r="M231" i="7"/>
  <c r="L231" i="7"/>
  <c r="K231" i="7"/>
  <c r="N230" i="7"/>
  <c r="M230" i="7"/>
  <c r="L230" i="7"/>
  <c r="K230" i="7"/>
  <c r="N229" i="7"/>
  <c r="M229" i="7"/>
  <c r="L229" i="7"/>
  <c r="K229" i="7"/>
  <c r="N228" i="7"/>
  <c r="M228" i="7"/>
  <c r="L228" i="7"/>
  <c r="K228" i="7"/>
  <c r="N227" i="7"/>
  <c r="M227" i="7"/>
  <c r="L227" i="7"/>
  <c r="K227" i="7"/>
  <c r="N226" i="7"/>
  <c r="M226" i="7"/>
  <c r="L226" i="7"/>
  <c r="K226" i="7"/>
  <c r="N225" i="7"/>
  <c r="M225" i="7"/>
  <c r="L225" i="7"/>
  <c r="K225" i="7"/>
  <c r="N224" i="7"/>
  <c r="M224" i="7"/>
  <c r="L224" i="7"/>
  <c r="K224" i="7"/>
  <c r="N223" i="7"/>
  <c r="M223" i="7"/>
  <c r="L223" i="7"/>
  <c r="K223" i="7"/>
  <c r="N222" i="7"/>
  <c r="M222" i="7"/>
  <c r="L222" i="7"/>
  <c r="K222" i="7"/>
  <c r="N221" i="7"/>
  <c r="M221" i="7"/>
  <c r="L221" i="7"/>
  <c r="K221" i="7"/>
  <c r="N220" i="7"/>
  <c r="M220" i="7"/>
  <c r="L220" i="7"/>
  <c r="K220" i="7"/>
  <c r="N219" i="7"/>
  <c r="M219" i="7"/>
  <c r="L219" i="7"/>
  <c r="K219" i="7"/>
  <c r="N218" i="7"/>
  <c r="M218" i="7"/>
  <c r="L218" i="7"/>
  <c r="K218" i="7"/>
  <c r="N217" i="7"/>
  <c r="M217" i="7"/>
  <c r="L217" i="7"/>
  <c r="K217" i="7"/>
  <c r="N216" i="7"/>
  <c r="M216" i="7"/>
  <c r="L216" i="7"/>
  <c r="K216" i="7"/>
  <c r="N215" i="7"/>
  <c r="M215" i="7"/>
  <c r="L215" i="7"/>
  <c r="K215" i="7"/>
  <c r="N214" i="7"/>
  <c r="M214" i="7"/>
  <c r="L214" i="7"/>
  <c r="K214" i="7"/>
  <c r="N213" i="7"/>
  <c r="M213" i="7"/>
  <c r="L213" i="7"/>
  <c r="K213" i="7"/>
  <c r="N212" i="7"/>
  <c r="M212" i="7"/>
  <c r="L212" i="7"/>
  <c r="K212" i="7"/>
  <c r="N211" i="7"/>
  <c r="M211" i="7"/>
  <c r="L211" i="7"/>
  <c r="K211" i="7"/>
  <c r="N210" i="7"/>
  <c r="M210" i="7"/>
  <c r="L210" i="7"/>
  <c r="K210" i="7"/>
  <c r="N209" i="7"/>
  <c r="M209" i="7"/>
  <c r="L209" i="7"/>
  <c r="K209" i="7"/>
  <c r="N208" i="7"/>
  <c r="M208" i="7"/>
  <c r="L208" i="7"/>
  <c r="K208" i="7"/>
  <c r="N207" i="7"/>
  <c r="M207" i="7"/>
  <c r="L207" i="7"/>
  <c r="K207" i="7"/>
  <c r="N206" i="7"/>
  <c r="M206" i="7"/>
  <c r="L206" i="7"/>
  <c r="K206" i="7"/>
  <c r="N205" i="7"/>
  <c r="M205" i="7"/>
  <c r="L205" i="7"/>
  <c r="K205" i="7"/>
  <c r="N204" i="7"/>
  <c r="M204" i="7"/>
  <c r="L204" i="7"/>
  <c r="K204" i="7"/>
  <c r="N203" i="7"/>
  <c r="M203" i="7"/>
  <c r="L203" i="7"/>
  <c r="K203" i="7"/>
  <c r="N202" i="7"/>
  <c r="M202" i="7"/>
  <c r="L202" i="7"/>
  <c r="K202" i="7"/>
  <c r="N201" i="7"/>
  <c r="M201" i="7"/>
  <c r="L201" i="7"/>
  <c r="K201" i="7"/>
  <c r="N200" i="7"/>
  <c r="M200" i="7"/>
  <c r="L200" i="7"/>
  <c r="K200" i="7"/>
  <c r="N199" i="7"/>
  <c r="M199" i="7"/>
  <c r="L199" i="7"/>
  <c r="K199" i="7"/>
  <c r="N198" i="7"/>
  <c r="M198" i="7"/>
  <c r="L198" i="7"/>
  <c r="K198" i="7"/>
  <c r="N197" i="7"/>
  <c r="M197" i="7"/>
  <c r="L197" i="7"/>
  <c r="K197" i="7"/>
  <c r="N196" i="7"/>
  <c r="M196" i="7"/>
  <c r="L196" i="7"/>
  <c r="K196" i="7"/>
  <c r="N195" i="7"/>
  <c r="M195" i="7"/>
  <c r="L195" i="7"/>
  <c r="K195" i="7"/>
  <c r="N194" i="7"/>
  <c r="M194" i="7"/>
  <c r="L194" i="7"/>
  <c r="K194" i="7"/>
  <c r="N193" i="7"/>
  <c r="M193" i="7"/>
  <c r="L193" i="7"/>
  <c r="K193" i="7"/>
  <c r="N192" i="7"/>
  <c r="M192" i="7"/>
  <c r="L192" i="7"/>
  <c r="K192" i="7"/>
  <c r="N191" i="7"/>
  <c r="M191" i="7"/>
  <c r="L191" i="7"/>
  <c r="K191" i="7"/>
  <c r="N190" i="7"/>
  <c r="M190" i="7"/>
  <c r="L190" i="7"/>
  <c r="K190" i="7"/>
  <c r="N189" i="7"/>
  <c r="M189" i="7"/>
  <c r="L189" i="7"/>
  <c r="K189" i="7"/>
  <c r="N188" i="7"/>
  <c r="M188" i="7"/>
  <c r="L188" i="7"/>
  <c r="K188" i="7"/>
  <c r="N187" i="7"/>
  <c r="M187" i="7"/>
  <c r="L187" i="7"/>
  <c r="K187" i="7"/>
  <c r="N186" i="7"/>
  <c r="M186" i="7"/>
  <c r="L186" i="7"/>
  <c r="K186" i="7"/>
  <c r="N185" i="7"/>
  <c r="M185" i="7"/>
  <c r="L185" i="7"/>
  <c r="K185" i="7"/>
  <c r="N184" i="7"/>
  <c r="M184" i="7"/>
  <c r="L184" i="7"/>
  <c r="K184" i="7"/>
  <c r="N183" i="7"/>
  <c r="M183" i="7"/>
  <c r="L183" i="7"/>
  <c r="K183" i="7"/>
  <c r="N182" i="7"/>
  <c r="M182" i="7"/>
  <c r="L182" i="7"/>
  <c r="K182" i="7"/>
  <c r="N181" i="7"/>
  <c r="M181" i="7"/>
  <c r="L181" i="7"/>
  <c r="K181" i="7"/>
  <c r="N180" i="7"/>
  <c r="M180" i="7"/>
  <c r="L180" i="7"/>
  <c r="K180" i="7"/>
  <c r="N179" i="7"/>
  <c r="M179" i="7"/>
  <c r="L179" i="7"/>
  <c r="K179" i="7"/>
  <c r="N178" i="7"/>
  <c r="M178" i="7"/>
  <c r="L178" i="7"/>
  <c r="K178" i="7"/>
  <c r="N177" i="7"/>
  <c r="M177" i="7"/>
  <c r="L177" i="7"/>
  <c r="K177" i="7"/>
  <c r="N176" i="7"/>
  <c r="M176" i="7"/>
  <c r="L176" i="7"/>
  <c r="K176" i="7"/>
  <c r="N175" i="7"/>
  <c r="M175" i="7"/>
  <c r="L175" i="7"/>
  <c r="K175" i="7"/>
  <c r="N174" i="7"/>
  <c r="M174" i="7"/>
  <c r="L174" i="7"/>
  <c r="K174" i="7"/>
  <c r="N173" i="7"/>
  <c r="M173" i="7"/>
  <c r="L173" i="7"/>
  <c r="K173" i="7"/>
  <c r="N172" i="7"/>
  <c r="M172" i="7"/>
  <c r="L172" i="7"/>
  <c r="K172" i="7"/>
  <c r="N171" i="7"/>
  <c r="M171" i="7"/>
  <c r="L171" i="7"/>
  <c r="K171" i="7"/>
  <c r="N170" i="7"/>
  <c r="M170" i="7"/>
  <c r="L170" i="7"/>
  <c r="K170" i="7"/>
  <c r="N169" i="7"/>
  <c r="M169" i="7"/>
  <c r="L169" i="7"/>
  <c r="K169" i="7"/>
  <c r="N168" i="7"/>
  <c r="M168" i="7"/>
  <c r="L168" i="7"/>
  <c r="K168" i="7"/>
  <c r="N167" i="7"/>
  <c r="M167" i="7"/>
  <c r="L167" i="7"/>
  <c r="K167" i="7"/>
  <c r="N166" i="7"/>
  <c r="M166" i="7"/>
  <c r="L166" i="7"/>
  <c r="K166" i="7"/>
  <c r="N165" i="7"/>
  <c r="M165" i="7"/>
  <c r="L165" i="7"/>
  <c r="K165" i="7"/>
  <c r="N164" i="7"/>
  <c r="M164" i="7"/>
  <c r="L164" i="7"/>
  <c r="K164" i="7"/>
  <c r="N163" i="7"/>
  <c r="M163" i="7"/>
  <c r="L163" i="7"/>
  <c r="K163" i="7"/>
  <c r="N162" i="7"/>
  <c r="M162" i="7"/>
  <c r="L162" i="7"/>
  <c r="K162" i="7"/>
  <c r="N161" i="7"/>
  <c r="M161" i="7"/>
  <c r="L161" i="7"/>
  <c r="K161" i="7"/>
  <c r="N160" i="7"/>
  <c r="M160" i="7"/>
  <c r="L160" i="7"/>
  <c r="K160" i="7"/>
  <c r="N159" i="7"/>
  <c r="M159" i="7"/>
  <c r="L159" i="7"/>
  <c r="K159" i="7"/>
  <c r="N158" i="7"/>
  <c r="M158" i="7"/>
  <c r="L158" i="7"/>
  <c r="K158" i="7"/>
  <c r="N157" i="7"/>
  <c r="M157" i="7"/>
  <c r="L157" i="7"/>
  <c r="K157" i="7"/>
  <c r="N156" i="7"/>
  <c r="M156" i="7"/>
  <c r="L156" i="7"/>
  <c r="K156" i="7"/>
  <c r="N155" i="7"/>
  <c r="M155" i="7"/>
  <c r="L155" i="7"/>
  <c r="K155" i="7"/>
  <c r="N154" i="7"/>
  <c r="M154" i="7"/>
  <c r="L154" i="7"/>
  <c r="K154" i="7"/>
  <c r="N153" i="7"/>
  <c r="M153" i="7"/>
  <c r="L153" i="7"/>
  <c r="K153" i="7"/>
  <c r="N152" i="7"/>
  <c r="M152" i="7"/>
  <c r="L152" i="7"/>
  <c r="K152" i="7"/>
  <c r="N151" i="7"/>
  <c r="M151" i="7"/>
  <c r="L151" i="7"/>
  <c r="K151" i="7"/>
  <c r="N150" i="7"/>
  <c r="M150" i="7"/>
  <c r="L150" i="7"/>
  <c r="K150" i="7"/>
  <c r="N149" i="7"/>
  <c r="M149" i="7"/>
  <c r="L149" i="7"/>
  <c r="K149" i="7"/>
  <c r="N148" i="7"/>
  <c r="M148" i="7"/>
  <c r="L148" i="7"/>
  <c r="K148" i="7"/>
  <c r="N147" i="7"/>
  <c r="M147" i="7"/>
  <c r="L147" i="7"/>
  <c r="K147" i="7"/>
  <c r="N146" i="7"/>
  <c r="M146" i="7"/>
  <c r="L146" i="7"/>
  <c r="K146" i="7"/>
  <c r="N145" i="7"/>
  <c r="M145" i="7"/>
  <c r="L145" i="7"/>
  <c r="K145" i="7"/>
  <c r="N144" i="7"/>
  <c r="M144" i="7"/>
  <c r="L144" i="7"/>
  <c r="K144" i="7"/>
  <c r="N143" i="7"/>
  <c r="M143" i="7"/>
  <c r="L143" i="7"/>
  <c r="K143" i="7"/>
  <c r="N142" i="7"/>
  <c r="M142" i="7"/>
  <c r="L142" i="7"/>
  <c r="K142" i="7"/>
  <c r="N141" i="7"/>
  <c r="M141" i="7"/>
  <c r="L141" i="7"/>
  <c r="K141" i="7"/>
  <c r="N140" i="7"/>
  <c r="M140" i="7"/>
  <c r="L140" i="7"/>
  <c r="K140" i="7"/>
  <c r="N139" i="7"/>
  <c r="M139" i="7"/>
  <c r="L139" i="7"/>
  <c r="K139" i="7"/>
  <c r="N138" i="7"/>
  <c r="M138" i="7"/>
  <c r="L138" i="7"/>
  <c r="K138" i="7"/>
  <c r="N137" i="7"/>
  <c r="M137" i="7"/>
  <c r="L137" i="7"/>
  <c r="K137" i="7"/>
  <c r="N136" i="7"/>
  <c r="M136" i="7"/>
  <c r="L136" i="7"/>
  <c r="K136" i="7"/>
  <c r="N135" i="7"/>
  <c r="M135" i="7"/>
  <c r="L135" i="7"/>
  <c r="K135" i="7"/>
  <c r="N134" i="7"/>
  <c r="M134" i="7"/>
  <c r="L134" i="7"/>
  <c r="K134" i="7"/>
  <c r="N133" i="7"/>
  <c r="M133" i="7"/>
  <c r="L133" i="7"/>
  <c r="K133" i="7"/>
  <c r="N132" i="7"/>
  <c r="M132" i="7"/>
  <c r="L132" i="7"/>
  <c r="K132" i="7"/>
  <c r="N131" i="7"/>
  <c r="M131" i="7"/>
  <c r="L131" i="7"/>
  <c r="K131" i="7"/>
  <c r="N130" i="7"/>
  <c r="M130" i="7"/>
  <c r="L130" i="7"/>
  <c r="K130" i="7"/>
  <c r="N129" i="7"/>
  <c r="M129" i="7"/>
  <c r="L129" i="7"/>
  <c r="K129" i="7"/>
  <c r="N128" i="7"/>
  <c r="M128" i="7"/>
  <c r="L128" i="7"/>
  <c r="K128" i="7"/>
  <c r="N127" i="7"/>
  <c r="M127" i="7"/>
  <c r="L127" i="7"/>
  <c r="K127" i="7"/>
  <c r="N126" i="7"/>
  <c r="M126" i="7"/>
  <c r="L126" i="7"/>
  <c r="K126" i="7"/>
  <c r="N125" i="7"/>
  <c r="M125" i="7"/>
  <c r="L125" i="7"/>
  <c r="K125" i="7"/>
  <c r="N124" i="7"/>
  <c r="M124" i="7"/>
  <c r="L124" i="7"/>
  <c r="K124" i="7"/>
  <c r="N123" i="7"/>
  <c r="M123" i="7"/>
  <c r="L123" i="7"/>
  <c r="K123" i="7"/>
  <c r="N122" i="7"/>
  <c r="M122" i="7"/>
  <c r="L122" i="7"/>
  <c r="K122" i="7"/>
  <c r="N121" i="7"/>
  <c r="M121" i="7"/>
  <c r="L121" i="7"/>
  <c r="K121" i="7"/>
  <c r="N120" i="7"/>
  <c r="M120" i="7"/>
  <c r="L120" i="7"/>
  <c r="K120" i="7"/>
  <c r="N119" i="7"/>
  <c r="M119" i="7"/>
  <c r="L119" i="7"/>
  <c r="K119" i="7"/>
  <c r="N118" i="7"/>
  <c r="M118" i="7"/>
  <c r="L118" i="7"/>
  <c r="K118" i="7"/>
  <c r="N117" i="7"/>
  <c r="M117" i="7"/>
  <c r="L117" i="7"/>
  <c r="K117" i="7"/>
  <c r="N116" i="7"/>
  <c r="M116" i="7"/>
  <c r="L116" i="7"/>
  <c r="K116" i="7"/>
  <c r="N115" i="7"/>
  <c r="M115" i="7"/>
  <c r="L115" i="7"/>
  <c r="K115" i="7"/>
  <c r="N114" i="7"/>
  <c r="M114" i="7"/>
  <c r="L114" i="7"/>
  <c r="K114" i="7"/>
  <c r="N113" i="7"/>
  <c r="M113" i="7"/>
  <c r="L113" i="7"/>
  <c r="K113" i="7"/>
  <c r="N112" i="7"/>
  <c r="M112" i="7"/>
  <c r="L112" i="7"/>
  <c r="K112" i="7"/>
  <c r="N111" i="7"/>
  <c r="M111" i="7"/>
  <c r="L111" i="7"/>
  <c r="K111" i="7"/>
  <c r="N110" i="7"/>
  <c r="M110" i="7"/>
  <c r="L110" i="7"/>
  <c r="K110" i="7"/>
  <c r="N109" i="7"/>
  <c r="M109" i="7"/>
  <c r="L109" i="7"/>
  <c r="K109" i="7"/>
  <c r="N108" i="7"/>
  <c r="M108" i="7"/>
  <c r="L108" i="7"/>
  <c r="K108" i="7"/>
  <c r="N107" i="7"/>
  <c r="M107" i="7"/>
  <c r="L107" i="7"/>
  <c r="K107" i="7"/>
  <c r="N106" i="7"/>
  <c r="M106" i="7"/>
  <c r="L106" i="7"/>
  <c r="K106" i="7"/>
  <c r="N105" i="7"/>
  <c r="M105" i="7"/>
  <c r="L105" i="7"/>
  <c r="K105" i="7"/>
  <c r="N104" i="7"/>
  <c r="M104" i="7"/>
  <c r="L104" i="7"/>
  <c r="K104" i="7"/>
  <c r="N103" i="7"/>
  <c r="M103" i="7"/>
  <c r="L103" i="7"/>
  <c r="K103" i="7"/>
  <c r="N102" i="7"/>
  <c r="M102" i="7"/>
  <c r="L102" i="7"/>
  <c r="K102" i="7"/>
  <c r="N101" i="7"/>
  <c r="M101" i="7"/>
  <c r="L101" i="7"/>
  <c r="K101" i="7"/>
  <c r="N100" i="7"/>
  <c r="M100" i="7"/>
  <c r="L100" i="7"/>
  <c r="K100" i="7"/>
  <c r="N99" i="7"/>
  <c r="M99" i="7"/>
  <c r="L99" i="7"/>
  <c r="K99" i="7"/>
  <c r="N98" i="7"/>
  <c r="M98" i="7"/>
  <c r="L98" i="7"/>
  <c r="K98" i="7"/>
  <c r="N97" i="7"/>
  <c r="M97" i="7"/>
  <c r="L97" i="7"/>
  <c r="K97" i="7"/>
  <c r="N96" i="7"/>
  <c r="M96" i="7"/>
  <c r="L96" i="7"/>
  <c r="K96" i="7"/>
  <c r="N95" i="7"/>
  <c r="M95" i="7"/>
  <c r="L95" i="7"/>
  <c r="K95" i="7"/>
  <c r="N94" i="7"/>
  <c r="M94" i="7"/>
  <c r="L94" i="7"/>
  <c r="K94" i="7"/>
  <c r="N93" i="7"/>
  <c r="M93" i="7"/>
  <c r="L93" i="7"/>
  <c r="K93" i="7"/>
  <c r="N92" i="7"/>
  <c r="M92" i="7"/>
  <c r="L92" i="7"/>
  <c r="K92" i="7"/>
  <c r="N91" i="7"/>
  <c r="M91" i="7"/>
  <c r="L91" i="7"/>
  <c r="K91" i="7"/>
  <c r="N90" i="7"/>
  <c r="M90" i="7"/>
  <c r="L90" i="7"/>
  <c r="K90" i="7"/>
  <c r="N89" i="7"/>
  <c r="M89" i="7"/>
  <c r="L89" i="7"/>
  <c r="K89" i="7"/>
  <c r="N88" i="7"/>
  <c r="M88" i="7"/>
  <c r="L88" i="7"/>
  <c r="K88" i="7"/>
  <c r="N87" i="7"/>
  <c r="M87" i="7"/>
  <c r="L87" i="7"/>
  <c r="K87" i="7"/>
  <c r="N86" i="7"/>
  <c r="M86" i="7"/>
  <c r="L86" i="7"/>
  <c r="K86" i="7"/>
  <c r="N85" i="7"/>
  <c r="M85" i="7"/>
  <c r="L85" i="7"/>
  <c r="K85" i="7"/>
  <c r="N84" i="7"/>
  <c r="M84" i="7"/>
  <c r="L84" i="7"/>
  <c r="K84" i="7"/>
  <c r="N83" i="7"/>
  <c r="M83" i="7"/>
  <c r="L83" i="7"/>
  <c r="K83" i="7"/>
  <c r="N82" i="7"/>
  <c r="M82" i="7"/>
  <c r="L82" i="7"/>
  <c r="K82" i="7"/>
  <c r="N81" i="7"/>
  <c r="M81" i="7"/>
  <c r="L81" i="7"/>
  <c r="K81" i="7"/>
  <c r="N80" i="7"/>
  <c r="M80" i="7"/>
  <c r="L80" i="7"/>
  <c r="K80" i="7"/>
  <c r="N79" i="7"/>
  <c r="M79" i="7"/>
  <c r="L79" i="7"/>
  <c r="K79" i="7"/>
  <c r="N78" i="7"/>
  <c r="M78" i="7"/>
  <c r="L78" i="7"/>
  <c r="K78" i="7"/>
  <c r="N77" i="7"/>
  <c r="M77" i="7"/>
  <c r="L77" i="7"/>
  <c r="K77" i="7"/>
  <c r="N76" i="7"/>
  <c r="M76" i="7"/>
  <c r="L76" i="7"/>
  <c r="K76" i="7"/>
  <c r="N75" i="7"/>
  <c r="M75" i="7"/>
  <c r="L75" i="7"/>
  <c r="K75" i="7"/>
  <c r="N74" i="7"/>
  <c r="M74" i="7"/>
  <c r="L74" i="7"/>
  <c r="K74" i="7"/>
  <c r="N73" i="7"/>
  <c r="M73" i="7"/>
  <c r="L73" i="7"/>
  <c r="K73" i="7"/>
  <c r="N72" i="7"/>
  <c r="M72" i="7"/>
  <c r="L72" i="7"/>
  <c r="K72" i="7"/>
  <c r="N71" i="7"/>
  <c r="M71" i="7"/>
  <c r="L71" i="7"/>
  <c r="K71" i="7"/>
  <c r="N70" i="7"/>
  <c r="M70" i="7"/>
  <c r="L70" i="7"/>
  <c r="K70" i="7"/>
  <c r="N69" i="7"/>
  <c r="M69" i="7"/>
  <c r="L69" i="7"/>
  <c r="K69" i="7"/>
  <c r="N68" i="7"/>
  <c r="M68" i="7"/>
  <c r="L68" i="7"/>
  <c r="K68" i="7"/>
  <c r="N67" i="7"/>
  <c r="M67" i="7"/>
  <c r="L67" i="7"/>
  <c r="K67" i="7"/>
  <c r="N66" i="7"/>
  <c r="M66" i="7"/>
  <c r="L66" i="7"/>
  <c r="K66" i="7"/>
  <c r="N65" i="7"/>
  <c r="M65" i="7"/>
  <c r="L65" i="7"/>
  <c r="K65" i="7"/>
  <c r="N64" i="7"/>
  <c r="M64" i="7"/>
  <c r="L64" i="7"/>
  <c r="K64" i="7"/>
  <c r="N63" i="7"/>
  <c r="M63" i="7"/>
  <c r="L63" i="7"/>
  <c r="K63" i="7"/>
  <c r="N62" i="7"/>
  <c r="M62" i="7"/>
  <c r="L62" i="7"/>
  <c r="K62" i="7"/>
  <c r="N61" i="7"/>
  <c r="M61" i="7"/>
  <c r="L61" i="7"/>
  <c r="K61" i="7"/>
  <c r="N60" i="7"/>
  <c r="M60" i="7"/>
  <c r="L60" i="7"/>
  <c r="K60" i="7"/>
  <c r="N59" i="7"/>
  <c r="M59" i="7"/>
  <c r="L59" i="7"/>
  <c r="K59" i="7"/>
  <c r="N58" i="7"/>
  <c r="M58" i="7"/>
  <c r="L58" i="7"/>
  <c r="K58" i="7"/>
  <c r="N57" i="7"/>
  <c r="M57" i="7"/>
  <c r="L57" i="7"/>
  <c r="K57" i="7"/>
  <c r="N56" i="7"/>
  <c r="M56" i="7"/>
  <c r="L56" i="7"/>
  <c r="K56" i="7"/>
  <c r="N55" i="7"/>
  <c r="M55" i="7"/>
  <c r="L55" i="7"/>
  <c r="K55" i="7"/>
  <c r="N54" i="7"/>
  <c r="M54" i="7"/>
  <c r="L54" i="7"/>
  <c r="K54" i="7"/>
  <c r="N53" i="7"/>
  <c r="M53" i="7"/>
  <c r="L53" i="7"/>
  <c r="K53" i="7"/>
  <c r="N52" i="7"/>
  <c r="M52" i="7"/>
  <c r="L52" i="7"/>
  <c r="K52" i="7"/>
  <c r="N51" i="7"/>
  <c r="M51" i="7"/>
  <c r="L51" i="7"/>
  <c r="K51" i="7"/>
  <c r="N50" i="7"/>
  <c r="M50" i="7"/>
  <c r="L50" i="7"/>
  <c r="K50" i="7"/>
  <c r="N49" i="7"/>
  <c r="M49" i="7"/>
  <c r="L49" i="7"/>
  <c r="K49" i="7"/>
  <c r="N48" i="7"/>
  <c r="M48" i="7"/>
  <c r="L48" i="7"/>
  <c r="K48" i="7"/>
  <c r="N47" i="7"/>
  <c r="M47" i="7"/>
  <c r="L47" i="7"/>
  <c r="K47" i="7"/>
  <c r="N46" i="7"/>
  <c r="M46" i="7"/>
  <c r="L46" i="7"/>
  <c r="K46" i="7"/>
  <c r="N45" i="7"/>
  <c r="M45" i="7"/>
  <c r="L45" i="7"/>
  <c r="K45" i="7"/>
  <c r="N44" i="7"/>
  <c r="M44" i="7"/>
  <c r="L44" i="7"/>
  <c r="K44" i="7"/>
  <c r="N43" i="7"/>
  <c r="M43" i="7"/>
  <c r="L43" i="7"/>
  <c r="K43" i="7"/>
  <c r="N42" i="7"/>
  <c r="M42" i="7"/>
  <c r="L42" i="7"/>
  <c r="K42" i="7"/>
  <c r="N41" i="7"/>
  <c r="M41" i="7"/>
  <c r="L41" i="7"/>
  <c r="K41" i="7"/>
  <c r="N40" i="7"/>
  <c r="M40" i="7"/>
  <c r="L40" i="7"/>
  <c r="K40" i="7"/>
  <c r="N39" i="7"/>
  <c r="M39" i="7"/>
  <c r="L39" i="7"/>
  <c r="K39" i="7"/>
  <c r="N38" i="7"/>
  <c r="M38" i="7"/>
  <c r="L38" i="7"/>
  <c r="K38" i="7"/>
  <c r="N37" i="7"/>
  <c r="M37" i="7"/>
  <c r="L37" i="7"/>
  <c r="K37" i="7"/>
  <c r="N36" i="7"/>
  <c r="M36" i="7"/>
  <c r="L36" i="7"/>
  <c r="K36" i="7"/>
  <c r="N35" i="7"/>
  <c r="M35" i="7"/>
  <c r="L35" i="7"/>
  <c r="K35" i="7"/>
  <c r="N34" i="7"/>
  <c r="M34" i="7"/>
  <c r="L34" i="7"/>
  <c r="K34" i="7"/>
  <c r="N33" i="7"/>
  <c r="M33" i="7"/>
  <c r="L33" i="7"/>
  <c r="K33" i="7"/>
  <c r="N32" i="7"/>
  <c r="M32" i="7"/>
  <c r="L32" i="7"/>
  <c r="K32" i="7"/>
  <c r="N31" i="7"/>
  <c r="M31" i="7"/>
  <c r="L31" i="7"/>
  <c r="K31" i="7"/>
  <c r="N30" i="7"/>
  <c r="M30" i="7"/>
  <c r="L30" i="7"/>
  <c r="K30" i="7"/>
  <c r="N29" i="7"/>
  <c r="M29" i="7"/>
  <c r="L29" i="7"/>
  <c r="K29" i="7"/>
  <c r="N28" i="7"/>
  <c r="M28" i="7"/>
  <c r="L28" i="7"/>
  <c r="K28" i="7"/>
  <c r="N27" i="7"/>
  <c r="M27" i="7"/>
  <c r="L27" i="7"/>
  <c r="K27" i="7"/>
  <c r="N26" i="7"/>
  <c r="M26" i="7"/>
  <c r="L26" i="7"/>
  <c r="K26" i="7"/>
  <c r="N25" i="7"/>
  <c r="M25" i="7"/>
  <c r="L25" i="7"/>
  <c r="K25" i="7"/>
  <c r="N24" i="7"/>
  <c r="M24" i="7"/>
  <c r="L24" i="7"/>
  <c r="K24" i="7"/>
  <c r="N23" i="7"/>
  <c r="M23" i="7"/>
  <c r="L23" i="7"/>
  <c r="K23" i="7"/>
  <c r="N22" i="7"/>
  <c r="M22" i="7"/>
  <c r="L22" i="7"/>
  <c r="K22" i="7"/>
  <c r="N21" i="7"/>
  <c r="M21" i="7"/>
  <c r="L21" i="7"/>
  <c r="K21" i="7"/>
  <c r="N20" i="7"/>
  <c r="M20" i="7"/>
  <c r="L20" i="7"/>
  <c r="K20" i="7"/>
  <c r="N19" i="7"/>
  <c r="M19" i="7"/>
  <c r="L19" i="7"/>
  <c r="K19" i="7"/>
  <c r="N18" i="7"/>
  <c r="M18" i="7"/>
  <c r="L18" i="7"/>
  <c r="K18" i="7"/>
  <c r="N17" i="7"/>
  <c r="M17" i="7"/>
  <c r="L17" i="7"/>
  <c r="K17" i="7"/>
  <c r="N16" i="7"/>
  <c r="M16" i="7"/>
  <c r="L16" i="7"/>
  <c r="K16" i="7"/>
  <c r="N15" i="7"/>
  <c r="M15" i="7"/>
  <c r="L15" i="7"/>
  <c r="K15" i="7"/>
  <c r="N14" i="7"/>
  <c r="M14" i="7"/>
  <c r="L14" i="7"/>
  <c r="K14" i="7"/>
  <c r="N13" i="7"/>
  <c r="M13" i="7"/>
  <c r="L13" i="7"/>
  <c r="K13" i="7"/>
  <c r="N12" i="7"/>
  <c r="M12" i="7"/>
  <c r="L12" i="7"/>
  <c r="K12" i="7"/>
  <c r="N11" i="7"/>
  <c r="M11" i="7"/>
  <c r="L11" i="7"/>
  <c r="K11" i="7"/>
  <c r="N10" i="7"/>
  <c r="M10" i="7"/>
  <c r="L10" i="7"/>
  <c r="K10" i="7"/>
  <c r="N9" i="7"/>
  <c r="M9" i="7"/>
  <c r="L9" i="7"/>
  <c r="K9" i="7"/>
  <c r="N8" i="7"/>
  <c r="M8" i="7"/>
  <c r="L8" i="7"/>
  <c r="K8" i="7"/>
  <c r="N7" i="7"/>
  <c r="M7" i="7"/>
  <c r="L7" i="7"/>
  <c r="K7" i="7"/>
  <c r="N6" i="7"/>
  <c r="M6" i="7"/>
  <c r="L6" i="7"/>
  <c r="K6" i="7"/>
  <c r="N5" i="7"/>
  <c r="M5" i="7"/>
  <c r="L5" i="7"/>
  <c r="K5" i="7"/>
  <c r="N4" i="7"/>
  <c r="M4" i="7"/>
  <c r="L4" i="7"/>
  <c r="K4" i="7"/>
  <c r="N3" i="7"/>
  <c r="M3" i="7"/>
  <c r="L3" i="7"/>
  <c r="K3" i="7"/>
  <c r="N2" i="7"/>
  <c r="M2" i="7"/>
  <c r="L2" i="7"/>
  <c r="K2" i="7"/>
  <c r="T9" i="15" l="1"/>
  <c r="T6" i="15"/>
  <c r="R8" i="15"/>
  <c r="T8" i="15" s="1"/>
  <c r="T10" i="15" l="1"/>
</calcChain>
</file>

<file path=xl/sharedStrings.xml><?xml version="1.0" encoding="utf-8"?>
<sst xmlns="http://schemas.openxmlformats.org/spreadsheetml/2006/main" count="53265" uniqueCount="5505">
  <si>
    <t xml:space="preserve">Presupuesto </t>
  </si>
  <si>
    <t>Semana Inicial</t>
  </si>
  <si>
    <t>Semana Final</t>
  </si>
  <si>
    <t>Customer</t>
  </si>
  <si>
    <t>Name</t>
  </si>
  <si>
    <t>Terms Code</t>
  </si>
  <si>
    <t>Type</t>
  </si>
  <si>
    <t>Invoice</t>
  </si>
  <si>
    <t>Date</t>
  </si>
  <si>
    <t>Original Amount</t>
  </si>
  <si>
    <t>Open Balance</t>
  </si>
  <si>
    <t>Cruce QB</t>
  </si>
  <si>
    <t>Semana</t>
  </si>
  <si>
    <t>Presupuesto</t>
  </si>
  <si>
    <t>CAN0001</t>
  </si>
  <si>
    <t>Aldershot Greenhouses</t>
  </si>
  <si>
    <t>Net 30</t>
  </si>
  <si>
    <t>C</t>
  </si>
  <si>
    <t>CDM0000452</t>
  </si>
  <si>
    <t>Open</t>
  </si>
  <si>
    <t>No Esta</t>
  </si>
  <si>
    <t>I</t>
  </si>
  <si>
    <t>INV0006371</t>
  </si>
  <si>
    <t>INV0006767</t>
  </si>
  <si>
    <t>INV0007107</t>
  </si>
  <si>
    <t>INV0007112</t>
  </si>
  <si>
    <t>INV0007113</t>
  </si>
  <si>
    <t>INV0007115</t>
  </si>
  <si>
    <t>INV0007116</t>
  </si>
  <si>
    <t>INV0007117</t>
  </si>
  <si>
    <t>INV0007118</t>
  </si>
  <si>
    <t>INV0007122</t>
  </si>
  <si>
    <t>INV0007159</t>
  </si>
  <si>
    <t>INV0007160</t>
  </si>
  <si>
    <t>INV0007351</t>
  </si>
  <si>
    <t>INV0007460</t>
  </si>
  <si>
    <t>INV0007589</t>
  </si>
  <si>
    <t>INV0007631</t>
  </si>
  <si>
    <t>CAN0002</t>
  </si>
  <si>
    <t>Bayview Flowers</t>
  </si>
  <si>
    <t>CRM0117572</t>
  </si>
  <si>
    <t>HGI0116929</t>
  </si>
  <si>
    <t>HGI0117026</t>
  </si>
  <si>
    <t>HGI0118535</t>
  </si>
  <si>
    <t>CRM0202563</t>
  </si>
  <si>
    <t>HGI0119385</t>
  </si>
  <si>
    <t>INV0004195</t>
  </si>
  <si>
    <t>INV0004570</t>
  </si>
  <si>
    <t>INV0007497</t>
  </si>
  <si>
    <t>INV0007612</t>
  </si>
  <si>
    <t>CAN0003</t>
  </si>
  <si>
    <t>Bevo Farms, Ltd</t>
  </si>
  <si>
    <t>INV0006775</t>
  </si>
  <si>
    <t>CAN0005</t>
  </si>
  <si>
    <t>Bloomstar Bouquet</t>
  </si>
  <si>
    <t>P</t>
  </si>
  <si>
    <t>INV0005733</t>
  </si>
  <si>
    <t>INV0005734</t>
  </si>
  <si>
    <t>INV0005736</t>
  </si>
  <si>
    <t>INV0006099</t>
  </si>
  <si>
    <t>INV0006100</t>
  </si>
  <si>
    <t>INV0006172</t>
  </si>
  <si>
    <t>INV0006195</t>
  </si>
  <si>
    <t>INV0006196</t>
  </si>
  <si>
    <t>INV0006291</t>
  </si>
  <si>
    <t>INV0006292</t>
  </si>
  <si>
    <t>INV0006325</t>
  </si>
  <si>
    <t>INV0006330</t>
  </si>
  <si>
    <t>INV0006421</t>
  </si>
  <si>
    <t>INV0006518</t>
  </si>
  <si>
    <t>INV0006900</t>
  </si>
  <si>
    <t>INV0006901</t>
  </si>
  <si>
    <t>INV0006904</t>
  </si>
  <si>
    <t>INV0006905</t>
  </si>
  <si>
    <t>INV0007035</t>
  </si>
  <si>
    <t>INV0007133</t>
  </si>
  <si>
    <t>INV0007172</t>
  </si>
  <si>
    <t>INV0007237</t>
  </si>
  <si>
    <t>CAN0006</t>
  </si>
  <si>
    <t>Burnaby Lake Greenhouses</t>
  </si>
  <si>
    <t>CRM0120766</t>
  </si>
  <si>
    <t>CRM0121078</t>
  </si>
  <si>
    <t>CRM0125788</t>
  </si>
  <si>
    <t>HGI0125518</t>
  </si>
  <si>
    <t>HGI0126132</t>
  </si>
  <si>
    <t>INV0001660</t>
  </si>
  <si>
    <t>*</t>
  </si>
  <si>
    <t>INV0002062</t>
  </si>
  <si>
    <t>INV0006317</t>
  </si>
  <si>
    <t>INV0006816</t>
  </si>
  <si>
    <t>INV0007043</t>
  </si>
  <si>
    <t>INV0007378</t>
  </si>
  <si>
    <t>INV0007428</t>
  </si>
  <si>
    <t>CAN0011</t>
  </si>
  <si>
    <t>CosMic Plants</t>
  </si>
  <si>
    <t>HGI0118395</t>
  </si>
  <si>
    <t>HGI0123063</t>
  </si>
  <si>
    <t>INV0000741</t>
  </si>
  <si>
    <t>INV0003054</t>
  </si>
  <si>
    <t>CAN0018</t>
  </si>
  <si>
    <t>Fleurs et Passion Yasmina</t>
  </si>
  <si>
    <t>HGI0124380</t>
  </si>
  <si>
    <t>CRM0126520</t>
  </si>
  <si>
    <t>HGI0124722</t>
  </si>
  <si>
    <t>INV0000312</t>
  </si>
  <si>
    <t>CDM0000092</t>
  </si>
  <si>
    <t>INV0000315</t>
  </si>
  <si>
    <t>CDM0000093</t>
  </si>
  <si>
    <t>INV0000447</t>
  </si>
  <si>
    <t>CDM0000094</t>
  </si>
  <si>
    <t>INV0000789</t>
  </si>
  <si>
    <t>INV0000790</t>
  </si>
  <si>
    <t>INV0001061</t>
  </si>
  <si>
    <t>INV0002759</t>
  </si>
  <si>
    <t>INV0003209</t>
  </si>
  <si>
    <t>INV0003768</t>
  </si>
  <si>
    <t>INV0004187</t>
  </si>
  <si>
    <t>CDM0000350</t>
  </si>
  <si>
    <t>CAN0019</t>
  </si>
  <si>
    <t>Flora Pack</t>
  </si>
  <si>
    <t>INV0003559</t>
  </si>
  <si>
    <t>INV0004840</t>
  </si>
  <si>
    <t>CDM0000519</t>
  </si>
  <si>
    <t>INV0005425</t>
  </si>
  <si>
    <t>CDM0000520</t>
  </si>
  <si>
    <t>INV0005437</t>
  </si>
  <si>
    <t>INV0006705</t>
  </si>
  <si>
    <t>INV0006819</t>
  </si>
  <si>
    <t>INV0007353</t>
  </si>
  <si>
    <t>INV0007356</t>
  </si>
  <si>
    <t>INV0007455</t>
  </si>
  <si>
    <t>INV0007602</t>
  </si>
  <si>
    <t>CAN0020</t>
  </si>
  <si>
    <t>FLORAL EXPRESS</t>
  </si>
  <si>
    <t>CAN0021</t>
  </si>
  <si>
    <t>Florists Supply LTD</t>
  </si>
  <si>
    <t>INV0006473</t>
  </si>
  <si>
    <t>INV0007011</t>
  </si>
  <si>
    <t>INV0007016</t>
  </si>
  <si>
    <t>CAN0025</t>
  </si>
  <si>
    <t>Harster Greenhouses Inc.</t>
  </si>
  <si>
    <t>HGI0116534</t>
  </si>
  <si>
    <t>HGI0121201</t>
  </si>
  <si>
    <t>HGI0121489</t>
  </si>
  <si>
    <t>HGI0121743</t>
  </si>
  <si>
    <t>INV0001402</t>
  </si>
  <si>
    <t>CDM0000279</t>
  </si>
  <si>
    <t>INV0003341</t>
  </si>
  <si>
    <t>INV0003640</t>
  </si>
  <si>
    <t>INV0004376</t>
  </si>
  <si>
    <t>CAN0027</t>
  </si>
  <si>
    <t>Hendriks Greenhouses</t>
  </si>
  <si>
    <t>INV0006780</t>
  </si>
  <si>
    <t>INV0006781</t>
  </si>
  <si>
    <t>CAN0030</t>
  </si>
  <si>
    <t>Homestead Growers Niagara Inc.</t>
  </si>
  <si>
    <t>INV0006316</t>
  </si>
  <si>
    <t>INV0007398</t>
  </si>
  <si>
    <t>INV0007400</t>
  </si>
  <si>
    <t>CAN0035</t>
  </si>
  <si>
    <t>MacArthur´s Quality Flowers &amp; Plant</t>
  </si>
  <si>
    <t>HGI0114672</t>
  </si>
  <si>
    <t>INV0003016</t>
  </si>
  <si>
    <t>INV0003132</t>
  </si>
  <si>
    <t>INV0003230</t>
  </si>
  <si>
    <t>INV0003466</t>
  </si>
  <si>
    <t>INV0006430</t>
  </si>
  <si>
    <t>INV0006432</t>
  </si>
  <si>
    <t>INV0007036</t>
  </si>
  <si>
    <t>CAN0036</t>
  </si>
  <si>
    <t>Make Scents Floral Distributors Inc.</t>
  </si>
  <si>
    <t>INV0006233</t>
  </si>
  <si>
    <t>CAN0037</t>
  </si>
  <si>
    <t>Metro Richelieu Inc</t>
  </si>
  <si>
    <t>CRM0120594</t>
  </si>
  <si>
    <t>CRM0125716</t>
  </si>
  <si>
    <t>INV0000273</t>
  </si>
  <si>
    <t>CDM0000270</t>
  </si>
  <si>
    <t>INV0002582</t>
  </si>
  <si>
    <t>CDM0000269</t>
  </si>
  <si>
    <t>INV0004301</t>
  </si>
  <si>
    <t>CAN0038</t>
  </si>
  <si>
    <t>Mexican Flower Trading</t>
  </si>
  <si>
    <t>INV0002271</t>
  </si>
  <si>
    <t>INV0006437</t>
  </si>
  <si>
    <t>CAN0039</t>
  </si>
  <si>
    <t>Meyers Fruit Farms Inc.</t>
  </si>
  <si>
    <t>INV0006151</t>
  </si>
  <si>
    <t>INV0006290</t>
  </si>
  <si>
    <t>INV0006296</t>
  </si>
  <si>
    <t>INV0006297</t>
  </si>
  <si>
    <t>INV0006308</t>
  </si>
  <si>
    <t>INV0006660</t>
  </si>
  <si>
    <t>INV0007123</t>
  </si>
  <si>
    <t>CAN0043</t>
  </si>
  <si>
    <t>Northland Floral Inc</t>
  </si>
  <si>
    <t>INV0000660</t>
  </si>
  <si>
    <t>INV0003062</t>
  </si>
  <si>
    <t>INV0003338</t>
  </si>
  <si>
    <t>INV0006655</t>
  </si>
  <si>
    <t>INV0006686</t>
  </si>
  <si>
    <t>INV0007554</t>
  </si>
  <si>
    <t>INV0007604</t>
  </si>
  <si>
    <t>CAN0044</t>
  </si>
  <si>
    <t>One Floral (Lakeshore Inc.)</t>
  </si>
  <si>
    <t>INV0004692</t>
  </si>
  <si>
    <t>INV0006992</t>
  </si>
  <si>
    <t>CAN0046</t>
  </si>
  <si>
    <t>Orchid Greens</t>
  </si>
  <si>
    <t>INV0006658</t>
  </si>
  <si>
    <t>INV0007238</t>
  </si>
  <si>
    <t>CAN0048</t>
  </si>
  <si>
    <t>P.H. Kuivenhoven Greenhouses Inc.</t>
  </si>
  <si>
    <t>Pre-Paid</t>
  </si>
  <si>
    <t>CRM0124376</t>
  </si>
  <si>
    <t>CAN0050</t>
  </si>
  <si>
    <t>Pioneer Flower Farms</t>
  </si>
  <si>
    <t>INV0006504</t>
  </si>
  <si>
    <t>INV0006654</t>
  </si>
  <si>
    <t>INV0006858</t>
  </si>
  <si>
    <t>INV0007375</t>
  </si>
  <si>
    <t>CAN0053</t>
  </si>
  <si>
    <t>Quiks Farm Ltd.</t>
  </si>
  <si>
    <t>INV0003717</t>
  </si>
  <si>
    <t>CDM0000407</t>
  </si>
  <si>
    <t>INV0004071</t>
  </si>
  <si>
    <t>INV0005620</t>
  </si>
  <si>
    <t>CAN0054</t>
  </si>
  <si>
    <t>Rainbow Greenhouses Inc</t>
  </si>
  <si>
    <t>HGI0115515</t>
  </si>
  <si>
    <t>HGI0116141</t>
  </si>
  <si>
    <t>HGI0118138</t>
  </si>
  <si>
    <t>HGI0119622</t>
  </si>
  <si>
    <t>INV0000791</t>
  </si>
  <si>
    <t>CDM0000230</t>
  </si>
  <si>
    <t>INV0006793</t>
  </si>
  <si>
    <t>CAN0056</t>
  </si>
  <si>
    <t>Rosa Flora Limited</t>
  </si>
  <si>
    <t>INV0003463</t>
  </si>
  <si>
    <t>CAN0059</t>
  </si>
  <si>
    <t>Savoir Fleur</t>
  </si>
  <si>
    <t>HGI0121871</t>
  </si>
  <si>
    <t>INV0005066</t>
  </si>
  <si>
    <t>INV0006339</t>
  </si>
  <si>
    <t>INV0006341</t>
  </si>
  <si>
    <t>INV0007138</t>
  </si>
  <si>
    <t>CAN0060</t>
  </si>
  <si>
    <t>Schenck Farm &amp; Greenhouses</t>
  </si>
  <si>
    <t>INV0001673</t>
  </si>
  <si>
    <t>INV0002366</t>
  </si>
  <si>
    <t>INV0006820</t>
  </si>
  <si>
    <t>CAN0065</t>
  </si>
  <si>
    <t>Spring Valley Gardens Niagara INC</t>
  </si>
  <si>
    <t>INV0006802</t>
  </si>
  <si>
    <t>INV0007299</t>
  </si>
  <si>
    <t>INV0007626</t>
  </si>
  <si>
    <t>CAN0066</t>
  </si>
  <si>
    <t>Summerhill Market</t>
  </si>
  <si>
    <t>INV0004373</t>
  </si>
  <si>
    <t>INV0006716</t>
  </si>
  <si>
    <t>CAN0067</t>
  </si>
  <si>
    <t>Sunrise Greenhouses</t>
  </si>
  <si>
    <t>INV0007009</t>
  </si>
  <si>
    <t>CAN0069</t>
  </si>
  <si>
    <t>Terra Greenhouses LTD</t>
  </si>
  <si>
    <t>HGI0116988</t>
  </si>
  <si>
    <t>HGI0116989</t>
  </si>
  <si>
    <t>INV0005726</t>
  </si>
  <si>
    <t>INV0005727</t>
  </si>
  <si>
    <t>INV0006572</t>
  </si>
  <si>
    <t>INV0006689</t>
  </si>
  <si>
    <t>INV0007354</t>
  </si>
  <si>
    <t>INV0007369</t>
  </si>
  <si>
    <t>INV0007396</t>
  </si>
  <si>
    <t>CAN0071</t>
  </si>
  <si>
    <t>The Flower Market</t>
  </si>
  <si>
    <t>INV0006856</t>
  </si>
  <si>
    <t>CAN0073</t>
  </si>
  <si>
    <t>United Floral Distributors</t>
  </si>
  <si>
    <t>HGI0120287</t>
  </si>
  <si>
    <t>HGI0121726</t>
  </si>
  <si>
    <t>HGI0121727</t>
  </si>
  <si>
    <t>HGI0121749</t>
  </si>
  <si>
    <t>HGI0121760</t>
  </si>
  <si>
    <t>HGI0122703</t>
  </si>
  <si>
    <t>HGI0122835</t>
  </si>
  <si>
    <t>HGI0123230</t>
  </si>
  <si>
    <t>HGI0123231</t>
  </si>
  <si>
    <t>HGI0123233</t>
  </si>
  <si>
    <t>HGI0124729</t>
  </si>
  <si>
    <t>HGI0124914</t>
  </si>
  <si>
    <t>HGI0126322</t>
  </si>
  <si>
    <t>HGI0126680</t>
  </si>
  <si>
    <t>HGI0126802</t>
  </si>
  <si>
    <t>HGI0126885</t>
  </si>
  <si>
    <t>HGI0127065</t>
  </si>
  <si>
    <t>INV0000626</t>
  </si>
  <si>
    <t>INV0000643</t>
  </si>
  <si>
    <t>INV0000649</t>
  </si>
  <si>
    <t>INV0000652</t>
  </si>
  <si>
    <t>INV0000664</t>
  </si>
  <si>
    <t>INV0001561</t>
  </si>
  <si>
    <t>INV0001593</t>
  </si>
  <si>
    <t>INV0006425</t>
  </si>
  <si>
    <t>INV0007593</t>
  </si>
  <si>
    <t>INV0007596</t>
  </si>
  <si>
    <t>INV0007597</t>
  </si>
  <si>
    <t>INV0007599</t>
  </si>
  <si>
    <t>CAN0074</t>
  </si>
  <si>
    <t>United Floral Inc.</t>
  </si>
  <si>
    <t>HGI0126833</t>
  </si>
  <si>
    <t>CDM0000037</t>
  </si>
  <si>
    <t>CDM0000011</t>
  </si>
  <si>
    <t>INV0004075</t>
  </si>
  <si>
    <t>CAN0080</t>
  </si>
  <si>
    <t>Vermeer Greenhouses (Welland) Inc.</t>
  </si>
  <si>
    <t>INV0002657</t>
  </si>
  <si>
    <t>INV0003280</t>
  </si>
  <si>
    <t>INV0003649</t>
  </si>
  <si>
    <t>INV0003730</t>
  </si>
  <si>
    <t>CAN0081</t>
  </si>
  <si>
    <t>Waldan Gardens</t>
  </si>
  <si>
    <t>INV0000432</t>
  </si>
  <si>
    <t>INV0007361</t>
  </si>
  <si>
    <t>INV0007443</t>
  </si>
  <si>
    <t>CAN0082</t>
  </si>
  <si>
    <t>Waterview Farms</t>
  </si>
  <si>
    <t>INV0005429</t>
  </si>
  <si>
    <t>CAN0083</t>
  </si>
  <si>
    <t>Westbrook Greenhouses Limited</t>
  </si>
  <si>
    <t>INV0006894</t>
  </si>
  <si>
    <t>CAN0084</t>
  </si>
  <si>
    <t>Westland Greenhouses GB</t>
  </si>
  <si>
    <t>INV0006288</t>
  </si>
  <si>
    <t>CAN0087</t>
  </si>
  <si>
    <t>Willy's Greenhouses LTD</t>
  </si>
  <si>
    <t>HGI0122837</t>
  </si>
  <si>
    <t>HGI0123049</t>
  </si>
  <si>
    <t>CRM0124765</t>
  </si>
  <si>
    <t>HGI0125790</t>
  </si>
  <si>
    <t>HGI0125793</t>
  </si>
  <si>
    <t>CAN0088</t>
  </si>
  <si>
    <t>Woodland Nurseries Ltd</t>
  </si>
  <si>
    <t>CRM0120582</t>
  </si>
  <si>
    <t>CRM0120583</t>
  </si>
  <si>
    <t>CAN0090</t>
  </si>
  <si>
    <t>The Flower Factory*</t>
  </si>
  <si>
    <t>(No Discount Term)</t>
  </si>
  <si>
    <t>CAN0091</t>
  </si>
  <si>
    <t>Mainland Floral Distributors</t>
  </si>
  <si>
    <t>CRM0202739</t>
  </si>
  <si>
    <t>NAC0456</t>
  </si>
  <si>
    <t>1-800Flowers.com</t>
  </si>
  <si>
    <t>CRM0122272</t>
  </si>
  <si>
    <t>CRM0126521</t>
  </si>
  <si>
    <t>CRM0126525</t>
  </si>
  <si>
    <t>CRM0126529</t>
  </si>
  <si>
    <t>CRM0126923</t>
  </si>
  <si>
    <t>INV0000068</t>
  </si>
  <si>
    <t>INV0000093</t>
  </si>
  <si>
    <t>INV0000094</t>
  </si>
  <si>
    <t>INV0000259</t>
  </si>
  <si>
    <t>INV0000261</t>
  </si>
  <si>
    <t>INV0001791</t>
  </si>
  <si>
    <t>INV0005962</t>
  </si>
  <si>
    <t>INV0006028</t>
  </si>
  <si>
    <t>INV0006029</t>
  </si>
  <si>
    <t>INV0006808</t>
  </si>
  <si>
    <t>INV0006809</t>
  </si>
  <si>
    <t>INV0006810</t>
  </si>
  <si>
    <t>INV0007166</t>
  </si>
  <si>
    <t>INV0007309</t>
  </si>
  <si>
    <t>INV0007316</t>
  </si>
  <si>
    <t>INV0007522</t>
  </si>
  <si>
    <t>NAC0474</t>
  </si>
  <si>
    <t>Adrienes Flowers</t>
  </si>
  <si>
    <t>NAC0475</t>
  </si>
  <si>
    <t>Aerial Bouquets</t>
  </si>
  <si>
    <t>INV0006545</t>
  </si>
  <si>
    <t>INV0007431</t>
  </si>
  <si>
    <t>NAC0476</t>
  </si>
  <si>
    <t>Ahold USA</t>
  </si>
  <si>
    <t>Net 60</t>
  </si>
  <si>
    <t>CRM0117480</t>
  </si>
  <si>
    <t>HGI0118906</t>
  </si>
  <si>
    <t>HGI0118909</t>
  </si>
  <si>
    <t>HGI0119565</t>
  </si>
  <si>
    <t>HGI0121188</t>
  </si>
  <si>
    <t>HGI0123561</t>
  </si>
  <si>
    <t>HGI0125857</t>
  </si>
  <si>
    <t>HGI0126457</t>
  </si>
  <si>
    <t>HGI0126736</t>
  </si>
  <si>
    <t>INV0000374</t>
  </si>
  <si>
    <t>CDM0000249</t>
  </si>
  <si>
    <t>INV0000808</t>
  </si>
  <si>
    <t>INV0001380</t>
  </si>
  <si>
    <t>INV0001407</t>
  </si>
  <si>
    <t>CDM0000468</t>
  </si>
  <si>
    <t>INV0001765</t>
  </si>
  <si>
    <t>CDM0000250</t>
  </si>
  <si>
    <t>INV0001848</t>
  </si>
  <si>
    <t>INV0001933</t>
  </si>
  <si>
    <t>INV0002487</t>
  </si>
  <si>
    <t>CDM0000179</t>
  </si>
  <si>
    <t>INV0003127</t>
  </si>
  <si>
    <t>CDM0000262</t>
  </si>
  <si>
    <t>INV0003431</t>
  </si>
  <si>
    <t>CDM0000261</t>
  </si>
  <si>
    <t>INV0003438</t>
  </si>
  <si>
    <t>INV0003564</t>
  </si>
  <si>
    <t>INV0003609</t>
  </si>
  <si>
    <t>INV0003714</t>
  </si>
  <si>
    <t>INV0003744</t>
  </si>
  <si>
    <t>INV0004076</t>
  </si>
  <si>
    <t>INV0004078</t>
  </si>
  <si>
    <t>INV0004287</t>
  </si>
  <si>
    <t>INV0004322</t>
  </si>
  <si>
    <t>INV0004512</t>
  </si>
  <si>
    <t>INV0004534</t>
  </si>
  <si>
    <t>INV0004629</t>
  </si>
  <si>
    <t>INV0004649</t>
  </si>
  <si>
    <t>INV0004659</t>
  </si>
  <si>
    <t>INV0004667</t>
  </si>
  <si>
    <t>INV0004790</t>
  </si>
  <si>
    <t>INV0004799</t>
  </si>
  <si>
    <t>INV0004800</t>
  </si>
  <si>
    <t>INV0004812</t>
  </si>
  <si>
    <t>INV0004931</t>
  </si>
  <si>
    <t>INV0004944</t>
  </si>
  <si>
    <t>INV0004948</t>
  </si>
  <si>
    <t>INV0005231</t>
  </si>
  <si>
    <t>INV0005454</t>
  </si>
  <si>
    <t>INV0005546</t>
  </si>
  <si>
    <t>INV0005675</t>
  </si>
  <si>
    <t>INV0005778</t>
  </si>
  <si>
    <t>INV0005988</t>
  </si>
  <si>
    <t>INV0006033</t>
  </si>
  <si>
    <t>INV0006034</t>
  </si>
  <si>
    <t>INV0006035</t>
  </si>
  <si>
    <t>INV0006036</t>
  </si>
  <si>
    <t>INV0006110</t>
  </si>
  <si>
    <t>INV0006212</t>
  </si>
  <si>
    <t>INV0006287</t>
  </si>
  <si>
    <t>INV0006568</t>
  </si>
  <si>
    <t>INV0006571</t>
  </si>
  <si>
    <t>INV0007314</t>
  </si>
  <si>
    <t>INV0007495</t>
  </si>
  <si>
    <t>INV0007633</t>
  </si>
  <si>
    <t>NAC0483</t>
  </si>
  <si>
    <t>Albertsons</t>
  </si>
  <si>
    <t>HGI0107211</t>
  </si>
  <si>
    <t>CRM0126575</t>
  </si>
  <si>
    <t>NAC0513</t>
  </si>
  <si>
    <t>Alight Flower Farm LLC</t>
  </si>
  <si>
    <t>NAC0515</t>
  </si>
  <si>
    <t>Allen Floral &amp; Gift</t>
  </si>
  <si>
    <t>INV0004532</t>
  </si>
  <si>
    <t>NAC0520</t>
  </si>
  <si>
    <t>Altman Plants</t>
  </si>
  <si>
    <t>CRM0116149</t>
  </si>
  <si>
    <t>CRM0116513</t>
  </si>
  <si>
    <t>INV0004054</t>
  </si>
  <si>
    <t>INV0004869</t>
  </si>
  <si>
    <t>INV0004884</t>
  </si>
  <si>
    <t>INV0005091</t>
  </si>
  <si>
    <t>INV0005377</t>
  </si>
  <si>
    <t>INV0005496</t>
  </si>
  <si>
    <t>INV0005618</t>
  </si>
  <si>
    <t>INV0005631</t>
  </si>
  <si>
    <t>INV0005676</t>
  </si>
  <si>
    <t>INV0006452</t>
  </si>
  <si>
    <t>INV0006480</t>
  </si>
  <si>
    <t>INV0006763</t>
  </si>
  <si>
    <t>INV0006818</t>
  </si>
  <si>
    <t>INV0006899</t>
  </si>
  <si>
    <t>INV0006983</t>
  </si>
  <si>
    <t>INV0007066</t>
  </si>
  <si>
    <t>INV0007343</t>
  </si>
  <si>
    <t>INV0007496</t>
  </si>
  <si>
    <t>NAC0525</t>
  </si>
  <si>
    <t>Amerigo Farms Inc.</t>
  </si>
  <si>
    <t>INV0003836</t>
  </si>
  <si>
    <t>INV0003946</t>
  </si>
  <si>
    <t>INV0004295</t>
  </si>
  <si>
    <t>INV0005074</t>
  </si>
  <si>
    <t>INV0006385</t>
  </si>
  <si>
    <t>INV0006740</t>
  </si>
  <si>
    <t>INV0007242</t>
  </si>
  <si>
    <t>INV0007262</t>
  </si>
  <si>
    <t>NAC0528</t>
  </si>
  <si>
    <t>Andy Mast Greenhouses</t>
  </si>
  <si>
    <t>INV0006070</t>
  </si>
  <si>
    <t>INV0006190</t>
  </si>
  <si>
    <t>INV0006204</t>
  </si>
  <si>
    <t>INV0006239</t>
  </si>
  <si>
    <t>INV0006376</t>
  </si>
  <si>
    <t>INV0006381</t>
  </si>
  <si>
    <t>INV0006428</t>
  </si>
  <si>
    <t>INV0006695</t>
  </si>
  <si>
    <t>INV0006700</t>
  </si>
  <si>
    <t>INV0006701</t>
  </si>
  <si>
    <t>INV0006765</t>
  </si>
  <si>
    <t>INV0007056</t>
  </si>
  <si>
    <t>INV0007263</t>
  </si>
  <si>
    <t>INV0007444</t>
  </si>
  <si>
    <t>INV0007625</t>
  </si>
  <si>
    <t>NAC0532</t>
  </si>
  <si>
    <t>Araceli's Flower Shop</t>
  </si>
  <si>
    <t>CRM0126487</t>
  </si>
  <si>
    <t>INV0003837</t>
  </si>
  <si>
    <t>NAC0533</t>
  </si>
  <si>
    <t>Ariemma's Garden Center</t>
  </si>
  <si>
    <t>INV0007235</t>
  </si>
  <si>
    <t>NAC0534</t>
  </si>
  <si>
    <t>ARIS HORTICULTURE-ALVA,FL</t>
  </si>
  <si>
    <t>INV0004203</t>
  </si>
  <si>
    <t>CDM0000367</t>
  </si>
  <si>
    <t>INV0005127</t>
  </si>
  <si>
    <t>CDM0000388</t>
  </si>
  <si>
    <t>INV0005427</t>
  </si>
  <si>
    <t>CDM0000403</t>
  </si>
  <si>
    <t>INV0006566</t>
  </si>
  <si>
    <t>NAC0537</t>
  </si>
  <si>
    <t>Armstrong Garden Centers, Inc</t>
  </si>
  <si>
    <t>INV0005119</t>
  </si>
  <si>
    <t>INV0005365</t>
  </si>
  <si>
    <t>NAC0538</t>
  </si>
  <si>
    <t>Art of Flowers</t>
  </si>
  <si>
    <t>INV0004536</t>
  </si>
  <si>
    <t>NAC0539</t>
  </si>
  <si>
    <t>Askren &amp; Sons Inc</t>
  </si>
  <si>
    <t>INV0005452</t>
  </si>
  <si>
    <t>CDM0000335</t>
  </si>
  <si>
    <t>NAC0544</t>
  </si>
  <si>
    <t>B D K Marketing Inc</t>
  </si>
  <si>
    <t>INV0002838</t>
  </si>
  <si>
    <t>INV0007644</t>
  </si>
  <si>
    <t>NAC0546</t>
  </si>
  <si>
    <t>BAISCH &amp; SKINNER WHOLESALE FLORAL</t>
  </si>
  <si>
    <t>INV0005457</t>
  </si>
  <si>
    <t>INV0006976</t>
  </si>
  <si>
    <t>NAC0550</t>
  </si>
  <si>
    <t>Bandy Ranch Floral</t>
  </si>
  <si>
    <t>INV0006771</t>
  </si>
  <si>
    <t>NAC0551</t>
  </si>
  <si>
    <t>BAP Nursery, Inc.</t>
  </si>
  <si>
    <t>INV0006618</t>
  </si>
  <si>
    <t>NAC0556</t>
  </si>
  <si>
    <t>Battlefield</t>
  </si>
  <si>
    <t>HGI0126117</t>
  </si>
  <si>
    <t>CDM0000460</t>
  </si>
  <si>
    <t>INV0000531</t>
  </si>
  <si>
    <t>INV0007165</t>
  </si>
  <si>
    <t>NAC0558</t>
  </si>
  <si>
    <t>Bay State &amp; Johnson's</t>
  </si>
  <si>
    <t>INV0007297</t>
  </si>
  <si>
    <t>INV0007509</t>
  </si>
  <si>
    <t>NAC0563</t>
  </si>
  <si>
    <t>Belak Flowers, Inc.</t>
  </si>
  <si>
    <t>INV0004574</t>
  </si>
  <si>
    <t>NAC0567</t>
  </si>
  <si>
    <t>BELLS NURSERY-AK</t>
  </si>
  <si>
    <t>NAC0573</t>
  </si>
  <si>
    <t>BFG SUPPLY COMPANY</t>
  </si>
  <si>
    <t>HGI0114770</t>
  </si>
  <si>
    <t>HGI0115293</t>
  </si>
  <si>
    <t>HGI0126002</t>
  </si>
  <si>
    <t>HGI0126193</t>
  </si>
  <si>
    <t>HGI0126194</t>
  </si>
  <si>
    <t>INV0003238</t>
  </si>
  <si>
    <t>INV0004592</t>
  </si>
  <si>
    <t>INV0004833</t>
  </si>
  <si>
    <t>INV0004938</t>
  </si>
  <si>
    <t>INV0005741</t>
  </si>
  <si>
    <t>INV0006069</t>
  </si>
  <si>
    <t>INV0006073</t>
  </si>
  <si>
    <t>INV0006265</t>
  </si>
  <si>
    <t>INV0006298</t>
  </si>
  <si>
    <t>INV0006712</t>
  </si>
  <si>
    <t>INV0006842</t>
  </si>
  <si>
    <t>INV0007070</t>
  </si>
  <si>
    <t>INV0007167</t>
  </si>
  <si>
    <t>INV0007432</t>
  </si>
  <si>
    <t>NAC0583</t>
  </si>
  <si>
    <t>BLUE MOUNTAIN FARMS</t>
  </si>
  <si>
    <t>NAC0586</t>
  </si>
  <si>
    <t>Blue Water Growers</t>
  </si>
  <si>
    <t>INV0004377</t>
  </si>
  <si>
    <t>CDM0000463</t>
  </si>
  <si>
    <t>CDM0000515</t>
  </si>
  <si>
    <t>NAC0589</t>
  </si>
  <si>
    <t>Bonnie Plants LLC</t>
  </si>
  <si>
    <t>INV0006582</t>
  </si>
  <si>
    <t>INV0007163</t>
  </si>
  <si>
    <t>NAC0593</t>
  </si>
  <si>
    <t>Bountiful Blooms</t>
  </si>
  <si>
    <t>INV0004366</t>
  </si>
  <si>
    <t>NAC0594</t>
  </si>
  <si>
    <t>Bouquet Collection</t>
  </si>
  <si>
    <t>INV0006736</t>
  </si>
  <si>
    <t>INV0006804</t>
  </si>
  <si>
    <t>INV0006910</t>
  </si>
  <si>
    <t>INV0006991</t>
  </si>
  <si>
    <t>INV0007226</t>
  </si>
  <si>
    <t>INV0007234</t>
  </si>
  <si>
    <t>INV0007322</t>
  </si>
  <si>
    <t>INV0007336</t>
  </si>
  <si>
    <t>INV0007360</t>
  </si>
  <si>
    <t>INV0007377</t>
  </si>
  <si>
    <t>INV0007409</t>
  </si>
  <si>
    <t>INV0007500</t>
  </si>
  <si>
    <t>NAC0597</t>
  </si>
  <si>
    <t>The Brenmar Inc.</t>
  </si>
  <si>
    <t>INV0006399</t>
  </si>
  <si>
    <t>NAC0600</t>
  </si>
  <si>
    <t>Brightland Farms, Inc.</t>
  </si>
  <si>
    <t>INV0006738</t>
  </si>
  <si>
    <t>INV0007271</t>
  </si>
  <si>
    <t>NAC0604</t>
  </si>
  <si>
    <t>BROUWER'S FLOWERS</t>
  </si>
  <si>
    <t>NAC0610</t>
  </si>
  <si>
    <t>BUNZL</t>
  </si>
  <si>
    <t>INV0003715</t>
  </si>
  <si>
    <t>INV0005548</t>
  </si>
  <si>
    <t>INV0005721</t>
  </si>
  <si>
    <t>INV0005722</t>
  </si>
  <si>
    <t>NAC0612</t>
  </si>
  <si>
    <t>Burton + Burton</t>
  </si>
  <si>
    <t>INV0005908</t>
  </si>
  <si>
    <t>CDM0000512</t>
  </si>
  <si>
    <t>INV0006730</t>
  </si>
  <si>
    <t>INV0006806</t>
  </si>
  <si>
    <t>INV0006817</t>
  </si>
  <si>
    <t>NAC0613</t>
  </si>
  <si>
    <t>BWI COMPANIES</t>
  </si>
  <si>
    <t>CRM0118842</t>
  </si>
  <si>
    <t>CRM0118844</t>
  </si>
  <si>
    <t>CRM0118869</t>
  </si>
  <si>
    <t>INV0001026</t>
  </si>
  <si>
    <t>INV0001334</t>
  </si>
  <si>
    <t>INV0001494</t>
  </si>
  <si>
    <t>INV0001838</t>
  </si>
  <si>
    <t>INV0002423</t>
  </si>
  <si>
    <t>INV0002425</t>
  </si>
  <si>
    <t>CDM0000445</t>
  </si>
  <si>
    <t>INV0006072</t>
  </si>
  <si>
    <t>INV0006119</t>
  </si>
  <si>
    <t>INV0006548</t>
  </si>
  <si>
    <t>INV0006699</t>
  </si>
  <si>
    <t>NAC0614</t>
  </si>
  <si>
    <t>C&amp;S Wholesale Grocers</t>
  </si>
  <si>
    <t>HGI0126201</t>
  </si>
  <si>
    <t>INV0003833</t>
  </si>
  <si>
    <t>CDM0000260</t>
  </si>
  <si>
    <t>INV0006374</t>
  </si>
  <si>
    <t>NAC0624</t>
  </si>
  <si>
    <t>CARLIN SALES CORPORATION</t>
  </si>
  <si>
    <t>CRM0120342</t>
  </si>
  <si>
    <t>INV0001063</t>
  </si>
  <si>
    <t>NAC0632</t>
  </si>
  <si>
    <t>CENTRAL FLORIDA BERRIES</t>
  </si>
  <si>
    <t>INV0002643</t>
  </si>
  <si>
    <t>INV0006714</t>
  </si>
  <si>
    <t>NAC0633</t>
  </si>
  <si>
    <t>Centro Cuesta Nacional, S.A.S.</t>
  </si>
  <si>
    <t>INV0004676</t>
  </si>
  <si>
    <t>NAC0641</t>
  </si>
  <si>
    <t>CHOATE NURSERY</t>
  </si>
  <si>
    <t>CRM0126936</t>
  </si>
  <si>
    <t>INV0000716</t>
  </si>
  <si>
    <t>NAC0645</t>
  </si>
  <si>
    <t>Chris Greenhouse + Garden Center LLC</t>
  </si>
  <si>
    <t>INV0002642</t>
  </si>
  <si>
    <t>NAC0646</t>
  </si>
  <si>
    <t>Chun's Nursery Inc.</t>
  </si>
  <si>
    <t>INV0006090</t>
  </si>
  <si>
    <t>NAC0652</t>
  </si>
  <si>
    <t>Claudia's Florist</t>
  </si>
  <si>
    <t>INV0005375</t>
  </si>
  <si>
    <t>NAC0657</t>
  </si>
  <si>
    <t>Clint Bishop Nursery</t>
  </si>
  <si>
    <t>INV0006626</t>
  </si>
  <si>
    <t>INV0007171</t>
  </si>
  <si>
    <t>NAC0665</t>
  </si>
  <si>
    <t>Color Orchids</t>
  </si>
  <si>
    <t>CDM0000286</t>
  </si>
  <si>
    <t>CDM0000287</t>
  </si>
  <si>
    <t>CDM0000288</t>
  </si>
  <si>
    <t>CDM0000289</t>
  </si>
  <si>
    <t>NAC0666</t>
  </si>
  <si>
    <t>Colour Republic LLC.</t>
  </si>
  <si>
    <t>INV0004701</t>
  </si>
  <si>
    <t>INV0006344</t>
  </si>
  <si>
    <t>INV0006390</t>
  </si>
  <si>
    <t>INV0006610</t>
  </si>
  <si>
    <t>INV0006770</t>
  </si>
  <si>
    <t>INV0006741</t>
  </si>
  <si>
    <t>INV0006807</t>
  </si>
  <si>
    <t>INV0006851</t>
  </si>
  <si>
    <t>INV0006895</t>
  </si>
  <si>
    <t>INV0006957</t>
  </si>
  <si>
    <t>INV0006958</t>
  </si>
  <si>
    <t>INV0007019</t>
  </si>
  <si>
    <t>INV0007024</t>
  </si>
  <si>
    <t>INV0007058</t>
  </si>
  <si>
    <t>INV0007059</t>
  </si>
  <si>
    <t>INV0007067</t>
  </si>
  <si>
    <t>INV0007229</t>
  </si>
  <si>
    <t>INV0007268</t>
  </si>
  <si>
    <t>INV0007298</t>
  </si>
  <si>
    <t>INV0007308</t>
  </si>
  <si>
    <t>INV0007320</t>
  </si>
  <si>
    <t>INV0007324</t>
  </si>
  <si>
    <t>INV0007451</t>
  </si>
  <si>
    <t>INV0007501</t>
  </si>
  <si>
    <t>NAC0669</t>
  </si>
  <si>
    <t>Continental Floral Greens</t>
  </si>
  <si>
    <t>INV0005597</t>
  </si>
  <si>
    <t>INV0007037</t>
  </si>
  <si>
    <t>NAC0670</t>
  </si>
  <si>
    <t>Continental Flowers</t>
  </si>
  <si>
    <t>INV0006706</t>
  </si>
  <si>
    <t>NAC0672</t>
  </si>
  <si>
    <t>Costa Farms</t>
  </si>
  <si>
    <t>HGI0126848</t>
  </si>
  <si>
    <t>INV0000692</t>
  </si>
  <si>
    <t>INV0003175</t>
  </si>
  <si>
    <t>INV0003657</t>
  </si>
  <si>
    <t>INV0006708</t>
  </si>
  <si>
    <t>INV0007013</t>
  </si>
  <si>
    <t>INV0007493</t>
  </si>
  <si>
    <t>NAC0673</t>
  </si>
  <si>
    <t>Cottage Flowers, Inc</t>
  </si>
  <si>
    <t>INV0003235</t>
  </si>
  <si>
    <t>NAC0675</t>
  </si>
  <si>
    <t>Coweta Greenhouses</t>
  </si>
  <si>
    <t>INV0003809</t>
  </si>
  <si>
    <t>CRM0118769</t>
  </si>
  <si>
    <t>INV0003845</t>
  </si>
  <si>
    <t>INV0004315</t>
  </si>
  <si>
    <t>INV0004419</t>
  </si>
  <si>
    <t>INV0006727</t>
  </si>
  <si>
    <t>NAC0681</t>
  </si>
  <si>
    <t>Cyn-Mar</t>
  </si>
  <si>
    <t>INV0007598</t>
  </si>
  <si>
    <t>NAC0704</t>
  </si>
  <si>
    <t>Delaware Valley</t>
  </si>
  <si>
    <t>INV0004943</t>
  </si>
  <si>
    <t>NAC0710</t>
  </si>
  <si>
    <t>Designers Choice</t>
  </si>
  <si>
    <t>INV0005560</t>
  </si>
  <si>
    <t>INV0006249</t>
  </si>
  <si>
    <t>INV0006250</t>
  </si>
  <si>
    <t>INV0006251</t>
  </si>
  <si>
    <t>INV0006252</t>
  </si>
  <si>
    <t>INV0006440</t>
  </si>
  <si>
    <t>INV0006500</t>
  </si>
  <si>
    <t>NAC0726</t>
  </si>
  <si>
    <t>Dos Gringos</t>
  </si>
  <si>
    <t>INV0004017</t>
  </si>
  <si>
    <t>INV0005083</t>
  </si>
  <si>
    <t>INV0005918</t>
  </si>
  <si>
    <t>INV0005930</t>
  </si>
  <si>
    <t>INV0006977</t>
  </si>
  <si>
    <t>INV0006989</t>
  </si>
  <si>
    <t>INV0007023</t>
  </si>
  <si>
    <t>INV0007510</t>
  </si>
  <si>
    <t>NAC0729</t>
  </si>
  <si>
    <t>Downs Wholesale*</t>
  </si>
  <si>
    <t>HGI0119455</t>
  </si>
  <si>
    <t>NAC0759</t>
  </si>
  <si>
    <t>Ecker's Flowers &amp; Greenhouse</t>
  </si>
  <si>
    <t>CRM0126489</t>
  </si>
  <si>
    <t>NAC0760</t>
  </si>
  <si>
    <t>Eco Plants</t>
  </si>
  <si>
    <t>INV0005428</t>
  </si>
  <si>
    <t>CDM0000404</t>
  </si>
  <si>
    <t>CDM0000473</t>
  </si>
  <si>
    <t>NAC0767</t>
  </si>
  <si>
    <t>Elite Flower Services, Inc.</t>
  </si>
  <si>
    <t>CRM0113486</t>
  </si>
  <si>
    <t>CRM0124716</t>
  </si>
  <si>
    <t>CRM0124717</t>
  </si>
  <si>
    <t>CRM0124718</t>
  </si>
  <si>
    <t>CRM0124980</t>
  </si>
  <si>
    <t>HGI0124778</t>
  </si>
  <si>
    <t>INV0003689</t>
  </si>
  <si>
    <t>CDM0000315</t>
  </si>
  <si>
    <t>INV0005024</t>
  </si>
  <si>
    <t>INV0005025</t>
  </si>
  <si>
    <t>INV0005026</t>
  </si>
  <si>
    <t>INV0005027</t>
  </si>
  <si>
    <t>INV0005028</t>
  </si>
  <si>
    <t>INV0005029</t>
  </si>
  <si>
    <t>INV0005030</t>
  </si>
  <si>
    <t>INV0005031</t>
  </si>
  <si>
    <t>INV0005032</t>
  </si>
  <si>
    <t>INV0005033</t>
  </si>
  <si>
    <t>INV0005034</t>
  </si>
  <si>
    <t>INV0005035</t>
  </si>
  <si>
    <t>INV0005199</t>
  </si>
  <si>
    <t>INV0004052</t>
  </si>
  <si>
    <t>CDM0000314</t>
  </si>
  <si>
    <t>INV0005036</t>
  </si>
  <si>
    <t>INV0005037</t>
  </si>
  <si>
    <t>INV0005038</t>
  </si>
  <si>
    <t>INV0005039</t>
  </si>
  <si>
    <t>INV0005040</t>
  </si>
  <si>
    <t>INV0005041</t>
  </si>
  <si>
    <t>INV0006257</t>
  </si>
  <si>
    <t>INV0006258</t>
  </si>
  <si>
    <t>INV0006259</t>
  </si>
  <si>
    <t>INV0006260</t>
  </si>
  <si>
    <t>INV0004426</t>
  </si>
  <si>
    <t>CDM0000317</t>
  </si>
  <si>
    <t>INV0004428</t>
  </si>
  <si>
    <t>CDM0000316</t>
  </si>
  <si>
    <t>INV0006261</t>
  </si>
  <si>
    <t>INV0006262</t>
  </si>
  <si>
    <t>INV0006263</t>
  </si>
  <si>
    <t>INV0004500</t>
  </si>
  <si>
    <t>INV0006264</t>
  </si>
  <si>
    <t>INV0004626</t>
  </si>
  <si>
    <t>INV0004866</t>
  </si>
  <si>
    <t>INV0006733</t>
  </si>
  <si>
    <t>INV0007321</t>
  </si>
  <si>
    <t>NAC0769</t>
  </si>
  <si>
    <t>Elizabeth &amp; Alexandra, LLC</t>
  </si>
  <si>
    <t>CRM0121940</t>
  </si>
  <si>
    <t>INV0003579</t>
  </si>
  <si>
    <t>INV0005290</t>
  </si>
  <si>
    <t>CDM0000397</t>
  </si>
  <si>
    <t>INV0005390</t>
  </si>
  <si>
    <t>CDM0000465</t>
  </si>
  <si>
    <t>INV0005695</t>
  </si>
  <si>
    <t>CDM0000474</t>
  </si>
  <si>
    <t>INV0006459</t>
  </si>
  <si>
    <t>NAC0773</t>
  </si>
  <si>
    <t>Ensign The Florist Inc</t>
  </si>
  <si>
    <t>INV0006676</t>
  </si>
  <si>
    <t>NAC0778</t>
  </si>
  <si>
    <t>ESBENSHADE'S GREENHOUSES</t>
  </si>
  <si>
    <t>CRM0118044</t>
  </si>
  <si>
    <t>INV0007627</t>
  </si>
  <si>
    <t>NAC0779</t>
  </si>
  <si>
    <t>Everbloom Growers Inc.</t>
  </si>
  <si>
    <t>INV0004635</t>
  </si>
  <si>
    <t>CDM0000374</t>
  </si>
  <si>
    <t>INV0007445</t>
  </si>
  <si>
    <t>NAC0780</t>
  </si>
  <si>
    <t>Everflora Chicago</t>
  </si>
  <si>
    <t>INV0006490</t>
  </si>
  <si>
    <t>INV0006773</t>
  </si>
  <si>
    <t>INV0007302</t>
  </si>
  <si>
    <t>NAC0781</t>
  </si>
  <si>
    <t>Evergrace, Inc.</t>
  </si>
  <si>
    <t>NAC0788</t>
  </si>
  <si>
    <t>Fabulous Blooms</t>
  </si>
  <si>
    <t>INV0004634</t>
  </si>
  <si>
    <t>NAC0792</t>
  </si>
  <si>
    <t>Falcon Farms</t>
  </si>
  <si>
    <t>INV0006208</t>
  </si>
  <si>
    <t>INV0006211</t>
  </si>
  <si>
    <t>INV0006300</t>
  </si>
  <si>
    <t>INV0006304</t>
  </si>
  <si>
    <t>INV0006373</t>
  </si>
  <si>
    <t>INV0006445</t>
  </si>
  <si>
    <t>INV0006485</t>
  </si>
  <si>
    <t>INV0006486</t>
  </si>
  <si>
    <t>INV0006487</t>
  </si>
  <si>
    <t>INV0006488</t>
  </si>
  <si>
    <t>INV0006529</t>
  </si>
  <si>
    <t>INV0006627</t>
  </si>
  <si>
    <t>INV0006628</t>
  </si>
  <si>
    <t>INV0006662</t>
  </si>
  <si>
    <t>INV0006814</t>
  </si>
  <si>
    <t>INV0006896</t>
  </si>
  <si>
    <t>INV0006897</t>
  </si>
  <si>
    <t>INV0006915</t>
  </si>
  <si>
    <t>INV0007033</t>
  </si>
  <si>
    <t>INV0007034</t>
  </si>
  <si>
    <t>INV0007061</t>
  </si>
  <si>
    <t>INV0007132</t>
  </si>
  <si>
    <t>INV0007240</t>
  </si>
  <si>
    <t>INV0007267</t>
  </si>
  <si>
    <t>INV0007270</t>
  </si>
  <si>
    <t>INV0007306</t>
  </si>
  <si>
    <t>INV0007333</t>
  </si>
  <si>
    <t>INV0007334</t>
  </si>
  <si>
    <t>INV0007335</t>
  </si>
  <si>
    <t>INV0007362</t>
  </si>
  <si>
    <t>INV0007367</t>
  </si>
  <si>
    <t>INV0007603</t>
  </si>
  <si>
    <t>INV0007607</t>
  </si>
  <si>
    <t>NAC0798</t>
  </si>
  <si>
    <t>Fantasy Farms</t>
  </si>
  <si>
    <t>INV0005186</t>
  </si>
  <si>
    <t>NAC0800</t>
  </si>
  <si>
    <t>Farm Direct Corporation</t>
  </si>
  <si>
    <t>CRM0126929</t>
  </si>
  <si>
    <t>INV0007318</t>
  </si>
  <si>
    <t>INV0007325</t>
  </si>
  <si>
    <t>NAC0801</t>
  </si>
  <si>
    <t>Farm Fresh Flowers Inc.</t>
  </si>
  <si>
    <t>INV0007355</t>
  </si>
  <si>
    <t>NAC0804</t>
  </si>
  <si>
    <t>Field of Flowers</t>
  </si>
  <si>
    <t>INV0006625</t>
  </si>
  <si>
    <t>NAC0811</t>
  </si>
  <si>
    <t>FLORAL ACRES</t>
  </si>
  <si>
    <t>INV0002465</t>
  </si>
  <si>
    <t>CDM0000242</t>
  </si>
  <si>
    <t>CDM0000266</t>
  </si>
  <si>
    <t>INV0002861</t>
  </si>
  <si>
    <t>CDM0000245</t>
  </si>
  <si>
    <t>CDM0000263</t>
  </si>
  <si>
    <t>INV0003142</t>
  </si>
  <si>
    <t>NAC0812</t>
  </si>
  <si>
    <t>Floral Design LTD</t>
  </si>
  <si>
    <t>NAC0816</t>
  </si>
  <si>
    <t>Floral Supply Syndicate</t>
  </si>
  <si>
    <t>CRM0126581</t>
  </si>
  <si>
    <t>NAC0823</t>
  </si>
  <si>
    <t>Flores y Diseños</t>
  </si>
  <si>
    <t>HGI0123548</t>
  </si>
  <si>
    <t>HGI0124064</t>
  </si>
  <si>
    <t>INV0004794</t>
  </si>
  <si>
    <t>CDM0000459</t>
  </si>
  <si>
    <t>NAC0825</t>
  </si>
  <si>
    <t>Florist Distributing, Inc</t>
  </si>
  <si>
    <t>INV0000366</t>
  </si>
  <si>
    <t>INV0001970</t>
  </si>
  <si>
    <t>INV0006535</t>
  </si>
  <si>
    <t>INV0006536</t>
  </si>
  <si>
    <t>INV0006537</t>
  </si>
  <si>
    <t>INV0006612</t>
  </si>
  <si>
    <t>INV0006613</t>
  </si>
  <si>
    <t>INV0006614</t>
  </si>
  <si>
    <t>INV0006878</t>
  </si>
  <si>
    <t>INV0006883</t>
  </si>
  <si>
    <t>INV0006884</t>
  </si>
  <si>
    <t>INV0006885</t>
  </si>
  <si>
    <t>INV0006886</t>
  </si>
  <si>
    <t>INV0006887</t>
  </si>
  <si>
    <t>INV0006888</t>
  </si>
  <si>
    <t>INV0006889</t>
  </si>
  <si>
    <t>INV0007472</t>
  </si>
  <si>
    <t>INV0007473</t>
  </si>
  <si>
    <t>INV0007502</t>
  </si>
  <si>
    <t>INV0007503</t>
  </si>
  <si>
    <t>INV0007565</t>
  </si>
  <si>
    <t>INV0007566</t>
  </si>
  <si>
    <t>INV0007567</t>
  </si>
  <si>
    <t>INV0007568</t>
  </si>
  <si>
    <t>INV0007569</t>
  </si>
  <si>
    <t>INV0007570</t>
  </si>
  <si>
    <t>INV0007571</t>
  </si>
  <si>
    <t>INV0007572</t>
  </si>
  <si>
    <t>INV0007573</t>
  </si>
  <si>
    <t>INV0007587</t>
  </si>
  <si>
    <t>INV0007588</t>
  </si>
  <si>
    <t>INV0007595</t>
  </si>
  <si>
    <t>NAC0838</t>
  </si>
  <si>
    <t>Flowers by Cindy Inc.</t>
  </si>
  <si>
    <t>HGI0120807</t>
  </si>
  <si>
    <t>INV0004083</t>
  </si>
  <si>
    <t>CDM0000366</t>
  </si>
  <si>
    <t>NAC0848</t>
  </si>
  <si>
    <t>Flowers of Charlotte</t>
  </si>
  <si>
    <t>HGI0126905</t>
  </si>
  <si>
    <t>NAC0849</t>
  </si>
  <si>
    <t>Flowers2Give Llc</t>
  </si>
  <si>
    <t>INV0004079</t>
  </si>
  <si>
    <t>NAC0851</t>
  </si>
  <si>
    <t>FOREST LAKE GREENHOUSES</t>
  </si>
  <si>
    <t>CRM0117227</t>
  </si>
  <si>
    <t>CRM0120267</t>
  </si>
  <si>
    <t>CRM0121937</t>
  </si>
  <si>
    <t>NAC0855</t>
  </si>
  <si>
    <t>Fort Myers Express Floral</t>
  </si>
  <si>
    <t>INV0004137</t>
  </si>
  <si>
    <t>NAC0857</t>
  </si>
  <si>
    <t>Fragrant Orchids of Maui</t>
  </si>
  <si>
    <t>INV0004324</t>
  </si>
  <si>
    <t>NAC0861</t>
  </si>
  <si>
    <t>Free State Growers, Inc.</t>
  </si>
  <si>
    <t>CDM0000186</t>
  </si>
  <si>
    <t>NAC0862</t>
  </si>
  <si>
    <t>Fresca Farms</t>
  </si>
  <si>
    <t>HGI0123640</t>
  </si>
  <si>
    <t>NAC0863</t>
  </si>
  <si>
    <t>Fresh Direct Limiited</t>
  </si>
  <si>
    <t>CRM0120765</t>
  </si>
  <si>
    <t>NAC0864</t>
  </si>
  <si>
    <t>Fresh Farms Market</t>
  </si>
  <si>
    <t>INV0004439</t>
  </si>
  <si>
    <t>NAC0865</t>
  </si>
  <si>
    <t>Fresh Ideas Flower Co.</t>
  </si>
  <si>
    <t>INV0006384</t>
  </si>
  <si>
    <t>INV0006891</t>
  </si>
  <si>
    <t>NAC0869</t>
  </si>
  <si>
    <t>FTD Inc.</t>
  </si>
  <si>
    <t>HGI0119928</t>
  </si>
  <si>
    <t>HGI0120412</t>
  </si>
  <si>
    <t>HGI0121717</t>
  </si>
  <si>
    <t>HGI0122113</t>
  </si>
  <si>
    <t>HGI0123643</t>
  </si>
  <si>
    <t>HGI0123739</t>
  </si>
  <si>
    <t>NAC0871</t>
  </si>
  <si>
    <t>Galleria Farms</t>
  </si>
  <si>
    <t>INV0006394</t>
  </si>
  <si>
    <t>INV0006431</t>
  </si>
  <si>
    <t>INV0007562</t>
  </si>
  <si>
    <t>NAC0873</t>
  </si>
  <si>
    <t>GARDEN ACRE GROWERS INC</t>
  </si>
  <si>
    <t>INV0007643</t>
  </si>
  <si>
    <t>NAC0879</t>
  </si>
  <si>
    <t>GASSAFY WHOLESALE FLORIST</t>
  </si>
  <si>
    <t>INV0005344</t>
  </si>
  <si>
    <t>NAC0880</t>
  </si>
  <si>
    <t>Gelson's Markets</t>
  </si>
  <si>
    <t>CRM0126490</t>
  </si>
  <si>
    <t>INV0001671</t>
  </si>
  <si>
    <t>CDM0000198</t>
  </si>
  <si>
    <t>INV0003810</t>
  </si>
  <si>
    <t>CDM0000042</t>
  </si>
  <si>
    <t>INV0005002</t>
  </si>
  <si>
    <t>NAC0881</t>
  </si>
  <si>
    <t>Gems Global</t>
  </si>
  <si>
    <t>INV0006307</t>
  </si>
  <si>
    <t>INV0006429</t>
  </si>
  <si>
    <t>INV0007083</t>
  </si>
  <si>
    <t>CDM0000543</t>
  </si>
  <si>
    <t>INV0007130</t>
  </si>
  <si>
    <t>INV0007405</t>
  </si>
  <si>
    <t>INV0007446</t>
  </si>
  <si>
    <t>INV0007563</t>
  </si>
  <si>
    <t>NAC0886</t>
  </si>
  <si>
    <t>GEREMIA GREENHOUSE</t>
  </si>
  <si>
    <t>INV0007311</t>
  </si>
  <si>
    <t>INV0007505</t>
  </si>
  <si>
    <t>NAC0888</t>
  </si>
  <si>
    <t>Giant Eagle</t>
  </si>
  <si>
    <t>INV0001234</t>
  </si>
  <si>
    <t>NAC0893</t>
  </si>
  <si>
    <t>Golden Flowers</t>
  </si>
  <si>
    <t>CDM0000323</t>
  </si>
  <si>
    <t>NAC0894</t>
  </si>
  <si>
    <t>Golden State Floral</t>
  </si>
  <si>
    <t>INV0002712</t>
  </si>
  <si>
    <t>INV0004126</t>
  </si>
  <si>
    <t>INV0004986</t>
  </si>
  <si>
    <t>INV0005084</t>
  </si>
  <si>
    <t>INV0005683</t>
  </si>
  <si>
    <t>INV0007296</t>
  </si>
  <si>
    <t>NAC0897</t>
  </si>
  <si>
    <t>Green Circle Growers</t>
  </si>
  <si>
    <t>CRM0119673</t>
  </si>
  <si>
    <t>CRM0121022</t>
  </si>
  <si>
    <t>INV0006417</t>
  </si>
  <si>
    <t>INV0007010</t>
  </si>
  <si>
    <t>NAC0898</t>
  </si>
  <si>
    <t>Green Earth Greenhouses</t>
  </si>
  <si>
    <t>INV0002175</t>
  </si>
  <si>
    <t>NAC0904</t>
  </si>
  <si>
    <t>Green Valley Greenhouse, Inc.</t>
  </si>
  <si>
    <t>INV0007605</t>
  </si>
  <si>
    <t>NAC0906</t>
  </si>
  <si>
    <t>Gregor Farm &amp; Greenhouse, Inc.</t>
  </si>
  <si>
    <t>CRM0121991</t>
  </si>
  <si>
    <t>NAC0909</t>
  </si>
  <si>
    <t>Growers To Home Corporation</t>
  </si>
  <si>
    <t>INV0004212</t>
  </si>
  <si>
    <t>NAC0914</t>
  </si>
  <si>
    <t>GVH DISTRIBUTION</t>
  </si>
  <si>
    <t>HGI0122098</t>
  </si>
  <si>
    <t>INV0002396</t>
  </si>
  <si>
    <t>INV0006880</t>
  </si>
  <si>
    <t>NAC0924</t>
  </si>
  <si>
    <t>HEB Floral</t>
  </si>
  <si>
    <t>HGI0121851</t>
  </si>
  <si>
    <t>HGI0122354</t>
  </si>
  <si>
    <t>HGI0122356</t>
  </si>
  <si>
    <t>INV0003192</t>
  </si>
  <si>
    <t>INV0003667</t>
  </si>
  <si>
    <t>INV0003738</t>
  </si>
  <si>
    <t>INV0003999</t>
  </si>
  <si>
    <t>INV0006492</t>
  </si>
  <si>
    <t>INV0007332</t>
  </si>
  <si>
    <t>INV0007352</t>
  </si>
  <si>
    <t>NAC0926</t>
  </si>
  <si>
    <t>Heimos Greenhouses</t>
  </si>
  <si>
    <t>INV0004133</t>
  </si>
  <si>
    <t>NAC0929</t>
  </si>
  <si>
    <t>Henry Mast Greenhouses Inc</t>
  </si>
  <si>
    <t>INV0004253</t>
  </si>
  <si>
    <t>INV0006569</t>
  </si>
  <si>
    <t>INV0006638</t>
  </si>
  <si>
    <t>INV0006640</t>
  </si>
  <si>
    <t>NAC0933</t>
  </si>
  <si>
    <t>Hionis Greenhouse</t>
  </si>
  <si>
    <t>INV0006617</t>
  </si>
  <si>
    <t>INV0007055</t>
  </si>
  <si>
    <t>NAC0953</t>
  </si>
  <si>
    <t>HUMMERT INTERNATIONAL</t>
  </si>
  <si>
    <t>INV0006715</t>
  </si>
  <si>
    <t>CRM0118846</t>
  </si>
  <si>
    <t>CRM0118863</t>
  </si>
  <si>
    <t>CRM0118868</t>
  </si>
  <si>
    <t>CRM0118870</t>
  </si>
  <si>
    <t>CRM0120159</t>
  </si>
  <si>
    <t>CRM0120590</t>
  </si>
  <si>
    <t>CRM0120744</t>
  </si>
  <si>
    <t>CRM0122592</t>
  </si>
  <si>
    <t>CRM0123948</t>
  </si>
  <si>
    <t>CRM0123949</t>
  </si>
  <si>
    <t>CRM0124999</t>
  </si>
  <si>
    <t>CRM0125100</t>
  </si>
  <si>
    <t>NAC0958</t>
  </si>
  <si>
    <t>Hyacinth House Greenery</t>
  </si>
  <si>
    <t>INV0004340</t>
  </si>
  <si>
    <t>NAC0960</t>
  </si>
  <si>
    <t>I &amp; G FARMS</t>
  </si>
  <si>
    <t>INV0003134</t>
  </si>
  <si>
    <t>NAC0963</t>
  </si>
  <si>
    <t>In Bloom Flowers</t>
  </si>
  <si>
    <t>INV0004627</t>
  </si>
  <si>
    <t>INV0006656</t>
  </si>
  <si>
    <t>INV0006696</t>
  </si>
  <si>
    <t>NAC0967</t>
  </si>
  <si>
    <t>INTERIORSCAPES-MO</t>
  </si>
  <si>
    <t>INV0002095</t>
  </si>
  <si>
    <t>NAC0970</t>
  </si>
  <si>
    <t>IRWIN GREENHOUSES, INC.</t>
  </si>
  <si>
    <t>INV0007062</t>
  </si>
  <si>
    <t>INV0007326</t>
  </si>
  <si>
    <t>NAC0971</t>
  </si>
  <si>
    <t>ISLAND GROWER SUPPLIES</t>
  </si>
  <si>
    <t>CRM0126511</t>
  </si>
  <si>
    <t>INV0000900</t>
  </si>
  <si>
    <t>CDM0000113</t>
  </si>
  <si>
    <t>CDM0000183</t>
  </si>
  <si>
    <t>INV0001116</t>
  </si>
  <si>
    <t>CDM0000115</t>
  </si>
  <si>
    <t>CDM0000184</t>
  </si>
  <si>
    <t>INV0001645</t>
  </si>
  <si>
    <t>INV0002760</t>
  </si>
  <si>
    <t>CDM0000197</t>
  </si>
  <si>
    <t>INV0003210</t>
  </si>
  <si>
    <t>NAC0972</t>
  </si>
  <si>
    <t>IVEY GARDENS</t>
  </si>
  <si>
    <t>HGI0117118</t>
  </si>
  <si>
    <t>INV0001258</t>
  </si>
  <si>
    <t>NAC0978</t>
  </si>
  <si>
    <t>JACKSONVILLE FLOWER MARKET</t>
  </si>
  <si>
    <t>CRM0126486</t>
  </si>
  <si>
    <t>NAC0988</t>
  </si>
  <si>
    <t>Jewel Foods Stores</t>
  </si>
  <si>
    <t>HGI0115442</t>
  </si>
  <si>
    <t>CRM0117557</t>
  </si>
  <si>
    <t>INV0001154</t>
  </si>
  <si>
    <t>CDM0000542</t>
  </si>
  <si>
    <t>CDM0000545</t>
  </si>
  <si>
    <t>INV0002621</t>
  </si>
  <si>
    <t>CDM0000541</t>
  </si>
  <si>
    <t>INV0004870</t>
  </si>
  <si>
    <t>CDM0000544</t>
  </si>
  <si>
    <t>INV0005393</t>
  </si>
  <si>
    <t>NAC0994</t>
  </si>
  <si>
    <t>Johnston's Quality Flowers</t>
  </si>
  <si>
    <t>INV0000314</t>
  </si>
  <si>
    <t>INV0003144</t>
  </si>
  <si>
    <t>NAC0995</t>
  </si>
  <si>
    <t>Jolo Farms</t>
  </si>
  <si>
    <t>INV0004530</t>
  </si>
  <si>
    <t>INV0004531</t>
  </si>
  <si>
    <t>INV0006393</t>
  </si>
  <si>
    <t>INV0007629</t>
  </si>
  <si>
    <t>NAC1000</t>
  </si>
  <si>
    <t>JULIUS ROEHRS COMPANY</t>
  </si>
  <si>
    <t>INV0001519</t>
  </si>
  <si>
    <t>INV0005815</t>
  </si>
  <si>
    <t>NAC1007</t>
  </si>
  <si>
    <t>Karthauser &amp; Sons, Inc</t>
  </si>
  <si>
    <t>CRM0120162</t>
  </si>
  <si>
    <t>INV0001589</t>
  </si>
  <si>
    <t>CDM0000231</t>
  </si>
  <si>
    <t>INV0001590</t>
  </si>
  <si>
    <t>INV0002126</t>
  </si>
  <si>
    <t>INV0002266</t>
  </si>
  <si>
    <t>INV0002395</t>
  </si>
  <si>
    <t>INV0002852</t>
  </si>
  <si>
    <t>NAC1013</t>
  </si>
  <si>
    <t>Kellen's Florist</t>
  </si>
  <si>
    <t>INV0001426</t>
  </si>
  <si>
    <t>INV0005744</t>
  </si>
  <si>
    <t>INV0007490</t>
  </si>
  <si>
    <t>NAC1018</t>
  </si>
  <si>
    <t>Kendall Farms</t>
  </si>
  <si>
    <t>INV0001351</t>
  </si>
  <si>
    <t>CDM0000213</t>
  </si>
  <si>
    <t>INV0006881</t>
  </si>
  <si>
    <t>NAC1021</t>
  </si>
  <si>
    <t>Key Floral</t>
  </si>
  <si>
    <t>INV0003922</t>
  </si>
  <si>
    <t>NAC1024</t>
  </si>
  <si>
    <t>KINNEY BONDED WAREHOUSE</t>
  </si>
  <si>
    <t>CDM0000507</t>
  </si>
  <si>
    <t>NAC1025</t>
  </si>
  <si>
    <t>Kirkwood Florist</t>
  </si>
  <si>
    <t>INV0004511</t>
  </si>
  <si>
    <t>NAC1027</t>
  </si>
  <si>
    <t>Klepac Greenhouses, Inc</t>
  </si>
  <si>
    <t>INV0007305</t>
  </si>
  <si>
    <t>NAC1040</t>
  </si>
  <si>
    <t>Kroger</t>
  </si>
  <si>
    <t>Net 90</t>
  </si>
  <si>
    <t>HGI0119289</t>
  </si>
  <si>
    <t>CRM0117650</t>
  </si>
  <si>
    <t>HGI0124811</t>
  </si>
  <si>
    <t>HGI0125245</t>
  </si>
  <si>
    <t>HGI0127060</t>
  </si>
  <si>
    <t>INV0000807</t>
  </si>
  <si>
    <t>CDM0000135</t>
  </si>
  <si>
    <t>INV0000916</t>
  </si>
  <si>
    <t>INV0002360</t>
  </si>
  <si>
    <t>CRM0124223</t>
  </si>
  <si>
    <t>INV0002869</t>
  </si>
  <si>
    <t>INV0002952</t>
  </si>
  <si>
    <t>INV0003417</t>
  </si>
  <si>
    <t>INV0003641</t>
  </si>
  <si>
    <t>INV0003783</t>
  </si>
  <si>
    <t>INV0003824</t>
  </si>
  <si>
    <t>INV0003882</t>
  </si>
  <si>
    <t>INV0003977</t>
  </si>
  <si>
    <t>INV0003995</t>
  </si>
  <si>
    <t>INV0003996</t>
  </si>
  <si>
    <t>INV0003997</t>
  </si>
  <si>
    <t>INV0004024</t>
  </si>
  <si>
    <t>INV0004031</t>
  </si>
  <si>
    <t>INV0004327</t>
  </si>
  <si>
    <t>INV0004330</t>
  </si>
  <si>
    <t>INV0004436</t>
  </si>
  <si>
    <t>INV0004444</t>
  </si>
  <si>
    <t>INV0004508</t>
  </si>
  <si>
    <t>INV0004509</t>
  </si>
  <si>
    <t>INV0004510</t>
  </si>
  <si>
    <t>INV0004572</t>
  </si>
  <si>
    <t>INV0004669</t>
  </si>
  <si>
    <t>INV0004694</t>
  </si>
  <si>
    <t>INV0004699</t>
  </si>
  <si>
    <t>INV0004700</t>
  </si>
  <si>
    <t>INV0004785</t>
  </si>
  <si>
    <t>INV0004793</t>
  </si>
  <si>
    <t>INV0004957</t>
  </si>
  <si>
    <t>INV0005088</t>
  </si>
  <si>
    <t>INV0005101</t>
  </si>
  <si>
    <t>INV0005230</t>
  </si>
  <si>
    <t>INV0005270</t>
  </si>
  <si>
    <t>INV0005351</t>
  </si>
  <si>
    <t>INV0005352</t>
  </si>
  <si>
    <t>INV0005433</t>
  </si>
  <si>
    <t>INV0005677</t>
  </si>
  <si>
    <t>INV0005678</t>
  </si>
  <si>
    <t>INV0005682</t>
  </si>
  <si>
    <t>INV0005874</t>
  </si>
  <si>
    <t>INV0005964</t>
  </si>
  <si>
    <t>INV0006153</t>
  </si>
  <si>
    <t>INV0006289</t>
  </si>
  <si>
    <t>INV0006295</t>
  </si>
  <si>
    <t>INV0006482</t>
  </si>
  <si>
    <t>INV0006528</t>
  </si>
  <si>
    <t>INV0006544</t>
  </si>
  <si>
    <t>INV0006898</t>
  </si>
  <si>
    <t>INV0007022</t>
  </si>
  <si>
    <t>INV0007265</t>
  </si>
  <si>
    <t>INV0007368</t>
  </si>
  <si>
    <t>INV0007382</t>
  </si>
  <si>
    <t>INV0007399</t>
  </si>
  <si>
    <t>INV0007427</t>
  </si>
  <si>
    <t>INV0007454</t>
  </si>
  <si>
    <t>INV0007600</t>
  </si>
  <si>
    <t>INV0007601</t>
  </si>
  <si>
    <t>INV0007632</t>
  </si>
  <si>
    <t>NAC1042</t>
  </si>
  <si>
    <t>Kurt Weiss Greenhouse</t>
  </si>
  <si>
    <t>INV0006454</t>
  </si>
  <si>
    <t>INV0006491</t>
  </si>
  <si>
    <t>NAC1050</t>
  </si>
  <si>
    <t>Lee Moua</t>
  </si>
  <si>
    <t>INV0003952</t>
  </si>
  <si>
    <t>NAC1051</t>
  </si>
  <si>
    <t>Lee's Flower &amp; Card Shop Inc.</t>
  </si>
  <si>
    <t>INV0001849</t>
  </si>
  <si>
    <t>INV0005451</t>
  </si>
  <si>
    <t>NAC1052</t>
  </si>
  <si>
    <t>LEGACY FLOWERS LLC</t>
  </si>
  <si>
    <t>INV0005629</t>
  </si>
  <si>
    <t>CDM0000478</t>
  </si>
  <si>
    <t>NAC1054</t>
  </si>
  <si>
    <t>Len Busch Roses, Inc.</t>
  </si>
  <si>
    <t>INV0006334</t>
  </si>
  <si>
    <t>INV0006551</t>
  </si>
  <si>
    <t>INV0006859</t>
  </si>
  <si>
    <t>NAC1056</t>
  </si>
  <si>
    <t>LEXIFLOR INC</t>
  </si>
  <si>
    <t>INV0006913</t>
  </si>
  <si>
    <t>NAC1073</t>
  </si>
  <si>
    <t>Lynch Group Australia</t>
  </si>
  <si>
    <t>INV0007402</t>
  </si>
  <si>
    <t>NAC1074</t>
  </si>
  <si>
    <t>Lynn Eggett &amp; Ass. DBA floralsupply.com</t>
  </si>
  <si>
    <t>NAC1077</t>
  </si>
  <si>
    <t>Maciel's Flowers Inc</t>
  </si>
  <si>
    <t>INV0002298</t>
  </si>
  <si>
    <t>INV0006993</t>
  </si>
  <si>
    <t>INV0007208</t>
  </si>
  <si>
    <t>NAC1080</t>
  </si>
  <si>
    <t>Mai &amp; Pa's Flowers</t>
  </si>
  <si>
    <t>NAC1083</t>
  </si>
  <si>
    <t>Mao Thao</t>
  </si>
  <si>
    <t>INV0004688</t>
  </si>
  <si>
    <t>NAC1084</t>
  </si>
  <si>
    <t>Maria Flowers</t>
  </si>
  <si>
    <t>INV0004107</t>
  </si>
  <si>
    <t>CDM0000346</t>
  </si>
  <si>
    <t>NAC1087</t>
  </si>
  <si>
    <t>Market Square of Birmingham, Inc</t>
  </si>
  <si>
    <t>HGI0126433</t>
  </si>
  <si>
    <t>NAC1105</t>
  </si>
  <si>
    <t>Market Street #</t>
  </si>
  <si>
    <t>HGI0115139</t>
  </si>
  <si>
    <t>HGI0115725</t>
  </si>
  <si>
    <t>HGI0117313</t>
  </si>
  <si>
    <t>HGI0117741</t>
  </si>
  <si>
    <t>HGI0119123</t>
  </si>
  <si>
    <t>CRM0126493</t>
  </si>
  <si>
    <t>CRM0126503</t>
  </si>
  <si>
    <t>CRM0126510</t>
  </si>
  <si>
    <t>CRM0126577</t>
  </si>
  <si>
    <t>INV0000470</t>
  </si>
  <si>
    <t>INV0001520</t>
  </si>
  <si>
    <t>INV0001867</t>
  </si>
  <si>
    <t>INV0002272</t>
  </si>
  <si>
    <t>INV0002819</t>
  </si>
  <si>
    <t>INV0003487</t>
  </si>
  <si>
    <t>INV0006678</t>
  </si>
  <si>
    <t>NAC1106</t>
  </si>
  <si>
    <t>Mary Tuttles Flowers</t>
  </si>
  <si>
    <t>INV0005441</t>
  </si>
  <si>
    <t>INV0005730</t>
  </si>
  <si>
    <t>INV0006397</t>
  </si>
  <si>
    <t>INV0006709</t>
  </si>
  <si>
    <t>INV0006849</t>
  </si>
  <si>
    <t>NAC1108</t>
  </si>
  <si>
    <t>Maryland Plants &amp; Supplies, Inc.</t>
  </si>
  <si>
    <t>HGI0121722</t>
  </si>
  <si>
    <t>HGI0121763</t>
  </si>
  <si>
    <t>HGI0121922</t>
  </si>
  <si>
    <t>INV0002764</t>
  </si>
  <si>
    <t>INV0002813</t>
  </si>
  <si>
    <t>NAC1114</t>
  </si>
  <si>
    <t>Maumee Valley Wholesale.</t>
  </si>
  <si>
    <t>CRM0121892</t>
  </si>
  <si>
    <t>CRM0122655</t>
  </si>
  <si>
    <t>NAC1117</t>
  </si>
  <si>
    <t>May Crazy Bloom Inc</t>
  </si>
  <si>
    <t>INV0004032</t>
  </si>
  <si>
    <t>CDM0000365</t>
  </si>
  <si>
    <t>INV0004310</t>
  </si>
  <si>
    <t>CDM0000372</t>
  </si>
  <si>
    <t>CDM0000481</t>
  </si>
  <si>
    <t>NAC1119</t>
  </si>
  <si>
    <t>Mayesh Wholesale Florist</t>
  </si>
  <si>
    <t>CDM0000469</t>
  </si>
  <si>
    <t>NAC1122</t>
  </si>
  <si>
    <t>McCahon Floral</t>
  </si>
  <si>
    <t>INV0000303</t>
  </si>
  <si>
    <t>INV0000422</t>
  </si>
  <si>
    <t>INV0000796</t>
  </si>
  <si>
    <t>INV0002323</t>
  </si>
  <si>
    <t>INV0003774</t>
  </si>
  <si>
    <t>NAC1123</t>
  </si>
  <si>
    <t>McKenzie Floral INC</t>
  </si>
  <si>
    <t>INV0004691</t>
  </si>
  <si>
    <t>INV0007506</t>
  </si>
  <si>
    <t>NAC1128</t>
  </si>
  <si>
    <t>Mex y Can</t>
  </si>
  <si>
    <t>INV0005926</t>
  </si>
  <si>
    <t>INV0006768</t>
  </si>
  <si>
    <t>INV0007508</t>
  </si>
  <si>
    <t>NAC1131</t>
  </si>
  <si>
    <t>Meyer Nurseries</t>
  </si>
  <si>
    <t>INV0007494</t>
  </si>
  <si>
    <t>NAC1135</t>
  </si>
  <si>
    <t>Midwest GroundcoversLLC</t>
  </si>
  <si>
    <t>INV0000322</t>
  </si>
  <si>
    <t>CDM0000167</t>
  </si>
  <si>
    <t>NAC1143</t>
  </si>
  <si>
    <t>Mino's Floral Supplies*</t>
  </si>
  <si>
    <t>INV0007065</t>
  </si>
  <si>
    <t>NAC1144</t>
  </si>
  <si>
    <t>Missouri Botanical Garden</t>
  </si>
  <si>
    <t>HGI0121302</t>
  </si>
  <si>
    <t>INV0007174</t>
  </si>
  <si>
    <t>NAC1145</t>
  </si>
  <si>
    <t>MITCHELL'S NURSERY &amp; GREENHOUSE</t>
  </si>
  <si>
    <t>INV0006305</t>
  </si>
  <si>
    <t>INV0006743</t>
  </si>
  <si>
    <t>NAC1146</t>
  </si>
  <si>
    <t>MIZE FARM &amp; GARDEN SUPPLY, INC.</t>
  </si>
  <si>
    <t>HGI0115327</t>
  </si>
  <si>
    <t>HGI0115867</t>
  </si>
  <si>
    <t>HGI0116034</t>
  </si>
  <si>
    <t>INV0000954</t>
  </si>
  <si>
    <t>INV0001400</t>
  </si>
  <si>
    <t>INV0001752</t>
  </si>
  <si>
    <t>INV0002827</t>
  </si>
  <si>
    <t>INV0003973</t>
  </si>
  <si>
    <t>INV0005997</t>
  </si>
  <si>
    <t>CDM0000482</t>
  </si>
  <si>
    <t>CDM0000494</t>
  </si>
  <si>
    <t>D</t>
  </si>
  <si>
    <t>DDM0000006</t>
  </si>
  <si>
    <t>INV0007120</t>
  </si>
  <si>
    <t>INV0007125</t>
  </si>
  <si>
    <t>INV0007239</t>
  </si>
  <si>
    <t>INV0007330</t>
  </si>
  <si>
    <t>INV0007374</t>
  </si>
  <si>
    <t>NAC1148</t>
  </si>
  <si>
    <t>Mobi's</t>
  </si>
  <si>
    <t>INV0003193</t>
  </si>
  <si>
    <t>CDM0000457</t>
  </si>
  <si>
    <t>INV0003194</t>
  </si>
  <si>
    <t>INV0007054</t>
  </si>
  <si>
    <t>INV0007063</t>
  </si>
  <si>
    <t>NAC1150</t>
  </si>
  <si>
    <t>Mountain Bloom</t>
  </si>
  <si>
    <t>INV0004285</t>
  </si>
  <si>
    <t>INV0004286</t>
  </si>
  <si>
    <t>INV0004291</t>
  </si>
  <si>
    <t>INV0004865</t>
  </si>
  <si>
    <t>NAC1151</t>
  </si>
  <si>
    <t>Mountain States Plants</t>
  </si>
  <si>
    <t>CRM0202652</t>
  </si>
  <si>
    <t>INV0002365</t>
  </si>
  <si>
    <t>INV0003888</t>
  </si>
  <si>
    <t>NAC1154</t>
  </si>
  <si>
    <t>MRS. BLOOM'S DIRECT, INC.</t>
  </si>
  <si>
    <t>INV0004033</t>
  </si>
  <si>
    <t>CDM0000505</t>
  </si>
  <si>
    <t>NAC1158</t>
  </si>
  <si>
    <t>N G Heimos Greenhouse</t>
  </si>
  <si>
    <t>INV0001332</t>
  </si>
  <si>
    <t>INV0006194</t>
  </si>
  <si>
    <t>INV0006230</t>
  </si>
  <si>
    <t>INV0006286</t>
  </si>
  <si>
    <t>INV0006294</t>
  </si>
  <si>
    <t>INV0006400</t>
  </si>
  <si>
    <t>INV0006435</t>
  </si>
  <si>
    <t>INV0006841</t>
  </si>
  <si>
    <t>INV0007068</t>
  </si>
  <si>
    <t>INV0007615</t>
  </si>
  <si>
    <t>NAC1167</t>
  </si>
  <si>
    <t>Naturally Simple</t>
  </si>
  <si>
    <t>INV0005740</t>
  </si>
  <si>
    <t>NAC1168</t>
  </si>
  <si>
    <t>NAVY EXCHANGE SERVICE COMMAND</t>
  </si>
  <si>
    <t>INV0005613</t>
  </si>
  <si>
    <t>CDM0000421</t>
  </si>
  <si>
    <t>INV0006203</t>
  </si>
  <si>
    <t>INV0006659</t>
  </si>
  <si>
    <t>INV0007230</t>
  </si>
  <si>
    <t>NAC1170</t>
  </si>
  <si>
    <t>Neal Mast &amp; Son Greenhouses</t>
  </si>
  <si>
    <t>INV0000793</t>
  </si>
  <si>
    <t>INV0007017</t>
  </si>
  <si>
    <t>NAC1174</t>
  </si>
  <si>
    <t>NEW PRO CORP</t>
  </si>
  <si>
    <t>INV0001500</t>
  </si>
  <si>
    <t>INV0001501</t>
  </si>
  <si>
    <t>INV0006711</t>
  </si>
  <si>
    <t>NAC1177</t>
  </si>
  <si>
    <t>Norman Florist</t>
  </si>
  <si>
    <t>CRM0124904</t>
  </si>
  <si>
    <t>NAC1187</t>
  </si>
  <si>
    <t>Oakland Flower Market</t>
  </si>
  <si>
    <t>HGI0122628</t>
  </si>
  <si>
    <t>NAC1189</t>
  </si>
  <si>
    <t>Oliver's Market</t>
  </si>
  <si>
    <t>INV0007447</t>
  </si>
  <si>
    <t>INV0007448</t>
  </si>
  <si>
    <t>INV0007449</t>
  </si>
  <si>
    <t>INV0007450</t>
  </si>
  <si>
    <t>NAC1196</t>
  </si>
  <si>
    <t>P&amp;S Flowers, Inc.</t>
  </si>
  <si>
    <t>INV0007553</t>
  </si>
  <si>
    <t>NAC1200</t>
  </si>
  <si>
    <t>PACIFIC PLANT GROWERS</t>
  </si>
  <si>
    <t>HGI0121740</t>
  </si>
  <si>
    <t>INV0001022</t>
  </si>
  <si>
    <t>NAC1205</t>
  </si>
  <si>
    <t>Paradise Flowers Distribution, LLC</t>
  </si>
  <si>
    <t>NAC1207</t>
  </si>
  <si>
    <t>Park Greenhouse</t>
  </si>
  <si>
    <t>HGI0125902</t>
  </si>
  <si>
    <t>NAC1209</t>
  </si>
  <si>
    <t>PARKVIEW GARDENS</t>
  </si>
  <si>
    <t>INV0001669</t>
  </si>
  <si>
    <t>NAC1211</t>
  </si>
  <si>
    <t>Passion Growers</t>
  </si>
  <si>
    <t>INV0005327</t>
  </si>
  <si>
    <t>INV0005745</t>
  </si>
  <si>
    <t>CDM0000521</t>
  </si>
  <si>
    <t>INV0005879</t>
  </si>
  <si>
    <t>INV0005991</t>
  </si>
  <si>
    <t>INV0006019</t>
  </si>
  <si>
    <t>INV0006079</t>
  </si>
  <si>
    <t>INV0006157</t>
  </si>
  <si>
    <t>INV0006171</t>
  </si>
  <si>
    <t>INV0006521</t>
  </si>
  <si>
    <t>INV0006522</t>
  </si>
  <si>
    <t>INV0006523</t>
  </si>
  <si>
    <t>INV0006530</t>
  </si>
  <si>
    <t>CDM0000527</t>
  </si>
  <si>
    <t>INV0006533</t>
  </si>
  <si>
    <t>INV0006651</t>
  </si>
  <si>
    <t>INV0006668</t>
  </si>
  <si>
    <t>INV0006697</t>
  </si>
  <si>
    <t>INV0006801</t>
  </si>
  <si>
    <t>INV0006860</t>
  </si>
  <si>
    <t>INV0006912</t>
  </si>
  <si>
    <t>INV0007137</t>
  </si>
  <si>
    <t>INV0007162</t>
  </si>
  <si>
    <t>INV0007273</t>
  </si>
  <si>
    <t>INV0007312</t>
  </si>
  <si>
    <t>INV0007313</t>
  </si>
  <si>
    <t>INV0007315</t>
  </si>
  <si>
    <t>INV0007366</t>
  </si>
  <si>
    <t>INV0007406</t>
  </si>
  <si>
    <t>INV0007498</t>
  </si>
  <si>
    <t>INV0007628</t>
  </si>
  <si>
    <t>INV0007630</t>
  </si>
  <si>
    <t>INV0007646</t>
  </si>
  <si>
    <t>INV0007647</t>
  </si>
  <si>
    <t>NAC1212</t>
  </si>
  <si>
    <t>Passion Growers West LLC</t>
  </si>
  <si>
    <t>INV0005362</t>
  </si>
  <si>
    <t>INV0005405</t>
  </si>
  <si>
    <t>INV0005862</t>
  </si>
  <si>
    <t>INV0006283</t>
  </si>
  <si>
    <t>INV0006324</t>
  </si>
  <si>
    <t>INV0006635</t>
  </si>
  <si>
    <t>NAC1216</t>
  </si>
  <si>
    <t>Penn Jersey Paper Co.*</t>
  </si>
  <si>
    <t>Net 45</t>
  </si>
  <si>
    <t>HGI0124097</t>
  </si>
  <si>
    <t>INV0007170</t>
  </si>
  <si>
    <t>NAC1218</t>
  </si>
  <si>
    <t>Penrods Greenhouse</t>
  </si>
  <si>
    <t>INV0002279</t>
  </si>
  <si>
    <t>NAC1219</t>
  </si>
  <si>
    <t>PEPPER CREEK</t>
  </si>
  <si>
    <t>NAC1228</t>
  </si>
  <si>
    <t>Pike Nurseries Acquisition, LLC</t>
  </si>
  <si>
    <t>INV0005222</t>
  </si>
  <si>
    <t>NAC1229</t>
  </si>
  <si>
    <t>PINE HILLS NURSERY</t>
  </si>
  <si>
    <t>INV0002967</t>
  </si>
  <si>
    <t>INV0006284</t>
  </si>
  <si>
    <t>NAC1231</t>
  </si>
  <si>
    <t>Pineae Greenhouses, Inc.</t>
  </si>
  <si>
    <t>HGI0126813</t>
  </si>
  <si>
    <t>INV0000742</t>
  </si>
  <si>
    <t>INV0001558</t>
  </si>
  <si>
    <t>INV0001724</t>
  </si>
  <si>
    <t>INV0002109</t>
  </si>
  <si>
    <t>NAC1234</t>
  </si>
  <si>
    <t>PLANTAS Y FLORES ORNAMENTALES CABH S.A</t>
  </si>
  <si>
    <t>INV0004370</t>
  </si>
  <si>
    <t>INV0007319</t>
  </si>
  <si>
    <t>NAC1247</t>
  </si>
  <si>
    <t>Prime Source Floral Distributors</t>
  </si>
  <si>
    <t>INV0005628</t>
  </si>
  <si>
    <t>INV0005907</t>
  </si>
  <si>
    <t>INV0006038</t>
  </si>
  <si>
    <t>INV0006337</t>
  </si>
  <si>
    <t>INV0006383</t>
  </si>
  <si>
    <t>INV0006507</t>
  </si>
  <si>
    <t>INV0006772</t>
  </si>
  <si>
    <t>INV0006734</t>
  </si>
  <si>
    <t>INV0006974</t>
  </si>
  <si>
    <t>INV0007223</t>
  </si>
  <si>
    <t>INV0007303</t>
  </si>
  <si>
    <t>INV0007512</t>
  </si>
  <si>
    <t>NAC1249</t>
  </si>
  <si>
    <t>Publix Super Markets, Inc.</t>
  </si>
  <si>
    <t>CRM0120281</t>
  </si>
  <si>
    <t>NAC1251</t>
  </si>
  <si>
    <t>Pure Beauty Farms</t>
  </si>
  <si>
    <t>INV0001808</t>
  </si>
  <si>
    <t>INV0001914</t>
  </si>
  <si>
    <t>NAC1252</t>
  </si>
  <si>
    <t>Pyramid Flowers</t>
  </si>
  <si>
    <t>INV0005572</t>
  </si>
  <si>
    <t>INV0006121</t>
  </si>
  <si>
    <t>INV0006331</t>
  </si>
  <si>
    <t>INV0006335</t>
  </si>
  <si>
    <t>INV0006456</t>
  </si>
  <si>
    <t>INV0006570</t>
  </si>
  <si>
    <t>INV0006630</t>
  </si>
  <si>
    <t>INV0006882</t>
  </si>
  <si>
    <t>INV0006988</t>
  </si>
  <si>
    <t>INV0007233</t>
  </si>
  <si>
    <t>INV0007301</t>
  </si>
  <si>
    <t>INV0007551</t>
  </si>
  <si>
    <t>NAC1258</t>
  </si>
  <si>
    <t>Rain Forest Farms &amp; Bouquets USA Inc.</t>
  </si>
  <si>
    <t>NAC1260</t>
  </si>
  <si>
    <t>Raley's.</t>
  </si>
  <si>
    <t>CRM0125000</t>
  </si>
  <si>
    <t>CRM0125001</t>
  </si>
  <si>
    <t>INV0003893</t>
  </si>
  <si>
    <t>INV0006415</t>
  </si>
  <si>
    <t>NAC1261</t>
  </si>
  <si>
    <t>Rambo Nursery</t>
  </si>
  <si>
    <t>INV0001873</t>
  </si>
  <si>
    <t>NAC1281</t>
  </si>
  <si>
    <t>Reasor's</t>
  </si>
  <si>
    <t>HGI0109958</t>
  </si>
  <si>
    <t>HGI0111178</t>
  </si>
  <si>
    <t>HGI0111739</t>
  </si>
  <si>
    <t>HGI0111799</t>
  </si>
  <si>
    <t>HGI0112403</t>
  </si>
  <si>
    <t>HGI0112554</t>
  </si>
  <si>
    <t>HGI0112771</t>
  </si>
  <si>
    <t>HGI0113069</t>
  </si>
  <si>
    <t>HGI0113413</t>
  </si>
  <si>
    <t>HGI0113453</t>
  </si>
  <si>
    <t>HGI0113503</t>
  </si>
  <si>
    <t>HGI0113592</t>
  </si>
  <si>
    <t>HGI0114361</t>
  </si>
  <si>
    <t>HGI0114432</t>
  </si>
  <si>
    <t>HGI0114724</t>
  </si>
  <si>
    <t>HGI0114994</t>
  </si>
  <si>
    <t>HGI0115006</t>
  </si>
  <si>
    <t>HGI0115337</t>
  </si>
  <si>
    <t>HGI0116009</t>
  </si>
  <si>
    <t>HGI0116121</t>
  </si>
  <si>
    <t>HGI0116123</t>
  </si>
  <si>
    <t>HGI0116125</t>
  </si>
  <si>
    <t>HGI0116778</t>
  </si>
  <si>
    <t>HGI0117381</t>
  </si>
  <si>
    <t>CRM0118848</t>
  </si>
  <si>
    <t>CRM0118854</t>
  </si>
  <si>
    <t>HGI0118504</t>
  </si>
  <si>
    <t>HGI0118700</t>
  </si>
  <si>
    <t>CRM0120591</t>
  </si>
  <si>
    <t>CRM0120592</t>
  </si>
  <si>
    <t>CRM0120593</t>
  </si>
  <si>
    <t>HGI0118809</t>
  </si>
  <si>
    <t>HGI0118831</t>
  </si>
  <si>
    <t>HGI0118934</t>
  </si>
  <si>
    <t>HGI0119115</t>
  </si>
  <si>
    <t>HGI0119245</t>
  </si>
  <si>
    <t>HGI0119727</t>
  </si>
  <si>
    <t>HGI0120065</t>
  </si>
  <si>
    <t>CRM0121448</t>
  </si>
  <si>
    <t>HGI0120118</t>
  </si>
  <si>
    <t>HGI0120389</t>
  </si>
  <si>
    <t>HGI0120800</t>
  </si>
  <si>
    <t>CRM0122590</t>
  </si>
  <si>
    <t>CRM0122591</t>
  </si>
  <si>
    <t>HGI0121721</t>
  </si>
  <si>
    <t>HGI0122362</t>
  </si>
  <si>
    <t>CRM0123945</t>
  </si>
  <si>
    <t>CRM0123946</t>
  </si>
  <si>
    <t>CRM0123947</t>
  </si>
  <si>
    <t>HGI0123808</t>
  </si>
  <si>
    <t>HGI0124145</t>
  </si>
  <si>
    <t>HGI0124186</t>
  </si>
  <si>
    <t>CRM0125269</t>
  </si>
  <si>
    <t>HGI0125821</t>
  </si>
  <si>
    <t>HGI0126445</t>
  </si>
  <si>
    <t>INV0000466</t>
  </si>
  <si>
    <t>INV0000516</t>
  </si>
  <si>
    <t>INV0000610</t>
  </si>
  <si>
    <t>INV0000724</t>
  </si>
  <si>
    <t>INV0000729</t>
  </si>
  <si>
    <t>INV0001029</t>
  </si>
  <si>
    <t>INV0001638</t>
  </si>
  <si>
    <t>INV0001772</t>
  </si>
  <si>
    <t>INV0001774</t>
  </si>
  <si>
    <t>INV0001781</t>
  </si>
  <si>
    <t>INV0001841</t>
  </si>
  <si>
    <t>INV0001897</t>
  </si>
  <si>
    <t>INV0001936</t>
  </si>
  <si>
    <t>INV0001985</t>
  </si>
  <si>
    <t>INV0001987</t>
  </si>
  <si>
    <t>INV0002077</t>
  </si>
  <si>
    <t>INV0002078</t>
  </si>
  <si>
    <t>INV0002094</t>
  </si>
  <si>
    <t>INV0004136</t>
  </si>
  <si>
    <t>INV0004335</t>
  </si>
  <si>
    <t>INV0004454</t>
  </si>
  <si>
    <t>INV0005460</t>
  </si>
  <si>
    <t>INV0005771</t>
  </si>
  <si>
    <t>INV0006280</t>
  </si>
  <si>
    <t>INV0006299</t>
  </si>
  <si>
    <t>INV0006420</t>
  </si>
  <si>
    <t>INV0006633</t>
  </si>
  <si>
    <t>INV0006710</t>
  </si>
  <si>
    <t>INV0007078</t>
  </si>
  <si>
    <t>INV0007380</t>
  </si>
  <si>
    <t>INV0007458</t>
  </si>
  <si>
    <t>NAC1283</t>
  </si>
  <si>
    <t>Red Oak Greenhouse</t>
  </si>
  <si>
    <t>CRM0121185</t>
  </si>
  <si>
    <t>HGI0127042</t>
  </si>
  <si>
    <t>INV0000172</t>
  </si>
  <si>
    <t>INV0006281</t>
  </si>
  <si>
    <t>INV0006282</t>
  </si>
  <si>
    <t>INV0006306</t>
  </si>
  <si>
    <t>INV0006416</t>
  </si>
  <si>
    <t>INV0007218</t>
  </si>
  <si>
    <t>INV0007219</t>
  </si>
  <si>
    <t>NAC1288</t>
  </si>
  <si>
    <t>Riverdale Farms</t>
  </si>
  <si>
    <t>CDM0000359</t>
  </si>
  <si>
    <t>NAC1292</t>
  </si>
  <si>
    <t>ROCKET FARMS</t>
  </si>
  <si>
    <t>INV0006108</t>
  </si>
  <si>
    <t>INV0006173</t>
  </si>
  <si>
    <t>INV0006202</t>
  </si>
  <si>
    <t>INV0006414</t>
  </si>
  <si>
    <t>INV0006918</t>
  </si>
  <si>
    <t>INV0006956</t>
  </si>
  <si>
    <t>INV0007060</t>
  </si>
  <si>
    <t>INV0007317</t>
  </si>
  <si>
    <t>INV0007393</t>
  </si>
  <si>
    <t>INV0007499</t>
  </si>
  <si>
    <t>NAC1297</t>
  </si>
  <si>
    <t>Rose Flowers Distributors Inc</t>
  </si>
  <si>
    <t>NAC1301</t>
  </si>
  <si>
    <t>Rowes Flowers LLC</t>
  </si>
  <si>
    <t>INV0006704</t>
  </si>
  <si>
    <t>NAC1303</t>
  </si>
  <si>
    <t>Royer's Flowers</t>
  </si>
  <si>
    <t>INV0000751</t>
  </si>
  <si>
    <t>INV0006248</t>
  </si>
  <si>
    <t>CDM0000539</t>
  </si>
  <si>
    <t>NAC1313</t>
  </si>
  <si>
    <t>S Arthur Peterson, Inc.</t>
  </si>
  <si>
    <t>INV0003668</t>
  </si>
  <si>
    <t>INV0004873</t>
  </si>
  <si>
    <t>INV0007064</t>
  </si>
  <si>
    <t>INV0007076</t>
  </si>
  <si>
    <t>NAC1323</t>
  </si>
  <si>
    <t>Safeway</t>
  </si>
  <si>
    <t>HGI0118494</t>
  </si>
  <si>
    <t>CDM0000192</t>
  </si>
  <si>
    <t>CRM0121186</t>
  </si>
  <si>
    <t>HGI0119907</t>
  </si>
  <si>
    <t>HGI0119972</t>
  </si>
  <si>
    <t>HGI0120268</t>
  </si>
  <si>
    <t>HGI0122285</t>
  </si>
  <si>
    <t>CRM0123771</t>
  </si>
  <si>
    <t>HGI0122490</t>
  </si>
  <si>
    <t>CRM0202740</t>
  </si>
  <si>
    <t>DEB0000025</t>
  </si>
  <si>
    <t>DEB0000026</t>
  </si>
  <si>
    <t>HGI0125791</t>
  </si>
  <si>
    <t>HGI0125854</t>
  </si>
  <si>
    <t>CRM0126875</t>
  </si>
  <si>
    <t>DEB0000002</t>
  </si>
  <si>
    <t>DEB0000027</t>
  </si>
  <si>
    <t>DEB0000028</t>
  </si>
  <si>
    <t>DEB0000029</t>
  </si>
  <si>
    <t>HGI0126246</t>
  </si>
  <si>
    <t>INV0001004</t>
  </si>
  <si>
    <t>INV0001415</t>
  </si>
  <si>
    <t>INV0001749</t>
  </si>
  <si>
    <t>INV0003675</t>
  </si>
  <si>
    <t>INV0003684</t>
  </si>
  <si>
    <t>INV0003799</t>
  </si>
  <si>
    <t>INV0004073</t>
  </si>
  <si>
    <t>CDM0000408</t>
  </si>
  <si>
    <t>INV0004199</t>
  </si>
  <si>
    <t>CDM0000351</t>
  </si>
  <si>
    <t>INV0004294</t>
  </si>
  <si>
    <t>INV0004709</t>
  </si>
  <si>
    <t>CDM0000358</t>
  </si>
  <si>
    <t>INV0004837</t>
  </si>
  <si>
    <t>INV0005980</t>
  </si>
  <si>
    <t>INV0005981</t>
  </si>
  <si>
    <t>CDM0000532</t>
  </si>
  <si>
    <t>CDM0000535</t>
  </si>
  <si>
    <t>INV0006234</t>
  </si>
  <si>
    <t>INV0006484</t>
  </si>
  <si>
    <t>INV0006525</t>
  </si>
  <si>
    <t>INV0006728</t>
  </si>
  <si>
    <t>INV0007136</t>
  </si>
  <si>
    <t>INV0007161</t>
  </si>
  <si>
    <t>INV0007164</t>
  </si>
  <si>
    <t>INV0007221</t>
  </si>
  <si>
    <t>INV0007300</t>
  </si>
  <si>
    <t>INV0007307</t>
  </si>
  <si>
    <t>INV0007372</t>
  </si>
  <si>
    <t>NAC1326</t>
  </si>
  <si>
    <t>Sam Rao Florist Inc.</t>
  </si>
  <si>
    <t>INV0001171</t>
  </si>
  <si>
    <t>NAC1327</t>
  </si>
  <si>
    <t>Sam's Club-</t>
  </si>
  <si>
    <t>CRM0121187</t>
  </si>
  <si>
    <t>HGI0124508</t>
  </si>
  <si>
    <t>HGI0124651</t>
  </si>
  <si>
    <t>HGI0125445</t>
  </si>
  <si>
    <t>HGI0125912</t>
  </si>
  <si>
    <t>HGI0125914</t>
  </si>
  <si>
    <t>HGI0126669</t>
  </si>
  <si>
    <t>CDM0000090</t>
  </si>
  <si>
    <t>CDM0000091</t>
  </si>
  <si>
    <t>INV0001210</t>
  </si>
  <si>
    <t>INV0001247</t>
  </si>
  <si>
    <t>CDM0000160</t>
  </si>
  <si>
    <t>INV0003218</t>
  </si>
  <si>
    <t>INV0005142</t>
  </si>
  <si>
    <t>INV0005144</t>
  </si>
  <si>
    <t>INV0005145</t>
  </si>
  <si>
    <t>INV0005146</t>
  </si>
  <si>
    <t>INV0005147</t>
  </si>
  <si>
    <t>INV0005148</t>
  </si>
  <si>
    <t>CDM0000391</t>
  </si>
  <si>
    <t>INV0005149</t>
  </si>
  <si>
    <t>INV0005150</t>
  </si>
  <si>
    <t>INV0005151</t>
  </si>
  <si>
    <t>INV0005165</t>
  </si>
  <si>
    <t>INV0005226</t>
  </si>
  <si>
    <t>INV0005252</t>
  </si>
  <si>
    <t>INV0005253</t>
  </si>
  <si>
    <t>CDM0000394</t>
  </si>
  <si>
    <t>INV0005254</t>
  </si>
  <si>
    <t>INV0005255</t>
  </si>
  <si>
    <t>INV0005256</t>
  </si>
  <si>
    <t>INV0005257</t>
  </si>
  <si>
    <t>INV0005258</t>
  </si>
  <si>
    <t>INV0005259</t>
  </si>
  <si>
    <t>CDM0000395</t>
  </si>
  <si>
    <t>INV0005260</t>
  </si>
  <si>
    <t>INV0005261</t>
  </si>
  <si>
    <t>INV0005262</t>
  </si>
  <si>
    <t>INV0005731</t>
  </si>
  <si>
    <t>CDM0000484</t>
  </si>
  <si>
    <t>CDM0000493</t>
  </si>
  <si>
    <t>DDM0000005</t>
  </si>
  <si>
    <t>INV0006074</t>
  </si>
  <si>
    <t>INV0006075</t>
  </si>
  <si>
    <t>INV0006085</t>
  </si>
  <si>
    <t>CDM0000483</t>
  </si>
  <si>
    <t>CDM0000498</t>
  </si>
  <si>
    <t>DDM0000010</t>
  </si>
  <si>
    <t>INV0006138</t>
  </si>
  <si>
    <t>INV0006235</t>
  </si>
  <si>
    <t>INV0006378</t>
  </si>
  <si>
    <t>INV0006643</t>
  </si>
  <si>
    <t>INV0006646</t>
  </si>
  <si>
    <t>INV0006647</t>
  </si>
  <si>
    <t>INV0006648</t>
  </si>
  <si>
    <t>INV0006649</t>
  </si>
  <si>
    <t>INV0006650</t>
  </si>
  <si>
    <t>INV0006674</t>
  </si>
  <si>
    <t>INV0006675</t>
  </si>
  <si>
    <t>INV0006769</t>
  </si>
  <si>
    <t>INV0006824</t>
  </si>
  <si>
    <t>INV0006825</t>
  </si>
  <si>
    <t>INV0006826</t>
  </si>
  <si>
    <t>INV0006827</t>
  </si>
  <si>
    <t>INV0006828</t>
  </si>
  <si>
    <t>INV0006829</t>
  </si>
  <si>
    <t>INV0006831</t>
  </si>
  <si>
    <t>INV0006832</t>
  </si>
  <si>
    <t>INV0006833</t>
  </si>
  <si>
    <t>INV0006834</t>
  </si>
  <si>
    <t>INV0006835</t>
  </si>
  <si>
    <t>INV0006836</t>
  </si>
  <si>
    <t>INV0006837</t>
  </si>
  <si>
    <t>INV0006838</t>
  </si>
  <si>
    <t>INV0006839</t>
  </si>
  <si>
    <t>INV0006919</t>
  </si>
  <si>
    <t>INV0006920</t>
  </si>
  <si>
    <t>INV0006959</t>
  </si>
  <si>
    <t>INV0006960</t>
  </si>
  <si>
    <t>INV0006961</t>
  </si>
  <si>
    <t>INV0007018</t>
  </si>
  <si>
    <t>INV0007357</t>
  </si>
  <si>
    <t>INV0007358</t>
  </si>
  <si>
    <t>INV0007359</t>
  </si>
  <si>
    <t>INV0007363</t>
  </si>
  <si>
    <t>INV0007411</t>
  </si>
  <si>
    <t>NAC1332</t>
  </si>
  <si>
    <t>Schilling Greenhouses, Inc</t>
  </si>
  <si>
    <t>INV0000913</t>
  </si>
  <si>
    <t>NAC1333</t>
  </si>
  <si>
    <t>Schnucks Markets, Inc.</t>
  </si>
  <si>
    <t>HGI0124781</t>
  </si>
  <si>
    <t>HGI0126313</t>
  </si>
  <si>
    <t>INV0001377</t>
  </si>
  <si>
    <t>INV0003268</t>
  </si>
  <si>
    <t>INV0003959</t>
  </si>
  <si>
    <t>INV0004430</t>
  </si>
  <si>
    <t>INV0006104</t>
  </si>
  <si>
    <t>INV0007080</t>
  </si>
  <si>
    <t>NAC1346</t>
  </si>
  <si>
    <t>Silk &amp; Morgan Blossoms</t>
  </si>
  <si>
    <t>CRM0126509</t>
  </si>
  <si>
    <t>INV0006815</t>
  </si>
  <si>
    <t>NAC1348</t>
  </si>
  <si>
    <t>SIM'S POTTERY</t>
  </si>
  <si>
    <t>HGI0126278</t>
  </si>
  <si>
    <t>INV0006978</t>
  </si>
  <si>
    <t>NAC1349</t>
  </si>
  <si>
    <t>Simply Fresh Flowers, COPR</t>
  </si>
  <si>
    <t>CRM0118058</t>
  </si>
  <si>
    <t>CRM0121455</t>
  </si>
  <si>
    <t>NAC1353</t>
  </si>
  <si>
    <t>SMITH GARDENS</t>
  </si>
  <si>
    <t>INV0005932</t>
  </si>
  <si>
    <t>NAC1356</t>
  </si>
  <si>
    <t>South Central Growers</t>
  </si>
  <si>
    <t>CRM0118050</t>
  </si>
  <si>
    <t>NAC1357</t>
  </si>
  <si>
    <t>Southland Greenhouses, Inc</t>
  </si>
  <si>
    <t>INV0006645</t>
  </si>
  <si>
    <t>NAC1359</t>
  </si>
  <si>
    <t>Spectrum Production LLC</t>
  </si>
  <si>
    <t>INV0006890</t>
  </si>
  <si>
    <t>CDM0000530</t>
  </si>
  <si>
    <t>INV0007364</t>
  </si>
  <si>
    <t>CDM0000540</t>
  </si>
  <si>
    <t>NAC1362</t>
  </si>
  <si>
    <t>Spring Creek Growers, Inc.</t>
  </si>
  <si>
    <t>INV0000750</t>
  </si>
  <si>
    <t>NAC1367</t>
  </si>
  <si>
    <t>Stadium Flowers DBA Cascade Wholesale</t>
  </si>
  <si>
    <t>INV0006909</t>
  </si>
  <si>
    <t>INV0007231</t>
  </si>
  <si>
    <t>NAC1372</t>
  </si>
  <si>
    <t>STUTZMAN GREENHOUSE, INC.</t>
  </si>
  <si>
    <t>INV0001481</t>
  </si>
  <si>
    <t>NAC1377</t>
  </si>
  <si>
    <t>Sunbelt Greenhouses</t>
  </si>
  <si>
    <t>INV0001152</t>
  </si>
  <si>
    <t>INV0001858</t>
  </si>
  <si>
    <t>NAC1380</t>
  </si>
  <si>
    <t>SUNLET NURSERY, INC.</t>
  </si>
  <si>
    <t>INV0006609</t>
  </si>
  <si>
    <t>INV0006621</t>
  </si>
  <si>
    <t>INV0006622</t>
  </si>
  <si>
    <t>NAC1381</t>
  </si>
  <si>
    <t>SUNNY GARDENS, INC.</t>
  </si>
  <si>
    <t>CRM0123227</t>
  </si>
  <si>
    <t>NAC1382</t>
  </si>
  <si>
    <t>Sunshine Bouquet</t>
  </si>
  <si>
    <t>INV0004123</t>
  </si>
  <si>
    <t>CDM0000347</t>
  </si>
  <si>
    <t>CDM0000536</t>
  </si>
  <si>
    <t>INV0005922</t>
  </si>
  <si>
    <t>INV0006192</t>
  </si>
  <si>
    <t>INV0006726</t>
  </si>
  <si>
    <t>INV0006731</t>
  </si>
  <si>
    <t>INV0007007</t>
  </si>
  <si>
    <t>INV0007057</t>
  </si>
  <si>
    <t>INV0007081</t>
  </si>
  <si>
    <t>INV0007422</t>
  </si>
  <si>
    <t>NAC1394</t>
  </si>
  <si>
    <t>Suplidora de Viveros RP, SRL</t>
  </si>
  <si>
    <t>NAC1395</t>
  </si>
  <si>
    <t>Sutton Ferneries</t>
  </si>
  <si>
    <t>INV0004106</t>
  </si>
  <si>
    <t>CDM0000345</t>
  </si>
  <si>
    <t>INV0004434</t>
  </si>
  <si>
    <t>INV0004435</t>
  </si>
  <si>
    <t>INV0005076</t>
  </si>
  <si>
    <t>INV0005440</t>
  </si>
  <si>
    <t>INV0005501</t>
  </si>
  <si>
    <t>INV0005506</t>
  </si>
  <si>
    <t>INV0006076</t>
  </si>
  <si>
    <t>INV0006102</t>
  </si>
  <si>
    <t>INV0006103</t>
  </si>
  <si>
    <t>INV0006238</t>
  </si>
  <si>
    <t>INV0007379</t>
  </si>
  <si>
    <t>INV0007421</t>
  </si>
  <si>
    <t>INV0007430</t>
  </si>
  <si>
    <t>NAC1404</t>
  </si>
  <si>
    <t>TELLY'S GREENHOUSE</t>
  </si>
  <si>
    <t>CRM0202745</t>
  </si>
  <si>
    <t>NAC1408</t>
  </si>
  <si>
    <t>The Bouqs Co</t>
  </si>
  <si>
    <t>INV0006663</t>
  </si>
  <si>
    <t>INV0006664</t>
  </si>
  <si>
    <t>INV0006665</t>
  </si>
  <si>
    <t>INV0006666</t>
  </si>
  <si>
    <t>NAC1413</t>
  </si>
  <si>
    <t>The Giant Company</t>
  </si>
  <si>
    <t>INV0005281</t>
  </si>
  <si>
    <t>NAC1417</t>
  </si>
  <si>
    <t>The Pinery LLC</t>
  </si>
  <si>
    <t>INV0001369</t>
  </si>
  <si>
    <t>CDM0000324</t>
  </si>
  <si>
    <t>NAC1419</t>
  </si>
  <si>
    <t>THE PLANT RANCH</t>
  </si>
  <si>
    <t>INV0007131</t>
  </si>
  <si>
    <t>NAC1424</t>
  </si>
  <si>
    <t>The USA Bouquet Co</t>
  </si>
  <si>
    <t>INV0005177</t>
  </si>
  <si>
    <t>INV0005447</t>
  </si>
  <si>
    <t>INV0005453</t>
  </si>
  <si>
    <t>INV0005566</t>
  </si>
  <si>
    <t>INV0005593</t>
  </si>
  <si>
    <t>INV0005630</t>
  </si>
  <si>
    <t>INV0005680</t>
  </si>
  <si>
    <t>INV0005689</t>
  </si>
  <si>
    <t>INV0005690</t>
  </si>
  <si>
    <t>INV0005724</t>
  </si>
  <si>
    <t>INV0005738</t>
  </si>
  <si>
    <t>INV0005814</t>
  </si>
  <si>
    <t>INV0005877</t>
  </si>
  <si>
    <t>INV0005882</t>
  </si>
  <si>
    <t>INV0005914</t>
  </si>
  <si>
    <t>INV0005924</t>
  </si>
  <si>
    <t>INV0005933</t>
  </si>
  <si>
    <t>INV0006089</t>
  </si>
  <si>
    <t>INV0006209</t>
  </si>
  <si>
    <t>INV0006255</t>
  </si>
  <si>
    <t>INV0006285</t>
  </si>
  <si>
    <t>INV0006310</t>
  </si>
  <si>
    <t>INV0006311</t>
  </si>
  <si>
    <t>INV0006457</t>
  </si>
  <si>
    <t>INV0006499</t>
  </si>
  <si>
    <t>INV0006502</t>
  </si>
  <si>
    <t>INV0006527</t>
  </si>
  <si>
    <t>INV0006611</t>
  </si>
  <si>
    <t>INV0006744</t>
  </si>
  <si>
    <t>INV0006850</t>
  </si>
  <si>
    <t>INV0006879</t>
  </si>
  <si>
    <t>INV0006902</t>
  </si>
  <si>
    <t>INV0007015</t>
  </si>
  <si>
    <t>INV0007069</t>
  </si>
  <si>
    <t>INV0007074</t>
  </si>
  <si>
    <t>INV0007079</t>
  </si>
  <si>
    <t>INV0007134</t>
  </si>
  <si>
    <t>INV0007241</t>
  </si>
  <si>
    <t>INV0007264</t>
  </si>
  <si>
    <t>INV0007407</t>
  </si>
  <si>
    <t>INV0007453</t>
  </si>
  <si>
    <t>INV0007456</t>
  </si>
  <si>
    <t>INV0007608</t>
  </si>
  <si>
    <t>NAC1426</t>
  </si>
  <si>
    <t>Tiger Lily Florist</t>
  </si>
  <si>
    <t>INV0004202</t>
  </si>
  <si>
    <t>NAC1432</t>
  </si>
  <si>
    <t>Tony's Wholesale Flowers USD</t>
  </si>
  <si>
    <t>NAC1434</t>
  </si>
  <si>
    <t>Town &amp; Country Markets Inc</t>
  </si>
  <si>
    <t>INV0004507</t>
  </si>
  <si>
    <t>NAC1448</t>
  </si>
  <si>
    <t>UNFI</t>
  </si>
  <si>
    <t>HGI0119260</t>
  </si>
  <si>
    <t>HGI0124093</t>
  </si>
  <si>
    <t>HGI0125541</t>
  </si>
  <si>
    <t>INV0001010</t>
  </si>
  <si>
    <t>CDM0000273</t>
  </si>
  <si>
    <t>INV0001129</t>
  </si>
  <si>
    <t>INV0001557</t>
  </si>
  <si>
    <t>INV0002076</t>
  </si>
  <si>
    <t>INV0003679</t>
  </si>
  <si>
    <t>INV0003724</t>
  </si>
  <si>
    <t>INV0004072</t>
  </si>
  <si>
    <t>INV0004314</t>
  </si>
  <si>
    <t>INV0004889</t>
  </si>
  <si>
    <t>INV0005465</t>
  </si>
  <si>
    <t>INV0006951</t>
  </si>
  <si>
    <t>INV0006543</t>
  </si>
  <si>
    <t>INV0006616</t>
  </si>
  <si>
    <t>INV0006737</t>
  </si>
  <si>
    <t>INV0006739</t>
  </si>
  <si>
    <t>INV0007014</t>
  </si>
  <si>
    <t>INV0007128</t>
  </si>
  <si>
    <t>INV0007224</t>
  </si>
  <si>
    <t>INV0007261</t>
  </si>
  <si>
    <t>INV0007323</t>
  </si>
  <si>
    <t>INV0007426</t>
  </si>
  <si>
    <t>NAC1449</t>
  </si>
  <si>
    <t>United Nursery, LLC SW</t>
  </si>
  <si>
    <t>HGI0126128</t>
  </si>
  <si>
    <t>HGI0126295</t>
  </si>
  <si>
    <t>HGI0126345</t>
  </si>
  <si>
    <t>HGI0126542</t>
  </si>
  <si>
    <t>NAC1450</t>
  </si>
  <si>
    <t>United Supermarkets</t>
  </si>
  <si>
    <t>HGI0120022</t>
  </si>
  <si>
    <t>CRM0126574</t>
  </si>
  <si>
    <t>HGI0126649</t>
  </si>
  <si>
    <t>INV0001167</t>
  </si>
  <si>
    <t>INV0002939</t>
  </si>
  <si>
    <t>INV0004456</t>
  </si>
  <si>
    <t>INV0005507</t>
  </si>
  <si>
    <t>INV0005565</t>
  </si>
  <si>
    <t>INV0007114</t>
  </si>
  <si>
    <t>INV0007124</t>
  </si>
  <si>
    <t>INV0007222</t>
  </si>
  <si>
    <t>NAC1471</t>
  </si>
  <si>
    <t>Van Hoekelen Greenhouse Inc.</t>
  </si>
  <si>
    <t>INV0006031</t>
  </si>
  <si>
    <t>INV0006060</t>
  </si>
  <si>
    <t>INV0006422</t>
  </si>
  <si>
    <t>INV0006637</t>
  </si>
  <si>
    <t>INV0007429</t>
  </si>
  <si>
    <t>INV0007574</t>
  </si>
  <si>
    <t>INV0002844</t>
  </si>
  <si>
    <t>INV0002845</t>
  </si>
  <si>
    <t>NAC1474</t>
  </si>
  <si>
    <t>Van Wingerden International</t>
  </si>
  <si>
    <t>INV0005389</t>
  </si>
  <si>
    <t>INV0006143</t>
  </si>
  <si>
    <t>INV0006156</t>
  </si>
  <si>
    <t>NAC1483</t>
  </si>
  <si>
    <t>Vistaflor E-Commerce USA LLC</t>
  </si>
  <si>
    <t>INV0006380</t>
  </si>
  <si>
    <t>INV0007590</t>
  </si>
  <si>
    <t>INV0007591</t>
  </si>
  <si>
    <t>INV0007592</t>
  </si>
  <si>
    <t>INV0007594</t>
  </si>
  <si>
    <t>NAC1486</t>
  </si>
  <si>
    <t>Viviano Flower Shop</t>
  </si>
  <si>
    <t>INV0006729</t>
  </si>
  <si>
    <t>NAC1500</t>
  </si>
  <si>
    <t>Wasserstrom Co.*</t>
  </si>
  <si>
    <t>HGI0120819</t>
  </si>
  <si>
    <t>INV0005232</t>
  </si>
  <si>
    <t>NAC1503</t>
  </si>
  <si>
    <t>Wayne Greenhouse</t>
  </si>
  <si>
    <t>INV0007139</t>
  </si>
  <si>
    <t>NAC1504</t>
  </si>
  <si>
    <t>We Take The Cake</t>
  </si>
  <si>
    <t>NAC1506</t>
  </si>
  <si>
    <t>Wegmans Food Market</t>
  </si>
  <si>
    <t>INV0006567</t>
  </si>
  <si>
    <t>NAC1512</t>
  </si>
  <si>
    <t>Westland Floral Co</t>
  </si>
  <si>
    <t>HGI0113330</t>
  </si>
  <si>
    <t>HGI0115739</t>
  </si>
  <si>
    <t>NAC1517</t>
  </si>
  <si>
    <t>Whole Foods Market</t>
  </si>
  <si>
    <t>CRM0116991</t>
  </si>
  <si>
    <t>CRM0117753</t>
  </si>
  <si>
    <t>CRM0123600</t>
  </si>
  <si>
    <t>CRM0123941</t>
  </si>
  <si>
    <t>HGI0124011</t>
  </si>
  <si>
    <t>HGI0124174</t>
  </si>
  <si>
    <t>HGI0124457</t>
  </si>
  <si>
    <t>CDM0000034</t>
  </si>
  <si>
    <t>CRM0125479</t>
  </si>
  <si>
    <t>CRM0125480</t>
  </si>
  <si>
    <t>CRM0125481</t>
  </si>
  <si>
    <t>CRM0125483</t>
  </si>
  <si>
    <t>CRM0126569</t>
  </si>
  <si>
    <t>CRM0126578</t>
  </si>
  <si>
    <t>CRM0126915</t>
  </si>
  <si>
    <t>CRM0126916</t>
  </si>
  <si>
    <t>CRM0126918</t>
  </si>
  <si>
    <t>CRM0126919</t>
  </si>
  <si>
    <t>CRM0126921</t>
  </si>
  <si>
    <t>HGI0126772</t>
  </si>
  <si>
    <t>HGI0126910</t>
  </si>
  <si>
    <t>HGI0127009</t>
  </si>
  <si>
    <t>HGI0127010</t>
  </si>
  <si>
    <t>HGI0127014</t>
  </si>
  <si>
    <t>HGI0127057</t>
  </si>
  <si>
    <t>INV0000065</t>
  </si>
  <si>
    <t>INV0000076</t>
  </si>
  <si>
    <t>INV0000080</t>
  </si>
  <si>
    <t>INV0000095</t>
  </si>
  <si>
    <t>INV0000097</t>
  </si>
  <si>
    <t>INV0000099</t>
  </si>
  <si>
    <t>INV0000101</t>
  </si>
  <si>
    <t>INV0000105</t>
  </si>
  <si>
    <t>INV0000158</t>
  </si>
  <si>
    <t>INV0000163</t>
  </si>
  <si>
    <t>INV0000175</t>
  </si>
  <si>
    <t>INV0000200</t>
  </si>
  <si>
    <t>INV0000345</t>
  </si>
  <si>
    <t>INV0000389</t>
  </si>
  <si>
    <t>INV0000391</t>
  </si>
  <si>
    <t>INV0000468</t>
  </si>
  <si>
    <t>CDM0000039</t>
  </si>
  <si>
    <t>INV0000648</t>
  </si>
  <si>
    <t>INV0000955</t>
  </si>
  <si>
    <t>INV0000956</t>
  </si>
  <si>
    <t>INV0000957</t>
  </si>
  <si>
    <t>INV0000958</t>
  </si>
  <si>
    <t>INV0001182</t>
  </si>
  <si>
    <t>INV0001183</t>
  </si>
  <si>
    <t>INV0001184</t>
  </si>
  <si>
    <t>INV0001185</t>
  </si>
  <si>
    <t>INV0001229</t>
  </si>
  <si>
    <t>INV0001433</t>
  </si>
  <si>
    <t>INV0001434</t>
  </si>
  <si>
    <t>INV0001435</t>
  </si>
  <si>
    <t>INV0001534</t>
  </si>
  <si>
    <t>INV0001535</t>
  </si>
  <si>
    <t>INV0001536</t>
  </si>
  <si>
    <t>INV0001537</t>
  </si>
  <si>
    <t>INV0001538</t>
  </si>
  <si>
    <t>INV0001539</t>
  </si>
  <si>
    <t>INV0001540</t>
  </si>
  <si>
    <t>INV0001541</t>
  </si>
  <si>
    <t>INV0001545</t>
  </si>
  <si>
    <t>INV0001547</t>
  </si>
  <si>
    <t>INV0001548</t>
  </si>
  <si>
    <t>INV0001549</t>
  </si>
  <si>
    <t>INV0001550</t>
  </si>
  <si>
    <t>INV0001551</t>
  </si>
  <si>
    <t>INV0001552</t>
  </si>
  <si>
    <t>INV0001553</t>
  </si>
  <si>
    <t>INV0001554</t>
  </si>
  <si>
    <t>INV0001853</t>
  </si>
  <si>
    <t>INV0001854</t>
  </si>
  <si>
    <t>INV0001881</t>
  </si>
  <si>
    <t>INV0001899</t>
  </si>
  <si>
    <t>INV0002177</t>
  </si>
  <si>
    <t>INV0002178</t>
  </si>
  <si>
    <t>INV0002179</t>
  </si>
  <si>
    <t>INV0002180</t>
  </si>
  <si>
    <t>INV0002267</t>
  </si>
  <si>
    <t>INV0002268</t>
  </si>
  <si>
    <t>INV0002283</t>
  </si>
  <si>
    <t>INV0002402</t>
  </si>
  <si>
    <t>INV0002546</t>
  </si>
  <si>
    <t>INV0002761</t>
  </si>
  <si>
    <t>INV0002762</t>
  </si>
  <si>
    <t>INV0003061</t>
  </si>
  <si>
    <t>INV0003258</t>
  </si>
  <si>
    <t>INV0003290</t>
  </si>
  <si>
    <t>INV0003531</t>
  </si>
  <si>
    <t>INV0003533</t>
  </si>
  <si>
    <t>INV0003786</t>
  </si>
  <si>
    <t>CDM0000456</t>
  </si>
  <si>
    <t>INV0003796</t>
  </si>
  <si>
    <t>INV0003797</t>
  </si>
  <si>
    <t>INV0003819</t>
  </si>
  <si>
    <t>INV0003821</t>
  </si>
  <si>
    <t>INV0003823</t>
  </si>
  <si>
    <t>INV0003849</t>
  </si>
  <si>
    <t>INV0003851</t>
  </si>
  <si>
    <t>INV0003852</t>
  </si>
  <si>
    <t>INV0003853</t>
  </si>
  <si>
    <t>INV0003854</t>
  </si>
  <si>
    <t>INV0003855</t>
  </si>
  <si>
    <t>INV0003856</t>
  </si>
  <si>
    <t>INV0003861</t>
  </si>
  <si>
    <t>INV0003872</t>
  </si>
  <si>
    <t>INV0003873</t>
  </si>
  <si>
    <t>INV0003874</t>
  </si>
  <si>
    <t>INV0003875</t>
  </si>
  <si>
    <t>INV0003876</t>
  </si>
  <si>
    <t>INV0003877</t>
  </si>
  <si>
    <t>INV0003897</t>
  </si>
  <si>
    <t>INV0003898</t>
  </si>
  <si>
    <t>INV0003899</t>
  </si>
  <si>
    <t>INV0003900</t>
  </si>
  <si>
    <t>INV0003903</t>
  </si>
  <si>
    <t>INV0003904</t>
  </si>
  <si>
    <t>INV0003905</t>
  </si>
  <si>
    <t>INV0003906</t>
  </si>
  <si>
    <t>INV0003907</t>
  </si>
  <si>
    <t>INV0003908</t>
  </si>
  <si>
    <t>INV0003911</t>
  </si>
  <si>
    <t>INV0003912</t>
  </si>
  <si>
    <t>INV0003913</t>
  </si>
  <si>
    <t>INV0003914</t>
  </si>
  <si>
    <t>INV0003984</t>
  </si>
  <si>
    <t>INV0003985</t>
  </si>
  <si>
    <t>INV0003986</t>
  </si>
  <si>
    <t>INV0003987</t>
  </si>
  <si>
    <t>INV0003990</t>
  </si>
  <si>
    <t>INV0003991</t>
  </si>
  <si>
    <t>INV0005042</t>
  </si>
  <si>
    <t>CDM0000361</t>
  </si>
  <si>
    <t>INV0004038</t>
  </si>
  <si>
    <t>INV0004041</t>
  </si>
  <si>
    <t>INV0004042</t>
  </si>
  <si>
    <t>INV0004043</t>
  </si>
  <si>
    <t>INV0004044</t>
  </si>
  <si>
    <t>INV0004045</t>
  </si>
  <si>
    <t>INV0004046</t>
  </si>
  <si>
    <t>INV0004047</t>
  </si>
  <si>
    <t>INV0004048</t>
  </si>
  <si>
    <t>INV0004049</t>
  </si>
  <si>
    <t>INV0004050</t>
  </si>
  <si>
    <t>INV0004051</t>
  </si>
  <si>
    <t>INV0004103</t>
  </si>
  <si>
    <t>INV0004104</t>
  </si>
  <si>
    <t>INV0004139</t>
  </si>
  <si>
    <t>INV0004140</t>
  </si>
  <si>
    <t>INV0004141</t>
  </si>
  <si>
    <t>INV0004142</t>
  </si>
  <si>
    <t>INV0004143</t>
  </si>
  <si>
    <t>INV0004144</t>
  </si>
  <si>
    <t>INV0004145</t>
  </si>
  <si>
    <t>INV0004146</t>
  </si>
  <si>
    <t>INV0004147</t>
  </si>
  <si>
    <t>INV0004148</t>
  </si>
  <si>
    <t>INV0004149</t>
  </si>
  <si>
    <t>INV0004150</t>
  </si>
  <si>
    <t>INV0004151</t>
  </si>
  <si>
    <t>INV0004152</t>
  </si>
  <si>
    <t>INV0004153</t>
  </si>
  <si>
    <t>INV0004154</t>
  </si>
  <si>
    <t>INV0004155</t>
  </si>
  <si>
    <t>INV0004156</t>
  </si>
  <si>
    <t>INV0004157</t>
  </si>
  <si>
    <t>INV0004158</t>
  </si>
  <si>
    <t>INV0004159</t>
  </si>
  <si>
    <t>INV0004160</t>
  </si>
  <si>
    <t>INV0004161</t>
  </si>
  <si>
    <t>INV0004162</t>
  </si>
  <si>
    <t>INV0004163</t>
  </si>
  <si>
    <t>INV0004164</t>
  </si>
  <si>
    <t>INV0004165</t>
  </si>
  <si>
    <t>INV0004166</t>
  </si>
  <si>
    <t>INV0004167</t>
  </si>
  <si>
    <t>INV0004168</t>
  </si>
  <si>
    <t>INV0004169</t>
  </si>
  <si>
    <t>INV0004170</t>
  </si>
  <si>
    <t>INV0004171</t>
  </si>
  <si>
    <t>INV0004172</t>
  </si>
  <si>
    <t>INV0004173</t>
  </si>
  <si>
    <t>INV0004174</t>
  </si>
  <si>
    <t>INV0004175</t>
  </si>
  <si>
    <t>INV0004177</t>
  </si>
  <si>
    <t>INV0004178</t>
  </si>
  <si>
    <t>INV0004179</t>
  </si>
  <si>
    <t>INV0004180</t>
  </si>
  <si>
    <t>INV0004181</t>
  </si>
  <si>
    <t>INV0004182</t>
  </si>
  <si>
    <t>INV0004215</t>
  </si>
  <si>
    <t>INV0004216</t>
  </si>
  <si>
    <t>INV0004217</t>
  </si>
  <si>
    <t>INV0004218</t>
  </si>
  <si>
    <t>INV0004219</t>
  </si>
  <si>
    <t>INV0004331</t>
  </si>
  <si>
    <t>INV0004332</t>
  </si>
  <si>
    <t>INV0004333</t>
  </si>
  <si>
    <t>INV0004337</t>
  </si>
  <si>
    <t>INV0004338</t>
  </si>
  <si>
    <t>INV0004339</t>
  </si>
  <si>
    <t>INV0004343</t>
  </si>
  <si>
    <t>INV0004344</t>
  </si>
  <si>
    <t>INV0004346</t>
  </si>
  <si>
    <t>INV0004348</t>
  </si>
  <si>
    <t>INV0004349</t>
  </si>
  <si>
    <t>INV0004350</t>
  </si>
  <si>
    <t>INV0004351</t>
  </si>
  <si>
    <t>INV0004352</t>
  </si>
  <si>
    <t>INV0004353</t>
  </si>
  <si>
    <t>INV0004354</t>
  </si>
  <si>
    <t>INV0004355</t>
  </si>
  <si>
    <t>INV0004360</t>
  </si>
  <si>
    <t>INV0004361</t>
  </si>
  <si>
    <t>INV0004362</t>
  </si>
  <si>
    <t>INV0004363</t>
  </si>
  <si>
    <t>INV0004364</t>
  </si>
  <si>
    <t>INV0004365</t>
  </si>
  <si>
    <t>INV0004513</t>
  </si>
  <si>
    <t>INV0004514</t>
  </si>
  <si>
    <t>INV0004515</t>
  </si>
  <si>
    <t>INV0004516</t>
  </si>
  <si>
    <t>INV0004517</t>
  </si>
  <si>
    <t>INV0004518</t>
  </si>
  <si>
    <t>INV0004519</t>
  </si>
  <si>
    <t>INV0004520</t>
  </si>
  <si>
    <t>INV0004521</t>
  </si>
  <si>
    <t>INV0004522</t>
  </si>
  <si>
    <t>INV0004523</t>
  </si>
  <si>
    <t>INV0004524</t>
  </si>
  <si>
    <t>INV0004525</t>
  </si>
  <si>
    <t>INV0004526</t>
  </si>
  <si>
    <t>INV0004527</t>
  </si>
  <si>
    <t>INV0004528</t>
  </si>
  <si>
    <t>INV0004575</t>
  </si>
  <si>
    <t>INV0004576</t>
  </si>
  <si>
    <t>INV0004577</t>
  </si>
  <si>
    <t>INV0004578</t>
  </si>
  <si>
    <t>INV0004579</t>
  </si>
  <si>
    <t>INV0004580</t>
  </si>
  <si>
    <t>INV0004582</t>
  </si>
  <si>
    <t>INV0004583</t>
  </si>
  <si>
    <t>INV0004584</t>
  </si>
  <si>
    <t>INV0004585</t>
  </si>
  <si>
    <t>INV0004586</t>
  </si>
  <si>
    <t>INV0004587</t>
  </si>
  <si>
    <t>INV0004588</t>
  </si>
  <si>
    <t>INV0004589</t>
  </si>
  <si>
    <t>INV0004590</t>
  </si>
  <si>
    <t>INV0004591</t>
  </si>
  <si>
    <t>INV0004637</t>
  </si>
  <si>
    <t>INV0004638</t>
  </si>
  <si>
    <t>INV0004640</t>
  </si>
  <si>
    <t>INV0004643</t>
  </si>
  <si>
    <t>INV0004645</t>
  </si>
  <si>
    <t>INV0004647</t>
  </si>
  <si>
    <t>INV0004648</t>
  </si>
  <si>
    <t>INV0004650</t>
  </si>
  <si>
    <t>INV0004651</t>
  </si>
  <si>
    <t>INV0004652</t>
  </si>
  <si>
    <t>INV0004653</t>
  </si>
  <si>
    <t>INV0004654</t>
  </si>
  <si>
    <t>INV0004655</t>
  </si>
  <si>
    <t>INV0004656</t>
  </si>
  <si>
    <t>INV0004657</t>
  </si>
  <si>
    <t>INV0004658</t>
  </si>
  <si>
    <t>INV0004661</t>
  </si>
  <si>
    <t>INV0004662</t>
  </si>
  <si>
    <t>INV0004663</t>
  </si>
  <si>
    <t>INV0004664</t>
  </si>
  <si>
    <t>INV0004665</t>
  </si>
  <si>
    <t>INV0004666</t>
  </si>
  <si>
    <t>INV0004708</t>
  </si>
  <si>
    <t>INV0004712</t>
  </si>
  <si>
    <t>INV0004713</t>
  </si>
  <si>
    <t>INV0004714</t>
  </si>
  <si>
    <t>INV0004715</t>
  </si>
  <si>
    <t>INV0004716</t>
  </si>
  <si>
    <t>INV0004717</t>
  </si>
  <si>
    <t>INV0004718</t>
  </si>
  <si>
    <t>INV0004719</t>
  </si>
  <si>
    <t>INV0004720</t>
  </si>
  <si>
    <t>INV0004721</t>
  </si>
  <si>
    <t>INV0004726</t>
  </si>
  <si>
    <t>INV0004727</t>
  </si>
  <si>
    <t>INV0004728</t>
  </si>
  <si>
    <t>INV0004733</t>
  </si>
  <si>
    <t>INV0004734</t>
  </si>
  <si>
    <t>INV0004736</t>
  </si>
  <si>
    <t>INV0004737</t>
  </si>
  <si>
    <t>INV0004738</t>
  </si>
  <si>
    <t>INV0004739</t>
  </si>
  <si>
    <t>INV0004740</t>
  </si>
  <si>
    <t>INV0004780</t>
  </si>
  <si>
    <t>INV0004789</t>
  </si>
  <si>
    <t>INV0004791</t>
  </si>
  <si>
    <t>INV0004792</t>
  </si>
  <si>
    <t>INV0004795</t>
  </si>
  <si>
    <t>INV0004801</t>
  </si>
  <si>
    <t>INV0004803</t>
  </si>
  <si>
    <t>INV0004805</t>
  </si>
  <si>
    <t>INV0004806</t>
  </si>
  <si>
    <t>INV0004807</t>
  </si>
  <si>
    <t>INV0004813</t>
  </si>
  <si>
    <t>INV0004814</t>
  </si>
  <si>
    <t>INV0004815</t>
  </si>
  <si>
    <t>INV0004816</t>
  </si>
  <si>
    <t>INV0004817</t>
  </si>
  <si>
    <t>INV0004818</t>
  </si>
  <si>
    <t>INV0004819</t>
  </si>
  <si>
    <t>INV0004820</t>
  </si>
  <si>
    <t>INV0004821</t>
  </si>
  <si>
    <t>INV0004822</t>
  </si>
  <si>
    <t>INV0004823</t>
  </si>
  <si>
    <t>INV0004824</t>
  </si>
  <si>
    <t>INV0004890</t>
  </si>
  <si>
    <t>INV0004891</t>
  </si>
  <si>
    <t>INV0004892</t>
  </si>
  <si>
    <t>INV0004893</t>
  </si>
  <si>
    <t>INV0004894</t>
  </si>
  <si>
    <t>INV0004895</t>
  </si>
  <si>
    <t>INV0004896</t>
  </si>
  <si>
    <t>INV0004897</t>
  </si>
  <si>
    <t>INV0004898</t>
  </si>
  <si>
    <t>INV0004899</t>
  </si>
  <si>
    <t>INV0004902</t>
  </si>
  <si>
    <t>INV0004903</t>
  </si>
  <si>
    <t>INV0004904</t>
  </si>
  <si>
    <t>INV0004905</t>
  </si>
  <si>
    <t>INV0004906</t>
  </si>
  <si>
    <t>INV0004907</t>
  </si>
  <si>
    <t>INV0004908</t>
  </si>
  <si>
    <t>INV0004909</t>
  </si>
  <si>
    <t>INV0004910</t>
  </si>
  <si>
    <t>INV0004911</t>
  </si>
  <si>
    <t>INV0004918</t>
  </si>
  <si>
    <t>INV0004919</t>
  </si>
  <si>
    <t>INV0004920</t>
  </si>
  <si>
    <t>INV0004921</t>
  </si>
  <si>
    <t>INV0004922</t>
  </si>
  <si>
    <t>INV0004923</t>
  </si>
  <si>
    <t>INV0004924</t>
  </si>
  <si>
    <t>INV0004925</t>
  </si>
  <si>
    <t>INV0004926</t>
  </si>
  <si>
    <t>INV0004927</t>
  </si>
  <si>
    <t>INV0004952</t>
  </si>
  <si>
    <t>INV0004953</t>
  </si>
  <si>
    <t>INV0004954</t>
  </si>
  <si>
    <t>INV0004955</t>
  </si>
  <si>
    <t>INV0004956</t>
  </si>
  <si>
    <t>INV0004958</t>
  </si>
  <si>
    <t>INV0004959</t>
  </si>
  <si>
    <t>INV0004960</t>
  </si>
  <si>
    <t>INV0004961</t>
  </si>
  <si>
    <t>INV0004962</t>
  </si>
  <si>
    <t>INV0004964</t>
  </si>
  <si>
    <t>INV0004965</t>
  </si>
  <si>
    <t>INV0004966</t>
  </si>
  <si>
    <t>INV0004971</t>
  </si>
  <si>
    <t>INV0004972</t>
  </si>
  <si>
    <t>INV0004974</t>
  </si>
  <si>
    <t>INV0004976</t>
  </si>
  <si>
    <t>INV0004978</t>
  </si>
  <si>
    <t>INV0004979</t>
  </si>
  <si>
    <t>INV0004981</t>
  </si>
  <si>
    <t>INV0004982</t>
  </si>
  <si>
    <t>INV0004984</t>
  </si>
  <si>
    <t>INV0004987</t>
  </si>
  <si>
    <t>INV0004988</t>
  </si>
  <si>
    <t>INV0004989</t>
  </si>
  <si>
    <t>INV0004990</t>
  </si>
  <si>
    <t>INV0004992</t>
  </si>
  <si>
    <t>INV0004993</t>
  </si>
  <si>
    <t>INV0004994</t>
  </si>
  <si>
    <t>INV0004998</t>
  </si>
  <si>
    <t>INV0004999</t>
  </si>
  <si>
    <t>INV0005000</t>
  </si>
  <si>
    <t>INV0005005</t>
  </si>
  <si>
    <t>INV0005006</t>
  </si>
  <si>
    <t>INV0005018</t>
  </si>
  <si>
    <t>INV0005020</t>
  </si>
  <si>
    <t>INV0005071</t>
  </si>
  <si>
    <t>INV0005072</t>
  </si>
  <si>
    <t>INV0005073</t>
  </si>
  <si>
    <t>INV0005078</t>
  </si>
  <si>
    <t>INV0005079</t>
  </si>
  <si>
    <t>INV0005080</t>
  </si>
  <si>
    <t>INV0005087</t>
  </si>
  <si>
    <t>INV0005089</t>
  </si>
  <si>
    <t>INV0005102</t>
  </si>
  <si>
    <t>INV0005170</t>
  </si>
  <si>
    <t>INV0005171</t>
  </si>
  <si>
    <t>INV0005175</t>
  </si>
  <si>
    <t>INV0005180</t>
  </si>
  <si>
    <t>INV0005190</t>
  </si>
  <si>
    <t>INV0005192</t>
  </si>
  <si>
    <t>CDM0000502</t>
  </si>
  <si>
    <t>INV0005193</t>
  </si>
  <si>
    <t>INV0005194</t>
  </si>
  <si>
    <t>INV0005237</t>
  </si>
  <si>
    <t>INV0005238</t>
  </si>
  <si>
    <t>INV0005239</t>
  </si>
  <si>
    <t>INV0005263</t>
  </si>
  <si>
    <t>INV0005510</t>
  </si>
  <si>
    <t>INV0005516</t>
  </si>
  <si>
    <t>INV0005522</t>
  </si>
  <si>
    <t>INV0005523</t>
  </si>
  <si>
    <t>INV0005524</t>
  </si>
  <si>
    <t>INV0005525</t>
  </si>
  <si>
    <t>INV0005526</t>
  </si>
  <si>
    <t>INV0005527</t>
  </si>
  <si>
    <t>INV0005528</t>
  </si>
  <si>
    <t>INV0005529</t>
  </si>
  <si>
    <t>INV0005530</t>
  </si>
  <si>
    <t>INV0005531</t>
  </si>
  <si>
    <t>INV0005532</t>
  </si>
  <si>
    <t>INV0005533</t>
  </si>
  <si>
    <t>INV0005534</t>
  </si>
  <si>
    <t>INV0005550</t>
  </si>
  <si>
    <t>INV0005551</t>
  </si>
  <si>
    <t>INV0005553</t>
  </si>
  <si>
    <t>INV0005554</t>
  </si>
  <si>
    <t>INV0005558</t>
  </si>
  <si>
    <t>INV0005559</t>
  </si>
  <si>
    <t>INV0005564</t>
  </si>
  <si>
    <t>INV0005567</t>
  </si>
  <si>
    <t>INV0005568</t>
  </si>
  <si>
    <t>INV0005569</t>
  </si>
  <si>
    <t>INV0005576</t>
  </si>
  <si>
    <t>INV0005577</t>
  </si>
  <si>
    <t>INV0005578</t>
  </si>
  <si>
    <t>INV0005579</t>
  </si>
  <si>
    <t>INV0005580</t>
  </si>
  <si>
    <t>INV0005581</t>
  </si>
  <si>
    <t>INV0005582</t>
  </si>
  <si>
    <t>INV0005584</t>
  </si>
  <si>
    <t>INV0005585</t>
  </si>
  <si>
    <t>INV0005587</t>
  </si>
  <si>
    <t>INV0005588</t>
  </si>
  <si>
    <t>INV0005589</t>
  </si>
  <si>
    <t>INV0005590</t>
  </si>
  <si>
    <t>INV0005591</t>
  </si>
  <si>
    <t>INV0005592</t>
  </si>
  <si>
    <t>INV0005725</t>
  </si>
  <si>
    <t>INV0005729</t>
  </si>
  <si>
    <t>INV0005742</t>
  </si>
  <si>
    <t>INV0005852</t>
  </si>
  <si>
    <t>INV0005853</t>
  </si>
  <si>
    <t>INV0005854</t>
  </si>
  <si>
    <t>INV0005855</t>
  </si>
  <si>
    <t>INV0005856</t>
  </si>
  <si>
    <t>INV0005857</t>
  </si>
  <si>
    <t>INV0005858</t>
  </si>
  <si>
    <t>INV0005859</t>
  </si>
  <si>
    <t>INV0005860</t>
  </si>
  <si>
    <t>INV0005861</t>
  </si>
  <si>
    <t>INV0005863</t>
  </si>
  <si>
    <t>INV0005864</t>
  </si>
  <si>
    <t>INV0005865</t>
  </si>
  <si>
    <t>INV0005867</t>
  </si>
  <si>
    <t>INV0005868</t>
  </si>
  <si>
    <t>INV0005869</t>
  </si>
  <si>
    <t>INV0005870</t>
  </si>
  <si>
    <t>INV0005873</t>
  </si>
  <si>
    <t>INV0005987</t>
  </si>
  <si>
    <t>INV0005989</t>
  </si>
  <si>
    <t>INV0005990</t>
  </si>
  <si>
    <t>INV0005992</t>
  </si>
  <si>
    <t>INV0005993</t>
  </si>
  <si>
    <t>INV0005994</t>
  </si>
  <si>
    <t>INV0005995</t>
  </si>
  <si>
    <t>INV0005996</t>
  </si>
  <si>
    <t>INV0005998</t>
  </si>
  <si>
    <t>INV0006000</t>
  </si>
  <si>
    <t>INV0006039</t>
  </si>
  <si>
    <t>INV0006040</t>
  </si>
  <si>
    <t>INV0006041</t>
  </si>
  <si>
    <t>INV0006042</t>
  </si>
  <si>
    <t>INV0006043</t>
  </si>
  <si>
    <t>INV0006044</t>
  </si>
  <si>
    <t>INV0006045</t>
  </si>
  <si>
    <t>INV0006046</t>
  </si>
  <si>
    <t>INV0006047</t>
  </si>
  <si>
    <t>INV0006048</t>
  </si>
  <si>
    <t>INV0006049</t>
  </si>
  <si>
    <t>INV0006050</t>
  </si>
  <si>
    <t>INV0006051</t>
  </si>
  <si>
    <t>INV0006052</t>
  </si>
  <si>
    <t>INV0006053</t>
  </si>
  <si>
    <t>INV0006054</t>
  </si>
  <si>
    <t>INV0006055</t>
  </si>
  <si>
    <t>INV0006057</t>
  </si>
  <si>
    <t>INV0006023</t>
  </si>
  <si>
    <t>INV0006027</t>
  </si>
  <si>
    <t>INV0006080</t>
  </si>
  <si>
    <t>INV0006081</t>
  </si>
  <si>
    <t>INV0006082</t>
  </si>
  <si>
    <t>INV0006083</t>
  </si>
  <si>
    <t>INV0006084</t>
  </si>
  <si>
    <t>INV0006086</t>
  </si>
  <si>
    <t>INV0006087</t>
  </si>
  <si>
    <t>INV0006088</t>
  </si>
  <si>
    <t>INV0006123</t>
  </si>
  <si>
    <t>INV0006124</t>
  </si>
  <si>
    <t>INV0006125</t>
  </si>
  <si>
    <t>INV0006127</t>
  </si>
  <si>
    <t>INV0006128</t>
  </si>
  <si>
    <t>INV0006129</t>
  </si>
  <si>
    <t>INV0006130</t>
  </si>
  <si>
    <t>INV0006131</t>
  </si>
  <si>
    <t>INV0006132</t>
  </si>
  <si>
    <t>INV0006133</t>
  </si>
  <si>
    <t>INV0006134</t>
  </si>
  <si>
    <t>INV0006135</t>
  </si>
  <si>
    <t>INV0006136</t>
  </si>
  <si>
    <t>INV0006137</t>
  </si>
  <si>
    <t>INV0006205</t>
  </si>
  <si>
    <t>INV0006240</t>
  </si>
  <si>
    <t>INV0006241</t>
  </si>
  <si>
    <t>INV0006242</t>
  </si>
  <si>
    <t>INV0006243</t>
  </si>
  <si>
    <t>INV0006244</t>
  </si>
  <si>
    <t>INV0006245</t>
  </si>
  <si>
    <t>INV0006246</t>
  </si>
  <si>
    <t>INV0006253</t>
  </si>
  <si>
    <t>INV0006254</t>
  </si>
  <si>
    <t>INV0006276</t>
  </si>
  <si>
    <t>INV0006313</t>
  </si>
  <si>
    <t>INV0006314</t>
  </si>
  <si>
    <t>INV0006391</t>
  </si>
  <si>
    <t>INV0006433</t>
  </si>
  <si>
    <t>INV0006434</t>
  </si>
  <si>
    <t>INV0006436</t>
  </si>
  <si>
    <t>INV0006438</t>
  </si>
  <si>
    <t>INV0006439</t>
  </si>
  <si>
    <t>INV0006460</t>
  </si>
  <si>
    <t>INV0006461</t>
  </si>
  <si>
    <t>INV0006462</t>
  </si>
  <si>
    <t>INV0006463</t>
  </si>
  <si>
    <t>INV0006464</t>
  </si>
  <si>
    <t>INV0006465</t>
  </si>
  <si>
    <t>INV0006466</t>
  </si>
  <si>
    <t>INV0006467</t>
  </si>
  <si>
    <t>INV0006468</t>
  </si>
  <si>
    <t>INV0006469</t>
  </si>
  <si>
    <t>INV0006470</t>
  </si>
  <si>
    <t>INV0006471</t>
  </si>
  <si>
    <t>INV0006472</t>
  </si>
  <si>
    <t>INV0006474</t>
  </si>
  <si>
    <t>INV0006475</t>
  </si>
  <si>
    <t>INV0006476</t>
  </si>
  <si>
    <t>INV0006477</t>
  </si>
  <si>
    <t>INV0006478</t>
  </si>
  <si>
    <t>INV0006574</t>
  </si>
  <si>
    <t>INV0006575</t>
  </si>
  <si>
    <t>INV0006576</t>
  </si>
  <si>
    <t>INV0006577</t>
  </si>
  <si>
    <t>INV0006578</t>
  </si>
  <si>
    <t>INV0006579</t>
  </si>
  <si>
    <t>INV0006580</t>
  </si>
  <si>
    <t>INV0006581</t>
  </si>
  <si>
    <t>INV0006583</t>
  </si>
  <si>
    <t>INV0006584</t>
  </si>
  <si>
    <t>INV0006585</t>
  </si>
  <si>
    <t>INV0006586</t>
  </si>
  <si>
    <t>INV0006587</t>
  </si>
  <si>
    <t>INV0006588</t>
  </si>
  <si>
    <t>INV0006589</t>
  </si>
  <si>
    <t>INV0006590</t>
  </si>
  <si>
    <t>INV0006592</t>
  </si>
  <si>
    <t>INV0006593</t>
  </si>
  <si>
    <t>INV0006594</t>
  </si>
  <si>
    <t>INV0006595</t>
  </si>
  <si>
    <t>INV0006596</t>
  </si>
  <si>
    <t>INV0006597</t>
  </si>
  <si>
    <t>INV0006598</t>
  </si>
  <si>
    <t>INV0006600</t>
  </si>
  <si>
    <t>INV0006601</t>
  </si>
  <si>
    <t>INV0006602</t>
  </si>
  <si>
    <t>INV0006604</t>
  </si>
  <si>
    <t>INV0006605</t>
  </si>
  <si>
    <t>INV0006606</t>
  </si>
  <si>
    <t>INV0006607</t>
  </si>
  <si>
    <t>INV0006608</t>
  </si>
  <si>
    <t>INV0006623</t>
  </si>
  <si>
    <t>INV0006631</t>
  </si>
  <si>
    <t>INV0006661</t>
  </si>
  <si>
    <t>INV0006774</t>
  </si>
  <si>
    <t>INV0006779</t>
  </si>
  <si>
    <t>INV0006782</t>
  </si>
  <si>
    <t>INV0006742</t>
  </si>
  <si>
    <t>INV0006812</t>
  </si>
  <si>
    <t>INV0006813</t>
  </si>
  <si>
    <t>INV0006821</t>
  </si>
  <si>
    <t>INV0006822</t>
  </si>
  <si>
    <t>INV0006823</t>
  </si>
  <si>
    <t>INV0006906</t>
  </si>
  <si>
    <t>INV0006907</t>
  </si>
  <si>
    <t>INV0006911</t>
  </si>
  <si>
    <t>INV0006921</t>
  </si>
  <si>
    <t>INV0006922</t>
  </si>
  <si>
    <t>INV0006923</t>
  </si>
  <si>
    <t>INV0006924</t>
  </si>
  <si>
    <t>INV0006925</t>
  </si>
  <si>
    <t>INV0006962</t>
  </si>
  <si>
    <t>INV0006963</t>
  </si>
  <si>
    <t>INV0006964</t>
  </si>
  <si>
    <t>INV0006966</t>
  </si>
  <si>
    <t>INV0006967</t>
  </si>
  <si>
    <t>INV0006968</t>
  </si>
  <si>
    <t>INV0006969</t>
  </si>
  <si>
    <t>INV0006970</t>
  </si>
  <si>
    <t>INV0006972</t>
  </si>
  <si>
    <t>INV0006975</t>
  </si>
  <si>
    <t>INV0006979</t>
  </si>
  <si>
    <t>INV0006980</t>
  </si>
  <si>
    <t>INV0007020</t>
  </si>
  <si>
    <t>INV0007025</t>
  </si>
  <si>
    <t>INV0007039</t>
  </si>
  <si>
    <t>INV0007040</t>
  </si>
  <si>
    <t>INV0007041</t>
  </si>
  <si>
    <t>INV0007042</t>
  </si>
  <si>
    <t>INV0007071</t>
  </si>
  <si>
    <t>INV0007072</t>
  </si>
  <si>
    <t>INV0007073</t>
  </si>
  <si>
    <t>INV0007075</t>
  </si>
  <si>
    <t>INV0007077</t>
  </si>
  <si>
    <t>INV0007084</t>
  </si>
  <si>
    <t>INV0007129</t>
  </si>
  <si>
    <t>INV0007140</t>
  </si>
  <si>
    <t>INV0007175</t>
  </si>
  <si>
    <t>INV0007176</t>
  </si>
  <si>
    <t>INV0007184</t>
  </si>
  <si>
    <t>INV0007185</t>
  </si>
  <si>
    <t>INV0007269</t>
  </si>
  <si>
    <t>INV0007274</t>
  </si>
  <si>
    <t>INV0007275</t>
  </si>
  <si>
    <t>INV0007276</t>
  </si>
  <si>
    <t>INV0007277</t>
  </si>
  <si>
    <t>INV0007278</t>
  </si>
  <si>
    <t>INV0007304</t>
  </si>
  <si>
    <t>INV0007327</t>
  </si>
  <si>
    <t>INV0007328</t>
  </si>
  <si>
    <t>INV0007329</t>
  </si>
  <si>
    <t>INV0007331</t>
  </si>
  <si>
    <t>INV0007370</t>
  </si>
  <si>
    <t>INV0007376</t>
  </si>
  <si>
    <t>INV0007381</t>
  </si>
  <si>
    <t>INV0007415</t>
  </si>
  <si>
    <t>INV0007420</t>
  </si>
  <si>
    <t>INV0007433</t>
  </si>
  <si>
    <t>INV0007435</t>
  </si>
  <si>
    <t>INV0007488</t>
  </si>
  <si>
    <t>INV0007489</t>
  </si>
  <si>
    <t>INV0007491</t>
  </si>
  <si>
    <t>INV0007492</t>
  </si>
  <si>
    <t>INV0007511</t>
  </si>
  <si>
    <t>INV0007517</t>
  </si>
  <si>
    <t>INV0007518</t>
  </si>
  <si>
    <t>INV0007519</t>
  </si>
  <si>
    <t>INV0007520</t>
  </si>
  <si>
    <t>INV0007521</t>
  </si>
  <si>
    <t>INV0007523</t>
  </si>
  <si>
    <t>INV0007609</t>
  </si>
  <si>
    <t>INV0007637</t>
  </si>
  <si>
    <t>INV0007638</t>
  </si>
  <si>
    <t>INV0007639</t>
  </si>
  <si>
    <t>INV0007640</t>
  </si>
  <si>
    <t>INV0007641</t>
  </si>
  <si>
    <t>NAC1521</t>
  </si>
  <si>
    <t>WHOLESALE FLOWERS AND SUPPLIES</t>
  </si>
  <si>
    <t>CRM0202744</t>
  </si>
  <si>
    <t>NAC1522</t>
  </si>
  <si>
    <t>Wickman's Garden Village</t>
  </si>
  <si>
    <t>INV0002858</t>
  </si>
  <si>
    <t>NAC1527</t>
  </si>
  <si>
    <t>Wojo's Greenhouses-</t>
  </si>
  <si>
    <t>NAC1528</t>
  </si>
  <si>
    <t>Wong Whole Sale, Inc.</t>
  </si>
  <si>
    <t>INV0004798</t>
  </si>
  <si>
    <t>NAC1530</t>
  </si>
  <si>
    <t>Woodlane Flowers, Inc.</t>
  </si>
  <si>
    <t>INV0004457</t>
  </si>
  <si>
    <t>INV0006777</t>
  </si>
  <si>
    <t>CDM0000513</t>
  </si>
  <si>
    <t>NAC1531</t>
  </si>
  <si>
    <t>Worden Farm</t>
  </si>
  <si>
    <t>CDM0000488</t>
  </si>
  <si>
    <t>CDM0000489</t>
  </si>
  <si>
    <t>NAC1543</t>
  </si>
  <si>
    <t>Zoolarity</t>
  </si>
  <si>
    <t>INV0004105</t>
  </si>
  <si>
    <t>NAC1545</t>
  </si>
  <si>
    <t>Thorsens Greenhouse , LLC</t>
  </si>
  <si>
    <t>INV0001372</t>
  </si>
  <si>
    <t>NAC1594</t>
  </si>
  <si>
    <t>Marion Development LLC</t>
  </si>
  <si>
    <t>INV0001896</t>
  </si>
  <si>
    <t>CDM0000161</t>
  </si>
  <si>
    <t>NAC1604</t>
  </si>
  <si>
    <t>Native Wholesale Inc</t>
  </si>
  <si>
    <t>INV0006703</t>
  </si>
  <si>
    <t>INV0006776</t>
  </si>
  <si>
    <t>INV0006725</t>
  </si>
  <si>
    <t>INV0006800</t>
  </si>
  <si>
    <t>INV0006917</t>
  </si>
  <si>
    <t>INV0006950</t>
  </si>
  <si>
    <t>INV0006953</t>
  </si>
  <si>
    <t>INV0006954</t>
  </si>
  <si>
    <t>INV0006955</t>
  </si>
  <si>
    <t>INV0007227</t>
  </si>
  <si>
    <t>INV0007624</t>
  </si>
  <si>
    <t>NAC1606</t>
  </si>
  <si>
    <t>Kendal</t>
  </si>
  <si>
    <t>INV0000471</t>
  </si>
  <si>
    <t>INV0000518</t>
  </si>
  <si>
    <t>CDM0000464</t>
  </si>
  <si>
    <t>INV0005963</t>
  </si>
  <si>
    <t>INV0006450</t>
  </si>
  <si>
    <t>INV0006541</t>
  </si>
  <si>
    <t>INV0006619</t>
  </si>
  <si>
    <t>INV0006854</t>
  </si>
  <si>
    <t>INV0006855</t>
  </si>
  <si>
    <t>INV0007051</t>
  </si>
  <si>
    <t>INV0007052</t>
  </si>
  <si>
    <t>INV0007053</t>
  </si>
  <si>
    <t>INV0007186</t>
  </si>
  <si>
    <t>INV0007232</t>
  </si>
  <si>
    <t>INV0007606</t>
  </si>
  <si>
    <t>NAC1607</t>
  </si>
  <si>
    <t>Hugo´s Supermarket</t>
  </si>
  <si>
    <t>CRM0126497</t>
  </si>
  <si>
    <t>CRM0126498</t>
  </si>
  <si>
    <t>CRM0126500</t>
  </si>
  <si>
    <t>NAC1608</t>
  </si>
  <si>
    <t>DWF Wholesale Florist</t>
  </si>
  <si>
    <t>CRM0123953</t>
  </si>
  <si>
    <t>CRM0123954</t>
  </si>
  <si>
    <t>CRM0123955</t>
  </si>
  <si>
    <t>CRM0123956</t>
  </si>
  <si>
    <t>CRM0123959</t>
  </si>
  <si>
    <t>CRM0123962</t>
  </si>
  <si>
    <t>INV0000141</t>
  </si>
  <si>
    <t>INV0000157</t>
  </si>
  <si>
    <t>INV0000665</t>
  </si>
  <si>
    <t>INV0007452</t>
  </si>
  <si>
    <t>NAC1610</t>
  </si>
  <si>
    <t>Super Saver</t>
  </si>
  <si>
    <t>INV0006279</t>
  </si>
  <si>
    <t>NAC1611</t>
  </si>
  <si>
    <t>Milgro</t>
  </si>
  <si>
    <t>CRM0122428</t>
  </si>
  <si>
    <t>CRM0122657</t>
  </si>
  <si>
    <t>CRM0123944</t>
  </si>
  <si>
    <t>CRM0123950</t>
  </si>
  <si>
    <t>CRM0123952</t>
  </si>
  <si>
    <t>CRM0124377</t>
  </si>
  <si>
    <t>CRM0124910</t>
  </si>
  <si>
    <t>INV0001045</t>
  </si>
  <si>
    <t>INV0001046</t>
  </si>
  <si>
    <t>INV0004065</t>
  </si>
  <si>
    <t>INV0004246</t>
  </si>
  <si>
    <t>INV0004297</t>
  </si>
  <si>
    <t>INV0004564</t>
  </si>
  <si>
    <t>INV0004569</t>
  </si>
  <si>
    <t>INV0004624</t>
  </si>
  <si>
    <t>INV0004625</t>
  </si>
  <si>
    <t>INV0005494</t>
  </si>
  <si>
    <t>INV0005495</t>
  </si>
  <si>
    <t>INV0005672</t>
  </si>
  <si>
    <t>INV0006222</t>
  </si>
  <si>
    <t>INV0006223</t>
  </si>
  <si>
    <t>INV0006226</t>
  </si>
  <si>
    <t>INV0006227</t>
  </si>
  <si>
    <t>INV0006516</t>
  </si>
  <si>
    <t>INV0006519</t>
  </si>
  <si>
    <t>INV0006539</t>
  </si>
  <si>
    <t>INV0006799</t>
  </si>
  <si>
    <t>INV0006949</t>
  </si>
  <si>
    <t>CDM0000514</t>
  </si>
  <si>
    <t>INV0006952</t>
  </si>
  <si>
    <t>INV0007008</t>
  </si>
  <si>
    <t>INV0007012</t>
  </si>
  <si>
    <t>INV0007173</t>
  </si>
  <si>
    <t>NAC1612</t>
  </si>
  <si>
    <t>Family Fare</t>
  </si>
  <si>
    <t>NAC1615</t>
  </si>
  <si>
    <t>Queens Flowers</t>
  </si>
  <si>
    <t>CRM0124909</t>
  </si>
  <si>
    <t>NAC1628</t>
  </si>
  <si>
    <t>Giordano's Floral Creations</t>
  </si>
  <si>
    <t>INV0003864</t>
  </si>
  <si>
    <t>NAC1642</t>
  </si>
  <si>
    <t>Vivo Floral LLC</t>
  </si>
  <si>
    <t>INV0001697</t>
  </si>
  <si>
    <t>CDM0000537</t>
  </si>
  <si>
    <t>NAC1659</t>
  </si>
  <si>
    <t>Trader Joe´s Company</t>
  </si>
  <si>
    <t>INV0005934</t>
  </si>
  <si>
    <t>INV0005935</t>
  </si>
  <si>
    <t>INV0005936</t>
  </si>
  <si>
    <t>INV0005937</t>
  </si>
  <si>
    <t>INV0005938</t>
  </si>
  <si>
    <t>INV0005939</t>
  </si>
  <si>
    <t>INV0005940</t>
  </si>
  <si>
    <t>INV0005941</t>
  </si>
  <si>
    <t>INV0005942</t>
  </si>
  <si>
    <t>INV0006840</t>
  </si>
  <si>
    <t>INV0006981</t>
  </si>
  <si>
    <t>INV0006982</t>
  </si>
  <si>
    <t>INV0006984</t>
  </si>
  <si>
    <t>INV0006985</t>
  </si>
  <si>
    <t>INV0006986</t>
  </si>
  <si>
    <t>INV0006987</t>
  </si>
  <si>
    <t>INV0007026</t>
  </si>
  <si>
    <t>INV0007027</t>
  </si>
  <si>
    <t>INV0007028</t>
  </si>
  <si>
    <t>INV0007029</t>
  </si>
  <si>
    <t>INV0007030</t>
  </si>
  <si>
    <t>INV0007031</t>
  </si>
  <si>
    <t>INV0007032</t>
  </si>
  <si>
    <t>INV0007044</t>
  </si>
  <si>
    <t>INV0007045</t>
  </si>
  <si>
    <t>INV0007046</t>
  </si>
  <si>
    <t>INV0007047</t>
  </si>
  <si>
    <t>INV0007048</t>
  </si>
  <si>
    <t>INV0007049</t>
  </si>
  <si>
    <t>INV0007050</t>
  </si>
  <si>
    <t>INV0007096</t>
  </si>
  <si>
    <t>INV0007097</t>
  </si>
  <si>
    <t>INV0007098</t>
  </si>
  <si>
    <t>INV0007099</t>
  </si>
  <si>
    <t>INV0007100</t>
  </si>
  <si>
    <t>INV0007101</t>
  </si>
  <si>
    <t>INV0007102</t>
  </si>
  <si>
    <t>INV0007103</t>
  </si>
  <si>
    <t>INV0007104</t>
  </si>
  <si>
    <t>INV0007105</t>
  </si>
  <si>
    <t>INV0007106</t>
  </si>
  <si>
    <t>INV0007141</t>
  </si>
  <si>
    <t>INV0007142</t>
  </si>
  <si>
    <t>INV0007143</t>
  </si>
  <si>
    <t>INV0007144</t>
  </si>
  <si>
    <t>INV0007145</t>
  </si>
  <si>
    <t>INV0007146</t>
  </si>
  <si>
    <t>INV0007147</t>
  </si>
  <si>
    <t>INV0007177</t>
  </si>
  <si>
    <t>INV0007178</t>
  </si>
  <si>
    <t>INV0007179</t>
  </si>
  <si>
    <t>INV0007180</t>
  </si>
  <si>
    <t>INV0007187</t>
  </si>
  <si>
    <t>INV0007188</t>
  </si>
  <si>
    <t>INV0007189</t>
  </si>
  <si>
    <t>INV0007190</t>
  </si>
  <si>
    <t>INV0007191</t>
  </si>
  <si>
    <t>INV0007192</t>
  </si>
  <si>
    <t>INV0007193</t>
  </si>
  <si>
    <t>INV0007194</t>
  </si>
  <si>
    <t>INV0007195</t>
  </si>
  <si>
    <t>INV0007196</t>
  </si>
  <si>
    <t>INV0007197</t>
  </si>
  <si>
    <t>INV0007198</t>
  </si>
  <si>
    <t>INV0007199</t>
  </si>
  <si>
    <t>INV0007200</t>
  </si>
  <si>
    <t>INV0007201</t>
  </si>
  <si>
    <t>INV0007202</t>
  </si>
  <si>
    <t>INV0007203</t>
  </si>
  <si>
    <t>INV0007204</t>
  </si>
  <si>
    <t>INV0007205</t>
  </si>
  <si>
    <t>INV0007206</t>
  </si>
  <si>
    <t>INV0007207</t>
  </si>
  <si>
    <t>INV0007279</t>
  </si>
  <si>
    <t>INV0007280</t>
  </si>
  <si>
    <t>INV0007281</t>
  </si>
  <si>
    <t>INV0007282</t>
  </si>
  <si>
    <t>INV0007283</t>
  </si>
  <si>
    <t>INV0007284</t>
  </si>
  <si>
    <t>INV0007285</t>
  </si>
  <si>
    <t>INV0007286</t>
  </si>
  <si>
    <t>INV0007287</t>
  </si>
  <si>
    <t>INV0007337</t>
  </si>
  <si>
    <t>INV0007338</t>
  </si>
  <si>
    <t>INV0007339</t>
  </si>
  <si>
    <t>INV0007340</t>
  </si>
  <si>
    <t>INV0007341</t>
  </si>
  <si>
    <t>INV0007342</t>
  </si>
  <si>
    <t>INV0007413</t>
  </si>
  <si>
    <t>INV0007414</t>
  </si>
  <si>
    <t>INV0007416</t>
  </si>
  <si>
    <t>INV0007417</t>
  </si>
  <si>
    <t>INV0007418</t>
  </si>
  <si>
    <t>INV0007419</t>
  </si>
  <si>
    <t>INV0007434</t>
  </si>
  <si>
    <t>INV0007437</t>
  </si>
  <si>
    <t>INV0007438</t>
  </si>
  <si>
    <t>INV0007439</t>
  </si>
  <si>
    <t>INV0007440</t>
  </si>
  <si>
    <t>INV0007441</t>
  </si>
  <si>
    <t>INV0007442</t>
  </si>
  <si>
    <t>INV0007474</t>
  </si>
  <si>
    <t>INV0007475</t>
  </si>
  <si>
    <t>INV0007476</t>
  </si>
  <si>
    <t>INV0007477</t>
  </si>
  <si>
    <t>INV0007478</t>
  </si>
  <si>
    <t>INV0007479</t>
  </si>
  <si>
    <t>INV0007480</t>
  </si>
  <si>
    <t>INV0007481</t>
  </si>
  <si>
    <t>INV0007482</t>
  </si>
  <si>
    <t>INV0007483</t>
  </si>
  <si>
    <t>INV0007484</t>
  </si>
  <si>
    <t>INV0007485</t>
  </si>
  <si>
    <t>INV0007486</t>
  </si>
  <si>
    <t>INV0007487</t>
  </si>
  <si>
    <t>INV0007513</t>
  </si>
  <si>
    <t>INV0007514</t>
  </si>
  <si>
    <t>INV0007515</t>
  </si>
  <si>
    <t>INV0007516</t>
  </si>
  <si>
    <t>INV0007557</t>
  </si>
  <si>
    <t>INV0007558</t>
  </si>
  <si>
    <t>INV0007559</t>
  </si>
  <si>
    <t>INV0007560</t>
  </si>
  <si>
    <t>INV0007561</t>
  </si>
  <si>
    <t>INV0007564</t>
  </si>
  <si>
    <t>INV0007634</t>
  </si>
  <si>
    <t>INV0007635</t>
  </si>
  <si>
    <t>INV0007636</t>
  </si>
  <si>
    <t>NAC1666</t>
  </si>
  <si>
    <t>PTP PRODUCE LLC</t>
  </si>
  <si>
    <t>INV0007266</t>
  </si>
  <si>
    <t>NAC1683</t>
  </si>
  <si>
    <t>Blooming Fresh Flowers</t>
  </si>
  <si>
    <t>INV0005462</t>
  </si>
  <si>
    <t>NAC1694</t>
  </si>
  <si>
    <t>Princeton Market INC</t>
  </si>
  <si>
    <t>Num</t>
  </si>
  <si>
    <t>Terms</t>
  </si>
  <si>
    <t>Due Date</t>
  </si>
  <si>
    <t>Account</t>
  </si>
  <si>
    <t>Aging</t>
  </si>
  <si>
    <t>Amount</t>
  </si>
  <si>
    <t>Code</t>
  </si>
  <si>
    <t>Inovice</t>
  </si>
  <si>
    <t>Cuenta</t>
  </si>
  <si>
    <t>Credit Memo</t>
  </si>
  <si>
    <t>0122272</t>
  </si>
  <si>
    <t>1-800Flowers.com:Bloomnet</t>
  </si>
  <si>
    <t>Accounts Receivable</t>
  </si>
  <si>
    <t>0125045</t>
  </si>
  <si>
    <t>0125457</t>
  </si>
  <si>
    <t>0125499</t>
  </si>
  <si>
    <t>0125521</t>
  </si>
  <si>
    <t>0125522</t>
  </si>
  <si>
    <t>0125523</t>
  </si>
  <si>
    <t>0125669</t>
  </si>
  <si>
    <t>0125670</t>
  </si>
  <si>
    <t>0125671</t>
  </si>
  <si>
    <t>0125833</t>
  </si>
  <si>
    <t>0126247</t>
  </si>
  <si>
    <t>0126282</t>
  </si>
  <si>
    <t>0126283</t>
  </si>
  <si>
    <t>0126314</t>
  </si>
  <si>
    <t>0126514</t>
  </si>
  <si>
    <t>0126521</t>
  </si>
  <si>
    <t>0126525</t>
  </si>
  <si>
    <t>0126529</t>
  </si>
  <si>
    <t>0126530</t>
  </si>
  <si>
    <t>0126534</t>
  </si>
  <si>
    <t>0126612</t>
  </si>
  <si>
    <t>0126632</t>
  </si>
  <si>
    <t>0126633</t>
  </si>
  <si>
    <t>0126701</t>
  </si>
  <si>
    <t>0126702</t>
  </si>
  <si>
    <t>0126703</t>
  </si>
  <si>
    <t>0126704</t>
  </si>
  <si>
    <t>0126705</t>
  </si>
  <si>
    <t>0126751</t>
  </si>
  <si>
    <t>0126766</t>
  </si>
  <si>
    <t>0126902</t>
  </si>
  <si>
    <t>0126906</t>
  </si>
  <si>
    <t>0126907</t>
  </si>
  <si>
    <t>0126923</t>
  </si>
  <si>
    <t>0126927</t>
  </si>
  <si>
    <t>0126928</t>
  </si>
  <si>
    <t>Payment</t>
  </si>
  <si>
    <t>0120679</t>
  </si>
  <si>
    <t>0126224</t>
  </si>
  <si>
    <t>0126386</t>
  </si>
  <si>
    <t>0126387</t>
  </si>
  <si>
    <t>0126707</t>
  </si>
  <si>
    <t>0123561</t>
  </si>
  <si>
    <t>Ahold USA:BUNZL BALTIMORE</t>
  </si>
  <si>
    <t>0124987</t>
  </si>
  <si>
    <t>0125047</t>
  </si>
  <si>
    <t>0125857</t>
  </si>
  <si>
    <t>0125830</t>
  </si>
  <si>
    <t>0126718</t>
  </si>
  <si>
    <t>0125084</t>
  </si>
  <si>
    <t>Ahold USA:BUNZL R3 NEW ENGLAND</t>
  </si>
  <si>
    <t>0125551</t>
  </si>
  <si>
    <t>0125719</t>
  </si>
  <si>
    <t>0126437</t>
  </si>
  <si>
    <t>0127045</t>
  </si>
  <si>
    <t>0117480</t>
  </si>
  <si>
    <t>Ahold USA:Bunzl Schwarz</t>
  </si>
  <si>
    <t>0126457</t>
  </si>
  <si>
    <t>0125328</t>
  </si>
  <si>
    <t>Ahold USA:BUNZL YORK</t>
  </si>
  <si>
    <t>0126308</t>
  </si>
  <si>
    <t>0118906</t>
  </si>
  <si>
    <t>0118909</t>
  </si>
  <si>
    <t>0119565</t>
  </si>
  <si>
    <t>5900327624</t>
  </si>
  <si>
    <t>0121188</t>
  </si>
  <si>
    <t>0126736</t>
  </si>
  <si>
    <t>0126807</t>
  </si>
  <si>
    <t>0126809</t>
  </si>
  <si>
    <t>0126855</t>
  </si>
  <si>
    <t>0126856</t>
  </si>
  <si>
    <t>0111162</t>
  </si>
  <si>
    <t>Albertsons:Albertson's #682</t>
  </si>
  <si>
    <t>0.26% 10 Net 30</t>
  </si>
  <si>
    <t>0107232</t>
  </si>
  <si>
    <t>Albertsons:Albertson's #904</t>
  </si>
  <si>
    <t>0111123</t>
  </si>
  <si>
    <t>0107233</t>
  </si>
  <si>
    <t>Albertsons:Albertson's #905</t>
  </si>
  <si>
    <t>0108771</t>
  </si>
  <si>
    <t>Albertsons:Albertson's #915</t>
  </si>
  <si>
    <t>0111105</t>
  </si>
  <si>
    <t>0114423</t>
  </si>
  <si>
    <t>0116282</t>
  </si>
  <si>
    <t>0117035</t>
  </si>
  <si>
    <t>0118926</t>
  </si>
  <si>
    <t>0120390</t>
  </si>
  <si>
    <t>0111102</t>
  </si>
  <si>
    <t>Albertsons:Albertson's #919</t>
  </si>
  <si>
    <t>0111109</t>
  </si>
  <si>
    <t>Albertsons:Albertson's #927</t>
  </si>
  <si>
    <t>0111104</t>
  </si>
  <si>
    <t>Albertsons:Albertson's #928</t>
  </si>
  <si>
    <t>0116883</t>
  </si>
  <si>
    <t>0119363</t>
  </si>
  <si>
    <t>0126575</t>
  </si>
  <si>
    <t>0107238</t>
  </si>
  <si>
    <t>Albertsons:Albertson's #937</t>
  </si>
  <si>
    <t>0107239</t>
  </si>
  <si>
    <t>Albertsons:Albertson's #939</t>
  </si>
  <si>
    <t>0111106</t>
  </si>
  <si>
    <t>0115877</t>
  </si>
  <si>
    <t>0119733</t>
  </si>
  <si>
    <t>0107160</t>
  </si>
  <si>
    <t>Albertsons:Albertson's #986</t>
  </si>
  <si>
    <t>0108774</t>
  </si>
  <si>
    <t>Albertsons:Albertson's #987</t>
  </si>
  <si>
    <t>0119734</t>
  </si>
  <si>
    <t>0107203</t>
  </si>
  <si>
    <t>Albertsons:Albertsons #665</t>
  </si>
  <si>
    <t>0111156</t>
  </si>
  <si>
    <t>0118277</t>
  </si>
  <si>
    <t>Albertsons:Albertsons #671</t>
  </si>
  <si>
    <t>0111100</t>
  </si>
  <si>
    <t>Albertsons:Albertsons #676</t>
  </si>
  <si>
    <t>0107211</t>
  </si>
  <si>
    <t>Albertsons:Albertsons #678</t>
  </si>
  <si>
    <t>0107226</t>
  </si>
  <si>
    <t>Albertsons:Albertsons #680</t>
  </si>
  <si>
    <t>0111160</t>
  </si>
  <si>
    <t>0107227</t>
  </si>
  <si>
    <t>Albertsons:Albertsons #681</t>
  </si>
  <si>
    <t>0111161</t>
  </si>
  <si>
    <t>0117241</t>
  </si>
  <si>
    <t>0107229</t>
  </si>
  <si>
    <t>Albertsons:Albertsons #690</t>
  </si>
  <si>
    <t>0111110</t>
  </si>
  <si>
    <t>0107230</t>
  </si>
  <si>
    <t>Albertsons:Albertsons #691</t>
  </si>
  <si>
    <t>0107155</t>
  </si>
  <si>
    <t>Albertsons:Albertsons #917</t>
  </si>
  <si>
    <t>0116254</t>
  </si>
  <si>
    <t>0107237</t>
  </si>
  <si>
    <t>Albertsons:ALBERTSONS #923</t>
  </si>
  <si>
    <t>0111107</t>
  </si>
  <si>
    <t>0107156</t>
  </si>
  <si>
    <t>Albertsons:ALBERTSONS #924</t>
  </si>
  <si>
    <t>0111108</t>
  </si>
  <si>
    <t>0108773</t>
  </si>
  <si>
    <t>Albertsons:ALBERTSONS #938</t>
  </si>
  <si>
    <t>0126359</t>
  </si>
  <si>
    <t>0125726</t>
  </si>
  <si>
    <t>0126095</t>
  </si>
  <si>
    <t>0126290</t>
  </si>
  <si>
    <t>0126442</t>
  </si>
  <si>
    <t>0126690</t>
  </si>
  <si>
    <t>0127043</t>
  </si>
  <si>
    <t>0126638</t>
  </si>
  <si>
    <t>All Seasons Garden</t>
  </si>
  <si>
    <t>0116149</t>
  </si>
  <si>
    <t>0116513</t>
  </si>
  <si>
    <t>0120963</t>
  </si>
  <si>
    <t>0125699</t>
  </si>
  <si>
    <t>0125998</t>
  </si>
  <si>
    <t>0126238</t>
  </si>
  <si>
    <t>0126239</t>
  </si>
  <si>
    <t>0126851</t>
  </si>
  <si>
    <t>0126887</t>
  </si>
  <si>
    <t>0126964</t>
  </si>
  <si>
    <t>0126966</t>
  </si>
  <si>
    <t>0126965</t>
  </si>
  <si>
    <t>0127064</t>
  </si>
  <si>
    <t>General Journal</t>
  </si>
  <si>
    <t>Reclass-RO</t>
  </si>
  <si>
    <t>Americana Kingfisher co</t>
  </si>
  <si>
    <t>0126275</t>
  </si>
  <si>
    <t>0126123</t>
  </si>
  <si>
    <t>0126748</t>
  </si>
  <si>
    <t>0126471</t>
  </si>
  <si>
    <t>0127041</t>
  </si>
  <si>
    <t>0126361</t>
  </si>
  <si>
    <t>Apple Markets #26</t>
  </si>
  <si>
    <t>1% 10 Net 30</t>
  </si>
  <si>
    <t>0126487</t>
  </si>
  <si>
    <t>0126413</t>
  </si>
  <si>
    <t>0126414</t>
  </si>
  <si>
    <t>0126415</t>
  </si>
  <si>
    <t>0126416</t>
  </si>
  <si>
    <t>0126417</t>
  </si>
  <si>
    <t>0126418</t>
  </si>
  <si>
    <t>0126420</t>
  </si>
  <si>
    <t>0126421</t>
  </si>
  <si>
    <t>0126422</t>
  </si>
  <si>
    <t>0126423</t>
  </si>
  <si>
    <t>0126424</t>
  </si>
  <si>
    <t>0126425</t>
  </si>
  <si>
    <t>0126426</t>
  </si>
  <si>
    <t>0126427</t>
  </si>
  <si>
    <t>0126428</t>
  </si>
  <si>
    <t>0126429</t>
  </si>
  <si>
    <t>0126430</t>
  </si>
  <si>
    <t>0126834</t>
  </si>
  <si>
    <t>0126835</t>
  </si>
  <si>
    <t>0126836</t>
  </si>
  <si>
    <t>0126837</t>
  </si>
  <si>
    <t>0126838</t>
  </si>
  <si>
    <t>0126839</t>
  </si>
  <si>
    <t>0126840</t>
  </si>
  <si>
    <t>0126841</t>
  </si>
  <si>
    <t>0126842</t>
  </si>
  <si>
    <t>0126635</t>
  </si>
  <si>
    <t>0126695</t>
  </si>
  <si>
    <t>0126698</t>
  </si>
  <si>
    <t>0126243</t>
  </si>
  <si>
    <t>0126817</t>
  </si>
  <si>
    <t>0122483</t>
  </si>
  <si>
    <t>0126064</t>
  </si>
  <si>
    <t>0126116</t>
  </si>
  <si>
    <t>0126117</t>
  </si>
  <si>
    <t>0126307</t>
  </si>
  <si>
    <t>0126323</t>
  </si>
  <si>
    <t>0126341</t>
  </si>
  <si>
    <t>0126372</t>
  </si>
  <si>
    <t>0126412</t>
  </si>
  <si>
    <t>0125199</t>
  </si>
  <si>
    <t>0125200</t>
  </si>
  <si>
    <t>0125803</t>
  </si>
  <si>
    <t>0125804</t>
  </si>
  <si>
    <t>0125805</t>
  </si>
  <si>
    <t>0125806</t>
  </si>
  <si>
    <t>0126083</t>
  </si>
  <si>
    <t>0126331</t>
  </si>
  <si>
    <t>0126954</t>
  </si>
  <si>
    <t>0116929</t>
  </si>
  <si>
    <t>0117026</t>
  </si>
  <si>
    <t>0117572</t>
  </si>
  <si>
    <t>0118535</t>
  </si>
  <si>
    <t>0119385</t>
  </si>
  <si>
    <t>TGDR-202563</t>
  </si>
  <si>
    <t>0125834</t>
  </si>
  <si>
    <t>65757</t>
  </si>
  <si>
    <t>133232</t>
  </si>
  <si>
    <t>Bergen's Greenhouses, Inc.</t>
  </si>
  <si>
    <t>Refund AR</t>
  </si>
  <si>
    <t>0114770</t>
  </si>
  <si>
    <t>0115293</t>
  </si>
  <si>
    <t>0117688</t>
  </si>
  <si>
    <t>743237</t>
  </si>
  <si>
    <t>743479</t>
  </si>
  <si>
    <t>0118845</t>
  </si>
  <si>
    <t>0121981</t>
  </si>
  <si>
    <t>0124960</t>
  </si>
  <si>
    <t>0125611</t>
  </si>
  <si>
    <t>0125949</t>
  </si>
  <si>
    <t>0126002</t>
  </si>
  <si>
    <t>0126041</t>
  </si>
  <si>
    <t>0126192</t>
  </si>
  <si>
    <t>0126193</t>
  </si>
  <si>
    <t>0126194</t>
  </si>
  <si>
    <t>0126195</t>
  </si>
  <si>
    <t>0126222</t>
  </si>
  <si>
    <t>0126279</t>
  </si>
  <si>
    <t>0127046</t>
  </si>
  <si>
    <t>0116371</t>
  </si>
  <si>
    <t>0123570</t>
  </si>
  <si>
    <t>0125644</t>
  </si>
  <si>
    <t>0125661</t>
  </si>
  <si>
    <t>0125687</t>
  </si>
  <si>
    <t>0125688</t>
  </si>
  <si>
    <t>0125807</t>
  </si>
  <si>
    <t>0126330</t>
  </si>
  <si>
    <t>0126354</t>
  </si>
  <si>
    <t>0126365</t>
  </si>
  <si>
    <t>0126374</t>
  </si>
  <si>
    <t>0126375</t>
  </si>
  <si>
    <t>0126523</t>
  </si>
  <si>
    <t>0126524</t>
  </si>
  <si>
    <t>0126526</t>
  </si>
  <si>
    <t>0126527</t>
  </si>
  <si>
    <t>0126606</t>
  </si>
  <si>
    <t>0126660</t>
  </si>
  <si>
    <t>0126903</t>
  </si>
  <si>
    <t>0126189</t>
  </si>
  <si>
    <t>0126221</t>
  </si>
  <si>
    <t>0126258</t>
  </si>
  <si>
    <t>0126541</t>
  </si>
  <si>
    <t>0126628</t>
  </si>
  <si>
    <t>0126894</t>
  </si>
  <si>
    <t>0126147</t>
  </si>
  <si>
    <t>0127015</t>
  </si>
  <si>
    <t>0125697</t>
  </si>
  <si>
    <t>BUNZL:BUNZL BUFFALO</t>
  </si>
  <si>
    <t>0126309</t>
  </si>
  <si>
    <t>0122829</t>
  </si>
  <si>
    <t>0125343</t>
  </si>
  <si>
    <t>0114263</t>
  </si>
  <si>
    <t>0114442</t>
  </si>
  <si>
    <t>0114557</t>
  </si>
  <si>
    <t>0114744</t>
  </si>
  <si>
    <t>0115035</t>
  </si>
  <si>
    <t>0115478</t>
  </si>
  <si>
    <t>0115479</t>
  </si>
  <si>
    <t>0115522</t>
  </si>
  <si>
    <t>0115638</t>
  </si>
  <si>
    <t>0115833</t>
  </si>
  <si>
    <t>0115834</t>
  </si>
  <si>
    <t>0115835</t>
  </si>
  <si>
    <t>0115836</t>
  </si>
  <si>
    <t>0116689</t>
  </si>
  <si>
    <t>0116182</t>
  </si>
  <si>
    <t>0116484</t>
  </si>
  <si>
    <t>0118875</t>
  </si>
  <si>
    <t>0118879</t>
  </si>
  <si>
    <t>0120005</t>
  </si>
  <si>
    <t>0120299</t>
  </si>
  <si>
    <t>0120766</t>
  </si>
  <si>
    <t>0121078</t>
  </si>
  <si>
    <t>0123406</t>
  </si>
  <si>
    <t>0125518</t>
  </si>
  <si>
    <t>0125788</t>
  </si>
  <si>
    <t>0126132</t>
  </si>
  <si>
    <t>0126725</t>
  </si>
  <si>
    <t>0127051</t>
  </si>
  <si>
    <t>0126358</t>
  </si>
  <si>
    <t>0118842</t>
  </si>
  <si>
    <t>0118844</t>
  </si>
  <si>
    <t>0118869</t>
  </si>
  <si>
    <t>0120720</t>
  </si>
  <si>
    <t>0125952</t>
  </si>
  <si>
    <t>0126009</t>
  </si>
  <si>
    <t>0126161</t>
  </si>
  <si>
    <t>0126603</t>
  </si>
  <si>
    <t>0126752</t>
  </si>
  <si>
    <t>0124696</t>
  </si>
  <si>
    <t>0126201</t>
  </si>
  <si>
    <t>0123006</t>
  </si>
  <si>
    <t>Cal Coast Orchids</t>
  </si>
  <si>
    <t>0120342</t>
  </si>
  <si>
    <t>0126737</t>
  </si>
  <si>
    <t>0126960</t>
  </si>
  <si>
    <t>Chanthavy Keovilay Abrams (bloomfield...)</t>
  </si>
  <si>
    <t>0126936</t>
  </si>
  <si>
    <t>0126808</t>
  </si>
  <si>
    <t>CK Greenhouses</t>
  </si>
  <si>
    <t>0126287</t>
  </si>
  <si>
    <t>Club Floral</t>
  </si>
  <si>
    <t>0125700</t>
  </si>
  <si>
    <t>0125732</t>
  </si>
  <si>
    <t>0125851</t>
  </si>
  <si>
    <t>0125971</t>
  </si>
  <si>
    <t>0125972</t>
  </si>
  <si>
    <t>0125973</t>
  </si>
  <si>
    <t>0126127</t>
  </si>
  <si>
    <t>0126154</t>
  </si>
  <si>
    <t>0126199</t>
  </si>
  <si>
    <t>0126203</t>
  </si>
  <si>
    <t>0126206</t>
  </si>
  <si>
    <t>0126223</t>
  </si>
  <si>
    <t>0126325</t>
  </si>
  <si>
    <t>0126346</t>
  </si>
  <si>
    <t>0126390</t>
  </si>
  <si>
    <t>0126391</t>
  </si>
  <si>
    <t>0126533</t>
  </si>
  <si>
    <t>0126801</t>
  </si>
  <si>
    <t>0126859</t>
  </si>
  <si>
    <t>0126950</t>
  </si>
  <si>
    <t>0126164</t>
  </si>
  <si>
    <t>0126210</t>
  </si>
  <si>
    <t>0118395</t>
  </si>
  <si>
    <t>0121100</t>
  </si>
  <si>
    <t>0121227</t>
  </si>
  <si>
    <t>0121411</t>
  </si>
  <si>
    <t>0121529</t>
  </si>
  <si>
    <t>0123063</t>
  </si>
  <si>
    <t>0123022</t>
  </si>
  <si>
    <t>0124851</t>
  </si>
  <si>
    <t>0126312</t>
  </si>
  <si>
    <t>0126727</t>
  </si>
  <si>
    <t>0126848</t>
  </si>
  <si>
    <t>0120729</t>
  </si>
  <si>
    <t>0118769</t>
  </si>
  <si>
    <t>0126880</t>
  </si>
  <si>
    <t>Debra Spinks (dflowersmore@aol.com)</t>
  </si>
  <si>
    <t>Pago InterCo</t>
  </si>
  <si>
    <t>Decowraps Canada ULC</t>
  </si>
  <si>
    <t>Accounts Receivables Affiliated</t>
  </si>
  <si>
    <t>TGDR-202406</t>
  </si>
  <si>
    <t>TGDR-202431</t>
  </si>
  <si>
    <t>TGDR-202443</t>
  </si>
  <si>
    <t>TGDR-202463</t>
  </si>
  <si>
    <t>TGDR-202480</t>
  </si>
  <si>
    <t>TGDR-202505</t>
  </si>
  <si>
    <t>TGDR-202509</t>
  </si>
  <si>
    <t>TGDR-202521</t>
  </si>
  <si>
    <t>TGDR-202526</t>
  </si>
  <si>
    <t>TGDR-202529</t>
  </si>
  <si>
    <t>TGDR-202542</t>
  </si>
  <si>
    <t>TGDR-202560</t>
  </si>
  <si>
    <t>TGDR-202569</t>
  </si>
  <si>
    <t>TGDR-202572</t>
  </si>
  <si>
    <t>TGDR-202582</t>
  </si>
  <si>
    <t>TGDR-202604</t>
  </si>
  <si>
    <t>TGDR-202613</t>
  </si>
  <si>
    <t>TGDR-202617</t>
  </si>
  <si>
    <t>TGDR-202628</t>
  </si>
  <si>
    <t>TGDR-202638</t>
  </si>
  <si>
    <t>TGDR-202665</t>
  </si>
  <si>
    <t>TGDR-202679</t>
  </si>
  <si>
    <t>TGDR-202681</t>
  </si>
  <si>
    <t>TGDR-202696</t>
  </si>
  <si>
    <t>TGDR-202717</t>
  </si>
  <si>
    <t>TGDR-202720</t>
  </si>
  <si>
    <t>TGDR-202727</t>
  </si>
  <si>
    <t>Reclass-A</t>
  </si>
  <si>
    <t>Decowraps Colombia SAS</t>
  </si>
  <si>
    <t>Reclass-AR</t>
  </si>
  <si>
    <t>0102243</t>
  </si>
  <si>
    <t>0102929</t>
  </si>
  <si>
    <t>0103472R</t>
  </si>
  <si>
    <t>0103472</t>
  </si>
  <si>
    <t>TGDR-202272</t>
  </si>
  <si>
    <t>0105027</t>
  </si>
  <si>
    <t>0105225</t>
  </si>
  <si>
    <t>Reclass ICO</t>
  </si>
  <si>
    <t>Adjusment</t>
  </si>
  <si>
    <t>0105028</t>
  </si>
  <si>
    <t>Adjustment</t>
  </si>
  <si>
    <t>TGDR-202375</t>
  </si>
  <si>
    <t>TGDR-202382</t>
  </si>
  <si>
    <t>TGDR-202384</t>
  </si>
  <si>
    <t>TGDR-202398</t>
  </si>
  <si>
    <t>TGDR-202402</t>
  </si>
  <si>
    <t>TGDR-202403</t>
  </si>
  <si>
    <t>TGDR-202422</t>
  </si>
  <si>
    <t>TGDR-202379</t>
  </si>
  <si>
    <t>TGDR-202390</t>
  </si>
  <si>
    <t>TGDR-202580</t>
  </si>
  <si>
    <t>TGDR-202424</t>
  </si>
  <si>
    <t>TGDR-202425</t>
  </si>
  <si>
    <t>TGDR-202436</t>
  </si>
  <si>
    <t>TGDR-202441</t>
  </si>
  <si>
    <t>0110623</t>
  </si>
  <si>
    <t>TGDR-202468</t>
  </si>
  <si>
    <t>0112263</t>
  </si>
  <si>
    <t>TGDR-202450</t>
  </si>
  <si>
    <t>TGDR-202476</t>
  </si>
  <si>
    <t>TGDR-202454</t>
  </si>
  <si>
    <t>TGDR-202491</t>
  </si>
  <si>
    <t>Provision</t>
  </si>
  <si>
    <t>ProvisionR</t>
  </si>
  <si>
    <t>TGDR-202475</t>
  </si>
  <si>
    <t>TGDR-202519</t>
  </si>
  <si>
    <t>TGDR-202513</t>
  </si>
  <si>
    <t>0113670</t>
  </si>
  <si>
    <t>0114236</t>
  </si>
  <si>
    <t>0114401</t>
  </si>
  <si>
    <t>0114471</t>
  </si>
  <si>
    <t>0114594</t>
  </si>
  <si>
    <t>TGDR-202495</t>
  </si>
  <si>
    <t>0114792</t>
  </si>
  <si>
    <t>TGDR-202536</t>
  </si>
  <si>
    <t>TGDR-202547</t>
  </si>
  <si>
    <t>TGDR-202554</t>
  </si>
  <si>
    <t>TGDR-202518</t>
  </si>
  <si>
    <t>Reclass</t>
  </si>
  <si>
    <t>0115545</t>
  </si>
  <si>
    <t>TGDR-202573</t>
  </si>
  <si>
    <t>TGDR-202581</t>
  </si>
  <si>
    <t>TGDR-202533</t>
  </si>
  <si>
    <t>TGDR-202548</t>
  </si>
  <si>
    <t>0117170</t>
  </si>
  <si>
    <t>0117171</t>
  </si>
  <si>
    <t>0119381</t>
  </si>
  <si>
    <t>TGDR-202558</t>
  </si>
  <si>
    <t>0118106</t>
  </si>
  <si>
    <t>TGDR-202595</t>
  </si>
  <si>
    <t>0118536</t>
  </si>
  <si>
    <t>TGDR-202579</t>
  </si>
  <si>
    <t>0118711</t>
  </si>
  <si>
    <t>0121245</t>
  </si>
  <si>
    <t>TGDR-202633</t>
  </si>
  <si>
    <t>0121776</t>
  </si>
  <si>
    <t>0122132</t>
  </si>
  <si>
    <t>0122426</t>
  </si>
  <si>
    <t>TGDR-202599</t>
  </si>
  <si>
    <t>TGDR-202635</t>
  </si>
  <si>
    <t>0123168</t>
  </si>
  <si>
    <t>TGDR-202631</t>
  </si>
  <si>
    <t>TGDR-202654</t>
  </si>
  <si>
    <t>TGDR-202655</t>
  </si>
  <si>
    <t>TGDR-202666</t>
  </si>
  <si>
    <t>0123814</t>
  </si>
  <si>
    <t>0123815</t>
  </si>
  <si>
    <t>0124154</t>
  </si>
  <si>
    <t>0124155</t>
  </si>
  <si>
    <t>0124156</t>
  </si>
  <si>
    <t>0124218</t>
  </si>
  <si>
    <t>0124471</t>
  </si>
  <si>
    <t>0124482</t>
  </si>
  <si>
    <t>0124483</t>
  </si>
  <si>
    <t>0124503</t>
  </si>
  <si>
    <t>0124563</t>
  </si>
  <si>
    <t>0124592</t>
  </si>
  <si>
    <t>TGDR-202645</t>
  </si>
  <si>
    <t>TGDR-202673</t>
  </si>
  <si>
    <t>TGDR-202674</t>
  </si>
  <si>
    <t>TGDR-202675</t>
  </si>
  <si>
    <t>TGDR-202682</t>
  </si>
  <si>
    <t>TGDR-202686</t>
  </si>
  <si>
    <t>0125070</t>
  </si>
  <si>
    <t>0125071</t>
  </si>
  <si>
    <t>0125135</t>
  </si>
  <si>
    <t>0125221</t>
  </si>
  <si>
    <t>0125243</t>
  </si>
  <si>
    <t>TGDR-202692</t>
  </si>
  <si>
    <t>TGDR-202653</t>
  </si>
  <si>
    <t>TGDR-202697</t>
  </si>
  <si>
    <t>TGDR-202701</t>
  </si>
  <si>
    <t>TGDR-202704</t>
  </si>
  <si>
    <t>0125509</t>
  </si>
  <si>
    <t>0125510</t>
  </si>
  <si>
    <t>0125511</t>
  </si>
  <si>
    <t>0125512</t>
  </si>
  <si>
    <t>0125513</t>
  </si>
  <si>
    <t>0125594</t>
  </si>
  <si>
    <t>0125602</t>
  </si>
  <si>
    <t>0125606</t>
  </si>
  <si>
    <t>0125636</t>
  </si>
  <si>
    <t>0125757</t>
  </si>
  <si>
    <t>0125758</t>
  </si>
  <si>
    <t>0125759</t>
  </si>
  <si>
    <t>0125874</t>
  </si>
  <si>
    <t>TGDR-202705</t>
  </si>
  <si>
    <t>0125899</t>
  </si>
  <si>
    <t>0125981</t>
  </si>
  <si>
    <t>TGDR-202672</t>
  </si>
  <si>
    <t>0125988</t>
  </si>
  <si>
    <t>TGDR-202712</t>
  </si>
  <si>
    <t>TGDR-202713</t>
  </si>
  <si>
    <t>TGDR-202721</t>
  </si>
  <si>
    <t>TGDR-202725</t>
  </si>
  <si>
    <t>TGDR-202726</t>
  </si>
  <si>
    <t>0126145</t>
  </si>
  <si>
    <t>0126146</t>
  </si>
  <si>
    <t>TGDR-202728</t>
  </si>
  <si>
    <t>0126366</t>
  </si>
  <si>
    <t>0126367</t>
  </si>
  <si>
    <t>0126368</t>
  </si>
  <si>
    <t>0126369</t>
  </si>
  <si>
    <t>0126459</t>
  </si>
  <si>
    <t>0126460</t>
  </si>
  <si>
    <t>0126488</t>
  </si>
  <si>
    <t>0126561</t>
  </si>
  <si>
    <t>0126548</t>
  </si>
  <si>
    <t>0126571</t>
  </si>
  <si>
    <t>0126572</t>
  </si>
  <si>
    <t>0126709</t>
  </si>
  <si>
    <t>0126710</t>
  </si>
  <si>
    <t>0126779</t>
  </si>
  <si>
    <t>0126781</t>
  </si>
  <si>
    <t>0126782</t>
  </si>
  <si>
    <t>0126789</t>
  </si>
  <si>
    <t>0126830</t>
  </si>
  <si>
    <t>TGDR-202691</t>
  </si>
  <si>
    <t>0126881</t>
  </si>
  <si>
    <t>TGDR-202734</t>
  </si>
  <si>
    <t>TGDR-202709</t>
  </si>
  <si>
    <t>TGDR-202733</t>
  </si>
  <si>
    <t>Decowraps Comercial S.A.S</t>
  </si>
  <si>
    <t>0113689</t>
  </si>
  <si>
    <t>0114630</t>
  </si>
  <si>
    <t>0114631</t>
  </si>
  <si>
    <t>0114731</t>
  </si>
  <si>
    <t>PagoInterco</t>
  </si>
  <si>
    <t>0114833</t>
  </si>
  <si>
    <t>0117412</t>
  </si>
  <si>
    <t>0117498</t>
  </si>
  <si>
    <t>0117509</t>
  </si>
  <si>
    <t>0117510</t>
  </si>
  <si>
    <t>0117527</t>
  </si>
  <si>
    <t>TGDR-202606</t>
  </si>
  <si>
    <t>0118534</t>
  </si>
  <si>
    <t>0118646</t>
  </si>
  <si>
    <t>TGDR-202619</t>
  </si>
  <si>
    <t>0118753</t>
  </si>
  <si>
    <t>0118767</t>
  </si>
  <si>
    <t>0119134</t>
  </si>
  <si>
    <t>0119182</t>
  </si>
  <si>
    <t>0119183</t>
  </si>
  <si>
    <t>TGDR-202640</t>
  </si>
  <si>
    <t>0120907</t>
  </si>
  <si>
    <t>TGDR-202667</t>
  </si>
  <si>
    <t>TGDR-202683</t>
  </si>
  <si>
    <t>0122691</t>
  </si>
  <si>
    <t>0122917</t>
  </si>
  <si>
    <t>0122918</t>
  </si>
  <si>
    <t>0122916</t>
  </si>
  <si>
    <t>0123065</t>
  </si>
  <si>
    <t>0123226</t>
  </si>
  <si>
    <t>0123402</t>
  </si>
  <si>
    <t>0123965</t>
  </si>
  <si>
    <t>TGDR-202698</t>
  </si>
  <si>
    <t>0124348</t>
  </si>
  <si>
    <t>0124505</t>
  </si>
  <si>
    <t>0124564</t>
  </si>
  <si>
    <t>0124589</t>
  </si>
  <si>
    <t>0124681</t>
  </si>
  <si>
    <t>0124682</t>
  </si>
  <si>
    <t>TGDR-202722</t>
  </si>
  <si>
    <t>0124871</t>
  </si>
  <si>
    <t>0124872</t>
  </si>
  <si>
    <t>0124978</t>
  </si>
  <si>
    <t>0125160</t>
  </si>
  <si>
    <t>0125222</t>
  </si>
  <si>
    <t>0125514</t>
  </si>
  <si>
    <t>0125515</t>
  </si>
  <si>
    <t>0125685</t>
  </si>
  <si>
    <t>0125683</t>
  </si>
  <si>
    <t>0125684</t>
  </si>
  <si>
    <t>0125709</t>
  </si>
  <si>
    <t>0125715</t>
  </si>
  <si>
    <t>0125875</t>
  </si>
  <si>
    <t>0126144</t>
  </si>
  <si>
    <t>0126658</t>
  </si>
  <si>
    <t>0126711</t>
  </si>
  <si>
    <t>0126770</t>
  </si>
  <si>
    <t>0126774</t>
  </si>
  <si>
    <t>0126778</t>
  </si>
  <si>
    <t>0126780</t>
  </si>
  <si>
    <t>0126786</t>
  </si>
  <si>
    <t>0126832</t>
  </si>
  <si>
    <t>DECOWRAPS ECUADOR CIA. LTDA</t>
  </si>
  <si>
    <t>0125798</t>
  </si>
  <si>
    <t>0125799</t>
  </si>
  <si>
    <t>TGDR-202553</t>
  </si>
  <si>
    <t>Decowraps Europe BV</t>
  </si>
  <si>
    <t>TGDR-202676</t>
  </si>
  <si>
    <t>TGDR-202677</t>
  </si>
  <si>
    <t>TGDR-202678</t>
  </si>
  <si>
    <t>TGDR-202693</t>
  </si>
  <si>
    <t>TGDR-202695</t>
  </si>
  <si>
    <t>TGDR-202702</t>
  </si>
  <si>
    <t>TGDR-202703</t>
  </si>
  <si>
    <t>0125395</t>
  </si>
  <si>
    <t>TGDR-202706</t>
  </si>
  <si>
    <t>TGDR-202714</t>
  </si>
  <si>
    <t>TGDR-202715</t>
  </si>
  <si>
    <t>TGDR-202716</t>
  </si>
  <si>
    <t>TGDR-202719</t>
  </si>
  <si>
    <t>TGDR-202729</t>
  </si>
  <si>
    <t>TGDR-202735</t>
  </si>
  <si>
    <t>TGDR-202736</t>
  </si>
  <si>
    <t>TGDR-202737</t>
  </si>
  <si>
    <t>TGDR-202578</t>
  </si>
  <si>
    <t>Decowraps Europe Holdings BV</t>
  </si>
  <si>
    <t>Pago ICO</t>
  </si>
  <si>
    <t>TGDR-202644</t>
  </si>
  <si>
    <t>TGDR-202651</t>
  </si>
  <si>
    <t>TGDR-202671</t>
  </si>
  <si>
    <t>TGDR-202690</t>
  </si>
  <si>
    <t>TGDR-202708</t>
  </si>
  <si>
    <t>TGDR-202732</t>
  </si>
  <si>
    <t>TGDR-202576</t>
  </si>
  <si>
    <t>Decowraps Holdings LLC</t>
  </si>
  <si>
    <t>TGDR-202730</t>
  </si>
  <si>
    <t>TGDR-202731</t>
  </si>
  <si>
    <t>0096611</t>
  </si>
  <si>
    <t>Decowraps Inc</t>
  </si>
  <si>
    <t>0103302</t>
  </si>
  <si>
    <t>0103455</t>
  </si>
  <si>
    <t>0103560</t>
  </si>
  <si>
    <t>0103821</t>
  </si>
  <si>
    <t>0104033</t>
  </si>
  <si>
    <t>0104844</t>
  </si>
  <si>
    <t>0105753</t>
  </si>
  <si>
    <t>0106918</t>
  </si>
  <si>
    <t>0108866</t>
  </si>
  <si>
    <t>0111838</t>
  </si>
  <si>
    <t>0113332</t>
  </si>
  <si>
    <t>0115302</t>
  </si>
  <si>
    <t>0115303</t>
  </si>
  <si>
    <t>0116723</t>
  </si>
  <si>
    <t>0115858</t>
  </si>
  <si>
    <t>0116725</t>
  </si>
  <si>
    <t>0117570</t>
  </si>
  <si>
    <t>0120269</t>
  </si>
  <si>
    <t>0120762</t>
  </si>
  <si>
    <t>0122981</t>
  </si>
  <si>
    <t>0122783</t>
  </si>
  <si>
    <t>0124306</t>
  </si>
  <si>
    <t>0126031</t>
  </si>
  <si>
    <t>0126558</t>
  </si>
  <si>
    <t>0127061</t>
  </si>
  <si>
    <t>0125595</t>
  </si>
  <si>
    <t>0125771</t>
  </si>
  <si>
    <t>0126157</t>
  </si>
  <si>
    <t>0126450</t>
  </si>
  <si>
    <t>TGDR-202253</t>
  </si>
  <si>
    <t>DeZhenMei Packaging (Hangzhou) Co., Ltd.</t>
  </si>
  <si>
    <t>Prov</t>
  </si>
  <si>
    <t>ProvR</t>
  </si>
  <si>
    <t>TGDR-202510</t>
  </si>
  <si>
    <t>TGDR-202527</t>
  </si>
  <si>
    <t>TGDR-202532</t>
  </si>
  <si>
    <t>TGDR-202662</t>
  </si>
  <si>
    <t>TGDR-202710</t>
  </si>
  <si>
    <t>0118172</t>
  </si>
  <si>
    <t>Diane Andrade (dbsa12@aol.com)</t>
  </si>
  <si>
    <t>0125498</t>
  </si>
  <si>
    <t>0125856</t>
  </si>
  <si>
    <t>0126352</t>
  </si>
  <si>
    <t>0126735</t>
  </si>
  <si>
    <t>0126854</t>
  </si>
  <si>
    <t>0119455</t>
  </si>
  <si>
    <t>0123837</t>
  </si>
  <si>
    <t>Dube's Flower Shop</t>
  </si>
  <si>
    <t>0124847</t>
  </si>
  <si>
    <t>0113114</t>
  </si>
  <si>
    <t>DW Test- Avalara</t>
  </si>
  <si>
    <t>0113115</t>
  </si>
  <si>
    <t>0113116</t>
  </si>
  <si>
    <t>0113117</t>
  </si>
  <si>
    <t>0113730</t>
  </si>
  <si>
    <t>0123359</t>
  </si>
  <si>
    <t>0126535</t>
  </si>
  <si>
    <t>DWF Wholesale Florist:DWF Wholesale Florist-Albuquerque</t>
  </si>
  <si>
    <t>0123955</t>
  </si>
  <si>
    <t>DWF Wholesale Florist:DWF Wholesale Florist-Cincinnati</t>
  </si>
  <si>
    <t>302335</t>
  </si>
  <si>
    <t>DWF Wholesale Florist:DWF Wholesale Florist-Denver Corporate</t>
  </si>
  <si>
    <t>0126472</t>
  </si>
  <si>
    <t>0123953</t>
  </si>
  <si>
    <t>DWF Wholesale Florist:DWF Wholesale Florist-Flint</t>
  </si>
  <si>
    <t>0123962</t>
  </si>
  <si>
    <t>DWF Wholesale Florist:DWF Wholesale Florist-Nashville</t>
  </si>
  <si>
    <t>0122440</t>
  </si>
  <si>
    <t>DWF Wholesale Florist:DWF Wholesale Florist-WA</t>
  </si>
  <si>
    <t>0127000</t>
  </si>
  <si>
    <t>DWF Wholesale Florist:DWF Wholesale Florist - Dallas</t>
  </si>
  <si>
    <t>0127001</t>
  </si>
  <si>
    <t>0123959</t>
  </si>
  <si>
    <t>DWF Wholesale Florist:DWF Wholesale Florist - Phoenix</t>
  </si>
  <si>
    <t>0123956</t>
  </si>
  <si>
    <t>DWF Wholesale Florist:DWF Wholesale Florist - Salt Lake City</t>
  </si>
  <si>
    <t>0123954</t>
  </si>
  <si>
    <t>DWF Wholesale Florist:DWF Wholesale Florist - St. Louis</t>
  </si>
  <si>
    <t>Stripe (Test)</t>
  </si>
  <si>
    <t>E-commerce Test US</t>
  </si>
  <si>
    <t>0126489</t>
  </si>
  <si>
    <t>74952</t>
  </si>
  <si>
    <t>0113486</t>
  </si>
  <si>
    <t>0124716</t>
  </si>
  <si>
    <t>0124717</t>
  </si>
  <si>
    <t>0124718</t>
  </si>
  <si>
    <t>0124778</t>
  </si>
  <si>
    <t>0124980</t>
  </si>
  <si>
    <t>0121940</t>
  </si>
  <si>
    <t>0127039</t>
  </si>
  <si>
    <t>0126909</t>
  </si>
  <si>
    <t>Emily Cook (emmiejcook@gmail.com)</t>
  </si>
  <si>
    <t>0126284</t>
  </si>
  <si>
    <t>Emma's Garden Grower</t>
  </si>
  <si>
    <t>0124404</t>
  </si>
  <si>
    <t>0118044</t>
  </si>
  <si>
    <t>0126126</t>
  </si>
  <si>
    <t>0126647</t>
  </si>
  <si>
    <t>0126700</t>
  </si>
  <si>
    <t>21795</t>
  </si>
  <si>
    <t>21992</t>
  </si>
  <si>
    <t>0126027</t>
  </si>
  <si>
    <t>Evergreen Plant Company</t>
  </si>
  <si>
    <t>0125894</t>
  </si>
  <si>
    <t>0125904</t>
  </si>
  <si>
    <t>0125943</t>
  </si>
  <si>
    <t>0125950</t>
  </si>
  <si>
    <t>0125951</t>
  </si>
  <si>
    <t>0125953</t>
  </si>
  <si>
    <t>0126025</t>
  </si>
  <si>
    <t>0126094</t>
  </si>
  <si>
    <t>0126167</t>
  </si>
  <si>
    <t>0126285</t>
  </si>
  <si>
    <t>0126286</t>
  </si>
  <si>
    <t>0126473</t>
  </si>
  <si>
    <t>0126609</t>
  </si>
  <si>
    <t>0126724</t>
  </si>
  <si>
    <t>0126741</t>
  </si>
  <si>
    <t>0126768</t>
  </si>
  <si>
    <t>0126999</t>
  </si>
  <si>
    <t>0127059</t>
  </si>
  <si>
    <t>FAMILY FARE:FAMILY FARE #3253</t>
  </si>
  <si>
    <t>FAMILY FARE:FAMILY FARE #3265</t>
  </si>
  <si>
    <t>0126929</t>
  </si>
  <si>
    <t>0126155</t>
  </si>
  <si>
    <t>0126242</t>
  </si>
  <si>
    <t>0114738</t>
  </si>
  <si>
    <t>0114740</t>
  </si>
  <si>
    <t>0115673</t>
  </si>
  <si>
    <t>0122219</t>
  </si>
  <si>
    <t>0122232</t>
  </si>
  <si>
    <t>0124380</t>
  </si>
  <si>
    <t>0124722</t>
  </si>
  <si>
    <t>0126520</t>
  </si>
  <si>
    <t>0126588</t>
  </si>
  <si>
    <t>0126592</t>
  </si>
  <si>
    <t>0126602</t>
  </si>
  <si>
    <t>0126750</t>
  </si>
  <si>
    <t>0126884</t>
  </si>
  <si>
    <t>0125553</t>
  </si>
  <si>
    <t>0125556</t>
  </si>
  <si>
    <t>0126310</t>
  </si>
  <si>
    <t>0126519</t>
  </si>
  <si>
    <t>0126522</t>
  </si>
  <si>
    <t>0126862</t>
  </si>
  <si>
    <t>0126581</t>
  </si>
  <si>
    <t>0123548</t>
  </si>
  <si>
    <t>0124064</t>
  </si>
  <si>
    <t>0126028</t>
  </si>
  <si>
    <t>0126036</t>
  </si>
  <si>
    <t>0126683</t>
  </si>
  <si>
    <t>0126684</t>
  </si>
  <si>
    <t>0126728</t>
  </si>
  <si>
    <t>0126729</t>
  </si>
  <si>
    <t>0120807</t>
  </si>
  <si>
    <t>0125550</t>
  </si>
  <si>
    <t>Flowers By Impulse-Must perf everthing</t>
  </si>
  <si>
    <t>Flowers Forever-Whitman</t>
  </si>
  <si>
    <t>0126905</t>
  </si>
  <si>
    <t>0117227</t>
  </si>
  <si>
    <t>0120267</t>
  </si>
  <si>
    <t>0121937</t>
  </si>
  <si>
    <t>0126976</t>
  </si>
  <si>
    <t>0118173</t>
  </si>
  <si>
    <t>Four Flowers (sales@4seasonsflowers.com)</t>
  </si>
  <si>
    <t>C.O.D</t>
  </si>
  <si>
    <t>0126468</t>
  </si>
  <si>
    <t>Francis Biddle International, Inc</t>
  </si>
  <si>
    <t>0126912</t>
  </si>
  <si>
    <t>Fred Biser (fbiserjtm@gmail.com)</t>
  </si>
  <si>
    <t>0123640</t>
  </si>
  <si>
    <t>0125176</t>
  </si>
  <si>
    <t>0126262</t>
  </si>
  <si>
    <t>0120765</t>
  </si>
  <si>
    <t>0124954</t>
  </si>
  <si>
    <t>0126636</t>
  </si>
  <si>
    <t>0119928</t>
  </si>
  <si>
    <t>0120412</t>
  </si>
  <si>
    <t>0121717</t>
  </si>
  <si>
    <t>0122113</t>
  </si>
  <si>
    <t>0123643</t>
  </si>
  <si>
    <t>0123739</t>
  </si>
  <si>
    <t>0127047</t>
  </si>
  <si>
    <t>GALEMAS GREENHOUSE INC</t>
  </si>
  <si>
    <t>0126254</t>
  </si>
  <si>
    <t>0126297</t>
  </si>
  <si>
    <t>0126348</t>
  </si>
  <si>
    <t>47100</t>
  </si>
  <si>
    <t>0125826</t>
  </si>
  <si>
    <t>0110804</t>
  </si>
  <si>
    <t>0113131</t>
  </si>
  <si>
    <t>0119979</t>
  </si>
  <si>
    <t>0122241</t>
  </si>
  <si>
    <t>0124779</t>
  </si>
  <si>
    <t>0126490</t>
  </si>
  <si>
    <t>0126035</t>
  </si>
  <si>
    <t>0126124</t>
  </si>
  <si>
    <t>0126321</t>
  </si>
  <si>
    <t>0126443</t>
  </si>
  <si>
    <t>0126626</t>
  </si>
  <si>
    <t>0126720</t>
  </si>
  <si>
    <t>0126815</t>
  </si>
  <si>
    <t>0127066</t>
  </si>
  <si>
    <t>7830</t>
  </si>
  <si>
    <t>0119505</t>
  </si>
  <si>
    <t>31121</t>
  </si>
  <si>
    <t>0124396</t>
  </si>
  <si>
    <t>0124846</t>
  </si>
  <si>
    <t>31320</t>
  </si>
  <si>
    <t>0125617</t>
  </si>
  <si>
    <t>0126475</t>
  </si>
  <si>
    <t>0119673</t>
  </si>
  <si>
    <t>0121022</t>
  </si>
  <si>
    <t>0123381</t>
  </si>
  <si>
    <t>Green Oak Florist</t>
  </si>
  <si>
    <t>0124176</t>
  </si>
  <si>
    <t>0121991</t>
  </si>
  <si>
    <t>0124472</t>
  </si>
  <si>
    <t>Gregory Floral Inc.</t>
  </si>
  <si>
    <t>Gregory Greenhouses Inc</t>
  </si>
  <si>
    <t>0122098</t>
  </si>
  <si>
    <t>0116534</t>
  </si>
  <si>
    <t>0121201</t>
  </si>
  <si>
    <t>0121489</t>
  </si>
  <si>
    <t>0121743</t>
  </si>
  <si>
    <t>0121851</t>
  </si>
  <si>
    <t>0122354</t>
  </si>
  <si>
    <t>0122356</t>
  </si>
  <si>
    <t>0126034</t>
  </si>
  <si>
    <t>0126370</t>
  </si>
  <si>
    <t>0126371</t>
  </si>
  <si>
    <t>0126849</t>
  </si>
  <si>
    <t>0126850</t>
  </si>
  <si>
    <t>0126957</t>
  </si>
  <si>
    <t>Helena Perry (perrymaysboyd@gmail.com)</t>
  </si>
  <si>
    <t>0125999</t>
  </si>
  <si>
    <t>0126404</t>
  </si>
  <si>
    <t>0126797</t>
  </si>
  <si>
    <t>0126798</t>
  </si>
  <si>
    <t>0126898</t>
  </si>
  <si>
    <t>0126899</t>
  </si>
  <si>
    <t>0122087</t>
  </si>
  <si>
    <t>0124780</t>
  </si>
  <si>
    <t>0126344</t>
  </si>
  <si>
    <t>0126382</t>
  </si>
  <si>
    <t>0126621</t>
  </si>
  <si>
    <t>0126481</t>
  </si>
  <si>
    <t>Hugo's Supermarket:Hugo's Supermarket #10</t>
  </si>
  <si>
    <t>0126497</t>
  </si>
  <si>
    <t>Hugo's Supermarket:Hugo's Supermarket #13</t>
  </si>
  <si>
    <t>0126498</t>
  </si>
  <si>
    <t>0126500</t>
  </si>
  <si>
    <t>0118863</t>
  </si>
  <si>
    <t>0118868</t>
  </si>
  <si>
    <t>0118870</t>
  </si>
  <si>
    <t>0118846</t>
  </si>
  <si>
    <t>0120590</t>
  </si>
  <si>
    <t>0120159</t>
  </si>
  <si>
    <t>0120744</t>
  </si>
  <si>
    <t xml:space="preserve">                   </t>
  </si>
  <si>
    <t>0122592</t>
  </si>
  <si>
    <t>0123948</t>
  </si>
  <si>
    <t>0123949</t>
  </si>
  <si>
    <t>0124999</t>
  </si>
  <si>
    <t>0125100</t>
  </si>
  <si>
    <t>0115721</t>
  </si>
  <si>
    <t>0126511</t>
  </si>
  <si>
    <t>0127007</t>
  </si>
  <si>
    <t>0117118</t>
  </si>
  <si>
    <t>0126486</t>
  </si>
  <si>
    <t>0126531</t>
  </si>
  <si>
    <t>Jacobson Floral Supply</t>
  </si>
  <si>
    <t>0114294</t>
  </si>
  <si>
    <t>JetRam Inc - Online Orders</t>
  </si>
  <si>
    <t>0115128</t>
  </si>
  <si>
    <t>0115818</t>
  </si>
  <si>
    <t>0117245</t>
  </si>
  <si>
    <t>0117388</t>
  </si>
  <si>
    <t>0117798</t>
  </si>
  <si>
    <t>0118224</t>
  </si>
  <si>
    <t>0118598</t>
  </si>
  <si>
    <t>0118747</t>
  </si>
  <si>
    <t>0119374</t>
  </si>
  <si>
    <t>0120061</t>
  </si>
  <si>
    <t>0120388</t>
  </si>
  <si>
    <t>0120564</t>
  </si>
  <si>
    <t>0122380</t>
  </si>
  <si>
    <t>0122502</t>
  </si>
  <si>
    <t>0122506</t>
  </si>
  <si>
    <t>0122639</t>
  </si>
  <si>
    <t>0122856</t>
  </si>
  <si>
    <t>0123340</t>
  </si>
  <si>
    <t>0123394</t>
  </si>
  <si>
    <t>0123467</t>
  </si>
  <si>
    <t>0123513</t>
  </si>
  <si>
    <t>0124081</t>
  </si>
  <si>
    <t>0124087</t>
  </si>
  <si>
    <t>0124672</t>
  </si>
  <si>
    <t>0124810</t>
  </si>
  <si>
    <t>Transfer</t>
  </si>
  <si>
    <t>0126930</t>
  </si>
  <si>
    <t>0126931</t>
  </si>
  <si>
    <t>0126938</t>
  </si>
  <si>
    <t>0126942</t>
  </si>
  <si>
    <t>0126943</t>
  </si>
  <si>
    <t>0127024</t>
  </si>
  <si>
    <t>0127025</t>
  </si>
  <si>
    <t>0127030</t>
  </si>
  <si>
    <t>0127032</t>
  </si>
  <si>
    <t>0127033</t>
  </si>
  <si>
    <t>0127034</t>
  </si>
  <si>
    <t>0127035</t>
  </si>
  <si>
    <t>0127036</t>
  </si>
  <si>
    <t>0127037</t>
  </si>
  <si>
    <t>Jetram Products LLC, DBA Flopak</t>
  </si>
  <si>
    <t>0115442</t>
  </si>
  <si>
    <t>0116245</t>
  </si>
  <si>
    <t>0116571</t>
  </si>
  <si>
    <t>0117557</t>
  </si>
  <si>
    <t>0117773</t>
  </si>
  <si>
    <t>0124313</t>
  </si>
  <si>
    <t>0126597</t>
  </si>
  <si>
    <t>0126605</t>
  </si>
  <si>
    <t>0126620</t>
  </si>
  <si>
    <t>0126296</t>
  </si>
  <si>
    <t>0126760</t>
  </si>
  <si>
    <t>0126799</t>
  </si>
  <si>
    <t>Jose A Beltran</t>
  </si>
  <si>
    <t>0127054</t>
  </si>
  <si>
    <t>K &amp; V Florist</t>
  </si>
  <si>
    <t>0126777</t>
  </si>
  <si>
    <t>Kara Brown (icbaflorist@gmail.com)</t>
  </si>
  <si>
    <t>0120162</t>
  </si>
  <si>
    <t>0127062</t>
  </si>
  <si>
    <t>Kawahara Nurseries; Inc</t>
  </si>
  <si>
    <t>0127012</t>
  </si>
  <si>
    <t>Keith Cook (keith@zerbos.com)</t>
  </si>
  <si>
    <t>0126252</t>
  </si>
  <si>
    <t>Kendal:Kendal Floral</t>
  </si>
  <si>
    <t>0126532</t>
  </si>
  <si>
    <t>0126540</t>
  </si>
  <si>
    <t>0121999</t>
  </si>
  <si>
    <t>Kendal:Kendal Floral 1</t>
  </si>
  <si>
    <t>0126338</t>
  </si>
  <si>
    <t>Kendal:Kendal North</t>
  </si>
  <si>
    <t>0126536</t>
  </si>
  <si>
    <t>0126764</t>
  </si>
  <si>
    <t>0126992</t>
  </si>
  <si>
    <t>0127053</t>
  </si>
  <si>
    <t>Kimberly Gutowsky (kimberly.melton@gm...)</t>
  </si>
  <si>
    <t>60856</t>
  </si>
  <si>
    <t>0126672</t>
  </si>
  <si>
    <t>0126904</t>
  </si>
  <si>
    <t>0117650</t>
  </si>
  <si>
    <t>Kroger:Kroger Fred Meyer-Clackamas</t>
  </si>
  <si>
    <t>0119289</t>
  </si>
  <si>
    <t>0119391</t>
  </si>
  <si>
    <t>0120603</t>
  </si>
  <si>
    <t>0125013</t>
  </si>
  <si>
    <t>0125702</t>
  </si>
  <si>
    <t>0126097</t>
  </si>
  <si>
    <t>0126373</t>
  </si>
  <si>
    <t>0117102</t>
  </si>
  <si>
    <t>Kroger:Kroger Peyton's Fountain</t>
  </si>
  <si>
    <t>0119682</t>
  </si>
  <si>
    <t>0122925</t>
  </si>
  <si>
    <t>0124811</t>
  </si>
  <si>
    <t>0125246</t>
  </si>
  <si>
    <t>0125703</t>
  </si>
  <si>
    <t>0126439</t>
  </si>
  <si>
    <t>0126659</t>
  </si>
  <si>
    <t>0127067</t>
  </si>
  <si>
    <t>0111465</t>
  </si>
  <si>
    <t>Kroger:Kroger Peyton's Mid South</t>
  </si>
  <si>
    <t>0117329</t>
  </si>
  <si>
    <t>0118100</t>
  </si>
  <si>
    <t>0120084</t>
  </si>
  <si>
    <t>0121276</t>
  </si>
  <si>
    <t>0123143</t>
  </si>
  <si>
    <t>0124223</t>
  </si>
  <si>
    <t>0124315</t>
  </si>
  <si>
    <t>0124359</t>
  </si>
  <si>
    <t>0124616</t>
  </si>
  <si>
    <t>0124842</t>
  </si>
  <si>
    <t>0124949</t>
  </si>
  <si>
    <t>0124977</t>
  </si>
  <si>
    <t>0125119</t>
  </si>
  <si>
    <t>0125120</t>
  </si>
  <si>
    <t>0125230</t>
  </si>
  <si>
    <t>0125245</t>
  </si>
  <si>
    <t>0125366</t>
  </si>
  <si>
    <t>0125520</t>
  </si>
  <si>
    <t>0125770</t>
  </si>
  <si>
    <t>0125828</t>
  </si>
  <si>
    <t>0126096</t>
  </si>
  <si>
    <t>0126129</t>
  </si>
  <si>
    <t>0126130</t>
  </si>
  <si>
    <t>0126431</t>
  </si>
  <si>
    <t>0126723</t>
  </si>
  <si>
    <t>0126922</t>
  </si>
  <si>
    <t>0117996</t>
  </si>
  <si>
    <t>Kroger:Kroger Peyton's Phoenix</t>
  </si>
  <si>
    <t>0120849</t>
  </si>
  <si>
    <t>0123299</t>
  </si>
  <si>
    <t>0124576</t>
  </si>
  <si>
    <t>0124955</t>
  </si>
  <si>
    <t>0125399</t>
  </si>
  <si>
    <t>0126005</t>
  </si>
  <si>
    <t>0126350</t>
  </si>
  <si>
    <t>0127060</t>
  </si>
  <si>
    <t>0116685</t>
  </si>
  <si>
    <t>Kroger:Kroger Ralph's Riverside</t>
  </si>
  <si>
    <t>0117153</t>
  </si>
  <si>
    <t>0117911</t>
  </si>
  <si>
    <t>0117918</t>
  </si>
  <si>
    <t>0117919</t>
  </si>
  <si>
    <t>0117920</t>
  </si>
  <si>
    <t>0117921</t>
  </si>
  <si>
    <t>0117922</t>
  </si>
  <si>
    <t>0117923</t>
  </si>
  <si>
    <t>0117924</t>
  </si>
  <si>
    <t>0117968</t>
  </si>
  <si>
    <t>0117969</t>
  </si>
  <si>
    <t>0117970</t>
  </si>
  <si>
    <t>0117971</t>
  </si>
  <si>
    <t>0117972</t>
  </si>
  <si>
    <t>0117973</t>
  </si>
  <si>
    <t>0117974</t>
  </si>
  <si>
    <t>0117976</t>
  </si>
  <si>
    <t>0117977</t>
  </si>
  <si>
    <t>0117978</t>
  </si>
  <si>
    <t>0117979</t>
  </si>
  <si>
    <t>0117980</t>
  </si>
  <si>
    <t>0117981</t>
  </si>
  <si>
    <t>0117982</t>
  </si>
  <si>
    <t>0117983</t>
  </si>
  <si>
    <t>0117984</t>
  </si>
  <si>
    <t>0117985</t>
  </si>
  <si>
    <t>0118020</t>
  </si>
  <si>
    <t>0118021</t>
  </si>
  <si>
    <t>0118022</t>
  </si>
  <si>
    <t>0118023</t>
  </si>
  <si>
    <t>0118024</t>
  </si>
  <si>
    <t>0118025</t>
  </si>
  <si>
    <t>0118026</t>
  </si>
  <si>
    <t>0118027</t>
  </si>
  <si>
    <t>0118028</t>
  </si>
  <si>
    <t>0118029</t>
  </si>
  <si>
    <t>0118034</t>
  </si>
  <si>
    <t>0118035</t>
  </si>
  <si>
    <t>0118036</t>
  </si>
  <si>
    <t>0118037</t>
  </si>
  <si>
    <t>0118038</t>
  </si>
  <si>
    <t>0118039</t>
  </si>
  <si>
    <t>0118040</t>
  </si>
  <si>
    <t>0118041</t>
  </si>
  <si>
    <t>0118042</t>
  </si>
  <si>
    <t>0118860</t>
  </si>
  <si>
    <t>0127022</t>
  </si>
  <si>
    <t>KYUSUNG KANG (divinepure@gmail.com)</t>
  </si>
  <si>
    <t>0123888</t>
  </si>
  <si>
    <t>0126818</t>
  </si>
  <si>
    <t>0126996</t>
  </si>
  <si>
    <t>0126648</t>
  </si>
  <si>
    <t>0126888</t>
  </si>
  <si>
    <t>Live Trends Design Group, LLC</t>
  </si>
  <si>
    <t>0126539</t>
  </si>
  <si>
    <t>Lucas Greenhouses</t>
  </si>
  <si>
    <t>0126773</t>
  </si>
  <si>
    <t>Lydia Foree (lydia@ksnyradio.com)</t>
  </si>
  <si>
    <t>0126462</t>
  </si>
  <si>
    <t>0114672</t>
  </si>
  <si>
    <t>0126042</t>
  </si>
  <si>
    <t>0126351</t>
  </si>
  <si>
    <t>Reclass AR</t>
  </si>
  <si>
    <t>0126962</t>
  </si>
  <si>
    <t>Marie Amerson (marie_amerson@hotmail.com)</t>
  </si>
  <si>
    <t>0126433</t>
  </si>
  <si>
    <t>0116411</t>
  </si>
  <si>
    <t>Market Street #:Market Street #517</t>
  </si>
  <si>
    <t>0114902</t>
  </si>
  <si>
    <t>Market Street #:Market Street #526</t>
  </si>
  <si>
    <t>0126209</t>
  </si>
  <si>
    <t>0117309</t>
  </si>
  <si>
    <t>Market Street #:Market Street #561</t>
  </si>
  <si>
    <t>0114689</t>
  </si>
  <si>
    <t>Market Street #:Market Street #562</t>
  </si>
  <si>
    <t>0126493</t>
  </si>
  <si>
    <t>0126577</t>
  </si>
  <si>
    <t>0126865</t>
  </si>
  <si>
    <t>0114399</t>
  </si>
  <si>
    <t>Market Street #:Market Street #563</t>
  </si>
  <si>
    <t>0108922</t>
  </si>
  <si>
    <t>Market Street #:Market Street #564</t>
  </si>
  <si>
    <t>0115157</t>
  </si>
  <si>
    <t>0116008</t>
  </si>
  <si>
    <t>Market Street #:Market Street #565</t>
  </si>
  <si>
    <t>0119123</t>
  </si>
  <si>
    <t>0111089</t>
  </si>
  <si>
    <t>Market Street #:Market Street #566</t>
  </si>
  <si>
    <t>0116628</t>
  </si>
  <si>
    <t>0125289</t>
  </si>
  <si>
    <t>0126510</t>
  </si>
  <si>
    <t>0114620</t>
  </si>
  <si>
    <t>Market Street #:Market Street #675</t>
  </si>
  <si>
    <t>0114207</t>
  </si>
  <si>
    <t>Market Street #:Market Street #685</t>
  </si>
  <si>
    <t>0115129</t>
  </si>
  <si>
    <t>0119773</t>
  </si>
  <si>
    <t>0122974</t>
  </si>
  <si>
    <t>0126208</t>
  </si>
  <si>
    <t>0125058</t>
  </si>
  <si>
    <t>Market Street #:Market Street #696</t>
  </si>
  <si>
    <t>0126503</t>
  </si>
  <si>
    <t>0110679</t>
  </si>
  <si>
    <t>0115139</t>
  </si>
  <si>
    <t>0115725</t>
  </si>
  <si>
    <t>0117313</t>
  </si>
  <si>
    <t>0117741</t>
  </si>
  <si>
    <t>0117806</t>
  </si>
  <si>
    <t>0122058</t>
  </si>
  <si>
    <t>0122416</t>
  </si>
  <si>
    <t>0125188</t>
  </si>
  <si>
    <t>0125295</t>
  </si>
  <si>
    <t>0125296</t>
  </si>
  <si>
    <t>0125733</t>
  </si>
  <si>
    <t>0126135</t>
  </si>
  <si>
    <t>0121722</t>
  </si>
  <si>
    <t>0121763</t>
  </si>
  <si>
    <t>0121922</t>
  </si>
  <si>
    <t>0127044</t>
  </si>
  <si>
    <t>Maui Floral, Inc.</t>
  </si>
  <si>
    <t>0121892</t>
  </si>
  <si>
    <t>0122655</t>
  </si>
  <si>
    <t>0123628</t>
  </si>
  <si>
    <t>0125088</t>
  </si>
  <si>
    <t>SHOP FB&amp;IG</t>
  </si>
  <si>
    <t>Meta Platforms, Inc.</t>
  </si>
  <si>
    <t>0120594</t>
  </si>
  <si>
    <t>Metro Inc</t>
  </si>
  <si>
    <t>0124881</t>
  </si>
  <si>
    <t>0125142</t>
  </si>
  <si>
    <t>0125519</t>
  </si>
  <si>
    <t>0125716</t>
  </si>
  <si>
    <t>0126970</t>
  </si>
  <si>
    <t>Metrolina Greenhouses, Inc.</t>
  </si>
  <si>
    <t>0125855</t>
  </si>
  <si>
    <t>0126440</t>
  </si>
  <si>
    <t>0126714</t>
  </si>
  <si>
    <t>0126730</t>
  </si>
  <si>
    <t>0126731</t>
  </si>
  <si>
    <t>0126811</t>
  </si>
  <si>
    <t>0126974</t>
  </si>
  <si>
    <t>0127021</t>
  </si>
  <si>
    <t>MICHAEL'S GREENHOUSES, INC</t>
  </si>
  <si>
    <t>0121357</t>
  </si>
  <si>
    <t>Milgro:Milgro New Castle</t>
  </si>
  <si>
    <t>0122657</t>
  </si>
  <si>
    <t>0123944</t>
  </si>
  <si>
    <t>0123950</t>
  </si>
  <si>
    <t>0123951</t>
  </si>
  <si>
    <t>0123952</t>
  </si>
  <si>
    <t>0124908</t>
  </si>
  <si>
    <t>0124910</t>
  </si>
  <si>
    <t>0125966</t>
  </si>
  <si>
    <t>0126029</t>
  </si>
  <si>
    <t>0126030</t>
  </si>
  <si>
    <t>0126087</t>
  </si>
  <si>
    <t>0126088</t>
  </si>
  <si>
    <t>0126089</t>
  </si>
  <si>
    <t>0126090</t>
  </si>
  <si>
    <t>0126183</t>
  </si>
  <si>
    <t>0126715</t>
  </si>
  <si>
    <t>0126624</t>
  </si>
  <si>
    <t>0126625</t>
  </si>
  <si>
    <t>404939</t>
  </si>
  <si>
    <t>Milgro:Victoria Nursery Inc.</t>
  </si>
  <si>
    <t>0122428</t>
  </si>
  <si>
    <t>0124377</t>
  </si>
  <si>
    <t>0126220</t>
  </si>
  <si>
    <t>0126240</t>
  </si>
  <si>
    <t>0126241</t>
  </si>
  <si>
    <t>0125909</t>
  </si>
  <si>
    <t>0126543</t>
  </si>
  <si>
    <t>0121302</t>
  </si>
  <si>
    <t>0115327</t>
  </si>
  <si>
    <t>0115867</t>
  </si>
  <si>
    <t>0116034</t>
  </si>
  <si>
    <t>0126151</t>
  </si>
  <si>
    <t>Jan 10th, 2025</t>
  </si>
  <si>
    <t>0126152</t>
  </si>
  <si>
    <t>0126245</t>
  </si>
  <si>
    <t>0126971</t>
  </si>
  <si>
    <t>0126977</t>
  </si>
  <si>
    <t>0126544</t>
  </si>
  <si>
    <t>0126762</t>
  </si>
  <si>
    <t>0126973</t>
  </si>
  <si>
    <t>0127055</t>
  </si>
  <si>
    <t>TGDR-202652</t>
  </si>
  <si>
    <t>0126384</t>
  </si>
  <si>
    <t>0126858</t>
  </si>
  <si>
    <t>0126890</t>
  </si>
  <si>
    <t>0126967</t>
  </si>
  <si>
    <t>0122214</t>
  </si>
  <si>
    <t>Mountain View Nursery</t>
  </si>
  <si>
    <t>853186123</t>
  </si>
  <si>
    <t>0125919</t>
  </si>
  <si>
    <t>0126662</t>
  </si>
  <si>
    <t>0126771</t>
  </si>
  <si>
    <t>0126810</t>
  </si>
  <si>
    <t>0127008</t>
  </si>
  <si>
    <t>Nancy Lamont (nancyslittleark@gmail.com)</t>
  </si>
  <si>
    <t>0126956</t>
  </si>
  <si>
    <t>Native:Native Floral Atlanta</t>
  </si>
  <si>
    <t>27795</t>
  </si>
  <si>
    <t>Native:Native Floral Maryland</t>
  </si>
  <si>
    <t>29069</t>
  </si>
  <si>
    <t>30302</t>
  </si>
  <si>
    <t>0126174</t>
  </si>
  <si>
    <t>0126175</t>
  </si>
  <si>
    <t>0126435</t>
  </si>
  <si>
    <t>0126150</t>
  </si>
  <si>
    <t>Native:Native Wholesale (Chicago)</t>
  </si>
  <si>
    <t>0126469</t>
  </si>
  <si>
    <t>0126277</t>
  </si>
  <si>
    <t>Native:Native Wholesale Detroit</t>
  </si>
  <si>
    <t>0126353</t>
  </si>
  <si>
    <t>0125425</t>
  </si>
  <si>
    <t>0124904</t>
  </si>
  <si>
    <t>0122628</t>
  </si>
  <si>
    <t>0126769</t>
  </si>
  <si>
    <t>Olga Rodriguez (olgalopez2288@icloud.com)</t>
  </si>
  <si>
    <t>0126595</t>
  </si>
  <si>
    <t>Olson's Greenhouse of Colorado</t>
  </si>
  <si>
    <t>0126596</t>
  </si>
  <si>
    <t>0115734</t>
  </si>
  <si>
    <t>0118736</t>
  </si>
  <si>
    <t>0120597</t>
  </si>
  <si>
    <t>0120995</t>
  </si>
  <si>
    <t>0121401</t>
  </si>
  <si>
    <t>0122221</t>
  </si>
  <si>
    <t>0122654</t>
  </si>
  <si>
    <t>0126882</t>
  </si>
  <si>
    <t>0126679</t>
  </si>
  <si>
    <t>0126879</t>
  </si>
  <si>
    <t>0121838</t>
  </si>
  <si>
    <t>Orchard Park Growers Ltd</t>
  </si>
  <si>
    <t>0126900</t>
  </si>
  <si>
    <t>0124376</t>
  </si>
  <si>
    <t>0121740</t>
  </si>
  <si>
    <t>0126326</t>
  </si>
  <si>
    <t>Palm Tree Packaging, Inc.</t>
  </si>
  <si>
    <t>0125902</t>
  </si>
  <si>
    <t>0125490</t>
  </si>
  <si>
    <t>0125742</t>
  </si>
  <si>
    <t>0125750</t>
  </si>
  <si>
    <t>0125860</t>
  </si>
  <si>
    <t>0125869</t>
  </si>
  <si>
    <t>0125876</t>
  </si>
  <si>
    <t>0125901</t>
  </si>
  <si>
    <t>0125910</t>
  </si>
  <si>
    <t>0125947</t>
  </si>
  <si>
    <t>0126122</t>
  </si>
  <si>
    <t>0126190</t>
  </si>
  <si>
    <t>0126249</t>
  </si>
  <si>
    <t>0126383</t>
  </si>
  <si>
    <t>0126438</t>
  </si>
  <si>
    <t>0126447</t>
  </si>
  <si>
    <t>0126601</t>
  </si>
  <si>
    <t>0126812</t>
  </si>
  <si>
    <t>0126819</t>
  </si>
  <si>
    <t>0126843</t>
  </si>
  <si>
    <t>0126831</t>
  </si>
  <si>
    <t>0126863</t>
  </si>
  <si>
    <t>0126867</t>
  </si>
  <si>
    <t>0126952</t>
  </si>
  <si>
    <t>0126997</t>
  </si>
  <si>
    <t>0127003</t>
  </si>
  <si>
    <t>0127049</t>
  </si>
  <si>
    <t>0127052</t>
  </si>
  <si>
    <t>0126291</t>
  </si>
  <si>
    <t>0126604</t>
  </si>
  <si>
    <t>0126691</t>
  </si>
  <si>
    <t>0126753</t>
  </si>
  <si>
    <t>0126870</t>
  </si>
  <si>
    <t>Paula Stallard (pstallard@christchurc...)</t>
  </si>
  <si>
    <t>0126961</t>
  </si>
  <si>
    <t>pedro sengsone (thecbdplusstore@outlo...)</t>
  </si>
  <si>
    <t>0124097</t>
  </si>
  <si>
    <t>net 45</t>
  </si>
  <si>
    <t>71114</t>
  </si>
  <si>
    <t>0126517</t>
  </si>
  <si>
    <t>Petals West</t>
  </si>
  <si>
    <t>0126816</t>
  </si>
  <si>
    <t>0126065</t>
  </si>
  <si>
    <t>0126066</t>
  </si>
  <si>
    <t>0126067</t>
  </si>
  <si>
    <t>0126068</t>
  </si>
  <si>
    <t>0126069</t>
  </si>
  <si>
    <t>0126070</t>
  </si>
  <si>
    <t>0126071</t>
  </si>
  <si>
    <t>0126072</t>
  </si>
  <si>
    <t>0126073</t>
  </si>
  <si>
    <t>0126074</t>
  </si>
  <si>
    <t>0126075</t>
  </si>
  <si>
    <t>0126076</t>
  </si>
  <si>
    <t>0126077</t>
  </si>
  <si>
    <t>0126078</t>
  </si>
  <si>
    <t>0126079</t>
  </si>
  <si>
    <t>0126080</t>
  </si>
  <si>
    <t>0126081</t>
  </si>
  <si>
    <t>0126082</t>
  </si>
  <si>
    <t>0126092</t>
  </si>
  <si>
    <t>0126673</t>
  </si>
  <si>
    <t>0120845</t>
  </si>
  <si>
    <t>0120878</t>
  </si>
  <si>
    <t>0126813</t>
  </si>
  <si>
    <t>0126608</t>
  </si>
  <si>
    <t>0125946</t>
  </si>
  <si>
    <t>Plainview Growers, Inc.</t>
  </si>
  <si>
    <t>82048</t>
  </si>
  <si>
    <t>Plant Source, Inc.</t>
  </si>
  <si>
    <t>84107</t>
  </si>
  <si>
    <t>0116354</t>
  </si>
  <si>
    <t>0125558</t>
  </si>
  <si>
    <t>0126320</t>
  </si>
  <si>
    <t>0126456</t>
  </si>
  <si>
    <t>0126611</t>
  </si>
  <si>
    <t>0125942</t>
  </si>
  <si>
    <t>Por La Mar Nursery</t>
  </si>
  <si>
    <t>0126411</t>
  </si>
  <si>
    <t>0126467</t>
  </si>
  <si>
    <t>0126600</t>
  </si>
  <si>
    <t>0126176</t>
  </si>
  <si>
    <t>0126379</t>
  </si>
  <si>
    <t>0126634</t>
  </si>
  <si>
    <t>0126654</t>
  </si>
  <si>
    <t>0126694</t>
  </si>
  <si>
    <t>0126871</t>
  </si>
  <si>
    <t>0126993</t>
  </si>
  <si>
    <t>0127056</t>
  </si>
  <si>
    <t>Priority Flower Express LTD</t>
  </si>
  <si>
    <t>0119584</t>
  </si>
  <si>
    <t>0120087</t>
  </si>
  <si>
    <t>0120281</t>
  </si>
  <si>
    <t>0121050</t>
  </si>
  <si>
    <t>0121049</t>
  </si>
  <si>
    <t>0121051</t>
  </si>
  <si>
    <t>0121052</t>
  </si>
  <si>
    <t>0121053</t>
  </si>
  <si>
    <t>0121054</t>
  </si>
  <si>
    <t>0121055</t>
  </si>
  <si>
    <t>0121056</t>
  </si>
  <si>
    <t>0121057</t>
  </si>
  <si>
    <t>0125524</t>
  </si>
  <si>
    <t>0125527</t>
  </si>
  <si>
    <t>0125608</t>
  </si>
  <si>
    <t>0125613</t>
  </si>
  <si>
    <t>0125731</t>
  </si>
  <si>
    <t>0125734</t>
  </si>
  <si>
    <t>0125888</t>
  </si>
  <si>
    <t>0125976</t>
  </si>
  <si>
    <t>0126162</t>
  </si>
  <si>
    <t>0126339</t>
  </si>
  <si>
    <t>0126389</t>
  </si>
  <si>
    <t>0126665</t>
  </si>
  <si>
    <t>0126666</t>
  </si>
  <si>
    <t>0126607</t>
  </si>
  <si>
    <t>0126613</t>
  </si>
  <si>
    <t>0126637</t>
  </si>
  <si>
    <t>0126814</t>
  </si>
  <si>
    <t>0126891</t>
  </si>
  <si>
    <t>0127048</t>
  </si>
  <si>
    <t>Qualitree Propagators Inc.</t>
  </si>
  <si>
    <t>0126953</t>
  </si>
  <si>
    <t>Quality Florist Supply Co</t>
  </si>
  <si>
    <t>77124061</t>
  </si>
  <si>
    <t>0124909</t>
  </si>
  <si>
    <t>0126280</t>
  </si>
  <si>
    <t>0126281</t>
  </si>
  <si>
    <t>0126385</t>
  </si>
  <si>
    <t>0126911</t>
  </si>
  <si>
    <t>Raeann Moore (raeann@jpparkerco.com)</t>
  </si>
  <si>
    <t>0115515</t>
  </si>
  <si>
    <t>0116141</t>
  </si>
  <si>
    <t>0118138</t>
  </si>
  <si>
    <t>0119622</t>
  </si>
  <si>
    <t>0126180</t>
  </si>
  <si>
    <t>0126181</t>
  </si>
  <si>
    <t>0126757</t>
  </si>
  <si>
    <t>0126758</t>
  </si>
  <si>
    <t>0125000</t>
  </si>
  <si>
    <t>0125001</t>
  </si>
  <si>
    <t>0122966</t>
  </si>
  <si>
    <t>Reasor's:Reasor's #02</t>
  </si>
  <si>
    <t>0124823</t>
  </si>
  <si>
    <t>0124986</t>
  </si>
  <si>
    <t>0125907</t>
  </si>
  <si>
    <t>0114994</t>
  </si>
  <si>
    <t>Reasor's:Reasor's #03</t>
  </si>
  <si>
    <t>0118700</t>
  </si>
  <si>
    <t>0120389</t>
  </si>
  <si>
    <t>0122578</t>
  </si>
  <si>
    <t>0125822</t>
  </si>
  <si>
    <t>0118934</t>
  </si>
  <si>
    <t>Reasor's:Reasor's #04</t>
  </si>
  <si>
    <t>0125980</t>
  </si>
  <si>
    <t>Reasor's:Reasor's #05</t>
  </si>
  <si>
    <t>0112771</t>
  </si>
  <si>
    <t>Reasor's:Reasor's #07</t>
  </si>
  <si>
    <t>0121048</t>
  </si>
  <si>
    <t>0124058</t>
  </si>
  <si>
    <t>0124618</t>
  </si>
  <si>
    <t>0127016</t>
  </si>
  <si>
    <t>0113503</t>
  </si>
  <si>
    <t>Reasor's:Reasor's #09</t>
  </si>
  <si>
    <t>0116778</t>
  </si>
  <si>
    <t>0119041</t>
  </si>
  <si>
    <t>0119360</t>
  </si>
  <si>
    <t>0124145</t>
  </si>
  <si>
    <t>0125333</t>
  </si>
  <si>
    <t>0125824</t>
  </si>
  <si>
    <t>0119245</t>
  </si>
  <si>
    <t>Reasor's:Reasor's #13</t>
  </si>
  <si>
    <t>0120065</t>
  </si>
  <si>
    <t>0123649</t>
  </si>
  <si>
    <t>0114432</t>
  </si>
  <si>
    <t>Reasor's:Reasor's #14</t>
  </si>
  <si>
    <t>0119661</t>
  </si>
  <si>
    <t>0120591</t>
  </si>
  <si>
    <t>0125823</t>
  </si>
  <si>
    <t>0126445</t>
  </si>
  <si>
    <t>0111799</t>
  </si>
  <si>
    <t>Reasor's:Reasor's #15</t>
  </si>
  <si>
    <t>0114361</t>
  </si>
  <si>
    <t>0115337</t>
  </si>
  <si>
    <t>0119659</t>
  </si>
  <si>
    <t>0120118</t>
  </si>
  <si>
    <t>0120593</t>
  </si>
  <si>
    <t>0121923</t>
  </si>
  <si>
    <t>0123470</t>
  </si>
  <si>
    <t>0123841</t>
  </si>
  <si>
    <t>0124497</t>
  </si>
  <si>
    <t>0125819</t>
  </si>
  <si>
    <t>0125890</t>
  </si>
  <si>
    <t>0113453</t>
  </si>
  <si>
    <t>Reasor's:Reasor's #16</t>
  </si>
  <si>
    <t>0126251</t>
  </si>
  <si>
    <t>0119115</t>
  </si>
  <si>
    <t>Reasor's:Reasor's #17</t>
  </si>
  <si>
    <t>0113069</t>
  </si>
  <si>
    <t>Reasor's:Reasor's #18</t>
  </si>
  <si>
    <t>0116121</t>
  </si>
  <si>
    <t>0121721</t>
  </si>
  <si>
    <t>0121882</t>
  </si>
  <si>
    <t>0123945</t>
  </si>
  <si>
    <t>0123946</t>
  </si>
  <si>
    <t>0125821</t>
  </si>
  <si>
    <t>0118854</t>
  </si>
  <si>
    <t>Reasor's:Reasor's #19</t>
  </si>
  <si>
    <t>0118809</t>
  </si>
  <si>
    <t>0120592</t>
  </si>
  <si>
    <t>0122638</t>
  </si>
  <si>
    <t>0126464</t>
  </si>
  <si>
    <t>0111178</t>
  </si>
  <si>
    <t>Reasor's:Reasor's #20</t>
  </si>
  <si>
    <t>0112403</t>
  </si>
  <si>
    <t>0113413</t>
  </si>
  <si>
    <t>0114724</t>
  </si>
  <si>
    <t>0116009</t>
  </si>
  <si>
    <t>0118504</t>
  </si>
  <si>
    <t>0119113</t>
  </si>
  <si>
    <t>0119243</t>
  </si>
  <si>
    <t>0122362</t>
  </si>
  <si>
    <t>0123808</t>
  </si>
  <si>
    <t>0124732</t>
  </si>
  <si>
    <t>0124891</t>
  </si>
  <si>
    <t>0125880</t>
  </si>
  <si>
    <t>0109958</t>
  </si>
  <si>
    <t>Reasor's:Reasor's #21</t>
  </si>
  <si>
    <t>0116125</t>
  </si>
  <si>
    <t>0119727</t>
  </si>
  <si>
    <t>0120800</t>
  </si>
  <si>
    <t>0122590</t>
  </si>
  <si>
    <t>0124186</t>
  </si>
  <si>
    <t>0125269</t>
  </si>
  <si>
    <t>0125929</t>
  </si>
  <si>
    <t>0111739</t>
  </si>
  <si>
    <t>Reasor's:Reasor's #22</t>
  </si>
  <si>
    <t>0112554</t>
  </si>
  <si>
    <t>0113592</t>
  </si>
  <si>
    <t>0115006</t>
  </si>
  <si>
    <t>0118831</t>
  </si>
  <si>
    <t>0121317</t>
  </si>
  <si>
    <t>0121448</t>
  </si>
  <si>
    <t>0123798</t>
  </si>
  <si>
    <t>0126398</t>
  </si>
  <si>
    <t>0116123</t>
  </si>
  <si>
    <t>Reasor's:Reasor's #25</t>
  </si>
  <si>
    <t>0118848</t>
  </si>
  <si>
    <t>0120821</t>
  </si>
  <si>
    <t>0122117</t>
  </si>
  <si>
    <t>0122591</t>
  </si>
  <si>
    <t>0123947</t>
  </si>
  <si>
    <t>0125257</t>
  </si>
  <si>
    <t>0125887</t>
  </si>
  <si>
    <t>0117381</t>
  </si>
  <si>
    <t>0125421</t>
  </si>
  <si>
    <t>0121185</t>
  </si>
  <si>
    <t>0126692</t>
  </si>
  <si>
    <t>0126721</t>
  </si>
  <si>
    <t>0126969</t>
  </si>
  <si>
    <t>0127042</t>
  </si>
  <si>
    <t>0126901</t>
  </si>
  <si>
    <t>TGDR-202511</t>
  </si>
  <si>
    <t>Ryco Packaging</t>
  </si>
  <si>
    <t>TGDR-202528</t>
  </si>
  <si>
    <t>0120991</t>
  </si>
  <si>
    <t>0121388</t>
  </si>
  <si>
    <t>0121440</t>
  </si>
  <si>
    <t>0121990</t>
  </si>
  <si>
    <t>0122644</t>
  </si>
  <si>
    <t>0123129</t>
  </si>
  <si>
    <t>0123130</t>
  </si>
  <si>
    <t>0123131</t>
  </si>
  <si>
    <t>0123528</t>
  </si>
  <si>
    <t>0126787</t>
  </si>
  <si>
    <t>0126893</t>
  </si>
  <si>
    <t>Reclass CM</t>
  </si>
  <si>
    <t>Safeway:Safeway Denver</t>
  </si>
  <si>
    <t>0126875</t>
  </si>
  <si>
    <t>0113716</t>
  </si>
  <si>
    <t>Safeway:Safeway Eastern</t>
  </si>
  <si>
    <t>0116489</t>
  </si>
  <si>
    <t>0119269</t>
  </si>
  <si>
    <t>0115702</t>
  </si>
  <si>
    <t>Safeway:Safeway Northern CA</t>
  </si>
  <si>
    <t>0119533</t>
  </si>
  <si>
    <t>0119907</t>
  </si>
  <si>
    <t>0121587</t>
  </si>
  <si>
    <t>0115158</t>
  </si>
  <si>
    <t>0125854</t>
  </si>
  <si>
    <t>0126246</t>
  </si>
  <si>
    <t>0126408</t>
  </si>
  <si>
    <t>0126409</t>
  </si>
  <si>
    <t>0126800</t>
  </si>
  <si>
    <t>0124201</t>
  </si>
  <si>
    <t>Safeway:Safeway Portland</t>
  </si>
  <si>
    <t>0126470</t>
  </si>
  <si>
    <t>0115032</t>
  </si>
  <si>
    <t>Safeway:Safeway Seattle</t>
  </si>
  <si>
    <t>0119972</t>
  </si>
  <si>
    <t>0125827</t>
  </si>
  <si>
    <t>0114755</t>
  </si>
  <si>
    <t>Safeway:Safeway Southern</t>
  </si>
  <si>
    <t>0114780</t>
  </si>
  <si>
    <t>0119501</t>
  </si>
  <si>
    <t>0120268</t>
  </si>
  <si>
    <t>0121186</t>
  </si>
  <si>
    <t>0122490</t>
  </si>
  <si>
    <t>0122612</t>
  </si>
  <si>
    <t>0123771</t>
  </si>
  <si>
    <t>0116415</t>
  </si>
  <si>
    <t>Safeway:Safeway Southern CA</t>
  </si>
  <si>
    <t>0117825</t>
  </si>
  <si>
    <t>0118494</t>
  </si>
  <si>
    <t>0118587</t>
  </si>
  <si>
    <t>0118978</t>
  </si>
  <si>
    <t>0124829</t>
  </si>
  <si>
    <t>0125791</t>
  </si>
  <si>
    <t>0126873</t>
  </si>
  <si>
    <t>0126874</t>
  </si>
  <si>
    <t>0126878</t>
  </si>
  <si>
    <t>0116791</t>
  </si>
  <si>
    <t>Safeway:Shaw´s Supermarket Inc.</t>
  </si>
  <si>
    <t>0122285</t>
  </si>
  <si>
    <t>0120029</t>
  </si>
  <si>
    <t>0120969</t>
  </si>
  <si>
    <t>0121187</t>
  </si>
  <si>
    <t>0121495</t>
  </si>
  <si>
    <t>0123014</t>
  </si>
  <si>
    <t>0123151</t>
  </si>
  <si>
    <t>0123883</t>
  </si>
  <si>
    <t>0124508</t>
  </si>
  <si>
    <t>0124651</t>
  </si>
  <si>
    <t>0124653</t>
  </si>
  <si>
    <t>0124654</t>
  </si>
  <si>
    <t>0124841</t>
  </si>
  <si>
    <t>0125384</t>
  </si>
  <si>
    <t>0125385</t>
  </si>
  <si>
    <t>0125387</t>
  </si>
  <si>
    <t>0125401</t>
  </si>
  <si>
    <t>0125404</t>
  </si>
  <si>
    <t>0125445</t>
  </si>
  <si>
    <t>0125877</t>
  </si>
  <si>
    <t>0125912</t>
  </si>
  <si>
    <t>0125913</t>
  </si>
  <si>
    <t>0125914</t>
  </si>
  <si>
    <t>0125915</t>
  </si>
  <si>
    <t>0125916</t>
  </si>
  <si>
    <t>0125941</t>
  </si>
  <si>
    <t>0126197</t>
  </si>
  <si>
    <t>0126347</t>
  </si>
  <si>
    <t>0126668</t>
  </si>
  <si>
    <t>0126669</t>
  </si>
  <si>
    <t>0126670</t>
  </si>
  <si>
    <t>0126716</t>
  </si>
  <si>
    <t>0126717</t>
  </si>
  <si>
    <t>0126675</t>
  </si>
  <si>
    <t>0126676</t>
  </si>
  <si>
    <t>0126722</t>
  </si>
  <si>
    <t>0126829</t>
  </si>
  <si>
    <t>0126947</t>
  </si>
  <si>
    <t>0126948</t>
  </si>
  <si>
    <t>0126949</t>
  </si>
  <si>
    <t>0127011</t>
  </si>
  <si>
    <t>Sasha Kanno (sasha@farmlot59.org)</t>
  </si>
  <si>
    <t>0114706</t>
  </si>
  <si>
    <t>0117738</t>
  </si>
  <si>
    <t>0118657</t>
  </si>
  <si>
    <t>0118885</t>
  </si>
  <si>
    <t>0118956</t>
  </si>
  <si>
    <t>0118958</t>
  </si>
  <si>
    <t>0121365</t>
  </si>
  <si>
    <t>0121588</t>
  </si>
  <si>
    <t>0121871</t>
  </si>
  <si>
    <t>0122781</t>
  </si>
  <si>
    <t>0126518</t>
  </si>
  <si>
    <t>3005</t>
  </si>
  <si>
    <t>0126476</t>
  </si>
  <si>
    <t>0126538</t>
  </si>
  <si>
    <t>0119220</t>
  </si>
  <si>
    <t>0124781</t>
  </si>
  <si>
    <t>0126313</t>
  </si>
  <si>
    <t>0126623</t>
  </si>
  <si>
    <t>Chargeback</t>
  </si>
  <si>
    <t>Sharon Rooker (irmamathisglenn@gmail.com)</t>
  </si>
  <si>
    <t>0126509</t>
  </si>
  <si>
    <t>0126805</t>
  </si>
  <si>
    <t>0126278</t>
  </si>
  <si>
    <t>0118058</t>
  </si>
  <si>
    <t>0121455</t>
  </si>
  <si>
    <t>0116779</t>
  </si>
  <si>
    <t>SMITH PLANT FACTORY INC.</t>
  </si>
  <si>
    <t>0118050</t>
  </si>
  <si>
    <t>0125962</t>
  </si>
  <si>
    <t>0126678</t>
  </si>
  <si>
    <t>0126975</t>
  </si>
  <si>
    <t>0124593</t>
  </si>
  <si>
    <t>Sun Valley Floral Farms</t>
  </si>
  <si>
    <t>0126759</t>
  </si>
  <si>
    <t>0123227</t>
  </si>
  <si>
    <t>0126118</t>
  </si>
  <si>
    <t>0126235</t>
  </si>
  <si>
    <t>0126272</t>
  </si>
  <si>
    <t>0126355</t>
  </si>
  <si>
    <t>0126376</t>
  </si>
  <si>
    <t>0126599</t>
  </si>
  <si>
    <t>0126852</t>
  </si>
  <si>
    <t>0126853</t>
  </si>
  <si>
    <t>0127050</t>
  </si>
  <si>
    <t>0126761</t>
  </si>
  <si>
    <t>Sunshine Grower</t>
  </si>
  <si>
    <t>0125454</t>
  </si>
  <si>
    <t>0125616</t>
  </si>
  <si>
    <t>0125657</t>
  </si>
  <si>
    <t>0126394</t>
  </si>
  <si>
    <t>0126395</t>
  </si>
  <si>
    <t>Ar</t>
  </si>
  <si>
    <t>System Corrections</t>
  </si>
  <si>
    <t>0126959</t>
  </si>
  <si>
    <t>Tami Abernathy (tami@thebloomingbride...)</t>
  </si>
  <si>
    <t>0126963</t>
  </si>
  <si>
    <t>tara korjeski (tarak821@gmail.com)</t>
  </si>
  <si>
    <t>0116988</t>
  </si>
  <si>
    <t>0116989</t>
  </si>
  <si>
    <t>0126043</t>
  </si>
  <si>
    <t>0126044</t>
  </si>
  <si>
    <t>0126045</t>
  </si>
  <si>
    <t>0126270</t>
  </si>
  <si>
    <t>The Flower Factory*:The Flower Factory</t>
  </si>
  <si>
    <t>0116559</t>
  </si>
  <si>
    <t>0126340</t>
  </si>
  <si>
    <t>0126732</t>
  </si>
  <si>
    <t>0126733</t>
  </si>
  <si>
    <t>0126734</t>
  </si>
  <si>
    <t>0126392</t>
  </si>
  <si>
    <t>0126084</t>
  </si>
  <si>
    <t>0126100</t>
  </si>
  <si>
    <t>0126120</t>
  </si>
  <si>
    <t>0126121</t>
  </si>
  <si>
    <t>0126138</t>
  </si>
  <si>
    <t>0126139</t>
  </si>
  <si>
    <t>0126153</t>
  </si>
  <si>
    <t>0126163</t>
  </si>
  <si>
    <t>0126198</t>
  </si>
  <si>
    <t>0126253</t>
  </si>
  <si>
    <t>0126298</t>
  </si>
  <si>
    <t>0126434</t>
  </si>
  <si>
    <t>0126477</t>
  </si>
  <si>
    <t>0126547</t>
  </si>
  <si>
    <t>0126614</t>
  </si>
  <si>
    <t>0126617</t>
  </si>
  <si>
    <t>0126627</t>
  </si>
  <si>
    <t>0126755</t>
  </si>
  <si>
    <t>0126857</t>
  </si>
  <si>
    <t>0126889</t>
  </si>
  <si>
    <t>0127002</t>
  </si>
  <si>
    <t>0127004</t>
  </si>
  <si>
    <t>0127005</t>
  </si>
  <si>
    <t>0127006</t>
  </si>
  <si>
    <t>0126897</t>
  </si>
  <si>
    <t>Therese knabb (tknabb411@gmail.com)</t>
  </si>
  <si>
    <t>0123633</t>
  </si>
  <si>
    <t>0116564</t>
  </si>
  <si>
    <t>0118922</t>
  </si>
  <si>
    <t>0119260</t>
  </si>
  <si>
    <t>0123831</t>
  </si>
  <si>
    <t>0124093</t>
  </si>
  <si>
    <t>0124701</t>
  </si>
  <si>
    <t>0125541</t>
  </si>
  <si>
    <t>0125818</t>
  </si>
  <si>
    <t>0126131</t>
  </si>
  <si>
    <t>0126156</t>
  </si>
  <si>
    <t>0126244</t>
  </si>
  <si>
    <t>0126671</t>
  </si>
  <si>
    <t>0120287</t>
  </si>
  <si>
    <t>0121726</t>
  </si>
  <si>
    <t>0121727</t>
  </si>
  <si>
    <t>0121749</t>
  </si>
  <si>
    <t>0121760</t>
  </si>
  <si>
    <t>0122703</t>
  </si>
  <si>
    <t>0122835</t>
  </si>
  <si>
    <t>0123230</t>
  </si>
  <si>
    <t>0123231</t>
  </si>
  <si>
    <t>0123233</t>
  </si>
  <si>
    <t>0124729</t>
  </si>
  <si>
    <t>0124914</t>
  </si>
  <si>
    <t>0126322</t>
  </si>
  <si>
    <t>0126680</t>
  </si>
  <si>
    <t>0126802</t>
  </si>
  <si>
    <t>0126885</t>
  </si>
  <si>
    <t>0127065</t>
  </si>
  <si>
    <t>0126833</t>
  </si>
  <si>
    <t>0126128</t>
  </si>
  <si>
    <t>0126295</t>
  </si>
  <si>
    <t>0126345</t>
  </si>
  <si>
    <t>0126542</t>
  </si>
  <si>
    <t>0113934</t>
  </si>
  <si>
    <t>United Supermarkets:United Supermarkets #523</t>
  </si>
  <si>
    <t>0116124</t>
  </si>
  <si>
    <t>0126574</t>
  </si>
  <si>
    <t>0111079</t>
  </si>
  <si>
    <t>United Supermarkets:United Supermarkets #530</t>
  </si>
  <si>
    <t>0118156</t>
  </si>
  <si>
    <t>0111082</t>
  </si>
  <si>
    <t>United Supermarkets:United Supermarkets #539</t>
  </si>
  <si>
    <t>0120200</t>
  </si>
  <si>
    <t>0111088</t>
  </si>
  <si>
    <t>United Supermarkets:United Supermarkets #551</t>
  </si>
  <si>
    <t>0111090</t>
  </si>
  <si>
    <t>United Supermarkets:UNITED SUPERMARKETS #552</t>
  </si>
  <si>
    <t>0120080</t>
  </si>
  <si>
    <t>United Supermarkets:United Supermarkets #574</t>
  </si>
  <si>
    <t>0111091</t>
  </si>
  <si>
    <t>United Supermarkets:United Supermarkets #657</t>
  </si>
  <si>
    <t>0111092</t>
  </si>
  <si>
    <t>United Supermarkets:United Supermarkets #663</t>
  </si>
  <si>
    <t>0114857</t>
  </si>
  <si>
    <t>0116115</t>
  </si>
  <si>
    <t>0119896</t>
  </si>
  <si>
    <t>0120022</t>
  </si>
  <si>
    <t>0121608</t>
  </si>
  <si>
    <t>0124343</t>
  </si>
  <si>
    <t>0126649</t>
  </si>
  <si>
    <t>0127040</t>
  </si>
  <si>
    <t>Van Vugt Green Houses, Inc</t>
  </si>
  <si>
    <t>0126148</t>
  </si>
  <si>
    <t>Vandermeer Greenhouses</t>
  </si>
  <si>
    <t>0126639</t>
  </si>
  <si>
    <t>Village Florist</t>
  </si>
  <si>
    <t>0125583</t>
  </si>
  <si>
    <t>0126537</t>
  </si>
  <si>
    <t>0117172</t>
  </si>
  <si>
    <t>Wakefern Food Corp.</t>
  </si>
  <si>
    <t>1040</t>
  </si>
  <si>
    <t>0126007</t>
  </si>
  <si>
    <t>Washington Bulb Co., Inc.</t>
  </si>
  <si>
    <t>0120819</t>
  </si>
  <si>
    <t>0120978</t>
  </si>
  <si>
    <t>0124233</t>
  </si>
  <si>
    <t>0124361</t>
  </si>
  <si>
    <t>0126205</t>
  </si>
  <si>
    <t>0126207</t>
  </si>
  <si>
    <t>0126979</t>
  </si>
  <si>
    <t>0125772</t>
  </si>
  <si>
    <t>0126446</t>
  </si>
  <si>
    <t>0126738</t>
  </si>
  <si>
    <t>0113330</t>
  </si>
  <si>
    <t>0115739</t>
  </si>
  <si>
    <t>0115996</t>
  </si>
  <si>
    <t>Whole Foods Market:WFM Global Perishable Purchasing</t>
  </si>
  <si>
    <t>0116991</t>
  </si>
  <si>
    <t>0117753</t>
  </si>
  <si>
    <t>0120962</t>
  </si>
  <si>
    <t>0123600</t>
  </si>
  <si>
    <t>0123941</t>
  </si>
  <si>
    <t>0124011</t>
  </si>
  <si>
    <t>0124174</t>
  </si>
  <si>
    <t>0124457</t>
  </si>
  <si>
    <t>0125479</t>
  </si>
  <si>
    <t>0125480</t>
  </si>
  <si>
    <t>0125481</t>
  </si>
  <si>
    <t>0125482</t>
  </si>
  <si>
    <t>0125483</t>
  </si>
  <si>
    <t>0125485</t>
  </si>
  <si>
    <t>0125488</t>
  </si>
  <si>
    <t>0125681</t>
  </si>
  <si>
    <t>0126013</t>
  </si>
  <si>
    <t>0126015</t>
  </si>
  <si>
    <t>0126017</t>
  </si>
  <si>
    <t>0126026</t>
  </si>
  <si>
    <t>0126049</t>
  </si>
  <si>
    <t>0126050</t>
  </si>
  <si>
    <t>0126102</t>
  </si>
  <si>
    <t>0126104</t>
  </si>
  <si>
    <t>0126107</t>
  </si>
  <si>
    <t>0126136</t>
  </si>
  <si>
    <t>0126158</t>
  </si>
  <si>
    <t>0126172</t>
  </si>
  <si>
    <t>0126225</t>
  </si>
  <si>
    <t>0126226</t>
  </si>
  <si>
    <t>0126227</t>
  </si>
  <si>
    <t>0126228</t>
  </si>
  <si>
    <t>0126229</t>
  </si>
  <si>
    <t>0126230</t>
  </si>
  <si>
    <t>0126231</t>
  </si>
  <si>
    <t>0126232</t>
  </si>
  <si>
    <t>0126233</t>
  </si>
  <si>
    <t>0126255</t>
  </si>
  <si>
    <t>0126273</t>
  </si>
  <si>
    <t>0126289</t>
  </si>
  <si>
    <t>0126299</t>
  </si>
  <si>
    <t>0126302</t>
  </si>
  <si>
    <t>0126304</t>
  </si>
  <si>
    <t>0126329</t>
  </si>
  <si>
    <t>0126333</t>
  </si>
  <si>
    <t>0126335</t>
  </si>
  <si>
    <t>0126356</t>
  </si>
  <si>
    <t>0126357</t>
  </si>
  <si>
    <t>0126396</t>
  </si>
  <si>
    <t>0126402</t>
  </si>
  <si>
    <t>0126432</t>
  </si>
  <si>
    <t>0126455</t>
  </si>
  <si>
    <t>0126480</t>
  </si>
  <si>
    <t>0126482</t>
  </si>
  <si>
    <t>0126483</t>
  </si>
  <si>
    <t>0126565</t>
  </si>
  <si>
    <t>0126566</t>
  </si>
  <si>
    <t>0126567</t>
  </si>
  <si>
    <t>0126568</t>
  </si>
  <si>
    <t>0126569</t>
  </si>
  <si>
    <t>0126576</t>
  </si>
  <si>
    <t>0126578</t>
  </si>
  <si>
    <t>0126640</t>
  </si>
  <si>
    <t>0126641</t>
  </si>
  <si>
    <t>0126642</t>
  </si>
  <si>
    <t>0126646</t>
  </si>
  <si>
    <t>0126688</t>
  </si>
  <si>
    <t>0126744</t>
  </si>
  <si>
    <t>0126745</t>
  </si>
  <si>
    <t>0126772</t>
  </si>
  <si>
    <t>0126775</t>
  </si>
  <si>
    <t>0126803</t>
  </si>
  <si>
    <t>0126806</t>
  </si>
  <si>
    <t>0126821</t>
  </si>
  <si>
    <t>0126823</t>
  </si>
  <si>
    <t>0126826</t>
  </si>
  <si>
    <t>0126908</t>
  </si>
  <si>
    <t>0126910</t>
  </si>
  <si>
    <t>0126915</t>
  </si>
  <si>
    <t>0126916</t>
  </si>
  <si>
    <t>0126918</t>
  </si>
  <si>
    <t>0126919</t>
  </si>
  <si>
    <t>0126921</t>
  </si>
  <si>
    <t>0126982</t>
  </si>
  <si>
    <t>0126983</t>
  </si>
  <si>
    <t>0126984</t>
  </si>
  <si>
    <t>0126985</t>
  </si>
  <si>
    <t>0126986</t>
  </si>
  <si>
    <t>0126987</t>
  </si>
  <si>
    <t>0126988</t>
  </si>
  <si>
    <t>0126989</t>
  </si>
  <si>
    <t>0126990</t>
  </si>
  <si>
    <t>0126991</t>
  </si>
  <si>
    <t>0127009</t>
  </si>
  <si>
    <t>0127010</t>
  </si>
  <si>
    <t>0127014</t>
  </si>
  <si>
    <t>0127057</t>
  </si>
  <si>
    <t>0127068</t>
  </si>
  <si>
    <t>0127069</t>
  </si>
  <si>
    <t>ICO Flopak</t>
  </si>
  <si>
    <t>0116767</t>
  </si>
  <si>
    <t>0122837</t>
  </si>
  <si>
    <t>0123049</t>
  </si>
  <si>
    <t>0124765</t>
  </si>
  <si>
    <t>0125790</t>
  </si>
  <si>
    <t>0125793</t>
  </si>
  <si>
    <t>0126040</t>
  </si>
  <si>
    <t>0126388</t>
  </si>
  <si>
    <t>0126598</t>
  </si>
  <si>
    <t>0118546</t>
  </si>
  <si>
    <t>Woodburn Nursery &amp; Azaleas</t>
  </si>
  <si>
    <t>0120582</t>
  </si>
  <si>
    <t>0120583</t>
  </si>
  <si>
    <t>0126436</t>
  </si>
  <si>
    <t>0122056</t>
  </si>
  <si>
    <t>WYATT QUARLES SEED COMPANY</t>
  </si>
  <si>
    <t>167485</t>
  </si>
  <si>
    <t>0126713</t>
  </si>
  <si>
    <t>0126719</t>
  </si>
  <si>
    <t>79333</t>
  </si>
  <si>
    <t>Young's Plant Farm, Inc</t>
  </si>
  <si>
    <t>0117685</t>
  </si>
  <si>
    <t>0126149</t>
  </si>
  <si>
    <t>0126685</t>
  </si>
  <si>
    <t>Responsable</t>
  </si>
  <si>
    <t>Codigo INFOR</t>
  </si>
  <si>
    <t>CSR</t>
  </si>
  <si>
    <t>BDM</t>
  </si>
  <si>
    <t>Yuldor</t>
  </si>
  <si>
    <t>Stephany Prieto</t>
  </si>
  <si>
    <t>Scott Greathouse</t>
  </si>
  <si>
    <t>Olga Perez</t>
  </si>
  <si>
    <t>Zoila Brown</t>
  </si>
  <si>
    <t>Alpha Botanical, Inc</t>
  </si>
  <si>
    <t>NAC1621</t>
  </si>
  <si>
    <t>ANDERSON HOME AND GARDEN</t>
  </si>
  <si>
    <t>NAC0527</t>
  </si>
  <si>
    <t>Annelise McCallum</t>
  </si>
  <si>
    <t>Guillermo Serrano</t>
  </si>
  <si>
    <t>Magaly F Aragon</t>
  </si>
  <si>
    <t>Sherri Vanderwall</t>
  </si>
  <si>
    <t>Julian Infante</t>
  </si>
  <si>
    <t>Steve Durham</t>
  </si>
  <si>
    <t>Michael Shilling</t>
  </si>
  <si>
    <t>Cecila Mauger</t>
  </si>
  <si>
    <t>Blooms USA</t>
  </si>
  <si>
    <t>NAC0578</t>
  </si>
  <si>
    <t>Marlene Obarrio</t>
  </si>
  <si>
    <t>Bottomley Evergreens Farms</t>
  </si>
  <si>
    <t>NAC0592</t>
  </si>
  <si>
    <t>Maria Caparroso</t>
  </si>
  <si>
    <t>Maria Gallardo</t>
  </si>
  <si>
    <t>NAC0618</t>
  </si>
  <si>
    <t>California Camellia Gardens</t>
  </si>
  <si>
    <t>NAC0620</t>
  </si>
  <si>
    <t>Alejandro Casallas</t>
  </si>
  <si>
    <t>Kristie Montez</t>
  </si>
  <si>
    <t>Catoctin Mtn Growers Inc</t>
  </si>
  <si>
    <t>NAC0630</t>
  </si>
  <si>
    <t>NAC0649</t>
  </si>
  <si>
    <t>CAN0008</t>
  </si>
  <si>
    <t>Dan Schantz Greenhouses</t>
  </si>
  <si>
    <t>NAC0687</t>
  </si>
  <si>
    <t>Edible</t>
  </si>
  <si>
    <t>NAC0763</t>
  </si>
  <si>
    <t>Floral Sense LLC</t>
  </si>
  <si>
    <t>NAC0814</t>
  </si>
  <si>
    <t>NAC0847</t>
  </si>
  <si>
    <t>General Flopak</t>
  </si>
  <si>
    <t>NAC0858</t>
  </si>
  <si>
    <t>From You Flowers</t>
  </si>
  <si>
    <t>NAC0866</t>
  </si>
  <si>
    <t>Fry Family Farm</t>
  </si>
  <si>
    <t>NAC0867</t>
  </si>
  <si>
    <t>GARDEN WORLD</t>
  </si>
  <si>
    <t>NAC0876</t>
  </si>
  <si>
    <t>CAN0023</t>
  </si>
  <si>
    <t>NAC0945</t>
  </si>
  <si>
    <t>NAC0986</t>
  </si>
  <si>
    <t>Lou Davino Greenhouses</t>
  </si>
  <si>
    <t>NAC1066</t>
  </si>
  <si>
    <t>NAC1614</t>
  </si>
  <si>
    <t>NAC1152</t>
  </si>
  <si>
    <t>CAN0049</t>
  </si>
  <si>
    <t>NAC1241</t>
  </si>
  <si>
    <t>Shaw´s Supermarket Inc.</t>
  </si>
  <si>
    <t>NAC1318</t>
  </si>
  <si>
    <t>NAC1376</t>
  </si>
  <si>
    <t>NAC1529</t>
  </si>
  <si>
    <t>World Class Flowers</t>
  </si>
  <si>
    <t>NAC1532</t>
  </si>
  <si>
    <t>Dewar Nurseries</t>
  </si>
  <si>
    <t>NAC0712</t>
  </si>
  <si>
    <t>Hubert Company LLC**</t>
  </si>
  <si>
    <t>NAC0944</t>
  </si>
  <si>
    <t>HYDRA-POINT GROWERS INC</t>
  </si>
  <si>
    <t>NAC0959</t>
  </si>
  <si>
    <t>Hy-vee</t>
  </si>
  <si>
    <t>NAC0955</t>
  </si>
  <si>
    <t>House accounts</t>
  </si>
  <si>
    <t>IWASAKI BROS., INC.</t>
  </si>
  <si>
    <t>NAC0974</t>
  </si>
  <si>
    <t>J and J Nusery and Garden Center</t>
  </si>
  <si>
    <t>NAC0975</t>
  </si>
  <si>
    <t>NAC0979</t>
  </si>
  <si>
    <t>Jeffrey's Flowers by Design</t>
  </si>
  <si>
    <t>NAC0983</t>
  </si>
  <si>
    <t>Joseph's Nursery</t>
  </si>
  <si>
    <t>NAC0998</t>
  </si>
  <si>
    <t>JZ Flowers USA</t>
  </si>
  <si>
    <t>NAC1001</t>
  </si>
  <si>
    <t>KALAMAZOO FLOWER GROUP</t>
  </si>
  <si>
    <t>NAC1004</t>
  </si>
  <si>
    <t>NAC1009</t>
  </si>
  <si>
    <t>KCK Farms LLC</t>
  </si>
  <si>
    <t>NAC1011</t>
  </si>
  <si>
    <t>Kitayama Bros Inc.</t>
  </si>
  <si>
    <t>NAC1026</t>
  </si>
  <si>
    <t>KURTZ FARMS, LLC</t>
  </si>
  <si>
    <t>NAC1043</t>
  </si>
  <si>
    <t>NAC1570</t>
  </si>
  <si>
    <t>NAC1061</t>
  </si>
  <si>
    <t>Lowe's Flowers</t>
  </si>
  <si>
    <t>NAC1068</t>
  </si>
  <si>
    <t>NAC1069</t>
  </si>
  <si>
    <t>MARION FLOWER SHOP</t>
  </si>
  <si>
    <t>NAC1085</t>
  </si>
  <si>
    <t>Masterpiece Flower</t>
  </si>
  <si>
    <t>NAC1110</t>
  </si>
  <si>
    <t>NAC1113</t>
  </si>
  <si>
    <t>Maxpack</t>
  </si>
  <si>
    <t>NAC1116</t>
  </si>
  <si>
    <t>NAC1127</t>
  </si>
  <si>
    <t>MILMONT GREENHOUSES</t>
  </si>
  <si>
    <t>NAC1142</t>
  </si>
  <si>
    <t>Mulberry Bush, The</t>
  </si>
  <si>
    <t>NAC1156</t>
  </si>
  <si>
    <t>Natural Flowers</t>
  </si>
  <si>
    <t>NAC1166</t>
  </si>
  <si>
    <t>Neosho Gardens</t>
  </si>
  <si>
    <t>NAC1172</t>
  </si>
  <si>
    <t>Norman Keil Nurseries Inc.</t>
  </si>
  <si>
    <t>NAC1178</t>
  </si>
  <si>
    <t>NORTHGATE GREENHOUSE</t>
  </si>
  <si>
    <t>NAC1180</t>
  </si>
  <si>
    <t>Norton's Flowers &amp; Gifts</t>
  </si>
  <si>
    <t>NAC1183</t>
  </si>
  <si>
    <t>O'Brien's Florist</t>
  </si>
  <si>
    <t>NAC1185</t>
  </si>
  <si>
    <t>NAC1190</t>
  </si>
  <si>
    <t>Orange Flower Connect</t>
  </si>
  <si>
    <t>NAC1192</t>
  </si>
  <si>
    <t>P.R. FLORAL MARKETING</t>
  </si>
  <si>
    <t>NAC1197</t>
  </si>
  <si>
    <t>NAC1202</t>
  </si>
  <si>
    <t>Panzer Nursery</t>
  </si>
  <si>
    <t>NAC1203</t>
  </si>
  <si>
    <t>PARKS BROTHERS FARMS, INC.</t>
  </si>
  <si>
    <t>NAC1208</t>
  </si>
  <si>
    <t>Parkway Florist</t>
  </si>
  <si>
    <t>NAC1210</t>
  </si>
  <si>
    <t>PEPPER GREENHOUSES</t>
  </si>
  <si>
    <t>NAC1220</t>
  </si>
  <si>
    <t>NAC1232</t>
  </si>
  <si>
    <t>PLANTERRA.</t>
  </si>
  <si>
    <t>NAC1235</t>
  </si>
  <si>
    <t>Plantpeddler</t>
  </si>
  <si>
    <t>NAC1236</t>
  </si>
  <si>
    <t>Plantsmart</t>
  </si>
  <si>
    <t>NAC1238</t>
  </si>
  <si>
    <t>POPE'S PLANT FARM, INC.</t>
  </si>
  <si>
    <t>NAC1240</t>
  </si>
  <si>
    <t>PORTER NURSERIES</t>
  </si>
  <si>
    <t>NAC1242</t>
  </si>
  <si>
    <t>Potter Inc</t>
  </si>
  <si>
    <t>NAC1243</t>
  </si>
  <si>
    <t>PRIMESCAPE PRODUCTS</t>
  </si>
  <si>
    <t>NAC1248</t>
  </si>
  <si>
    <t>NAC1254</t>
  </si>
  <si>
    <t>QUALITY GARDENS</t>
  </si>
  <si>
    <t>NAC1255</t>
  </si>
  <si>
    <t>Rennings Florist</t>
  </si>
  <si>
    <t>NAC1284</t>
  </si>
  <si>
    <t>RIVER'S GREENHOUSE GARDEN</t>
  </si>
  <si>
    <t>NAC1287</t>
  </si>
  <si>
    <t>ROBERT H DEIBEL GREENHOUSES</t>
  </si>
  <si>
    <t>NAC1290</t>
  </si>
  <si>
    <t>Russell Florist</t>
  </si>
  <si>
    <t>NAC1311</t>
  </si>
  <si>
    <t>Russ's Market</t>
  </si>
  <si>
    <t>NAC1609</t>
  </si>
  <si>
    <t>SANDIA ENTERPRISES</t>
  </si>
  <si>
    <t>NAC1329</t>
  </si>
  <si>
    <t>Silver Vase, Inc.</t>
  </si>
  <si>
    <t>NAC1347</t>
  </si>
  <si>
    <t>SKH Wholesale Distributors</t>
  </si>
  <si>
    <t>NAC1351</t>
  </si>
  <si>
    <t>NAC1354</t>
  </si>
  <si>
    <t>Speedling, Inc</t>
  </si>
  <si>
    <t>NAC1361</t>
  </si>
  <si>
    <t>Sun Bulb Co., Inc.</t>
  </si>
  <si>
    <t>NAC1375</t>
  </si>
  <si>
    <t>NAC1385</t>
  </si>
  <si>
    <t>Sunshine Growers Nursery</t>
  </si>
  <si>
    <t>NAC1386</t>
  </si>
  <si>
    <t>SWEET BLOSSOM</t>
  </si>
  <si>
    <t>NAC1396</t>
  </si>
  <si>
    <t>Tagawa Greenhouse Enterprises, LLC</t>
  </si>
  <si>
    <t>NAC1399</t>
  </si>
  <si>
    <t>The Garden Factory</t>
  </si>
  <si>
    <t>NAC1412</t>
  </si>
  <si>
    <t>Tin Pack INC</t>
  </si>
  <si>
    <t>NAC1429</t>
  </si>
  <si>
    <t>Treasure Hut Flowers</t>
  </si>
  <si>
    <t>NAC1436</t>
  </si>
  <si>
    <t>Underhill Ferneries, Inc</t>
  </si>
  <si>
    <t>NAC1445</t>
  </si>
  <si>
    <t>NAC1472</t>
  </si>
  <si>
    <t>Varner's Greenhouse, Inc</t>
  </si>
  <si>
    <t>NAC1479</t>
  </si>
  <si>
    <t>NAC1482</t>
  </si>
  <si>
    <t>VIVEROS EL VOLCAN, S.A. DE C.V.</t>
  </si>
  <si>
    <t>NAC1485</t>
  </si>
  <si>
    <t>NAC1488</t>
  </si>
  <si>
    <t>Wallkill View Farm, LLC</t>
  </si>
  <si>
    <t>NAC1490</t>
  </si>
  <si>
    <t>Walter's Flowers</t>
  </si>
  <si>
    <t>NAC1495</t>
  </si>
  <si>
    <t>NAC1498</t>
  </si>
  <si>
    <t>Washington Floral Services Inc.</t>
  </si>
  <si>
    <t>NAC1499</t>
  </si>
  <si>
    <t>WEBER'S GREENHOUSE &amp; FARMS LLC</t>
  </si>
  <si>
    <t>NAC1505</t>
  </si>
  <si>
    <t>Weis Markets, Inc.</t>
  </si>
  <si>
    <t>NAC1507</t>
  </si>
  <si>
    <t>Westerlay Orchids</t>
  </si>
  <si>
    <t>NAC1511</t>
  </si>
  <si>
    <t>Westwood Gardens</t>
  </si>
  <si>
    <t>NAC1514</t>
  </si>
  <si>
    <t>Williams Florist &amp; Gift House</t>
  </si>
  <si>
    <t>NAC1523</t>
  </si>
  <si>
    <t>Willow Run Greenhouse</t>
  </si>
  <si>
    <t>NAC1525</t>
  </si>
  <si>
    <t>WIZ OF OZ CORP DBA FLOWERAMA</t>
  </si>
  <si>
    <t>NAC1526</t>
  </si>
  <si>
    <t>NAC1533</t>
  </si>
  <si>
    <t>YODER'S PRODUCE LTD.</t>
  </si>
  <si>
    <t>NAC1538</t>
  </si>
  <si>
    <t>NAC1539</t>
  </si>
  <si>
    <t>Zeidler Floral Company Inc</t>
  </si>
  <si>
    <t>NAC1541</t>
  </si>
  <si>
    <t>Zengel Flowers &amp; Gifts</t>
  </si>
  <si>
    <t>NAC1542</t>
  </si>
  <si>
    <t>Alexandra</t>
  </si>
  <si>
    <t>Mark Knox Flowers</t>
  </si>
  <si>
    <t>NAC1086</t>
  </si>
  <si>
    <t>The Rhoads Garden</t>
  </si>
  <si>
    <t>NAC1420</t>
  </si>
  <si>
    <t>Van Wingerden Greenhouses</t>
  </si>
  <si>
    <t>NAC1473</t>
  </si>
  <si>
    <t>Walter Knoll Florist</t>
  </si>
  <si>
    <t>NAC1494</t>
  </si>
  <si>
    <t>Nicolas</t>
  </si>
  <si>
    <t>4 Seasons Growers Inc.</t>
  </si>
  <si>
    <t>NAC0459</t>
  </si>
  <si>
    <t>A FLORAL FANTASIA</t>
  </si>
  <si>
    <t>NAC0461</t>
  </si>
  <si>
    <t>ACORN FARMS</t>
  </si>
  <si>
    <t>NAC0470</t>
  </si>
  <si>
    <t>General US</t>
  </si>
  <si>
    <t>NAC0514</t>
  </si>
  <si>
    <t>ALSIP HOME &amp; NURSERY</t>
  </si>
  <si>
    <t>NAC0519</t>
  </si>
  <si>
    <t>American Color Inc.</t>
  </si>
  <si>
    <t>NAC0522</t>
  </si>
  <si>
    <t>American Plant</t>
  </si>
  <si>
    <t>NAC0524</t>
  </si>
  <si>
    <t>Andersen Farms Inc.</t>
  </si>
  <si>
    <t>NAC0526</t>
  </si>
  <si>
    <t>NAC0530</t>
  </si>
  <si>
    <t>A-ROO COMPANY LLC</t>
  </si>
  <si>
    <t>NAC0464</t>
  </si>
  <si>
    <t>Ballard's Flowers, Inc.</t>
  </si>
  <si>
    <t>NAC0548</t>
  </si>
  <si>
    <t>NAC0569</t>
  </si>
  <si>
    <t>Berner Farms</t>
  </si>
  <si>
    <t>NAC0571</t>
  </si>
  <si>
    <t>Bill Doran Company</t>
  </si>
  <si>
    <t>NAC0574</t>
  </si>
  <si>
    <t>Blossoming Creations</t>
  </si>
  <si>
    <t>NAC0581</t>
  </si>
  <si>
    <t>Bordine Nursery</t>
  </si>
  <si>
    <t>NAC0591</t>
  </si>
  <si>
    <t>Breen's Florist</t>
  </si>
  <si>
    <t>NAC0596</t>
  </si>
  <si>
    <t>Brenmar Co, The*</t>
  </si>
  <si>
    <t>Bud's Floral Importers, Inc</t>
  </si>
  <si>
    <t>NAC0607</t>
  </si>
  <si>
    <t>C.I.G Flowers, Inc</t>
  </si>
  <si>
    <t>NAC0616</t>
  </si>
  <si>
    <t>CHARME FLOWERS INC</t>
  </si>
  <si>
    <t>NAC0636</t>
  </si>
  <si>
    <t>Classy Design Florist</t>
  </si>
  <si>
    <t>NAC0651</t>
  </si>
  <si>
    <t>CLAUSSEN'S FLORIST &amp; GARDEN CENTER</t>
  </si>
  <si>
    <t>NAC0654</t>
  </si>
  <si>
    <t>CLESEN WHOLESALE</t>
  </si>
  <si>
    <t>NAC0656</t>
  </si>
  <si>
    <t>Colonial Florists LTD</t>
  </si>
  <si>
    <t>CAN0009</t>
  </si>
  <si>
    <t>Colony Florist</t>
  </si>
  <si>
    <t>NAC0662</t>
  </si>
  <si>
    <t>Cuthbert Greenhouse, Inc.</t>
  </si>
  <si>
    <t>NAC0680</t>
  </si>
  <si>
    <t>Cypress Hill Farms</t>
  </si>
  <si>
    <t>NAC0682</t>
  </si>
  <si>
    <t>Davis Wholesale Florist - Huntsville</t>
  </si>
  <si>
    <t>NAC0693</t>
  </si>
  <si>
    <t>Debono Greenhouses Limited</t>
  </si>
  <si>
    <t>CAN0013</t>
  </si>
  <si>
    <t>Decker's Floral &amp; Gift</t>
  </si>
  <si>
    <t>NAC0696</t>
  </si>
  <si>
    <t>Degoede Brothers</t>
  </si>
  <si>
    <t>NAC0700</t>
  </si>
  <si>
    <t>Delhi Flower &amp; Garden Center</t>
  </si>
  <si>
    <t>NAC0706</t>
  </si>
  <si>
    <t>Devry Greenhouses Ltd.</t>
  </si>
  <si>
    <t>CAN0014</t>
  </si>
  <si>
    <t>Dickerson's Flowers Shop</t>
  </si>
  <si>
    <t>NAC0716</t>
  </si>
  <si>
    <t>Dillon Floral</t>
  </si>
  <si>
    <t>NAC0718</t>
  </si>
  <si>
    <t>Direct Flowers</t>
  </si>
  <si>
    <t>NAC0719</t>
  </si>
  <si>
    <t>DIXIE GREEN</t>
  </si>
  <si>
    <t>NAC0720</t>
  </si>
  <si>
    <t>Dolly's Florist</t>
  </si>
  <si>
    <t>NAC0723</t>
  </si>
  <si>
    <t>Dooley's Florist, Inc.</t>
  </si>
  <si>
    <t>NAC0725</t>
  </si>
  <si>
    <t>Dreisbach Wholesale Florists</t>
  </si>
  <si>
    <t>NAC0732</t>
  </si>
  <si>
    <t>Duarte Nursery</t>
  </si>
  <si>
    <t>NAC0733</t>
  </si>
  <si>
    <t>NAC0734</t>
  </si>
  <si>
    <t>DUDEK FLORIST SUPPLY</t>
  </si>
  <si>
    <t>NAC0735</t>
  </si>
  <si>
    <t>Dutchess Bouquet</t>
  </si>
  <si>
    <t>NAC0738</t>
  </si>
  <si>
    <t>Earl J. Doescher Co., Inc.</t>
  </si>
  <si>
    <t>NAC0757</t>
  </si>
  <si>
    <t>EGAN GARDENS, INC.</t>
  </si>
  <si>
    <t>NAC0764</t>
  </si>
  <si>
    <t>NAC0770</t>
  </si>
  <si>
    <t>Emporia Floral</t>
  </si>
  <si>
    <t>Encore Floral Marketing Inc.</t>
  </si>
  <si>
    <t>NAC0771</t>
  </si>
  <si>
    <t>NAC0782</t>
  </si>
  <si>
    <t>Exclusively Roses</t>
  </si>
  <si>
    <t>NAC0784</t>
  </si>
  <si>
    <t>Fabulous Flowers &amp; Gifts</t>
  </si>
  <si>
    <t>NAC0789</t>
  </si>
  <si>
    <t>FAMILY FARE #3253</t>
  </si>
  <si>
    <t>NAC0794</t>
  </si>
  <si>
    <t>FAMILY TREE NURSERY-OVERLAND</t>
  </si>
  <si>
    <t>NAC0796</t>
  </si>
  <si>
    <t>Fisher Nursery Inc</t>
  </si>
  <si>
    <t>NAC0807</t>
  </si>
  <si>
    <t>Fleur Detroit</t>
  </si>
  <si>
    <t>NAC0809</t>
  </si>
  <si>
    <t>Flori-Design Inc.</t>
  </si>
  <si>
    <t>NAC0824</t>
  </si>
  <si>
    <t>Cecilia Mauger</t>
  </si>
  <si>
    <t>Flower Farm Depot</t>
  </si>
  <si>
    <t>NAC0827</t>
  </si>
  <si>
    <t>NAC0841</t>
  </si>
  <si>
    <t>Flowers By Julia</t>
  </si>
  <si>
    <t>NAC0842</t>
  </si>
  <si>
    <t>Flowers By Ruzen, Inc.</t>
  </si>
  <si>
    <t>NAC0844</t>
  </si>
  <si>
    <t>Flowers by Steve, Inc.</t>
  </si>
  <si>
    <t>NAC0845</t>
  </si>
  <si>
    <t>Forget Me Not Flower Shop Inc</t>
  </si>
  <si>
    <t>NAC0852</t>
  </si>
  <si>
    <t>Fowler's Nursery</t>
  </si>
  <si>
    <t>NAC0856</t>
  </si>
  <si>
    <t>Gertens</t>
  </si>
  <si>
    <t>NAC0887</t>
  </si>
  <si>
    <t>GOODE GREENHOUSES</t>
  </si>
  <si>
    <t>NAC0896</t>
  </si>
  <si>
    <t>NAC0900</t>
  </si>
  <si>
    <t>CAN0092</t>
  </si>
  <si>
    <t>GROWER DIRECT FARMS, INC</t>
  </si>
  <si>
    <t>NAC0908</t>
  </si>
  <si>
    <t>HARTMAN'S TOWNE &amp; COUNTRY GREENHOUSE INC</t>
  </si>
  <si>
    <t>NAC0920</t>
  </si>
  <si>
    <t>Hawaiian Sunshine Nursery</t>
  </si>
  <si>
    <t>NAC0921</t>
  </si>
  <si>
    <t>HEARTLAND GROWERS, INC.</t>
  </si>
  <si>
    <t>NAC0922</t>
  </si>
  <si>
    <t>Holex USA</t>
  </si>
  <si>
    <t>NAC0934</t>
  </si>
  <si>
    <t>Holland America Flowers LLC</t>
  </si>
  <si>
    <t>NAC0935</t>
  </si>
  <si>
    <t>NAC1002</t>
  </si>
  <si>
    <t>Leider Greenhouses</t>
  </si>
  <si>
    <t>NAC1053</t>
  </si>
  <si>
    <t>Lihmil Wholesale Flowers</t>
  </si>
  <si>
    <t>NAC1058</t>
  </si>
  <si>
    <t>LOUISIANA NURSERY</t>
  </si>
  <si>
    <t>NAC1067</t>
  </si>
  <si>
    <t>NAC1133</t>
  </si>
  <si>
    <t>Nolt's Garden Center</t>
  </si>
  <si>
    <t>NAC1176</t>
  </si>
  <si>
    <t>Novelty Greens</t>
  </si>
  <si>
    <t>NAC1184</t>
  </si>
  <si>
    <t>NAC1233</t>
  </si>
  <si>
    <t>Hollandia Greenhouses Ltd</t>
  </si>
  <si>
    <t>CAN0029</t>
  </si>
  <si>
    <t>Keepsake Plants LTD.</t>
  </si>
  <si>
    <t>CAN0033</t>
  </si>
  <si>
    <t>CAN0045</t>
  </si>
  <si>
    <t>CAN0051</t>
  </si>
  <si>
    <t>CAN0052</t>
  </si>
  <si>
    <t>TD Greenhouses Ltd.</t>
  </si>
  <si>
    <t>CAN0068</t>
  </si>
  <si>
    <t>Trillium Hill Greenhouses</t>
  </si>
  <si>
    <t>CAN0072</t>
  </si>
  <si>
    <t>Vanderveen Greenhouse</t>
  </si>
  <si>
    <t>CAN0078</t>
  </si>
  <si>
    <t>Sin Asingar</t>
  </si>
  <si>
    <t>Amazon.com, Inc</t>
  </si>
  <si>
    <t>NAC1650</t>
  </si>
  <si>
    <t>Western Cactus Enterprises</t>
  </si>
  <si>
    <t>NAC1637</t>
  </si>
  <si>
    <t>Arizona Family Florist</t>
  </si>
  <si>
    <t>NAC0535</t>
  </si>
  <si>
    <t>Gainan's</t>
  </si>
  <si>
    <t>NAC0870</t>
  </si>
  <si>
    <t>Credit</t>
  </si>
  <si>
    <t>Presupuesto final</t>
  </si>
  <si>
    <t>Debit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</si>
</sst>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m/dd/yyyy"/>
    <numFmt numFmtId="165" formatCode="#,##0;\-#,##0"/>
    <numFmt numFmtId="166" formatCode="#,##0.00;\-#,##0.00"/>
    <numFmt numFmtId="167" formatCode="_(&quot;$&quot;* #,##0.00_);_(&quot;$&quot;* \(#,##0.00\);_(&quot;$&quot;* &quot;-&quot;_);_(@_)"/>
  </numFmts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theme="1"/>
      <name val="Apto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22"/>
      <color rgb="FF00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4" fontId="0" fillId="0" borderId="0" xfId="0" applyNumberFormat="1"/>
    <xf numFmtId="14" fontId="0" fillId="0" borderId="0" xfId="0" applyNumberFormat="1"/>
    <xf numFmtId="49" fontId="18" fillId="33" borderId="10" xfId="42" applyNumberFormat="1" applyFont="1" applyFill="1" applyBorder="1" applyAlignment="1">
      <alignment horizontal="center"/>
    </xf>
    <xf numFmtId="49" fontId="18" fillId="33" borderId="0" xfId="42" applyNumberFormat="1" applyFont="1" applyFill="1" applyAlignment="1">
      <alignment horizontal="center"/>
    </xf>
    <xf numFmtId="0" fontId="1" fillId="0" borderId="0" xfId="42"/>
    <xf numFmtId="49" fontId="19" fillId="33" borderId="0" xfId="42" applyNumberFormat="1" applyFont="1" applyFill="1"/>
    <xf numFmtId="164" fontId="19" fillId="33" borderId="0" xfId="42" applyNumberFormat="1" applyFont="1" applyFill="1"/>
    <xf numFmtId="165" fontId="19" fillId="33" borderId="0" xfId="42" applyNumberFormat="1" applyFont="1" applyFill="1"/>
    <xf numFmtId="166" fontId="19" fillId="33" borderId="0" xfId="42" applyNumberFormat="1" applyFont="1" applyFill="1"/>
    <xf numFmtId="44" fontId="0" fillId="0" borderId="0" xfId="0" applyNumberFormat="1"/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0" fontId="21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1" fillId="0" borderId="0" xfId="0" applyFont="1" applyAlignment="1">
      <alignment horizontal="right" vertical="center" wrapText="1"/>
    </xf>
    <xf numFmtId="0" fontId="0" fillId="35" borderId="21" xfId="0" applyFill="1" applyBorder="1"/>
    <xf numFmtId="0" fontId="0" fillId="35" borderId="22" xfId="0" applyFill="1" applyBorder="1"/>
    <xf numFmtId="0" fontId="0" fillId="35" borderId="23" xfId="0" applyFill="1" applyBorder="1"/>
    <xf numFmtId="0" fontId="0" fillId="35" borderId="24" xfId="0" applyFill="1" applyBorder="1"/>
    <xf numFmtId="0" fontId="0" fillId="36" borderId="23" xfId="0" applyFill="1" applyBorder="1"/>
    <xf numFmtId="0" fontId="0" fillId="36" borderId="10" xfId="0" applyFill="1" applyBorder="1"/>
    <xf numFmtId="44" fontId="0" fillId="36" borderId="24" xfId="43" applyFont="1" applyFill="1" applyBorder="1"/>
    <xf numFmtId="0" fontId="0" fillId="0" borderId="15" xfId="0" applyBorder="1" applyAlignment="1">
      <alignment horizontal="center"/>
    </xf>
    <xf numFmtId="44" fontId="0" fillId="0" borderId="15" xfId="43" applyFont="1" applyBorder="1"/>
    <xf numFmtId="0" fontId="0" fillId="0" borderId="25" xfId="0" applyBorder="1" applyAlignment="1">
      <alignment horizontal="center"/>
    </xf>
    <xf numFmtId="44" fontId="0" fillId="0" borderId="26" xfId="43" applyFont="1" applyBorder="1"/>
    <xf numFmtId="0" fontId="0" fillId="0" borderId="27" xfId="0" applyBorder="1" applyAlignment="1">
      <alignment horizontal="center"/>
    </xf>
    <xf numFmtId="44" fontId="0" fillId="0" borderId="29" xfId="43" applyFont="1" applyBorder="1"/>
    <xf numFmtId="0" fontId="0" fillId="0" borderId="30" xfId="0" applyBorder="1" applyAlignment="1">
      <alignment horizontal="center"/>
    </xf>
    <xf numFmtId="44" fontId="0" fillId="0" borderId="31" xfId="43" applyFont="1" applyBorder="1"/>
    <xf numFmtId="0" fontId="0" fillId="36" borderId="15" xfId="0" applyFill="1" applyBorder="1"/>
    <xf numFmtId="44" fontId="0" fillId="36" borderId="15" xfId="43" applyFont="1" applyFill="1" applyBorder="1"/>
    <xf numFmtId="44" fontId="0" fillId="0" borderId="12" xfId="43" applyFont="1" applyBorder="1"/>
    <xf numFmtId="44" fontId="0" fillId="0" borderId="28" xfId="43" applyFont="1" applyBorder="1"/>
    <xf numFmtId="0" fontId="0" fillId="36" borderId="20" xfId="0" applyFill="1" applyBorder="1" applyAlignment="1">
      <alignment horizontal="center" vertical="center"/>
    </xf>
    <xf numFmtId="0" fontId="23" fillId="34" borderId="0" xfId="0" applyFont="1" applyFill="1" applyAlignment="1">
      <alignment horizontal="right" vertical="center"/>
    </xf>
    <xf numFmtId="0" fontId="22" fillId="34" borderId="0" xfId="0" applyFont="1" applyFill="1" applyAlignment="1">
      <alignment horizontal="right" vertic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3" builtinId="4"/>
    <cellStyle name="Neutral" xfId="8" builtinId="28" customBuiltin="1"/>
    <cellStyle name="Normal" xfId="0" builtinId="0"/>
    <cellStyle name="Normal 2" xfId="42" xr:uid="{D51133C4-2B9D-450C-8438-452D6F2A3859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310516</xdr:colOff>
      <xdr:row>0</xdr:row>
      <xdr:rowOff>57150</xdr:rowOff>
    </xdr:from>
    <xdr:to>
      <xdr:col>1</xdr:col>
      <xdr:colOff>131608</xdr:colOff>
      <xdr:row>3</xdr:row>
      <xdr:rowOff>20955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B9D3D42-33B8-2CAB-E2E6-056CB0CA0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6" y="57150"/>
          <a:ext cx="615477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0</xdr:row>
      <xdr:rowOff>57150</xdr:rowOff>
    </xdr:from>
    <xdr:to>
      <xdr:col>4</xdr:col>
      <xdr:colOff>0</xdr:colOff>
      <xdr:row>3</xdr:row>
      <xdr:rowOff>93345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FDEA1EA-2C1A-4E32-2E6D-4429AAB9A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57150"/>
          <a:ext cx="31527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24766</xdr:colOff>
      <xdr:row>0</xdr:row>
      <xdr:rowOff>123825</xdr:rowOff>
    </xdr:from>
    <xdr:to>
      <xdr:col>4</xdr:col>
      <xdr:colOff>668656</xdr:colOff>
      <xdr:row>3</xdr:row>
      <xdr:rowOff>94756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689673-1E22-6DA3-2553-062DC1184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1" y="123825"/>
          <a:ext cx="647700" cy="527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91440</xdr:colOff>
      <xdr:row>5</xdr:row>
      <xdr:rowOff>91440</xdr:rowOff>
    </xdr:from>
    <xdr:to>
      <xdr:col>4</xdr:col>
      <xdr:colOff>15240</xdr:colOff>
      <xdr:row>16</xdr:row>
      <xdr:rowOff>161925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4C906D0F-A87A-7FC5-E440-25E2BA4D6D29}"/>
            </a:ext>
          </a:extLst>
        </xdr:cNvPr>
        <xdr:cNvSpPr txBox="1"/>
      </xdr:nvSpPr>
      <xdr:spPr>
        <a:xfrm>
          <a:off x="91440" y="996315"/>
          <a:ext cx="4143375" cy="20612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Descargar un Aging Actualizado (preferiblemente el 1 día hábil después de aplicados los pagos)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Poner el rango de fechas en las columnas resaltadas: Son las semanas de las que se va a generar el cobro ( poner en grupos de 4. Ejemplo: Si se pone 12 como inicial poner 15 al final ) 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endParaRPr lang="es-E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Darle click a ejecutar, y aceptar hasta que el archivo le muestre la hoja de presupuesto.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Copiar y pegar en una hoja independiente o donde sea necesario.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5715</xdr:colOff>
      <xdr:row>7</xdr:row>
      <xdr:rowOff>167640</xdr:rowOff>
    </xdr:from>
    <xdr:to>
      <xdr:col>8</xdr:col>
      <xdr:colOff>781050</xdr:colOff>
      <xdr:row>11</xdr:row>
      <xdr:rowOff>0</xdr:rowOff>
    </xdr:to>
    <xdr:sp macro="[0]!ProcesoComplet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C4A63CD-65EC-0EB0-0EFF-4ED4E9B07389}"/>
            </a:ext>
          </a:extLst>
        </xdr:cNvPr>
        <xdr:cNvSpPr/>
      </xdr:nvSpPr>
      <xdr:spPr>
        <a:xfrm>
          <a:off x="5806440" y="1453515"/>
          <a:ext cx="2194560" cy="556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omic Sans MS" panose="030F0702030302020204" pitchFamily="66" charset="0"/>
            </a:rPr>
            <a:t>EJECUTAR</a:t>
          </a:r>
        </a:p>
      </xdr:txBody>
    </xdr:sp>
    <xdr:clientData/>
  </xdr:twoCellAnchor>
  <xdr:twoCellAnchor>
    <xdr:from>
      <xdr:col>6</xdr:col>
      <xdr:colOff>19050</xdr:colOff>
      <xdr:row>12</xdr:row>
      <xdr:rowOff>38100</xdr:rowOff>
    </xdr:from>
    <xdr:to>
      <xdr:col>9</xdr:col>
      <xdr:colOff>0</xdr:colOff>
      <xdr:row>15</xdr:row>
      <xdr:rowOff>49530</xdr:rowOff>
    </xdr:to>
    <xdr:sp macro="[0]!Borrar_Dato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8E7F3B3-9CB3-4298-8EF3-AB0B0FE3F571}"/>
            </a:ext>
          </a:extLst>
        </xdr:cNvPr>
        <xdr:cNvSpPr/>
      </xdr:nvSpPr>
      <xdr:spPr>
        <a:xfrm>
          <a:off x="5819775" y="2228850"/>
          <a:ext cx="2190750" cy="55435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cabral\OneDrive%20-%20Decowraps\DOCUMENTOS\Conciliaciones\Diciembre\Conciliacion%20Cartera%20Contabilidad%20-%2009%20Jan.xlsx" TargetMode="External"/><Relationship Id="rId1" Type="http://schemas.openxmlformats.org/officeDocument/2006/relationships/externalLinkPath" Target="file:///C:\Users\ncabral\OneDrive%20-%20Decowraps\DOCUMENTOS\Conciliaciones\2024\Diciembre\Conciliacion%20Cartera%20Contabilidad%20-%2009%20J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L Copia Seguridad"/>
      <sheetName val="QB"/>
      <sheetName val="GL Posted Copia"/>
      <sheetName val="Hoja1"/>
      <sheetName val="GL Posted"/>
      <sheetName val="Aging Con Corporate"/>
      <sheetName val="Aging Sin Corporate"/>
      <sheetName val="Por Tecero"/>
      <sheetName val="GL Comprobacion"/>
      <sheetName val="Clientes"/>
      <sheetName val="GL 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Name</v>
          </cell>
          <cell r="B1" t="str">
            <v>Customer:</v>
          </cell>
        </row>
        <row r="2">
          <cell r="A2" t="str">
            <v>Aldershot Greenhouses</v>
          </cell>
          <cell r="B2" t="str">
            <v>CAN0001</v>
          </cell>
          <cell r="D2">
            <v>13050101</v>
          </cell>
        </row>
        <row r="3">
          <cell r="A3" t="str">
            <v>Bayview Flowers</v>
          </cell>
          <cell r="B3" t="str">
            <v>CAN0002</v>
          </cell>
          <cell r="C3" t="str">
            <v>Accounts Receivable</v>
          </cell>
          <cell r="D3">
            <v>13050505</v>
          </cell>
        </row>
        <row r="4">
          <cell r="A4" t="str">
            <v>Bevo Farms, Ltd</v>
          </cell>
          <cell r="B4" t="str">
            <v>CAN0003</v>
          </cell>
        </row>
        <row r="5">
          <cell r="A5" t="str">
            <v>BH Flower  Whole Sale Ltd</v>
          </cell>
          <cell r="B5" t="str">
            <v>CAN0004</v>
          </cell>
        </row>
        <row r="6">
          <cell r="A6" t="str">
            <v>Bloomstar Bouquet</v>
          </cell>
          <cell r="B6" t="str">
            <v>CAN0005</v>
          </cell>
        </row>
        <row r="7">
          <cell r="A7" t="str">
            <v>Burnaby Lake Greenhouses</v>
          </cell>
          <cell r="B7" t="str">
            <v>CAN0006</v>
          </cell>
        </row>
        <row r="8">
          <cell r="A8" t="str">
            <v>Central Botanical Growers</v>
          </cell>
          <cell r="B8" t="str">
            <v>CAN0007</v>
          </cell>
        </row>
        <row r="9">
          <cell r="A9" t="str">
            <v>Club Floral</v>
          </cell>
          <cell r="B9" t="str">
            <v>CAN0008</v>
          </cell>
        </row>
        <row r="10">
          <cell r="A10" t="str">
            <v>CosMic Plants</v>
          </cell>
          <cell r="B10" t="str">
            <v>CAN0011</v>
          </cell>
        </row>
        <row r="11">
          <cell r="A11" t="str">
            <v>Devry Greenhouses Ltd.</v>
          </cell>
          <cell r="B11" t="str">
            <v>CAN0014</v>
          </cell>
        </row>
        <row r="12">
          <cell r="A12" t="str">
            <v>Fleurs et Passion Yasmina</v>
          </cell>
          <cell r="B12" t="str">
            <v>CAN0018</v>
          </cell>
        </row>
        <row r="13">
          <cell r="A13" t="str">
            <v>Flora Pack</v>
          </cell>
          <cell r="B13" t="str">
            <v>CAN0019</v>
          </cell>
        </row>
        <row r="14">
          <cell r="A14" t="str">
            <v>FLORAL EXPRESS</v>
          </cell>
          <cell r="B14" t="str">
            <v>CAN0020</v>
          </cell>
        </row>
        <row r="15">
          <cell r="A15" t="str">
            <v>Florists Supply LTD</v>
          </cell>
          <cell r="B15" t="str">
            <v>CAN0021</v>
          </cell>
        </row>
        <row r="16">
          <cell r="A16" t="str">
            <v>Gregory Floral Inc.</v>
          </cell>
          <cell r="B16" t="str">
            <v>CAN0023</v>
          </cell>
        </row>
        <row r="17">
          <cell r="A17" t="str">
            <v>Harster Greenhouses Inc.</v>
          </cell>
          <cell r="B17" t="str">
            <v>CAN0025</v>
          </cell>
        </row>
        <row r="18">
          <cell r="A18" t="str">
            <v>Hendriks Greenhouses</v>
          </cell>
          <cell r="B18" t="str">
            <v>CAN0027</v>
          </cell>
        </row>
        <row r="19">
          <cell r="A19" t="str">
            <v>Homestead Growers Niagara Inc.</v>
          </cell>
          <cell r="B19" t="str">
            <v>CAN0030</v>
          </cell>
        </row>
        <row r="20">
          <cell r="A20" t="str">
            <v>MacArthur´s Quality Flowers &amp; Plant</v>
          </cell>
          <cell r="B20" t="str">
            <v>CAN0035</v>
          </cell>
        </row>
        <row r="21">
          <cell r="A21" t="str">
            <v>Make Scents Floral Distributors Inc.</v>
          </cell>
          <cell r="B21" t="str">
            <v>CAN0036</v>
          </cell>
        </row>
        <row r="22">
          <cell r="A22" t="str">
            <v>Metro Richelieu Inc</v>
          </cell>
          <cell r="B22" t="str">
            <v>CAN0037</v>
          </cell>
        </row>
        <row r="23">
          <cell r="A23" t="str">
            <v>Mexican Flower Trading</v>
          </cell>
          <cell r="B23" t="str">
            <v>CAN0038</v>
          </cell>
        </row>
        <row r="24">
          <cell r="A24" t="str">
            <v>Meyers Fruit Farms Inc.</v>
          </cell>
          <cell r="B24" t="str">
            <v>CAN0039</v>
          </cell>
        </row>
        <row r="25">
          <cell r="A25" t="str">
            <v>Northland Floral Inc</v>
          </cell>
          <cell r="B25" t="str">
            <v>CAN0043</v>
          </cell>
        </row>
        <row r="26">
          <cell r="A26" t="str">
            <v>One Floral (Lakeshore Inc.)</v>
          </cell>
          <cell r="B26" t="str">
            <v>CAN0044</v>
          </cell>
        </row>
        <row r="27">
          <cell r="A27" t="str">
            <v>Orchard Park Growers Ltd</v>
          </cell>
          <cell r="B27" t="str">
            <v>CAN0045</v>
          </cell>
        </row>
        <row r="28">
          <cell r="A28" t="str">
            <v>Orchid Greens</v>
          </cell>
          <cell r="B28" t="str">
            <v>CAN0046</v>
          </cell>
        </row>
        <row r="29">
          <cell r="A29" t="str">
            <v>P.H. Kuivenhoven Greenhouses Inc.</v>
          </cell>
          <cell r="B29" t="str">
            <v>CAN0048</v>
          </cell>
        </row>
        <row r="30">
          <cell r="A30" t="str">
            <v>Petals West</v>
          </cell>
          <cell r="B30" t="str">
            <v>CAN0049</v>
          </cell>
        </row>
        <row r="31">
          <cell r="A31" t="str">
            <v>Pioneer Flower Farms</v>
          </cell>
          <cell r="B31" t="str">
            <v>CAN0050</v>
          </cell>
        </row>
        <row r="32">
          <cell r="A32" t="str">
            <v>Priority Flower Express LTD</v>
          </cell>
          <cell r="B32" t="str">
            <v>CAN0051</v>
          </cell>
        </row>
        <row r="33">
          <cell r="A33" t="str">
            <v>Qualitree Propagators Inc.</v>
          </cell>
          <cell r="B33" t="str">
            <v>CAN0052</v>
          </cell>
        </row>
        <row r="34">
          <cell r="A34" t="str">
            <v>Quiks Farm Ltd.</v>
          </cell>
          <cell r="B34" t="str">
            <v>CAN0053</v>
          </cell>
        </row>
        <row r="35">
          <cell r="A35" t="str">
            <v>Rainbow Greenhouses Inc</v>
          </cell>
          <cell r="B35" t="str">
            <v>CAN0054</v>
          </cell>
        </row>
        <row r="36">
          <cell r="A36" t="str">
            <v>Rosa Flora Limited</v>
          </cell>
          <cell r="B36" t="str">
            <v>CAN0056</v>
          </cell>
        </row>
        <row r="37">
          <cell r="A37" t="str">
            <v>Savoir Fleur</v>
          </cell>
          <cell r="B37" t="str">
            <v>CAN0059</v>
          </cell>
        </row>
        <row r="38">
          <cell r="A38" t="str">
            <v>Schenck Farm &amp; Greenhouses</v>
          </cell>
          <cell r="B38" t="str">
            <v>CAN0060</v>
          </cell>
        </row>
        <row r="39">
          <cell r="A39" t="str">
            <v>Spring Valley Gardens Niagara INC</v>
          </cell>
          <cell r="B39" t="str">
            <v>CAN0065</v>
          </cell>
        </row>
        <row r="40">
          <cell r="A40" t="str">
            <v>Summerhill Market</v>
          </cell>
          <cell r="B40" t="str">
            <v>CAN0066</v>
          </cell>
        </row>
        <row r="41">
          <cell r="A41" t="str">
            <v>Sunrise Greenhouses</v>
          </cell>
          <cell r="B41" t="str">
            <v>CAN0067</v>
          </cell>
        </row>
        <row r="42">
          <cell r="A42" t="str">
            <v>Terra Greenhouses LTD</v>
          </cell>
          <cell r="B42" t="str">
            <v>CAN0069</v>
          </cell>
        </row>
        <row r="43">
          <cell r="A43" t="str">
            <v>The Flower Market</v>
          </cell>
          <cell r="B43" t="str">
            <v>CAN0071</v>
          </cell>
        </row>
        <row r="44">
          <cell r="A44" t="str">
            <v>United Floral Distributors</v>
          </cell>
          <cell r="B44" t="str">
            <v>CAN0073</v>
          </cell>
        </row>
        <row r="45">
          <cell r="A45" t="str">
            <v>United Floral Inc.</v>
          </cell>
          <cell r="B45" t="str">
            <v>CAN0074</v>
          </cell>
        </row>
        <row r="46">
          <cell r="A46" t="str">
            <v>Vandermeer Greenhouses</v>
          </cell>
          <cell r="B46" t="str">
            <v>CAN0077</v>
          </cell>
        </row>
        <row r="47">
          <cell r="A47" t="str">
            <v>Vankampens Greenhouse</v>
          </cell>
          <cell r="B47" t="str">
            <v>CAN0079</v>
          </cell>
        </row>
        <row r="48">
          <cell r="A48" t="str">
            <v>Vermeer Greenhouses (Welland) Inc.</v>
          </cell>
          <cell r="B48" t="str">
            <v>CAN0080</v>
          </cell>
        </row>
        <row r="49">
          <cell r="A49" t="str">
            <v>Waldan Gardens</v>
          </cell>
          <cell r="B49" t="str">
            <v>CAN0081</v>
          </cell>
        </row>
        <row r="50">
          <cell r="A50" t="str">
            <v>Westbrook Greenhouses Limited</v>
          </cell>
          <cell r="B50" t="str">
            <v>CAN0083</v>
          </cell>
        </row>
        <row r="51">
          <cell r="A51" t="str">
            <v>Willy's Greenhouses LTD</v>
          </cell>
          <cell r="B51" t="str">
            <v>CAN0087</v>
          </cell>
        </row>
        <row r="52">
          <cell r="A52" t="str">
            <v>Woodland Nurseries Ltd</v>
          </cell>
          <cell r="B52" t="str">
            <v>CAN0088</v>
          </cell>
        </row>
        <row r="53">
          <cell r="A53" t="str">
            <v>The Flower Factory*</v>
          </cell>
          <cell r="B53" t="str">
            <v>CAN0090</v>
          </cell>
        </row>
        <row r="54">
          <cell r="A54" t="str">
            <v>Mainland Floral Distributors</v>
          </cell>
          <cell r="B54" t="str">
            <v>CAN0091</v>
          </cell>
        </row>
        <row r="55">
          <cell r="A55" t="str">
            <v>Gregory Greenhouses Inc</v>
          </cell>
          <cell r="B55" t="str">
            <v>CAN0092</v>
          </cell>
        </row>
        <row r="56">
          <cell r="A56" t="str">
            <v>Legacy Flowers LLC</v>
          </cell>
          <cell r="B56" t="str">
            <v>FOC0001</v>
          </cell>
        </row>
        <row r="57">
          <cell r="A57" t="str">
            <v>Dracaena Farms Supply</v>
          </cell>
          <cell r="B57" t="str">
            <v>FOC0022</v>
          </cell>
        </row>
        <row r="58">
          <cell r="A58" t="str">
            <v>DeZhenMei Packaging (Hangzhou) Co., Ltd.</v>
          </cell>
          <cell r="B58" t="str">
            <v>FOC0023</v>
          </cell>
        </row>
        <row r="59">
          <cell r="A59" t="str">
            <v>Decowraps Europe BV</v>
          </cell>
          <cell r="B59" t="str">
            <v>INT0001</v>
          </cell>
        </row>
        <row r="60">
          <cell r="A60" t="str">
            <v>DECOWRAPS ECUADOR CIA. LTDA</v>
          </cell>
          <cell r="B60" t="str">
            <v>INT0002</v>
          </cell>
        </row>
        <row r="61">
          <cell r="A61" t="str">
            <v>Decowraps Comercial S.A.S</v>
          </cell>
          <cell r="B61" t="str">
            <v>INT0006</v>
          </cell>
        </row>
        <row r="62">
          <cell r="A62" t="str">
            <v>Decowraps Colombia SAS</v>
          </cell>
          <cell r="B62" t="str">
            <v>INT0007</v>
          </cell>
        </row>
        <row r="63">
          <cell r="A63" t="str">
            <v>Decowraps Holdings, LLC</v>
          </cell>
          <cell r="B63" t="str">
            <v>INT0009</v>
          </cell>
        </row>
        <row r="64">
          <cell r="A64" t="str">
            <v>Decowraps Canada ULC</v>
          </cell>
          <cell r="B64" t="str">
            <v>INT0052</v>
          </cell>
        </row>
        <row r="65">
          <cell r="A65" t="str">
            <v>Decowraps In Store</v>
          </cell>
          <cell r="B65" t="str">
            <v>INT0059</v>
          </cell>
        </row>
        <row r="66">
          <cell r="A66" t="str">
            <v>Decowraps Inc</v>
          </cell>
          <cell r="B66" t="str">
            <v>INT0060</v>
          </cell>
        </row>
        <row r="67">
          <cell r="A67" t="str">
            <v>Decowraps Inventory Dump</v>
          </cell>
          <cell r="B67" t="str">
            <v>INT0061</v>
          </cell>
        </row>
        <row r="68">
          <cell r="A68" t="str">
            <v>Decowraps Samples</v>
          </cell>
          <cell r="B68" t="str">
            <v>INT0064</v>
          </cell>
        </row>
        <row r="69">
          <cell r="A69" t="str">
            <v>Decowraps Europe Holdings BV</v>
          </cell>
          <cell r="B69" t="str">
            <v>INT0065</v>
          </cell>
        </row>
        <row r="70">
          <cell r="A70" t="str">
            <v>1-800Flowers.com</v>
          </cell>
          <cell r="B70" t="str">
            <v>NAC0456</v>
          </cell>
        </row>
        <row r="71">
          <cell r="A71" t="str">
            <v>4 Seasons Growers Inc.</v>
          </cell>
          <cell r="B71" t="str">
            <v>NAC0459</v>
          </cell>
        </row>
        <row r="72">
          <cell r="A72" t="str">
            <v>A FLORAL FANTASIA</v>
          </cell>
          <cell r="B72" t="str">
            <v>NAC0461</v>
          </cell>
        </row>
        <row r="73">
          <cell r="A73" t="str">
            <v>ACORN FARMS</v>
          </cell>
          <cell r="B73" t="str">
            <v>NAC0470</v>
          </cell>
        </row>
        <row r="74">
          <cell r="A74" t="str">
            <v>Adrienes Flowers</v>
          </cell>
          <cell r="B74" t="str">
            <v>NAC0474</v>
          </cell>
        </row>
        <row r="75">
          <cell r="A75" t="str">
            <v>Aerial Bouquets</v>
          </cell>
          <cell r="B75" t="str">
            <v>NAC0475</v>
          </cell>
        </row>
        <row r="76">
          <cell r="A76" t="str">
            <v>Ahold USA</v>
          </cell>
          <cell r="B76" t="str">
            <v>NAC0476</v>
          </cell>
        </row>
        <row r="77">
          <cell r="A77" t="str">
            <v>Albertsons</v>
          </cell>
          <cell r="B77" t="str">
            <v>NAC0483</v>
          </cell>
        </row>
        <row r="78">
          <cell r="A78" t="str">
            <v>ALEXANDER HAY GREENHOUSES</v>
          </cell>
          <cell r="B78" t="str">
            <v>NAC0512</v>
          </cell>
        </row>
        <row r="79">
          <cell r="A79" t="str">
            <v>Alight Flower Farm LLC</v>
          </cell>
          <cell r="B79" t="str">
            <v>NAC0513</v>
          </cell>
        </row>
        <row r="80">
          <cell r="A80" t="str">
            <v>All Seasons Garden</v>
          </cell>
          <cell r="B80" t="str">
            <v>NAC0514</v>
          </cell>
        </row>
        <row r="81">
          <cell r="A81" t="str">
            <v>Altman Plants</v>
          </cell>
          <cell r="B81" t="str">
            <v>NAC0520</v>
          </cell>
        </row>
        <row r="82">
          <cell r="A82" t="str">
            <v>Amerigo Farms Inc.</v>
          </cell>
          <cell r="B82" t="str">
            <v>NAC0525</v>
          </cell>
        </row>
        <row r="83">
          <cell r="A83" t="str">
            <v>ANDERSON HOME AND GARDEN</v>
          </cell>
          <cell r="B83" t="str">
            <v>NAC0527</v>
          </cell>
        </row>
        <row r="84">
          <cell r="A84" t="str">
            <v>Andy Mast Greenhouses</v>
          </cell>
          <cell r="B84" t="str">
            <v>NAC0528</v>
          </cell>
        </row>
        <row r="85">
          <cell r="A85" t="str">
            <v>Apple Markets #26</v>
          </cell>
          <cell r="B85" t="str">
            <v>NAC0530</v>
          </cell>
        </row>
        <row r="86">
          <cell r="A86" t="str">
            <v>Araceli's Flower Shop</v>
          </cell>
          <cell r="B86" t="str">
            <v>NAC0532</v>
          </cell>
        </row>
        <row r="87">
          <cell r="A87" t="str">
            <v>ARIS HORTICULTURE-ALVA,FL</v>
          </cell>
          <cell r="B87" t="str">
            <v>NAC0534</v>
          </cell>
        </row>
        <row r="88">
          <cell r="A88" t="str">
            <v>Arizona Family Florist</v>
          </cell>
          <cell r="B88" t="str">
            <v>NAC0535</v>
          </cell>
        </row>
        <row r="89">
          <cell r="A89" t="str">
            <v>Armstrong Flowers</v>
          </cell>
          <cell r="B89" t="str">
            <v>NAC0536</v>
          </cell>
        </row>
        <row r="90">
          <cell r="A90" t="str">
            <v>Armstrong Garden Centers, Inc</v>
          </cell>
          <cell r="B90" t="str">
            <v>NAC0537</v>
          </cell>
        </row>
        <row r="91">
          <cell r="A91" t="str">
            <v>Askren &amp; Sons Inc</v>
          </cell>
          <cell r="B91" t="str">
            <v>NAC0539</v>
          </cell>
        </row>
        <row r="92">
          <cell r="A92" t="str">
            <v>B D K Marketing Inc</v>
          </cell>
          <cell r="B92" t="str">
            <v>NAC0544</v>
          </cell>
        </row>
        <row r="93">
          <cell r="A93" t="str">
            <v>BAISCH &amp; SKINNER WHOLESALE FLORAL</v>
          </cell>
          <cell r="B93" t="str">
            <v>NAC0546</v>
          </cell>
        </row>
        <row r="94">
          <cell r="A94" t="str">
            <v>Bandy Ranch Floral</v>
          </cell>
          <cell r="B94" t="str">
            <v>NAC0550</v>
          </cell>
        </row>
        <row r="95">
          <cell r="A95" t="str">
            <v>BAP Nursery, Inc.</v>
          </cell>
          <cell r="B95" t="str">
            <v>NAC0551</v>
          </cell>
        </row>
        <row r="96">
          <cell r="A96" t="str">
            <v>BARLOW'S FLOWER FARM</v>
          </cell>
          <cell r="B96" t="str">
            <v>NAC0554</v>
          </cell>
        </row>
        <row r="97">
          <cell r="A97" t="str">
            <v>Battlefield</v>
          </cell>
          <cell r="B97" t="str">
            <v>NAC0556</v>
          </cell>
        </row>
        <row r="98">
          <cell r="A98" t="str">
            <v>Bay State &amp; Johnson's</v>
          </cell>
          <cell r="B98" t="str">
            <v>NAC0558</v>
          </cell>
        </row>
        <row r="99">
          <cell r="A99" t="str">
            <v>BELLS NURSERY-AK</v>
          </cell>
          <cell r="B99" t="str">
            <v>NAC0567</v>
          </cell>
        </row>
        <row r="100">
          <cell r="A100" t="str">
            <v>Bergen's Greenhouses, Inc.</v>
          </cell>
          <cell r="B100" t="str">
            <v>NAC0569</v>
          </cell>
        </row>
        <row r="101">
          <cell r="A101" t="str">
            <v>Between Flowers</v>
          </cell>
          <cell r="B101" t="str">
            <v>NAC0572</v>
          </cell>
        </row>
        <row r="102">
          <cell r="A102" t="str">
            <v>BFG SUPPLY COMPANY</v>
          </cell>
          <cell r="B102" t="str">
            <v>NAC0573</v>
          </cell>
        </row>
        <row r="103">
          <cell r="A103" t="str">
            <v>Bloom Home and Garden</v>
          </cell>
          <cell r="B103" t="str">
            <v>NAC0577</v>
          </cell>
        </row>
        <row r="104">
          <cell r="A104" t="str">
            <v>Blooms USA</v>
          </cell>
          <cell r="B104" t="str">
            <v>NAC0578</v>
          </cell>
        </row>
        <row r="105">
          <cell r="A105" t="str">
            <v>BLUE MOUNTAIN FARMS</v>
          </cell>
          <cell r="B105" t="str">
            <v>NAC0583</v>
          </cell>
        </row>
        <row r="106">
          <cell r="A106" t="str">
            <v>Blue Sky Florals, inc</v>
          </cell>
          <cell r="B106" t="str">
            <v>NAC0584</v>
          </cell>
        </row>
        <row r="107">
          <cell r="A107" t="str">
            <v>Bonnie Plants LLC</v>
          </cell>
          <cell r="B107" t="str">
            <v>NAC0589</v>
          </cell>
        </row>
        <row r="108">
          <cell r="A108" t="str">
            <v>Bouquet Collection</v>
          </cell>
          <cell r="B108" t="str">
            <v>NAC0594</v>
          </cell>
        </row>
        <row r="109">
          <cell r="A109" t="str">
            <v>BowKay.com</v>
          </cell>
          <cell r="B109" t="str">
            <v>NAC0595</v>
          </cell>
        </row>
        <row r="110">
          <cell r="A110" t="str">
            <v>Brightland Farms, Inc.</v>
          </cell>
          <cell r="B110" t="str">
            <v>NAC0600</v>
          </cell>
        </row>
        <row r="111">
          <cell r="A111" t="str">
            <v>BROUWER'S FLOWERS</v>
          </cell>
          <cell r="B111" t="str">
            <v>NAC0604</v>
          </cell>
        </row>
        <row r="112">
          <cell r="A112" t="str">
            <v>BUD'S &amp; BLOOMS, LLC</v>
          </cell>
          <cell r="B112" t="str">
            <v>NAC0606</v>
          </cell>
        </row>
        <row r="113">
          <cell r="A113" t="str">
            <v>BUNZL</v>
          </cell>
          <cell r="B113" t="str">
            <v>NAC0610</v>
          </cell>
        </row>
        <row r="114">
          <cell r="A114" t="str">
            <v>Burton + Burton</v>
          </cell>
          <cell r="B114" t="str">
            <v>NAC0612</v>
          </cell>
        </row>
        <row r="115">
          <cell r="A115" t="str">
            <v>BWI COMPANIES</v>
          </cell>
          <cell r="B115" t="str">
            <v>NAC0613</v>
          </cell>
        </row>
        <row r="116">
          <cell r="A116" t="str">
            <v>C&amp;S Wholesale Grocers</v>
          </cell>
          <cell r="B116" t="str">
            <v>NAC0614</v>
          </cell>
        </row>
        <row r="117">
          <cell r="A117" t="str">
            <v>C.I.G Flowers, Inc</v>
          </cell>
          <cell r="B117" t="str">
            <v>NAC0616</v>
          </cell>
        </row>
        <row r="118">
          <cell r="A118" t="str">
            <v>Cal Coast Orchids</v>
          </cell>
          <cell r="B118" t="str">
            <v>NAC0618</v>
          </cell>
        </row>
        <row r="119">
          <cell r="A119" t="str">
            <v>Calabrese Greenhouse</v>
          </cell>
          <cell r="B119" t="str">
            <v>NAC0619</v>
          </cell>
        </row>
        <row r="120">
          <cell r="A120" t="str">
            <v>CARLIN SALES CORPORATION</v>
          </cell>
          <cell r="B120" t="str">
            <v>NAC0624</v>
          </cell>
        </row>
        <row r="121">
          <cell r="A121" t="str">
            <v>CAROLINA GREENERY</v>
          </cell>
          <cell r="B121" t="str">
            <v>NAC0627</v>
          </cell>
        </row>
        <row r="122">
          <cell r="A122" t="str">
            <v>Casa Flora</v>
          </cell>
          <cell r="B122" t="str">
            <v>NAC0628</v>
          </cell>
        </row>
        <row r="123">
          <cell r="A123" t="str">
            <v>Catoctin Mtn Growers Inc</v>
          </cell>
          <cell r="B123" t="str">
            <v>NAC0630</v>
          </cell>
        </row>
        <row r="124">
          <cell r="A124" t="str">
            <v>CENTRAL FLORIDA BERRIES</v>
          </cell>
          <cell r="B124" t="str">
            <v>NAC0632</v>
          </cell>
        </row>
        <row r="125">
          <cell r="A125" t="str">
            <v>Centro Cuesta Nacional, S.A.S.</v>
          </cell>
          <cell r="B125" t="str">
            <v>NAC0633</v>
          </cell>
        </row>
        <row r="126">
          <cell r="A126" t="str">
            <v>CHOATE NURSERY</v>
          </cell>
          <cell r="B126" t="str">
            <v>NAC0641</v>
          </cell>
        </row>
        <row r="127">
          <cell r="A127" t="str">
            <v>Chris Greenhouse + Garden Center LLC</v>
          </cell>
          <cell r="B127" t="str">
            <v>NAC0645</v>
          </cell>
        </row>
        <row r="128">
          <cell r="A128" t="str">
            <v>CK Greenhouses</v>
          </cell>
          <cell r="B128" t="str">
            <v>NAC0649</v>
          </cell>
        </row>
        <row r="129">
          <cell r="A129" t="str">
            <v>Claudia's Florist</v>
          </cell>
          <cell r="B129" t="str">
            <v>NAC0652</v>
          </cell>
        </row>
        <row r="130">
          <cell r="A130" t="str">
            <v>CLAUSSEN'S FLORIST &amp; GARDEN CENTER</v>
          </cell>
          <cell r="B130" t="str">
            <v>NAC0654</v>
          </cell>
        </row>
        <row r="131">
          <cell r="A131" t="str">
            <v>Clint Bishop Nursery</v>
          </cell>
          <cell r="B131" t="str">
            <v>NAC0657</v>
          </cell>
        </row>
        <row r="132">
          <cell r="A132" t="str">
            <v>Colour Republic LLC.</v>
          </cell>
          <cell r="B132" t="str">
            <v>NAC0666</v>
          </cell>
        </row>
        <row r="133">
          <cell r="A133" t="str">
            <v>Continental Floral Greens</v>
          </cell>
          <cell r="B133" t="str">
            <v>NAC0669</v>
          </cell>
        </row>
        <row r="134">
          <cell r="A134" t="str">
            <v>Continental Flowers</v>
          </cell>
          <cell r="B134" t="str">
            <v>NAC0670</v>
          </cell>
        </row>
        <row r="135">
          <cell r="A135" t="str">
            <v>Cooper Creek Growers</v>
          </cell>
          <cell r="B135" t="str">
            <v>NAC0671</v>
          </cell>
        </row>
        <row r="136">
          <cell r="A136" t="str">
            <v>Costa Farms</v>
          </cell>
          <cell r="B136" t="str">
            <v>NAC0672</v>
          </cell>
        </row>
        <row r="137">
          <cell r="A137" t="str">
            <v>Cottage Flowers, Inc</v>
          </cell>
          <cell r="B137" t="str">
            <v>NAC0673</v>
          </cell>
        </row>
        <row r="138">
          <cell r="A138" t="str">
            <v>Country Place Greenhouse</v>
          </cell>
          <cell r="B138" t="str">
            <v>NAC0674</v>
          </cell>
        </row>
        <row r="139">
          <cell r="A139" t="str">
            <v>Coweta Greenhouses</v>
          </cell>
          <cell r="B139" t="str">
            <v>NAC0675</v>
          </cell>
        </row>
        <row r="140">
          <cell r="A140" t="str">
            <v>Cuthbert Greenhouse, Inc.</v>
          </cell>
          <cell r="B140" t="str">
            <v>NAC0680</v>
          </cell>
        </row>
        <row r="141">
          <cell r="A141" t="str">
            <v>Cypress Hill Farms</v>
          </cell>
          <cell r="B141" t="str">
            <v>NAC0682</v>
          </cell>
        </row>
        <row r="142">
          <cell r="A142" t="str">
            <v>Da's Fresh Cut Flowers</v>
          </cell>
          <cell r="B142" t="str">
            <v>NAC0684</v>
          </cell>
        </row>
        <row r="143">
          <cell r="A143" t="str">
            <v>Davis &amp; Sawin Florist</v>
          </cell>
          <cell r="B143" t="str">
            <v>NAC0689</v>
          </cell>
        </row>
        <row r="144">
          <cell r="A144" t="str">
            <v>Degoede Brothers</v>
          </cell>
          <cell r="B144" t="str">
            <v>NAC0700</v>
          </cell>
        </row>
        <row r="145">
          <cell r="A145" t="str">
            <v>Delaware Valley</v>
          </cell>
          <cell r="B145" t="str">
            <v>NAC0704</v>
          </cell>
        </row>
        <row r="146">
          <cell r="A146" t="str">
            <v>Delhi Flower &amp; Garden Center</v>
          </cell>
          <cell r="B146" t="str">
            <v>NAC0706</v>
          </cell>
        </row>
        <row r="147">
          <cell r="A147" t="str">
            <v>Der Flower</v>
          </cell>
          <cell r="B147" t="str">
            <v>NAC0708</v>
          </cell>
        </row>
        <row r="148">
          <cell r="A148" t="str">
            <v>Designers Choice</v>
          </cell>
          <cell r="B148" t="str">
            <v>NAC0710</v>
          </cell>
        </row>
        <row r="149">
          <cell r="A149" t="str">
            <v>Devin Designs</v>
          </cell>
          <cell r="B149" t="str">
            <v>NAC0711</v>
          </cell>
        </row>
        <row r="150">
          <cell r="A150" t="str">
            <v>Dewar Nurseries</v>
          </cell>
          <cell r="B150" t="str">
            <v>NAC0712</v>
          </cell>
        </row>
        <row r="151">
          <cell r="A151" t="str">
            <v>Dos Gringos</v>
          </cell>
          <cell r="B151" t="str">
            <v>NAC0726</v>
          </cell>
        </row>
        <row r="152">
          <cell r="A152" t="str">
            <v>Dothan Nurseries</v>
          </cell>
          <cell r="B152" t="str">
            <v>NAC0727</v>
          </cell>
        </row>
        <row r="153">
          <cell r="A153" t="str">
            <v>Downs Wholesale*</v>
          </cell>
          <cell r="B153" t="str">
            <v>NAC0729</v>
          </cell>
        </row>
        <row r="154">
          <cell r="A154" t="str">
            <v>Dream With Colors, Inc.</v>
          </cell>
          <cell r="B154" t="str">
            <v>NAC0730</v>
          </cell>
        </row>
        <row r="155">
          <cell r="A155" t="str">
            <v>Dreisbach Wholesale Florists</v>
          </cell>
          <cell r="B155" t="str">
            <v>NAC0732</v>
          </cell>
        </row>
        <row r="156">
          <cell r="A156" t="str">
            <v>Duarte Nursery</v>
          </cell>
          <cell r="B156" t="str">
            <v>NAC0733</v>
          </cell>
        </row>
        <row r="157">
          <cell r="A157" t="str">
            <v>Dube's Flower Shop</v>
          </cell>
          <cell r="B157" t="str">
            <v>NAC0734</v>
          </cell>
        </row>
        <row r="158">
          <cell r="A158" t="str">
            <v>DW Test- Avalara</v>
          </cell>
          <cell r="B158" t="str">
            <v>NAC0740</v>
          </cell>
        </row>
        <row r="159">
          <cell r="A159" t="str">
            <v>E-commerce Test US</v>
          </cell>
          <cell r="B159" t="str">
            <v>NAC0756</v>
          </cell>
        </row>
        <row r="160">
          <cell r="A160" t="str">
            <v>Ecker's Flowers &amp; Greenhouse</v>
          </cell>
          <cell r="B160" t="str">
            <v>NAC0759</v>
          </cell>
        </row>
        <row r="161">
          <cell r="A161" t="str">
            <v>Elite Flower Services, Inc.</v>
          </cell>
          <cell r="B161" t="str">
            <v>NAC0767</v>
          </cell>
        </row>
        <row r="162">
          <cell r="A162" t="str">
            <v>Elizabeth &amp; Alexandra, LLC</v>
          </cell>
          <cell r="B162" t="str">
            <v>NAC0769</v>
          </cell>
        </row>
        <row r="163">
          <cell r="A163" t="str">
            <v>Emma's Garden Grower</v>
          </cell>
          <cell r="B163" t="str">
            <v>NAC0770</v>
          </cell>
        </row>
        <row r="164">
          <cell r="A164" t="str">
            <v>Ensign The Florist Inc</v>
          </cell>
          <cell r="B164" t="str">
            <v>NAC0773</v>
          </cell>
        </row>
        <row r="165">
          <cell r="A165" t="str">
            <v>ESBENSHADE'S GREENHOUSES</v>
          </cell>
          <cell r="B165" t="str">
            <v>NAC0778</v>
          </cell>
        </row>
        <row r="166">
          <cell r="A166" t="str">
            <v>Everbloom Growers Inc.</v>
          </cell>
          <cell r="B166" t="str">
            <v>NAC0779</v>
          </cell>
        </row>
        <row r="167">
          <cell r="A167" t="str">
            <v>Everflora Chicago</v>
          </cell>
          <cell r="B167" t="str">
            <v>NAC0780</v>
          </cell>
        </row>
        <row r="168">
          <cell r="A168" t="str">
            <v>Evergrace, Inc.</v>
          </cell>
          <cell r="B168" t="str">
            <v>NAC0781</v>
          </cell>
        </row>
        <row r="169">
          <cell r="A169" t="str">
            <v>Evergreen Plant Company</v>
          </cell>
          <cell r="B169" t="str">
            <v>NAC0782</v>
          </cell>
        </row>
        <row r="170">
          <cell r="A170" t="str">
            <v>Excel Farms Inc</v>
          </cell>
          <cell r="B170" t="str">
            <v>NAC0783</v>
          </cell>
        </row>
        <row r="171">
          <cell r="A171" t="str">
            <v>Exclusively Roses</v>
          </cell>
          <cell r="B171" t="str">
            <v>NAC0784</v>
          </cell>
        </row>
        <row r="172">
          <cell r="A172" t="str">
            <v>Expressions Flowers LLC</v>
          </cell>
          <cell r="B172" t="str">
            <v>NAC0786</v>
          </cell>
        </row>
        <row r="173">
          <cell r="A173" t="str">
            <v>Fabulous Blooms</v>
          </cell>
          <cell r="B173" t="str">
            <v>NAC0788</v>
          </cell>
        </row>
        <row r="174">
          <cell r="A174" t="str">
            <v>Faith in Flowers LLC</v>
          </cell>
          <cell r="B174" t="str">
            <v>NAC0791</v>
          </cell>
        </row>
        <row r="175">
          <cell r="A175" t="str">
            <v>Falcon Farms</v>
          </cell>
          <cell r="B175" t="str">
            <v>NAC0792</v>
          </cell>
        </row>
        <row r="176">
          <cell r="A176" t="str">
            <v>FAMILY TREE NURSERY-OVERLAND</v>
          </cell>
          <cell r="B176" t="str">
            <v>NAC0796</v>
          </cell>
        </row>
        <row r="177">
          <cell r="A177" t="str">
            <v>Fantasy Foliage</v>
          </cell>
          <cell r="B177" t="str">
            <v>NAC0799</v>
          </cell>
        </row>
        <row r="178">
          <cell r="A178" t="str">
            <v>Farm Direct Corporation</v>
          </cell>
          <cell r="B178" t="str">
            <v>NAC0800</v>
          </cell>
        </row>
        <row r="179">
          <cell r="A179" t="str">
            <v>Farm Fresh Flowers Inc.</v>
          </cell>
          <cell r="B179" t="str">
            <v>NAC0801</v>
          </cell>
        </row>
        <row r="180">
          <cell r="A180" t="str">
            <v>Field of Flowers</v>
          </cell>
          <cell r="B180" t="str">
            <v>NAC0804</v>
          </cell>
        </row>
        <row r="181">
          <cell r="A181" t="str">
            <v>Fisher Nursery Inc</v>
          </cell>
          <cell r="B181" t="str">
            <v>NAC0807</v>
          </cell>
        </row>
        <row r="182">
          <cell r="A182" t="str">
            <v>Fleur Detroit</v>
          </cell>
          <cell r="B182" t="str">
            <v>NAC0809</v>
          </cell>
        </row>
        <row r="183">
          <cell r="A183" t="str">
            <v>FLORAL ACRES</v>
          </cell>
          <cell r="B183" t="str">
            <v>NAC0811</v>
          </cell>
        </row>
        <row r="184">
          <cell r="A184" t="str">
            <v>Floral Design LTD</v>
          </cell>
          <cell r="B184" t="str">
            <v>NAC0812</v>
          </cell>
        </row>
        <row r="185">
          <cell r="A185" t="str">
            <v>Floral Sense LLC</v>
          </cell>
          <cell r="B185" t="str">
            <v>NAC0814</v>
          </cell>
        </row>
        <row r="186">
          <cell r="A186" t="str">
            <v>Floral Supply Syndicate</v>
          </cell>
          <cell r="B186" t="str">
            <v>NAC0816</v>
          </cell>
        </row>
        <row r="187">
          <cell r="A187" t="str">
            <v>Floranet Inc.</v>
          </cell>
          <cell r="B187" t="str">
            <v>NAC0818</v>
          </cell>
        </row>
        <row r="188">
          <cell r="A188" t="str">
            <v>Flores y Diseños</v>
          </cell>
          <cell r="B188" t="str">
            <v>NAC0823</v>
          </cell>
        </row>
        <row r="189">
          <cell r="A189" t="str">
            <v>Flori-Design Inc.</v>
          </cell>
          <cell r="B189" t="str">
            <v>NAC0824</v>
          </cell>
        </row>
        <row r="190">
          <cell r="A190" t="str">
            <v>Florist Distributing, Inc</v>
          </cell>
          <cell r="B190" t="str">
            <v>NAC0825</v>
          </cell>
        </row>
        <row r="191">
          <cell r="A191" t="str">
            <v>Flower Power Wholesale</v>
          </cell>
          <cell r="B191" t="str">
            <v>NAC0831</v>
          </cell>
        </row>
        <row r="192">
          <cell r="A192" t="str">
            <v>Flowers &amp; Services</v>
          </cell>
          <cell r="B192" t="str">
            <v>NAC0836</v>
          </cell>
        </row>
        <row r="193">
          <cell r="A193" t="str">
            <v>Flowers by Cindy Inc.</v>
          </cell>
          <cell r="B193" t="str">
            <v>NAC0838</v>
          </cell>
        </row>
        <row r="194">
          <cell r="A194" t="str">
            <v>Flowers By Impulse-Must perf everthing</v>
          </cell>
          <cell r="B194" t="str">
            <v>NAC0841</v>
          </cell>
        </row>
        <row r="195">
          <cell r="A195" t="str">
            <v>Flowers Forever-Whitman</v>
          </cell>
          <cell r="B195" t="str">
            <v>NAC0847</v>
          </cell>
        </row>
        <row r="196">
          <cell r="A196" t="str">
            <v>Flowers of Charlotte</v>
          </cell>
          <cell r="B196" t="str">
            <v>NAC0848</v>
          </cell>
        </row>
        <row r="197">
          <cell r="A197" t="str">
            <v>Flowers2Give Llc</v>
          </cell>
          <cell r="B197" t="str">
            <v>NAC0849</v>
          </cell>
        </row>
        <row r="198">
          <cell r="A198" t="str">
            <v>FOREST LAKE GREENHOUSES</v>
          </cell>
          <cell r="B198" t="str">
            <v>NAC0851</v>
          </cell>
        </row>
        <row r="199">
          <cell r="A199" t="str">
            <v>Forget Me Not Flower Shop Inc</v>
          </cell>
          <cell r="B199" t="str">
            <v>NAC0852</v>
          </cell>
        </row>
        <row r="200">
          <cell r="A200" t="str">
            <v>Forget Me not Flowers &amp; Event Inc</v>
          </cell>
          <cell r="B200" t="str">
            <v>NAC0853</v>
          </cell>
        </row>
        <row r="201">
          <cell r="A201" t="str">
            <v>Fort Myers Express Floral</v>
          </cell>
          <cell r="B201" t="str">
            <v>NAC0855</v>
          </cell>
        </row>
        <row r="202">
          <cell r="A202" t="str">
            <v>Fowler's Nursery</v>
          </cell>
          <cell r="B202" t="str">
            <v>NAC0856</v>
          </cell>
        </row>
        <row r="203">
          <cell r="A203" t="str">
            <v>Fragrant Orchids of Maui</v>
          </cell>
          <cell r="B203" t="str">
            <v>NAC0857</v>
          </cell>
        </row>
        <row r="204">
          <cell r="A204" t="str">
            <v>Francis Biddle International, Inc</v>
          </cell>
          <cell r="B204" t="str">
            <v>NAC0858</v>
          </cell>
        </row>
        <row r="205">
          <cell r="A205" t="str">
            <v>Free State Growers, Inc.</v>
          </cell>
          <cell r="B205" t="str">
            <v>NAC0861</v>
          </cell>
        </row>
        <row r="206">
          <cell r="A206" t="str">
            <v>Fresca Farms</v>
          </cell>
          <cell r="B206" t="str">
            <v>NAC0862</v>
          </cell>
        </row>
        <row r="207">
          <cell r="A207" t="str">
            <v>Fresh Direct Limiited</v>
          </cell>
          <cell r="B207" t="str">
            <v>NAC0863</v>
          </cell>
        </row>
        <row r="208">
          <cell r="A208" t="str">
            <v>Fresh Ideas Flower Co.</v>
          </cell>
          <cell r="B208" t="str">
            <v>NAC0865</v>
          </cell>
        </row>
        <row r="209">
          <cell r="A209" t="str">
            <v>From You Flowers</v>
          </cell>
          <cell r="B209" t="str">
            <v>NAC0866</v>
          </cell>
        </row>
        <row r="210">
          <cell r="A210" t="str">
            <v>Fry Family Farm</v>
          </cell>
          <cell r="B210" t="str">
            <v>NAC0867</v>
          </cell>
        </row>
        <row r="211">
          <cell r="A211" t="str">
            <v>FTD Inc.</v>
          </cell>
          <cell r="B211" t="str">
            <v>NAC0869</v>
          </cell>
        </row>
        <row r="212">
          <cell r="A212" t="str">
            <v>Galleria Farms</v>
          </cell>
          <cell r="B212" t="str">
            <v>NAC0871</v>
          </cell>
        </row>
        <row r="213">
          <cell r="A213" t="str">
            <v>GALLUP &amp; STRIBLING ORCHIDS, LLC</v>
          </cell>
          <cell r="B213" t="str">
            <v>NAC0872</v>
          </cell>
        </row>
        <row r="214">
          <cell r="A214" t="str">
            <v>GARDEN ACRE GROWERS INC</v>
          </cell>
          <cell r="B214" t="str">
            <v>NAC0873</v>
          </cell>
        </row>
        <row r="215">
          <cell r="A215" t="str">
            <v>GARDEN WORLD</v>
          </cell>
          <cell r="B215" t="str">
            <v>NAC0876</v>
          </cell>
        </row>
        <row r="216">
          <cell r="A216" t="str">
            <v>GASSAFY WHOLESALE FLORIST</v>
          </cell>
          <cell r="B216" t="str">
            <v>NAC0879</v>
          </cell>
        </row>
        <row r="217">
          <cell r="A217" t="str">
            <v>Gelson's Markets</v>
          </cell>
          <cell r="B217" t="str">
            <v>NAC0880</v>
          </cell>
        </row>
        <row r="218">
          <cell r="A218" t="str">
            <v>Gems Global</v>
          </cell>
          <cell r="B218" t="str">
            <v>NAC0881</v>
          </cell>
        </row>
        <row r="219">
          <cell r="A219" t="str">
            <v>GEREMIA GREENHOUSE</v>
          </cell>
          <cell r="B219" t="str">
            <v>NAC0886</v>
          </cell>
        </row>
        <row r="220">
          <cell r="A220" t="str">
            <v>Giant Eagle</v>
          </cell>
          <cell r="B220" t="str">
            <v>NAC0888</v>
          </cell>
        </row>
        <row r="221">
          <cell r="A221" t="str">
            <v>Golden Flowers</v>
          </cell>
          <cell r="B221" t="str">
            <v>NAC0893</v>
          </cell>
        </row>
        <row r="222">
          <cell r="A222" t="str">
            <v>Golden State Floral</v>
          </cell>
          <cell r="B222" t="str">
            <v>NAC0894</v>
          </cell>
        </row>
        <row r="223">
          <cell r="A223" t="str">
            <v>Green Circle Growers</v>
          </cell>
          <cell r="B223" t="str">
            <v>NAC0897</v>
          </cell>
        </row>
        <row r="224">
          <cell r="A224" t="str">
            <v>Green Earth Greenhouses</v>
          </cell>
          <cell r="B224" t="str">
            <v>NAC0898</v>
          </cell>
        </row>
        <row r="225">
          <cell r="A225" t="str">
            <v>Green Oak Florist</v>
          </cell>
          <cell r="B225" t="str">
            <v>NAC0900</v>
          </cell>
        </row>
        <row r="226">
          <cell r="A226" t="str">
            <v>GREEN THINGS</v>
          </cell>
          <cell r="B226" t="str">
            <v>NAC0901</v>
          </cell>
        </row>
        <row r="227">
          <cell r="A227" t="str">
            <v>Green Thumb Interior</v>
          </cell>
          <cell r="B227" t="str">
            <v>NAC0902</v>
          </cell>
        </row>
        <row r="228">
          <cell r="A228" t="str">
            <v>Green Valley Greenhouse, Inc.</v>
          </cell>
          <cell r="B228" t="str">
            <v>NAC0904</v>
          </cell>
        </row>
        <row r="229">
          <cell r="A229" t="str">
            <v>Gregor Farm &amp; Greenhouse, Inc.</v>
          </cell>
          <cell r="B229" t="str">
            <v>NAC0906</v>
          </cell>
        </row>
        <row r="230">
          <cell r="A230" t="str">
            <v>Gritt's Midway Greenhouse</v>
          </cell>
          <cell r="B230" t="str">
            <v>NAC0907</v>
          </cell>
        </row>
        <row r="231">
          <cell r="A231" t="str">
            <v>GROWER DIRECT FARMS, INC</v>
          </cell>
          <cell r="B231" t="str">
            <v>NAC0908</v>
          </cell>
        </row>
        <row r="232">
          <cell r="A232" t="str">
            <v>Growers To Home Corporation</v>
          </cell>
          <cell r="B232" t="str">
            <v>NAC0909</v>
          </cell>
        </row>
        <row r="233">
          <cell r="A233" t="str">
            <v>GVH DISTRIBUTION</v>
          </cell>
          <cell r="B233" t="str">
            <v>NAC0914</v>
          </cell>
        </row>
        <row r="234">
          <cell r="A234" t="str">
            <v>H&amp;M Greenhouse &amp; Farm Market</v>
          </cell>
          <cell r="B234" t="str">
            <v>NAC0915</v>
          </cell>
        </row>
        <row r="235">
          <cell r="A235" t="str">
            <v>HARRY'S GREENHOUSE, INC.</v>
          </cell>
          <cell r="B235" t="str">
            <v>NAC0919</v>
          </cell>
        </row>
        <row r="236">
          <cell r="A236" t="str">
            <v>HARTMAN'S TOWNE &amp; COUNTRY GREENHOUSE INC</v>
          </cell>
          <cell r="B236" t="str">
            <v>NAC0920</v>
          </cell>
        </row>
        <row r="237">
          <cell r="A237" t="str">
            <v>Hawaiian Sunshine Nursery</v>
          </cell>
          <cell r="B237" t="str">
            <v>NAC0921</v>
          </cell>
        </row>
        <row r="238">
          <cell r="A238" t="str">
            <v>Heavenly Orchids Inc.</v>
          </cell>
          <cell r="B238" t="str">
            <v>NAC0923</v>
          </cell>
        </row>
        <row r="239">
          <cell r="A239" t="str">
            <v>HEB Floral</v>
          </cell>
          <cell r="B239" t="str">
            <v>NAC0924</v>
          </cell>
        </row>
        <row r="240">
          <cell r="A240" t="str">
            <v>Henry Mast Greenhouses Inc</v>
          </cell>
          <cell r="B240" t="str">
            <v>NAC0929</v>
          </cell>
        </row>
        <row r="241">
          <cell r="A241" t="str">
            <v>Hionis Greenhouse</v>
          </cell>
          <cell r="B241" t="str">
            <v>NAC0933</v>
          </cell>
        </row>
        <row r="242">
          <cell r="A242" t="str">
            <v>HONEYMOON ACRES</v>
          </cell>
          <cell r="B242" t="str">
            <v>NAC0938</v>
          </cell>
        </row>
        <row r="243">
          <cell r="A243" t="str">
            <v>House of Flora</v>
          </cell>
          <cell r="B243" t="str">
            <v>NAC0942</v>
          </cell>
        </row>
        <row r="244">
          <cell r="A244" t="str">
            <v>HUMMERT INTERNATIONAL</v>
          </cell>
          <cell r="B244" t="str">
            <v>NAC0953</v>
          </cell>
        </row>
        <row r="245">
          <cell r="A245" t="str">
            <v>HYDRA-POINT GROWERS INC</v>
          </cell>
          <cell r="B245" t="str">
            <v>NAC0959</v>
          </cell>
        </row>
        <row r="246">
          <cell r="A246" t="str">
            <v>I &amp; G FARMS</v>
          </cell>
          <cell r="B246" t="str">
            <v>NAC0960</v>
          </cell>
        </row>
        <row r="247">
          <cell r="A247" t="str">
            <v>In Bloom Flowers</v>
          </cell>
          <cell r="B247" t="str">
            <v>NAC0963</v>
          </cell>
        </row>
        <row r="248">
          <cell r="A248" t="str">
            <v>INTERIORSCAPES-MO</v>
          </cell>
          <cell r="B248" t="str">
            <v>NAC0967</v>
          </cell>
        </row>
        <row r="249">
          <cell r="A249" t="str">
            <v>Irenes Floral Design</v>
          </cell>
          <cell r="B249" t="str">
            <v>NAC0968</v>
          </cell>
        </row>
        <row r="250">
          <cell r="A250" t="str">
            <v>IRWIN GREENHOUSES, INC.</v>
          </cell>
          <cell r="B250" t="str">
            <v>NAC0970</v>
          </cell>
        </row>
        <row r="251">
          <cell r="A251" t="str">
            <v>ISLAND GROWER SUPPLIES</v>
          </cell>
          <cell r="B251" t="str">
            <v>NAC0971</v>
          </cell>
        </row>
        <row r="252">
          <cell r="A252" t="str">
            <v>IVEY GARDENS</v>
          </cell>
          <cell r="B252" t="str">
            <v>NAC0972</v>
          </cell>
        </row>
        <row r="253">
          <cell r="A253" t="str">
            <v>IWASAKI BROS., INC.</v>
          </cell>
          <cell r="B253" t="str">
            <v>NAC0974</v>
          </cell>
        </row>
        <row r="254">
          <cell r="A254" t="str">
            <v>JACKSONVILLE FLOWER MARKET</v>
          </cell>
          <cell r="B254" t="str">
            <v>NAC0978</v>
          </cell>
        </row>
        <row r="255">
          <cell r="A255" t="str">
            <v>Jacobson Floral Supply</v>
          </cell>
          <cell r="B255" t="str">
            <v>NAC0979</v>
          </cell>
        </row>
        <row r="256">
          <cell r="A256" t="str">
            <v>Jeffrey's Greenworld &amp; Florist Inc</v>
          </cell>
          <cell r="B256" t="str">
            <v>NAC0984</v>
          </cell>
        </row>
        <row r="257">
          <cell r="A257" t="str">
            <v>JetRam Inc - Online Orders</v>
          </cell>
          <cell r="B257" t="str">
            <v>NAC0986</v>
          </cell>
        </row>
        <row r="258">
          <cell r="A258" t="str">
            <v>Jetram Products LLC, DBA Flopak</v>
          </cell>
          <cell r="B258" t="str">
            <v>NAC0987</v>
          </cell>
        </row>
        <row r="259">
          <cell r="A259" t="str">
            <v>Jewel Foods Stores</v>
          </cell>
          <cell r="B259" t="str">
            <v>NAC0988</v>
          </cell>
        </row>
        <row r="260">
          <cell r="A260" t="str">
            <v>Johnson's Floral Company</v>
          </cell>
          <cell r="B260" t="str">
            <v>NAC0993</v>
          </cell>
        </row>
        <row r="261">
          <cell r="A261" t="str">
            <v>Johnston's Quality Flowers</v>
          </cell>
          <cell r="B261" t="str">
            <v>NAC0994</v>
          </cell>
        </row>
        <row r="262">
          <cell r="A262" t="str">
            <v>Jolo Farms</v>
          </cell>
          <cell r="B262" t="str">
            <v>NAC0995</v>
          </cell>
        </row>
        <row r="263">
          <cell r="A263" t="str">
            <v>ALIANZA GLOBAL SERVICES SA DE CV</v>
          </cell>
          <cell r="B263" t="str">
            <v>NAC0996</v>
          </cell>
        </row>
        <row r="264">
          <cell r="A264" t="str">
            <v>Joseph's Nursery</v>
          </cell>
          <cell r="B264" t="str">
            <v>NAC0998</v>
          </cell>
        </row>
        <row r="265">
          <cell r="A265" t="str">
            <v>JULIUS ROEHRS COMPANY</v>
          </cell>
          <cell r="B265" t="str">
            <v>NAC1000</v>
          </cell>
        </row>
        <row r="266">
          <cell r="A266" t="str">
            <v>K &amp; V Florist</v>
          </cell>
          <cell r="B266" t="str">
            <v>NAC1002</v>
          </cell>
        </row>
        <row r="267">
          <cell r="A267" t="str">
            <v>KALAMAZOO FLOWER GROUP</v>
          </cell>
          <cell r="B267" t="str">
            <v>NAC1004</v>
          </cell>
        </row>
        <row r="268">
          <cell r="A268" t="str">
            <v>Karthauser &amp; Sons, Inc</v>
          </cell>
          <cell r="B268" t="str">
            <v>NAC1007</v>
          </cell>
        </row>
        <row r="269">
          <cell r="A269" t="str">
            <v>Kawahara Nurseries; Inc</v>
          </cell>
          <cell r="B269" t="str">
            <v>NAC1009</v>
          </cell>
        </row>
        <row r="270">
          <cell r="A270" t="str">
            <v>Kellen's Florist</v>
          </cell>
          <cell r="B270" t="str">
            <v>NAC1013</v>
          </cell>
        </row>
        <row r="271">
          <cell r="A271" t="str">
            <v>Kendall Farms</v>
          </cell>
          <cell r="B271" t="str">
            <v>NAC1018</v>
          </cell>
        </row>
        <row r="272">
          <cell r="A272" t="str">
            <v>Kenyon Avenue Floral Co.</v>
          </cell>
          <cell r="B272" t="str">
            <v>NAC1020</v>
          </cell>
        </row>
        <row r="273">
          <cell r="A273" t="str">
            <v>Key Floral</v>
          </cell>
          <cell r="B273" t="str">
            <v>NAC1021</v>
          </cell>
        </row>
        <row r="274">
          <cell r="A274" t="str">
            <v>KINNEY BONDED WAREHOUSE</v>
          </cell>
          <cell r="B274" t="str">
            <v>NAC1024</v>
          </cell>
        </row>
        <row r="275">
          <cell r="A275" t="str">
            <v>Kirkwood Florist</v>
          </cell>
          <cell r="B275" t="str">
            <v>NAC1025</v>
          </cell>
        </row>
        <row r="276">
          <cell r="A276" t="str">
            <v>Klepac Greenhouses, Inc</v>
          </cell>
          <cell r="B276" t="str">
            <v>NAC1027</v>
          </cell>
        </row>
        <row r="277">
          <cell r="A277" t="str">
            <v>Kroger</v>
          </cell>
          <cell r="B277" t="str">
            <v>NAC1040</v>
          </cell>
        </row>
        <row r="278">
          <cell r="A278" t="str">
            <v>Krueger Maddux Greenhouses</v>
          </cell>
          <cell r="B278" t="str">
            <v>NAC1041</v>
          </cell>
        </row>
        <row r="279">
          <cell r="A279" t="str">
            <v>Kurt Weiss Greenhouse</v>
          </cell>
          <cell r="B279" t="str">
            <v>NAC1042</v>
          </cell>
        </row>
        <row r="280">
          <cell r="A280" t="str">
            <v>Lawrence J. Lapide, Inc.</v>
          </cell>
          <cell r="B280" t="str">
            <v>NAC1047</v>
          </cell>
        </row>
        <row r="281">
          <cell r="A281" t="str">
            <v>Lee Moua</v>
          </cell>
          <cell r="B281" t="str">
            <v>NAC1050</v>
          </cell>
        </row>
        <row r="282">
          <cell r="A282" t="str">
            <v>Lee's Flower &amp; Card Shop Inc.</v>
          </cell>
          <cell r="B282" t="str">
            <v>NAC1051</v>
          </cell>
        </row>
        <row r="283">
          <cell r="A283" t="str">
            <v>Leider Greenhouses</v>
          </cell>
          <cell r="B283" t="str">
            <v>NAC1053</v>
          </cell>
        </row>
        <row r="284">
          <cell r="A284" t="str">
            <v>Len Busch Roses, Inc.</v>
          </cell>
          <cell r="B284" t="str">
            <v>NAC1054</v>
          </cell>
        </row>
        <row r="285">
          <cell r="A285" t="str">
            <v>LEXIFLOR INC</v>
          </cell>
          <cell r="B285" t="str">
            <v>NAC1056</v>
          </cell>
        </row>
        <row r="286">
          <cell r="A286" t="str">
            <v>Lihmil Wholesale Flowers</v>
          </cell>
          <cell r="B286" t="str">
            <v>NAC1058</v>
          </cell>
        </row>
        <row r="287">
          <cell r="A287" t="str">
            <v>Live Trends Design Group, LLC</v>
          </cell>
          <cell r="B287" t="str">
            <v>NAC1061</v>
          </cell>
        </row>
        <row r="288">
          <cell r="A288" t="str">
            <v>Lou Davino Greenhouses</v>
          </cell>
          <cell r="B288" t="str">
            <v>NAC1066</v>
          </cell>
        </row>
        <row r="289">
          <cell r="A289" t="str">
            <v>LOUISIANA NURSERY</v>
          </cell>
          <cell r="B289" t="str">
            <v>NAC1067</v>
          </cell>
        </row>
        <row r="290">
          <cell r="A290" t="str">
            <v>Lowe's Flowers</v>
          </cell>
          <cell r="B290" t="str">
            <v>NAC1068</v>
          </cell>
        </row>
        <row r="291">
          <cell r="A291" t="str">
            <v>Lucas Greenhouses</v>
          </cell>
          <cell r="B291" t="str">
            <v>NAC1069</v>
          </cell>
        </row>
        <row r="292">
          <cell r="A292" t="str">
            <v>Lynch Group Australia</v>
          </cell>
          <cell r="B292" t="str">
            <v>NAC1073</v>
          </cell>
        </row>
        <row r="293">
          <cell r="A293" t="str">
            <v>Lynn Eggett &amp; Ass. DBA floralsupply.com</v>
          </cell>
          <cell r="B293" t="str">
            <v>NAC1074</v>
          </cell>
        </row>
        <row r="294">
          <cell r="A294" t="str">
            <v>MacBeth Farm Interiorscapes NNJ</v>
          </cell>
          <cell r="B294" t="str">
            <v>NAC1076</v>
          </cell>
        </row>
        <row r="295">
          <cell r="A295" t="str">
            <v>Maciel's Flowers Inc</v>
          </cell>
          <cell r="B295" t="str">
            <v>NAC1077</v>
          </cell>
        </row>
        <row r="296">
          <cell r="A296" t="str">
            <v>Mai &amp; Pa's Flowers</v>
          </cell>
          <cell r="B296" t="str">
            <v>NAC1080</v>
          </cell>
        </row>
        <row r="297">
          <cell r="A297" t="str">
            <v>Main Street Wholesale</v>
          </cell>
          <cell r="B297" t="str">
            <v>NAC1082</v>
          </cell>
        </row>
        <row r="298">
          <cell r="A298" t="str">
            <v>Mao Thao</v>
          </cell>
          <cell r="B298" t="str">
            <v>NAC1083</v>
          </cell>
        </row>
        <row r="299">
          <cell r="A299" t="str">
            <v>Maria Flowers</v>
          </cell>
          <cell r="B299" t="str">
            <v>NAC1084</v>
          </cell>
        </row>
        <row r="300">
          <cell r="A300" t="str">
            <v>Market Square of Birmingham, Inc</v>
          </cell>
          <cell r="B300" t="str">
            <v>NAC1087</v>
          </cell>
        </row>
        <row r="301">
          <cell r="A301" t="str">
            <v>Market Street #</v>
          </cell>
          <cell r="B301" t="str">
            <v>NAC1105</v>
          </cell>
        </row>
        <row r="302">
          <cell r="A302" t="str">
            <v>Mary Tuttles Flowers</v>
          </cell>
          <cell r="B302" t="str">
            <v>NAC1106</v>
          </cell>
        </row>
        <row r="303">
          <cell r="A303" t="str">
            <v>Maryland Plants &amp; Supplies, Inc.</v>
          </cell>
          <cell r="B303" t="str">
            <v>NAC1108</v>
          </cell>
        </row>
        <row r="304">
          <cell r="A304" t="str">
            <v>Masterpiece Flower</v>
          </cell>
          <cell r="B304" t="str">
            <v>NAC1110</v>
          </cell>
        </row>
        <row r="305">
          <cell r="A305" t="str">
            <v>Matsumoto Family Floral</v>
          </cell>
          <cell r="B305" t="str">
            <v>NAC1112</v>
          </cell>
        </row>
        <row r="306">
          <cell r="A306" t="str">
            <v>Maui Floral, Inc.</v>
          </cell>
          <cell r="B306" t="str">
            <v>NAC1113</v>
          </cell>
        </row>
        <row r="307">
          <cell r="A307" t="str">
            <v>Maumee Valley Wholesale.</v>
          </cell>
          <cell r="B307" t="str">
            <v>NAC1114</v>
          </cell>
        </row>
        <row r="308">
          <cell r="A308" t="str">
            <v>May Crazy Bloom Inc</v>
          </cell>
          <cell r="B308" t="str">
            <v>NAC1117</v>
          </cell>
        </row>
        <row r="309">
          <cell r="A309" t="str">
            <v>Mayesh Wholesale Florist</v>
          </cell>
          <cell r="B309" t="str">
            <v>NAC1119</v>
          </cell>
        </row>
        <row r="310">
          <cell r="A310" t="str">
            <v>Mayfield Florist &amp; Plant Shop</v>
          </cell>
          <cell r="B310" t="str">
            <v>NAC1120</v>
          </cell>
        </row>
        <row r="311">
          <cell r="A311" t="str">
            <v>McCahon Floral</v>
          </cell>
          <cell r="B311" t="str">
            <v>NAC1122</v>
          </cell>
        </row>
        <row r="312">
          <cell r="A312" t="str">
            <v>McKenzie Floral INC</v>
          </cell>
          <cell r="B312" t="str">
            <v>NAC1123</v>
          </cell>
        </row>
        <row r="313">
          <cell r="A313" t="str">
            <v>Mellano &amp; Company-LA</v>
          </cell>
          <cell r="B313" t="str">
            <v>NAC1125</v>
          </cell>
        </row>
        <row r="314">
          <cell r="A314" t="str">
            <v>Metrolina Greenhouses, Inc.</v>
          </cell>
          <cell r="B314" t="str">
            <v>NAC1127</v>
          </cell>
        </row>
        <row r="315">
          <cell r="A315" t="str">
            <v>Mex y Can</v>
          </cell>
          <cell r="B315" t="str">
            <v>NAC1128</v>
          </cell>
        </row>
        <row r="316">
          <cell r="A316" t="str">
            <v>Meyer Nurseries</v>
          </cell>
          <cell r="B316" t="str">
            <v>NAC1131</v>
          </cell>
        </row>
        <row r="317">
          <cell r="A317" t="str">
            <v>MICHAEL'S GREENHOUSES, INC</v>
          </cell>
          <cell r="B317" t="str">
            <v>NAC1133</v>
          </cell>
        </row>
        <row r="318">
          <cell r="A318" t="str">
            <v>Michele Yang</v>
          </cell>
          <cell r="B318" t="str">
            <v>NAC1134</v>
          </cell>
        </row>
        <row r="319">
          <cell r="A319" t="str">
            <v>Midwest GroundcoversLLC</v>
          </cell>
          <cell r="B319" t="str">
            <v>NAC1135</v>
          </cell>
        </row>
        <row r="320">
          <cell r="A320" t="str">
            <v>MILMONT GREENHOUSES</v>
          </cell>
          <cell r="B320" t="str">
            <v>NAC1142</v>
          </cell>
        </row>
        <row r="321">
          <cell r="A321" t="str">
            <v>Mino's Floral Supplies*</v>
          </cell>
          <cell r="B321" t="str">
            <v>NAC1143</v>
          </cell>
        </row>
        <row r="322">
          <cell r="A322" t="str">
            <v>Missouri Botanical Garden</v>
          </cell>
          <cell r="B322" t="str">
            <v>NAC1144</v>
          </cell>
        </row>
        <row r="323">
          <cell r="A323" t="str">
            <v>MITCHELL'S NURSERY &amp; GREENHOUSE</v>
          </cell>
          <cell r="B323" t="str">
            <v>NAC1145</v>
          </cell>
        </row>
        <row r="324">
          <cell r="A324" t="str">
            <v>MIZE FARM &amp; GARDEN SUPPLY, INC.</v>
          </cell>
          <cell r="B324" t="str">
            <v>NAC1146</v>
          </cell>
        </row>
        <row r="325">
          <cell r="A325" t="str">
            <v>MMXII FLOWERS EXPRESS</v>
          </cell>
          <cell r="B325" t="str">
            <v>NAC1147</v>
          </cell>
        </row>
        <row r="326">
          <cell r="A326" t="str">
            <v>Mobi's</v>
          </cell>
          <cell r="B326" t="str">
            <v>NAC1148</v>
          </cell>
        </row>
        <row r="327">
          <cell r="A327" t="str">
            <v>Mountain Bloom</v>
          </cell>
          <cell r="B327" t="str">
            <v>NAC1150</v>
          </cell>
        </row>
        <row r="328">
          <cell r="A328" t="str">
            <v>Mountain States Plants</v>
          </cell>
          <cell r="B328" t="str">
            <v>NAC1151</v>
          </cell>
        </row>
        <row r="329">
          <cell r="A329" t="str">
            <v>Mountain View Nursery</v>
          </cell>
          <cell r="B329" t="str">
            <v>NAC1152</v>
          </cell>
        </row>
        <row r="330">
          <cell r="A330" t="str">
            <v>MRS. BLOOM'S DIRECT, INC.</v>
          </cell>
          <cell r="B330" t="str">
            <v>NAC1154</v>
          </cell>
        </row>
        <row r="331">
          <cell r="A331" t="str">
            <v>N G Heimos Greenhouse</v>
          </cell>
          <cell r="B331" t="str">
            <v>NAC1158</v>
          </cell>
        </row>
        <row r="332">
          <cell r="A332" t="str">
            <v>Naturally Simple</v>
          </cell>
          <cell r="B332" t="str">
            <v>NAC1167</v>
          </cell>
        </row>
        <row r="333">
          <cell r="A333" t="str">
            <v>NAVY EXCHANGE SERVICE COMMAND</v>
          </cell>
          <cell r="B333" t="str">
            <v>NAC1168</v>
          </cell>
        </row>
        <row r="334">
          <cell r="A334" t="str">
            <v>Neal Mast &amp; Son Greenhouses</v>
          </cell>
          <cell r="B334" t="str">
            <v>NAC1170</v>
          </cell>
        </row>
        <row r="335">
          <cell r="A335" t="str">
            <v>Neosho Gardens</v>
          </cell>
          <cell r="B335" t="str">
            <v>NAC1172</v>
          </cell>
        </row>
        <row r="336">
          <cell r="A336" t="str">
            <v>New Generation Farms</v>
          </cell>
          <cell r="B336" t="str">
            <v>NAC1173</v>
          </cell>
        </row>
        <row r="337">
          <cell r="A337" t="str">
            <v>NEW PRO CORP</v>
          </cell>
          <cell r="B337" t="str">
            <v>NAC1174</v>
          </cell>
        </row>
        <row r="338">
          <cell r="A338" t="str">
            <v>Nolt's Garden Center</v>
          </cell>
          <cell r="B338" t="str">
            <v>NAC1176</v>
          </cell>
        </row>
        <row r="339">
          <cell r="A339" t="str">
            <v>Norman Florist</v>
          </cell>
          <cell r="B339" t="str">
            <v>NAC1177</v>
          </cell>
        </row>
        <row r="340">
          <cell r="A340" t="str">
            <v>Norman Keil Nurseries Inc.</v>
          </cell>
          <cell r="B340" t="str">
            <v>NAC1178</v>
          </cell>
        </row>
        <row r="341">
          <cell r="A341" t="str">
            <v>Norton's Flowers &amp; Gifts</v>
          </cell>
          <cell r="B341" t="str">
            <v>NAC1183</v>
          </cell>
        </row>
        <row r="342">
          <cell r="A342" t="str">
            <v>Novelty Greens</v>
          </cell>
          <cell r="B342" t="str">
            <v>NAC1184</v>
          </cell>
        </row>
        <row r="343">
          <cell r="A343" t="str">
            <v>O'Brien's Florist</v>
          </cell>
          <cell r="B343" t="str">
            <v>NAC1185</v>
          </cell>
        </row>
        <row r="344">
          <cell r="A344" t="str">
            <v>Oakland Flower Market</v>
          </cell>
          <cell r="B344" t="str">
            <v>NAC1187</v>
          </cell>
        </row>
        <row r="345">
          <cell r="A345" t="str">
            <v>Olson's Greenhouse of Colorado</v>
          </cell>
          <cell r="B345" t="str">
            <v>NAC1190</v>
          </cell>
        </row>
        <row r="346">
          <cell r="A346" t="str">
            <v>Olsons Greenhouses</v>
          </cell>
          <cell r="B346" t="str">
            <v>NAC1191</v>
          </cell>
        </row>
        <row r="347">
          <cell r="A347" t="str">
            <v>Pa Houa Vang</v>
          </cell>
          <cell r="B347" t="str">
            <v>NAC1198</v>
          </cell>
        </row>
        <row r="348">
          <cell r="A348" t="str">
            <v>Pacific Growers Inc.</v>
          </cell>
          <cell r="B348" t="str">
            <v>NAC1199</v>
          </cell>
        </row>
        <row r="349">
          <cell r="A349" t="str">
            <v>PACIFIC PLANT GROWERS</v>
          </cell>
          <cell r="B349" t="str">
            <v>NAC1200</v>
          </cell>
        </row>
        <row r="350">
          <cell r="A350" t="str">
            <v>Palm Tree Packaging, Inc.</v>
          </cell>
          <cell r="B350" t="str">
            <v>NAC1202</v>
          </cell>
        </row>
        <row r="351">
          <cell r="A351" t="str">
            <v>Paradise Flowers Distribution, LLC</v>
          </cell>
          <cell r="B351" t="str">
            <v>NAC1205</v>
          </cell>
        </row>
        <row r="352">
          <cell r="A352" t="str">
            <v>Park Greenhouse</v>
          </cell>
          <cell r="B352" t="str">
            <v>NAC1207</v>
          </cell>
        </row>
        <row r="353">
          <cell r="A353" t="str">
            <v>PARKS BROTHERS FARMS, INC.</v>
          </cell>
          <cell r="B353" t="str">
            <v>NAC1208</v>
          </cell>
        </row>
        <row r="354">
          <cell r="A354" t="str">
            <v>PARKVIEW GARDENS</v>
          </cell>
          <cell r="B354" t="str">
            <v>NAC1209</v>
          </cell>
        </row>
        <row r="355">
          <cell r="A355" t="str">
            <v>Passion Growers</v>
          </cell>
          <cell r="B355" t="str">
            <v>NAC1211</v>
          </cell>
        </row>
        <row r="356">
          <cell r="A356" t="str">
            <v>Passion Growers West LLC</v>
          </cell>
          <cell r="B356" t="str">
            <v>NAC1212</v>
          </cell>
        </row>
        <row r="357">
          <cell r="A357" t="str">
            <v>PEMBERTON'S GREENHOUSES</v>
          </cell>
          <cell r="B357" t="str">
            <v>NAC1214</v>
          </cell>
        </row>
        <row r="358">
          <cell r="A358" t="str">
            <v>Penang Nursery</v>
          </cell>
          <cell r="B358" t="str">
            <v>NAC1215</v>
          </cell>
        </row>
        <row r="359">
          <cell r="A359" t="str">
            <v>Penn Jersey Paper Co.*</v>
          </cell>
          <cell r="B359" t="str">
            <v>NAC1216</v>
          </cell>
        </row>
        <row r="360">
          <cell r="A360" t="str">
            <v>Penrods Greenhouse</v>
          </cell>
          <cell r="B360" t="str">
            <v>NAC1218</v>
          </cell>
        </row>
        <row r="361">
          <cell r="A361" t="str">
            <v>PEPPER CREEK</v>
          </cell>
          <cell r="B361" t="str">
            <v>NAC1219</v>
          </cell>
        </row>
        <row r="362">
          <cell r="A362" t="str">
            <v>Petals &amp; Plants - Sullivan</v>
          </cell>
          <cell r="B362" t="str">
            <v>NAC1222</v>
          </cell>
        </row>
        <row r="363">
          <cell r="A363" t="str">
            <v>Petals of Charlevoix, LLC</v>
          </cell>
          <cell r="B363" t="str">
            <v>NAC1225</v>
          </cell>
        </row>
        <row r="364">
          <cell r="A364" t="str">
            <v>PETUNIA FACTORY</v>
          </cell>
          <cell r="B364" t="str">
            <v>NAC1227</v>
          </cell>
        </row>
        <row r="365">
          <cell r="A365" t="str">
            <v>Pike Nurseries Acquisition, LLC</v>
          </cell>
          <cell r="B365" t="str">
            <v>NAC1228</v>
          </cell>
        </row>
        <row r="366">
          <cell r="A366" t="str">
            <v>PINE HILLS NURSERY</v>
          </cell>
          <cell r="B366" t="str">
            <v>NAC1229</v>
          </cell>
        </row>
        <row r="367">
          <cell r="A367" t="str">
            <v>Pineae Greenhouses, Inc.</v>
          </cell>
          <cell r="B367" t="str">
            <v>NAC1231</v>
          </cell>
        </row>
        <row r="368">
          <cell r="A368" t="str">
            <v>Plainview Growers, Inc.</v>
          </cell>
          <cell r="B368" t="str">
            <v>NAC1232</v>
          </cell>
        </row>
        <row r="369">
          <cell r="A369" t="str">
            <v>Plant Source, Inc.</v>
          </cell>
          <cell r="B369" t="str">
            <v>NAC1233</v>
          </cell>
        </row>
        <row r="370">
          <cell r="A370" t="str">
            <v>PLANTAS Y FLORES ORNAMENTALES CABH S.A</v>
          </cell>
          <cell r="B370" t="str">
            <v>NAC1234</v>
          </cell>
        </row>
        <row r="371">
          <cell r="A371" t="str">
            <v>Plantpeddler</v>
          </cell>
          <cell r="B371" t="str">
            <v>NAC1236</v>
          </cell>
        </row>
        <row r="372">
          <cell r="A372" t="str">
            <v>Plants In Design Inc.</v>
          </cell>
          <cell r="B372" t="str">
            <v>NAC1237</v>
          </cell>
        </row>
        <row r="373">
          <cell r="A373" t="str">
            <v>POPE'S PLANT FARM, INC.</v>
          </cell>
          <cell r="B373" t="str">
            <v>NAC1240</v>
          </cell>
        </row>
        <row r="374">
          <cell r="A374" t="str">
            <v>Por La Mar Nursery</v>
          </cell>
          <cell r="B374" t="str">
            <v>NAC1241</v>
          </cell>
        </row>
        <row r="375">
          <cell r="A375" t="str">
            <v>PORTER NURSERIES</v>
          </cell>
          <cell r="B375" t="str">
            <v>NAC1242</v>
          </cell>
        </row>
        <row r="376">
          <cell r="A376" t="str">
            <v>Potter Inc</v>
          </cell>
          <cell r="B376" t="str">
            <v>NAC1243</v>
          </cell>
        </row>
        <row r="377">
          <cell r="A377" t="str">
            <v>Prime Source Floral Distributors</v>
          </cell>
          <cell r="B377" t="str">
            <v>NAC1247</v>
          </cell>
        </row>
        <row r="378">
          <cell r="A378" t="str">
            <v>PRIMESCAPE PRODUCTS</v>
          </cell>
          <cell r="B378" t="str">
            <v>NAC1248</v>
          </cell>
        </row>
        <row r="379">
          <cell r="A379" t="str">
            <v>Publix Super Markets, Inc.</v>
          </cell>
          <cell r="B379" t="str">
            <v>NAC1249</v>
          </cell>
        </row>
        <row r="380">
          <cell r="A380" t="str">
            <v>Pure Beauty Farms</v>
          </cell>
          <cell r="B380" t="str">
            <v>NAC1251</v>
          </cell>
        </row>
        <row r="381">
          <cell r="A381" t="str">
            <v>Pyramid Flowers</v>
          </cell>
          <cell r="B381" t="str">
            <v>NAC1252</v>
          </cell>
        </row>
        <row r="382">
          <cell r="A382" t="str">
            <v>Quality Florist Supply Co</v>
          </cell>
          <cell r="B382" t="str">
            <v>NAC1254</v>
          </cell>
        </row>
        <row r="383">
          <cell r="A383" t="str">
            <v>Raley's.</v>
          </cell>
          <cell r="B383" t="str">
            <v>NAC1260</v>
          </cell>
        </row>
        <row r="384">
          <cell r="A384" t="str">
            <v>Rambo Nursery</v>
          </cell>
          <cell r="B384" t="str">
            <v>NAC1261</v>
          </cell>
        </row>
        <row r="385">
          <cell r="A385" t="str">
            <v>Reasor's</v>
          </cell>
          <cell r="B385" t="str">
            <v>NAC1281</v>
          </cell>
        </row>
        <row r="386">
          <cell r="A386" t="str">
            <v>Red Oak Greenhouse</v>
          </cell>
          <cell r="B386" t="str">
            <v>NAC1283</v>
          </cell>
        </row>
        <row r="387">
          <cell r="A387" t="str">
            <v>RIVER'S GREENHOUSE GARDEN</v>
          </cell>
          <cell r="B387" t="str">
            <v>NAC1287</v>
          </cell>
        </row>
        <row r="388">
          <cell r="A388" t="str">
            <v>Riverdale Farms</v>
          </cell>
          <cell r="B388" t="str">
            <v>NAC1288</v>
          </cell>
        </row>
        <row r="389">
          <cell r="A389" t="str">
            <v>ROCKET FARMS</v>
          </cell>
          <cell r="B389" t="str">
            <v>NAC1292</v>
          </cell>
        </row>
        <row r="390">
          <cell r="A390" t="str">
            <v>Rose Flowers Distributors Inc</v>
          </cell>
          <cell r="B390" t="str">
            <v>NAC1297</v>
          </cell>
        </row>
        <row r="391">
          <cell r="A391" t="str">
            <v>Royer's Flowers</v>
          </cell>
          <cell r="B391" t="str">
            <v>NAC1303</v>
          </cell>
        </row>
        <row r="392">
          <cell r="A392" t="str">
            <v>RUIBAL'S PLANTS OF TEXAS</v>
          </cell>
          <cell r="B392" t="str">
            <v>NAC1304</v>
          </cell>
        </row>
        <row r="393">
          <cell r="A393" t="str">
            <v>Ryco Packaging</v>
          </cell>
          <cell r="B393" t="str">
            <v>NAC1312</v>
          </cell>
        </row>
        <row r="394">
          <cell r="A394" t="str">
            <v>S Arthur Peterson, Inc.</v>
          </cell>
          <cell r="B394" t="str">
            <v>NAC1313</v>
          </cell>
        </row>
        <row r="395">
          <cell r="A395" t="str">
            <v>Safeway</v>
          </cell>
          <cell r="B395" t="str">
            <v>NAC1323</v>
          </cell>
        </row>
        <row r="396">
          <cell r="A396" t="str">
            <v>Sam Rao Florist Inc.</v>
          </cell>
          <cell r="B396" t="str">
            <v>NAC1326</v>
          </cell>
        </row>
        <row r="397">
          <cell r="A397" t="str">
            <v>Sam's Club-</v>
          </cell>
          <cell r="B397" t="str">
            <v>NAC1327</v>
          </cell>
        </row>
        <row r="398">
          <cell r="A398" t="str">
            <v>Schaefer Greenhouses</v>
          </cell>
          <cell r="B398" t="str">
            <v>NAC1331</v>
          </cell>
        </row>
        <row r="399">
          <cell r="A399" t="str">
            <v>Schilling Greenhouses, Inc</v>
          </cell>
          <cell r="B399" t="str">
            <v>NAC1332</v>
          </cell>
        </row>
        <row r="400">
          <cell r="A400" t="str">
            <v>Schnucks Markets, Inc.</v>
          </cell>
          <cell r="B400" t="str">
            <v>NAC1333</v>
          </cell>
        </row>
        <row r="401">
          <cell r="A401" t="str">
            <v>SCHRADER FLORIST &amp; GREENHOUSE</v>
          </cell>
          <cell r="B401" t="str">
            <v>NAC1334</v>
          </cell>
        </row>
        <row r="402">
          <cell r="A402" t="str">
            <v>SHARUM'S GARDEN CENTER</v>
          </cell>
          <cell r="B402" t="str">
            <v>NAC1342</v>
          </cell>
        </row>
        <row r="403">
          <cell r="A403" t="str">
            <v>Shaw Florists</v>
          </cell>
          <cell r="B403" t="str">
            <v>NAC1343</v>
          </cell>
        </row>
        <row r="404">
          <cell r="A404" t="str">
            <v>Silk &amp; Morgan Blossoms</v>
          </cell>
          <cell r="B404" t="str">
            <v>NAC1346</v>
          </cell>
        </row>
        <row r="405">
          <cell r="A405" t="str">
            <v>Silver Vase, Inc.</v>
          </cell>
          <cell r="B405" t="str">
            <v>NAC1347</v>
          </cell>
        </row>
        <row r="406">
          <cell r="A406" t="str">
            <v>SIM'S POTTERY</v>
          </cell>
          <cell r="B406" t="str">
            <v>NAC1348</v>
          </cell>
        </row>
        <row r="407">
          <cell r="A407" t="str">
            <v>Simply Fresh Flowers, COPR</v>
          </cell>
          <cell r="B407" t="str">
            <v>NAC1349</v>
          </cell>
        </row>
        <row r="408">
          <cell r="A408" t="str">
            <v>SMITH GARDENS</v>
          </cell>
          <cell r="B408" t="str">
            <v>NAC1353</v>
          </cell>
        </row>
        <row r="409">
          <cell r="A409" t="str">
            <v>SMITH PLANT FACTORY INC.</v>
          </cell>
          <cell r="B409" t="str">
            <v>NAC1354</v>
          </cell>
        </row>
        <row r="410">
          <cell r="A410" t="str">
            <v>South Central Growers</v>
          </cell>
          <cell r="B410" t="str">
            <v>NAC1356</v>
          </cell>
        </row>
        <row r="411">
          <cell r="A411" t="str">
            <v>Southland Greenhouses, Inc</v>
          </cell>
          <cell r="B411" t="str">
            <v>NAC1357</v>
          </cell>
        </row>
        <row r="412">
          <cell r="A412" t="str">
            <v>Spectrum Production LLC</v>
          </cell>
          <cell r="B412" t="str">
            <v>NAC1359</v>
          </cell>
        </row>
        <row r="413">
          <cell r="A413" t="str">
            <v>Spring Creek Growers, Inc.</v>
          </cell>
          <cell r="B413" t="str">
            <v>NAC1362</v>
          </cell>
        </row>
        <row r="414">
          <cell r="A414" t="str">
            <v>Squak Mt Nursery</v>
          </cell>
          <cell r="B414" t="str">
            <v>NAC1366</v>
          </cell>
        </row>
        <row r="415">
          <cell r="A415" t="str">
            <v>Stadium Flowers DBA Cascade Wholesale</v>
          </cell>
          <cell r="B415" t="str">
            <v>NAC1367</v>
          </cell>
        </row>
        <row r="416">
          <cell r="A416" t="str">
            <v>Stems, Inc. / Chicago</v>
          </cell>
          <cell r="B416" t="str">
            <v>NAC1370</v>
          </cell>
        </row>
        <row r="417">
          <cell r="A417" t="str">
            <v>STUTZMAN GREENHOUSE, INC.</v>
          </cell>
          <cell r="B417" t="str">
            <v>NAC1372</v>
          </cell>
        </row>
        <row r="418">
          <cell r="A418" t="str">
            <v>Sun Valley Floral Farms</v>
          </cell>
          <cell r="B418" t="str">
            <v>NAC1376</v>
          </cell>
        </row>
        <row r="419">
          <cell r="A419" t="str">
            <v>Sunbelt Greenhouses</v>
          </cell>
          <cell r="B419" t="str">
            <v>NAC1377</v>
          </cell>
        </row>
        <row r="420">
          <cell r="A420" t="str">
            <v>SUNLET NURSERY, INC.</v>
          </cell>
          <cell r="B420" t="str">
            <v>NAC1380</v>
          </cell>
        </row>
        <row r="421">
          <cell r="A421" t="str">
            <v>SUNNY GARDENS, INC.</v>
          </cell>
          <cell r="B421" t="str">
            <v>NAC1381</v>
          </cell>
        </row>
        <row r="422">
          <cell r="A422" t="str">
            <v>Sunshine Bouquet</v>
          </cell>
          <cell r="B422" t="str">
            <v>NAC1382</v>
          </cell>
        </row>
        <row r="423">
          <cell r="A423" t="str">
            <v>Sunshine Grower</v>
          </cell>
          <cell r="B423" t="str">
            <v>NAC1385</v>
          </cell>
        </row>
        <row r="424">
          <cell r="A424" t="str">
            <v>Sunshine Growers Nursery</v>
          </cell>
          <cell r="B424" t="str">
            <v>NAC1386</v>
          </cell>
        </row>
        <row r="425">
          <cell r="A425" t="str">
            <v>Suplidora de Viveros</v>
          </cell>
          <cell r="B425" t="str">
            <v>NAC1393</v>
          </cell>
        </row>
        <row r="426">
          <cell r="A426" t="str">
            <v>Suplidora de Viveros RP, SRL</v>
          </cell>
          <cell r="B426" t="str">
            <v>NAC1394</v>
          </cell>
        </row>
        <row r="427">
          <cell r="A427" t="str">
            <v>Sutton Ferneries</v>
          </cell>
          <cell r="B427" t="str">
            <v>NAC1395</v>
          </cell>
        </row>
        <row r="428">
          <cell r="A428" t="str">
            <v>SWEET BLOSSOM</v>
          </cell>
          <cell r="B428" t="str">
            <v>NAC1396</v>
          </cell>
        </row>
        <row r="429">
          <cell r="A429" t="str">
            <v>Tagawa Greenhouse Enterprises, LLC</v>
          </cell>
          <cell r="B429" t="str">
            <v>NAC1399</v>
          </cell>
        </row>
        <row r="430">
          <cell r="A430" t="str">
            <v>TELLY'S GREENHOUSE</v>
          </cell>
          <cell r="B430" t="str">
            <v>NAC1404</v>
          </cell>
        </row>
        <row r="431">
          <cell r="A431" t="str">
            <v>The Bouqs Co</v>
          </cell>
          <cell r="B431" t="str">
            <v>NAC1408</v>
          </cell>
        </row>
        <row r="432">
          <cell r="A432" t="str">
            <v>The Giant Company</v>
          </cell>
          <cell r="B432" t="str">
            <v>NAC1413</v>
          </cell>
        </row>
        <row r="433">
          <cell r="A433" t="str">
            <v>The Pinery LLC</v>
          </cell>
          <cell r="B433" t="str">
            <v>NAC1417</v>
          </cell>
        </row>
        <row r="434">
          <cell r="A434" t="str">
            <v>THE PLANT RANCH</v>
          </cell>
          <cell r="B434" t="str">
            <v>NAC1419</v>
          </cell>
        </row>
        <row r="435">
          <cell r="A435" t="str">
            <v>The Rhoads Garden</v>
          </cell>
          <cell r="B435" t="str">
            <v>NAC1420</v>
          </cell>
        </row>
        <row r="436">
          <cell r="A436" t="str">
            <v>The USA Bouquet Co</v>
          </cell>
          <cell r="B436" t="str">
            <v>NAC1424</v>
          </cell>
        </row>
        <row r="437">
          <cell r="A437" t="str">
            <v>Tiger Lily Florist</v>
          </cell>
          <cell r="B437" t="str">
            <v>NAC1426</v>
          </cell>
        </row>
        <row r="438">
          <cell r="A438" t="str">
            <v>Tong See Yang Farms</v>
          </cell>
          <cell r="B438" t="str">
            <v>NAC1430</v>
          </cell>
        </row>
        <row r="439">
          <cell r="A439" t="str">
            <v>Tony's Wholesale Flowers USD</v>
          </cell>
          <cell r="B439" t="str">
            <v>NAC1432</v>
          </cell>
        </row>
        <row r="440">
          <cell r="A440" t="str">
            <v>Town &amp; Country Markets Inc</v>
          </cell>
          <cell r="B440" t="str">
            <v>NAC1434</v>
          </cell>
        </row>
        <row r="441">
          <cell r="A441" t="str">
            <v>UNFI</v>
          </cell>
          <cell r="B441" t="str">
            <v>NAC1448</v>
          </cell>
        </row>
        <row r="442">
          <cell r="A442" t="str">
            <v>United Nursery, LLC SW</v>
          </cell>
          <cell r="B442" t="str">
            <v>NAC1449</v>
          </cell>
        </row>
        <row r="443">
          <cell r="A443" t="str">
            <v>United Supermarkets</v>
          </cell>
          <cell r="B443" t="str">
            <v>NAC1450</v>
          </cell>
        </row>
        <row r="444">
          <cell r="A444" t="str">
            <v>Van Hoekelen Greenhouse Inc.</v>
          </cell>
          <cell r="B444" t="str">
            <v>NAC1471</v>
          </cell>
        </row>
        <row r="445">
          <cell r="A445" t="str">
            <v>Van Vugt Green Houses, Inc</v>
          </cell>
          <cell r="B445" t="str">
            <v>NAC1472</v>
          </cell>
        </row>
        <row r="446">
          <cell r="A446" t="str">
            <v>Van Wingerden Greenhouses</v>
          </cell>
          <cell r="B446" t="str">
            <v>NAC1473</v>
          </cell>
        </row>
        <row r="447">
          <cell r="A447" t="str">
            <v>Van Wingerden International</v>
          </cell>
          <cell r="B447" t="str">
            <v>NAC1474</v>
          </cell>
        </row>
        <row r="448">
          <cell r="A448" t="str">
            <v>Varner's Greenhouse, Inc</v>
          </cell>
          <cell r="B448" t="str">
            <v>NAC1479</v>
          </cell>
        </row>
        <row r="449">
          <cell r="A449" t="str">
            <v>Village Florist</v>
          </cell>
          <cell r="B449" t="str">
            <v>NAC1482</v>
          </cell>
        </row>
        <row r="450">
          <cell r="A450" t="str">
            <v>Vistaflor E-Commerce USA LLC</v>
          </cell>
          <cell r="B450" t="str">
            <v>NAC1483</v>
          </cell>
        </row>
        <row r="451">
          <cell r="A451" t="str">
            <v>VIVEROS EL VOLCAN, S.A. DE C.V.</v>
          </cell>
          <cell r="B451" t="str">
            <v>NAC1485</v>
          </cell>
        </row>
        <row r="452">
          <cell r="A452" t="str">
            <v>Viviano Flower Shop</v>
          </cell>
          <cell r="B452" t="str">
            <v>NAC1486</v>
          </cell>
        </row>
        <row r="453">
          <cell r="A453" t="str">
            <v>Wakefern Food Corp.</v>
          </cell>
          <cell r="B453" t="str">
            <v>NAC1488</v>
          </cell>
        </row>
        <row r="454">
          <cell r="A454" t="str">
            <v>Wallkill View Farm, LLC</v>
          </cell>
          <cell r="B454" t="str">
            <v>NAC1490</v>
          </cell>
        </row>
        <row r="455">
          <cell r="A455" t="str">
            <v>Washington Bulb Co., Inc.</v>
          </cell>
          <cell r="B455" t="str">
            <v>NAC1498</v>
          </cell>
        </row>
        <row r="456">
          <cell r="A456" t="str">
            <v>Washington Floral Services Inc.</v>
          </cell>
          <cell r="B456" t="str">
            <v>NAC1499</v>
          </cell>
        </row>
        <row r="457">
          <cell r="A457" t="str">
            <v>Wasserstrom Co.*</v>
          </cell>
          <cell r="B457" t="str">
            <v>NAC1500</v>
          </cell>
        </row>
        <row r="458">
          <cell r="A458" t="str">
            <v>We Take The Cake</v>
          </cell>
          <cell r="B458" t="str">
            <v>NAC1504</v>
          </cell>
        </row>
        <row r="459">
          <cell r="A459" t="str">
            <v>WEBER'S GREENHOUSE &amp; FARMS LLC</v>
          </cell>
          <cell r="B459" t="str">
            <v>NAC1505</v>
          </cell>
        </row>
        <row r="460">
          <cell r="A460" t="str">
            <v>Wegmans Food Market</v>
          </cell>
          <cell r="B460" t="str">
            <v>NAC1506</v>
          </cell>
        </row>
        <row r="461">
          <cell r="A461" t="str">
            <v>Westland Floral Co</v>
          </cell>
          <cell r="B461" t="str">
            <v>NAC1512</v>
          </cell>
        </row>
        <row r="462">
          <cell r="A462" t="str">
            <v>Westwood Gardens</v>
          </cell>
          <cell r="B462" t="str">
            <v>NAC1514</v>
          </cell>
        </row>
        <row r="463">
          <cell r="A463" t="str">
            <v>Whole Foods Market</v>
          </cell>
          <cell r="B463" t="str">
            <v>NAC1517</v>
          </cell>
        </row>
        <row r="464">
          <cell r="A464" t="str">
            <v>WHOLESALE FLOWERS AND SUPPLIES</v>
          </cell>
          <cell r="B464" t="str">
            <v>NAC1521</v>
          </cell>
        </row>
        <row r="465">
          <cell r="A465" t="str">
            <v>Wickman's Garden Village</v>
          </cell>
          <cell r="B465" t="str">
            <v>NAC1522</v>
          </cell>
        </row>
        <row r="466">
          <cell r="A466" t="str">
            <v>Williams Plant Farm</v>
          </cell>
          <cell r="B466" t="str">
            <v>NAC1524</v>
          </cell>
        </row>
        <row r="467">
          <cell r="A467" t="str">
            <v>Willow Run Greenhouse</v>
          </cell>
          <cell r="B467" t="str">
            <v>NAC1525</v>
          </cell>
        </row>
        <row r="468">
          <cell r="A468" t="str">
            <v>Wojo's Greenhouses-</v>
          </cell>
          <cell r="B468" t="str">
            <v>NAC1527</v>
          </cell>
        </row>
        <row r="469">
          <cell r="A469" t="str">
            <v>Wong Whole Sale, Inc.</v>
          </cell>
          <cell r="B469" t="str">
            <v>NAC1528</v>
          </cell>
        </row>
        <row r="470">
          <cell r="A470" t="str">
            <v>Woodburn Nursery &amp; Azaleas</v>
          </cell>
          <cell r="B470" t="str">
            <v>NAC1529</v>
          </cell>
        </row>
        <row r="471">
          <cell r="A471" t="str">
            <v>Woodlane Flowers, Inc.</v>
          </cell>
          <cell r="B471" t="str">
            <v>NAC1530</v>
          </cell>
        </row>
        <row r="472">
          <cell r="A472" t="str">
            <v>Worden Farm</v>
          </cell>
          <cell r="B472" t="str">
            <v>NAC1531</v>
          </cell>
        </row>
        <row r="473">
          <cell r="A473" t="str">
            <v>WYATT QUARLES SEED COMPANY</v>
          </cell>
          <cell r="B473" t="str">
            <v>NAC1533</v>
          </cell>
        </row>
        <row r="474">
          <cell r="A474" t="str">
            <v>Xiong Family Farm</v>
          </cell>
          <cell r="B474" t="str">
            <v>NAC1536</v>
          </cell>
        </row>
        <row r="475">
          <cell r="A475" t="str">
            <v>YODER'S PRODUCE LTD.</v>
          </cell>
          <cell r="B475" t="str">
            <v>NAC1538</v>
          </cell>
        </row>
        <row r="476">
          <cell r="A476" t="str">
            <v>Young's Plant Farm, Inc</v>
          </cell>
          <cell r="B476" t="str">
            <v>NAC1539</v>
          </cell>
        </row>
        <row r="477">
          <cell r="A477" t="str">
            <v>Zoolarity</v>
          </cell>
          <cell r="B477" t="str">
            <v>NAC1543</v>
          </cell>
        </row>
        <row r="478">
          <cell r="A478" t="str">
            <v>Ramco Plastics LTD.</v>
          </cell>
          <cell r="B478" t="str">
            <v>NAC1544</v>
          </cell>
        </row>
        <row r="479">
          <cell r="A479" t="str">
            <v>Thorsens Greenhouse , LLC</v>
          </cell>
          <cell r="B479" t="str">
            <v>NAC1545</v>
          </cell>
        </row>
        <row r="480">
          <cell r="A480" t="str">
            <v>Bloomia</v>
          </cell>
          <cell r="B480" t="str">
            <v>NAC1574</v>
          </cell>
        </row>
        <row r="481">
          <cell r="A481" t="str">
            <v>Marion Development LLC</v>
          </cell>
          <cell r="B481" t="str">
            <v>NAC1594</v>
          </cell>
        </row>
        <row r="482">
          <cell r="A482" t="str">
            <v>Native Wholesale Inc</v>
          </cell>
          <cell r="B482" t="str">
            <v>NAC1604</v>
          </cell>
        </row>
        <row r="483">
          <cell r="A483" t="str">
            <v>Kendal</v>
          </cell>
          <cell r="B483" t="str">
            <v>NAC1606</v>
          </cell>
        </row>
        <row r="484">
          <cell r="A484" t="str">
            <v>Hugo´s Supermarket</v>
          </cell>
          <cell r="B484" t="str">
            <v>NAC1607</v>
          </cell>
        </row>
        <row r="485">
          <cell r="A485" t="str">
            <v>DWF Wholesale Florist</v>
          </cell>
          <cell r="B485" t="str">
            <v>NAC1608</v>
          </cell>
        </row>
        <row r="486">
          <cell r="A486" t="str">
            <v>Super Saver</v>
          </cell>
          <cell r="B486" t="str">
            <v>NAC1610</v>
          </cell>
        </row>
        <row r="487">
          <cell r="A487" t="str">
            <v>Milgro</v>
          </cell>
          <cell r="B487" t="str">
            <v>NAC1611</v>
          </cell>
        </row>
        <row r="488">
          <cell r="A488" t="str">
            <v>Family Fare</v>
          </cell>
          <cell r="B488" t="str">
            <v>NAC1612</v>
          </cell>
        </row>
        <row r="489">
          <cell r="A489" t="str">
            <v>Galemas Greenhouse Inc</v>
          </cell>
          <cell r="B489" t="str">
            <v>NAC1613</v>
          </cell>
        </row>
        <row r="490">
          <cell r="A490" t="str">
            <v>Meta Platforms, Inc.</v>
          </cell>
          <cell r="B490" t="str">
            <v>NAC1614</v>
          </cell>
        </row>
        <row r="491">
          <cell r="A491" t="str">
            <v>Queens Flowers</v>
          </cell>
          <cell r="B491" t="str">
            <v>NAC1615</v>
          </cell>
        </row>
        <row r="492">
          <cell r="A492" t="str">
            <v>Kendal Floral 1</v>
          </cell>
          <cell r="B492" t="str">
            <v>NAC1616</v>
          </cell>
        </row>
        <row r="493">
          <cell r="A493" t="str">
            <v>Americana Kingfisher co</v>
          </cell>
          <cell r="B493" t="str">
            <v>NAC1617</v>
          </cell>
        </row>
        <row r="494">
          <cell r="A494" t="str">
            <v>Alpha Botanical, Inc</v>
          </cell>
          <cell r="B494" t="str">
            <v>NAC1621</v>
          </cell>
        </row>
        <row r="495">
          <cell r="A495" t="str">
            <v>Giordano's Floral Creations</v>
          </cell>
          <cell r="B495" t="str">
            <v>NAC1628</v>
          </cell>
        </row>
        <row r="496">
          <cell r="A496" t="str">
            <v>Vivo Floral LLC</v>
          </cell>
          <cell r="B496" t="str">
            <v>NAC1642</v>
          </cell>
        </row>
        <row r="497">
          <cell r="A497" t="str">
            <v>Frey´s Greenhouse LLC</v>
          </cell>
          <cell r="B497" t="str">
            <v>NAC1645</v>
          </cell>
        </row>
        <row r="498">
          <cell r="A498" t="str">
            <v>A Touch of Elegance</v>
          </cell>
          <cell r="B498" t="str">
            <v>NAC1647</v>
          </cell>
        </row>
        <row r="499">
          <cell r="A499" t="str">
            <v>Amazon.com, Inc</v>
          </cell>
          <cell r="B499" t="str">
            <v>NAC1650</v>
          </cell>
        </row>
        <row r="500">
          <cell r="A500" t="str">
            <v>A &amp; S Whitestone Nursery INC</v>
          </cell>
          <cell r="B500" t="str">
            <v>NAC1653</v>
          </cell>
        </row>
        <row r="501">
          <cell r="A501" t="str">
            <v>Lake Flowers Shippers</v>
          </cell>
          <cell r="B501" t="str">
            <v>NAC1655</v>
          </cell>
        </row>
        <row r="502">
          <cell r="A502" t="str">
            <v>Barrett's Garden Center. LLC</v>
          </cell>
          <cell r="B502" t="str">
            <v>NAC1662</v>
          </cell>
        </row>
        <row r="503">
          <cell r="A503" t="str">
            <v>Akiko Senda (hannah@bloommaven.com)</v>
          </cell>
          <cell r="B503" t="str">
            <v>SH00025</v>
          </cell>
        </row>
        <row r="504">
          <cell r="A504" t="str">
            <v>Amy Morgan (amy@lefleurfloraldesign.com)</v>
          </cell>
          <cell r="B504" t="str">
            <v>SH00093</v>
          </cell>
        </row>
        <row r="505">
          <cell r="A505" t="str">
            <v>angela eberz (eberzangel@yahoo.com)</v>
          </cell>
          <cell r="B505" t="str">
            <v>SH00125</v>
          </cell>
        </row>
        <row r="506">
          <cell r="A506" t="str">
            <v>Angie Choi (sharon.k@hsresort.com)</v>
          </cell>
          <cell r="B506" t="str">
            <v>SH00136</v>
          </cell>
        </row>
        <row r="507">
          <cell r="A507" t="str">
            <v>Arisara Farley (theburrowflowerandgar...)</v>
          </cell>
          <cell r="B507" t="str">
            <v>SH00171</v>
          </cell>
        </row>
        <row r="508">
          <cell r="A508" t="str">
            <v>Asae Takahashi (asaetakahashi@gmail.com)</v>
          </cell>
          <cell r="B508" t="str">
            <v>SH00177</v>
          </cell>
        </row>
        <row r="509">
          <cell r="A509" t="str">
            <v>Betsy Scott (bscott@mpumc.org)</v>
          </cell>
          <cell r="B509" t="str">
            <v>SH00234</v>
          </cell>
        </row>
        <row r="510">
          <cell r="A510" t="str">
            <v>Brandiann Garcia Salinas (greetings@e...)</v>
          </cell>
          <cell r="B510" t="str">
            <v>SH00267</v>
          </cell>
        </row>
        <row r="511">
          <cell r="A511" t="str">
            <v>Brian Owen (bgowen13@gmail.com)</v>
          </cell>
          <cell r="B511" t="str">
            <v>SH00288</v>
          </cell>
        </row>
        <row r="512">
          <cell r="A512" t="str">
            <v>C. Pat Phillips (phillipspat417@gmail...)</v>
          </cell>
          <cell r="B512" t="str">
            <v>SH00319</v>
          </cell>
        </row>
        <row r="513">
          <cell r="A513" t="str">
            <v>Candace Wansley (elizabthswann@gmail.com)</v>
          </cell>
          <cell r="B513" t="str">
            <v>SH00328</v>
          </cell>
        </row>
        <row r="514">
          <cell r="A514" t="str">
            <v>Cece Otto (lazydogranchtonasket@gmail...)</v>
          </cell>
          <cell r="B514" t="str">
            <v>SH00378</v>
          </cell>
        </row>
        <row r="515">
          <cell r="A515" t="str">
            <v>Chad Clark (theflowercoba@gmail.com)</v>
          </cell>
          <cell r="B515" t="str">
            <v>SH00385</v>
          </cell>
        </row>
        <row r="516">
          <cell r="A516" t="str">
            <v>Chelsey Myers (wilberfloral@gmail.com)</v>
          </cell>
          <cell r="B516" t="str">
            <v>SH00400</v>
          </cell>
        </row>
        <row r="517">
          <cell r="A517" t="str">
            <v>CHRISTINE VASCONCELO christine@bloomingdays.com</v>
          </cell>
          <cell r="B517" t="str">
            <v>SH00439</v>
          </cell>
        </row>
        <row r="518">
          <cell r="A518" t="str">
            <v>Christopher Owens chris@lemontreeflower.com</v>
          </cell>
          <cell r="B518" t="str">
            <v>SH00442</v>
          </cell>
        </row>
        <row r="519">
          <cell r="A519" t="str">
            <v>Cooper Charlton (chgreenhouses21@gmai...)</v>
          </cell>
          <cell r="B519" t="str">
            <v>SH00493</v>
          </cell>
        </row>
        <row r="520">
          <cell r="A520" t="str">
            <v>Deborah Corrao (hoorays@aol.com)</v>
          </cell>
          <cell r="B520" t="str">
            <v>SH00596</v>
          </cell>
        </row>
        <row r="521">
          <cell r="A521" t="str">
            <v>Debra Leblanc (leblanccatherine08@gma...)</v>
          </cell>
          <cell r="B521" t="str">
            <v>SH00608</v>
          </cell>
        </row>
        <row r="522">
          <cell r="A522" t="str">
            <v>Debra Spinks (dflowersmore@aol.com)</v>
          </cell>
          <cell r="B522" t="str">
            <v>SH00610</v>
          </cell>
        </row>
        <row r="523">
          <cell r="A523" t="str">
            <v>Debra Weaver (debbie@eventsplusnashvi...)</v>
          </cell>
          <cell r="B523" t="str">
            <v>SH00611</v>
          </cell>
        </row>
        <row r="524">
          <cell r="A524" t="str">
            <v>Devony Scott (shopposhpetals@gmail.com)</v>
          </cell>
          <cell r="B524" t="str">
            <v>SH00637</v>
          </cell>
        </row>
        <row r="525">
          <cell r="A525" t="str">
            <v>Diane Andrade (dbsa12@aol.com)</v>
          </cell>
          <cell r="B525" t="str">
            <v>SH00642</v>
          </cell>
        </row>
        <row r="526">
          <cell r="A526" t="str">
            <v>Diane Joyal (diane@bowerbirdflowers.com)</v>
          </cell>
          <cell r="B526" t="str">
            <v>SH00645</v>
          </cell>
        </row>
        <row r="527">
          <cell r="A527" t="str">
            <v>Donna Covell (dcovell@powellgardens.org)</v>
          </cell>
          <cell r="B527" t="str">
            <v>SH00659</v>
          </cell>
        </row>
        <row r="528">
          <cell r="A528" t="str">
            <v>Egly Gramajo (edamy2010@hotmail.com)</v>
          </cell>
          <cell r="B528" t="str">
            <v>SH00691</v>
          </cell>
        </row>
        <row r="529">
          <cell r="A529" t="str">
            <v>Ellen Keim (ellenmkeim@gmail.com)</v>
          </cell>
          <cell r="B529" t="str">
            <v>SH00725</v>
          </cell>
        </row>
        <row r="530">
          <cell r="A530" t="str">
            <v>Emily Cafaro (emily.cafaro@archny.org)</v>
          </cell>
          <cell r="B530" t="str">
            <v>SH00736</v>
          </cell>
        </row>
        <row r="531">
          <cell r="A531" t="str">
            <v>Emily Moth (ecmoth@yahoo.com)</v>
          </cell>
          <cell r="B531" t="str">
            <v>SH00744</v>
          </cell>
        </row>
        <row r="532">
          <cell r="A532" t="str">
            <v>Emily Mox (emox@udel.edu)</v>
          </cell>
          <cell r="B532" t="str">
            <v>SH00746</v>
          </cell>
        </row>
        <row r="533">
          <cell r="A533" t="str">
            <v>Emma Espey (wildrootsplants@gmail.com)</v>
          </cell>
          <cell r="B533" t="str">
            <v>SH00749</v>
          </cell>
        </row>
        <row r="534">
          <cell r="A534" t="str">
            <v>Erin Padden (njacresfarm@gmail.com)</v>
          </cell>
          <cell r="B534" t="str">
            <v>SH00762</v>
          </cell>
        </row>
        <row r="535">
          <cell r="A535" t="str">
            <v>Eryn Johnson (eesjohnson@gmail.com)</v>
          </cell>
          <cell r="B535" t="str">
            <v>SH00763</v>
          </cell>
        </row>
        <row r="536">
          <cell r="A536" t="str">
            <v>Felicia Barron (lifeinbloomfloraldesi...)</v>
          </cell>
          <cell r="B536" t="str">
            <v>SH00781</v>
          </cell>
        </row>
        <row r="537">
          <cell r="A537" t="str">
            <v>Four Flowers (sales@4seasonsflowers.com)</v>
          </cell>
          <cell r="B537" t="str">
            <v>SH00787</v>
          </cell>
        </row>
        <row r="538">
          <cell r="A538" t="str">
            <v>Fred Biser (fbiserjtm@gmail.com)</v>
          </cell>
          <cell r="B538" t="str">
            <v>SH00796</v>
          </cell>
        </row>
        <row r="539">
          <cell r="A539" t="str">
            <v>gail lieblang (glieblang@gmail.com)</v>
          </cell>
          <cell r="B539" t="str">
            <v>SH00807</v>
          </cell>
        </row>
        <row r="540">
          <cell r="A540" t="str">
            <v>Gary Shaw (shawgary674@gmail.com)</v>
          </cell>
          <cell r="B540" t="str">
            <v>SH00814</v>
          </cell>
        </row>
        <row r="541">
          <cell r="A541" t="str">
            <v>Grace Newman (gnewman@dccs.org)</v>
          </cell>
          <cell r="B541" t="str">
            <v>SH00840</v>
          </cell>
        </row>
        <row r="542">
          <cell r="A542" t="str">
            <v>Griselle Pacheco (griselle.pacheco@gm...)</v>
          </cell>
          <cell r="B542" t="str">
            <v>SH00849</v>
          </cell>
        </row>
        <row r="543">
          <cell r="A543" t="str">
            <v>Hailee Green (lovebuggardens25@gmail.com)</v>
          </cell>
          <cell r="B543" t="str">
            <v>SH00860</v>
          </cell>
        </row>
        <row r="544">
          <cell r="A544" t="str">
            <v>Irina Zakachura (scentfloristva@gmail...)</v>
          </cell>
          <cell r="B544" t="str">
            <v>SH00932</v>
          </cell>
        </row>
        <row r="545">
          <cell r="A545" t="str">
            <v>Jaime MAcklin (macklinjl@uamont.edu)</v>
          </cell>
          <cell r="B545" t="str">
            <v>SH00962</v>
          </cell>
        </row>
        <row r="546">
          <cell r="A546" t="str">
            <v>JAMES PAGE (jcpage87@yahoo.com)</v>
          </cell>
          <cell r="B546" t="str">
            <v>SH00970</v>
          </cell>
        </row>
        <row r="547">
          <cell r="A547" t="str">
            <v>jamie.waddingham@northpolk.org (jamie...)</v>
          </cell>
          <cell r="B547" t="str">
            <v>SH00978</v>
          </cell>
        </row>
        <row r="548">
          <cell r="A548" t="str">
            <v>Jaqueline Cruz (jaquiflamenco@gmail.com)</v>
          </cell>
          <cell r="B548" t="str">
            <v>SH00999</v>
          </cell>
        </row>
        <row r="549">
          <cell r="A549" t="str">
            <v>Jaskany Abreu (83superfresh@gmail.com)</v>
          </cell>
          <cell r="B549" t="str">
            <v>SH01000</v>
          </cell>
        </row>
        <row r="550">
          <cell r="A550" t="str">
            <v>Jeanna Bailey (floralmatters@yahoo.com)</v>
          </cell>
          <cell r="B550" t="str">
            <v>SH01009</v>
          </cell>
        </row>
        <row r="551">
          <cell r="A551" t="str">
            <v>Jeanne Ha (jeanne@parkflorist.us)</v>
          </cell>
          <cell r="B551" t="str">
            <v>SH01010</v>
          </cell>
        </row>
        <row r="552">
          <cell r="A552" t="str">
            <v>Jennifer Easton jeaston@rpgolfclub.com</v>
          </cell>
          <cell r="B552" t="str">
            <v>SH01028</v>
          </cell>
        </row>
        <row r="553">
          <cell r="A553" t="str">
            <v>Jennifer Layne Mann (lamppostco@gmail...)</v>
          </cell>
          <cell r="B553" t="str">
            <v>SH01036</v>
          </cell>
        </row>
        <row r="554">
          <cell r="A554" t="str">
            <v>Jillian Barraclough (askjilllee@gmail...)</v>
          </cell>
          <cell r="B554" t="str">
            <v>SH01087</v>
          </cell>
        </row>
        <row r="555">
          <cell r="A555" t="str">
            <v>Jillian Barraclough JILLLEEMDC@GMAIL.COM</v>
          </cell>
          <cell r="B555" t="str">
            <v>SH01088</v>
          </cell>
        </row>
        <row r="556">
          <cell r="A556" t="str">
            <v>Jimmy Burrage (jimmy@marvelsflowers.com)</v>
          </cell>
          <cell r="B556" t="str">
            <v>SH01094</v>
          </cell>
        </row>
        <row r="557">
          <cell r="A557" t="str">
            <v>Johannah Frelier (johannah@granorfarm...)</v>
          </cell>
          <cell r="B557" t="str">
            <v>SH01120</v>
          </cell>
        </row>
        <row r="558">
          <cell r="A558" t="str">
            <v>Johnny MANGOS (johnnymangosunique@gma...)</v>
          </cell>
          <cell r="B558" t="str">
            <v>SH01137</v>
          </cell>
        </row>
        <row r="559">
          <cell r="A559" t="str">
            <v>Jose Garcia (flodimsales@gmail.com)</v>
          </cell>
          <cell r="B559" t="str">
            <v>SH01151</v>
          </cell>
        </row>
        <row r="560">
          <cell r="A560" t="str">
            <v>Jose Gutierrez (lupitacruz@stjohnfish...)</v>
          </cell>
          <cell r="B560" t="str">
            <v>SH01153</v>
          </cell>
        </row>
        <row r="561">
          <cell r="A561" t="str">
            <v>Joseane Vigo (jovigousa@gmail.com)</v>
          </cell>
          <cell r="B561" t="str">
            <v>SH01154</v>
          </cell>
        </row>
        <row r="562">
          <cell r="A562" t="str">
            <v>Joy Gregory (chloescollections@gmail.com)</v>
          </cell>
          <cell r="B562" t="str">
            <v>SH01159</v>
          </cell>
        </row>
        <row r="563">
          <cell r="A563" t="str">
            <v>Joyce Wager (joycewager49@gmail.com)</v>
          </cell>
          <cell r="B563" t="str">
            <v>SH01166</v>
          </cell>
        </row>
        <row r="564">
          <cell r="A564" t="str">
            <v>Juana Martinez (joannas.corner@yahoo.com)</v>
          </cell>
          <cell r="B564" t="str">
            <v>SH01170</v>
          </cell>
        </row>
        <row r="565">
          <cell r="A565" t="str">
            <v>Julia Covino (jcovino@mahoneysgarden.com)</v>
          </cell>
          <cell r="B565" t="str">
            <v>SH01179</v>
          </cell>
        </row>
        <row r="566">
          <cell r="A566" t="str">
            <v>Kaila Ward (theplantward@outlook.com)</v>
          </cell>
          <cell r="B566" t="str">
            <v>SH01208</v>
          </cell>
        </row>
        <row r="567">
          <cell r="A567" t="str">
            <v>Kallie Durden (theflowercompany21@gma...)</v>
          </cell>
          <cell r="B567" t="str">
            <v>SH01211</v>
          </cell>
        </row>
        <row r="568">
          <cell r="A568" t="str">
            <v>Karen Godfrey (kgodfrey@maranatha.org)</v>
          </cell>
          <cell r="B568" t="str">
            <v>SH01222</v>
          </cell>
        </row>
        <row r="569">
          <cell r="A569" t="str">
            <v>Keith Jackson (kajaxon@gmail.com)</v>
          </cell>
          <cell r="B569" t="str">
            <v>SH01298</v>
          </cell>
        </row>
        <row r="570">
          <cell r="A570" t="str">
            <v>Kelly Glover (armfulflowers@gmail.com)</v>
          </cell>
          <cell r="B570" t="str">
            <v>SH01312</v>
          </cell>
        </row>
        <row r="571">
          <cell r="A571" t="str">
            <v>Kimberly Malouf (pkmalouf@gmail.com)</v>
          </cell>
          <cell r="B571" t="str">
            <v>SH01372</v>
          </cell>
        </row>
        <row r="572">
          <cell r="A572" t="str">
            <v>Laila Williams (budgetflorals@gmail.com)</v>
          </cell>
          <cell r="B572" t="str">
            <v>SH01416</v>
          </cell>
        </row>
        <row r="573">
          <cell r="A573" t="str">
            <v>Lana King (lanaking@aol.com)</v>
          </cell>
          <cell r="B573" t="str">
            <v>SH01417</v>
          </cell>
        </row>
        <row r="574">
          <cell r="A574" t="str">
            <v>Laney Vivo (laneyvivo@yahoo.com)</v>
          </cell>
          <cell r="B574" t="str">
            <v>SH01418</v>
          </cell>
        </row>
        <row r="575">
          <cell r="A575" t="str">
            <v>Leland Atkinson (leland@sinplicitycat...)</v>
          </cell>
          <cell r="B575" t="str">
            <v>SH01485</v>
          </cell>
        </row>
        <row r="576">
          <cell r="A576" t="str">
            <v>Megan Mitchell (team@sunrisefloral.com)</v>
          </cell>
          <cell r="B576" t="str">
            <v>SH01779</v>
          </cell>
        </row>
        <row r="577">
          <cell r="A577" t="str">
            <v>Melody Pryor (patsplants2mp@gmail.com)</v>
          </cell>
          <cell r="B577" t="str">
            <v>SH01806</v>
          </cell>
        </row>
        <row r="578">
          <cell r="A578" t="str">
            <v>Michelle Guentner (g.gardens@icloud.com)</v>
          </cell>
          <cell r="B578" t="str">
            <v>SH01835</v>
          </cell>
        </row>
        <row r="579">
          <cell r="A579" t="str">
            <v>Michelle Summers (michelle.sharese@gm...)</v>
          </cell>
          <cell r="B579" t="str">
            <v>SH01852</v>
          </cell>
        </row>
        <row r="580">
          <cell r="A580" t="str">
            <v>Miranda Bergeron (mirandashawaryn@yah...)</v>
          </cell>
          <cell r="B580" t="str">
            <v>SH01864</v>
          </cell>
        </row>
        <row r="581">
          <cell r="A581" t="str">
            <v>Misty Page/ Floral (dodsonsfloral@gma...)</v>
          </cell>
          <cell r="B581" t="str">
            <v>SH01872</v>
          </cell>
        </row>
        <row r="582">
          <cell r="A582" t="str">
            <v>Mohamed Abou Taleb (apolloynot@gmail.com)</v>
          </cell>
          <cell r="B582" t="str">
            <v>SH01877</v>
          </cell>
        </row>
        <row r="583">
          <cell r="A583" t="str">
            <v>Moore (emarie3@cox.net)</v>
          </cell>
          <cell r="B583" t="str">
            <v>SH01886</v>
          </cell>
        </row>
        <row r="584">
          <cell r="A584" t="str">
            <v>Mora Farag (morafarag@gmail.com)</v>
          </cell>
          <cell r="B584" t="str">
            <v>SH01888</v>
          </cell>
        </row>
        <row r="585">
          <cell r="A585" t="str">
            <v>Nataliya Zaslavskaya (nflowers49@gmai...)</v>
          </cell>
          <cell r="B585" t="str">
            <v>SH01913</v>
          </cell>
        </row>
        <row r="586">
          <cell r="A586" t="str">
            <v>Patricia Westgate (patricia@betweenth...)</v>
          </cell>
          <cell r="B586" t="str">
            <v>SH02013</v>
          </cell>
        </row>
        <row r="587">
          <cell r="A587" t="str">
            <v>Peter Kikot (pkikot@sponzilli.com)</v>
          </cell>
          <cell r="B587" t="str">
            <v>SH02041</v>
          </cell>
        </row>
        <row r="588">
          <cell r="A588" t="str">
            <v>PHALLY NEAK (psneak@mseaudio.com)</v>
          </cell>
          <cell r="B588" t="str">
            <v>SH02044</v>
          </cell>
        </row>
        <row r="589">
          <cell r="A589" t="str">
            <v>Pollyanna Brown (tourismsolutionsltd@...)</v>
          </cell>
          <cell r="B589" t="str">
            <v>SH02052</v>
          </cell>
        </row>
        <row r="590">
          <cell r="A590" t="str">
            <v>Rachel Bakker (coventrygardensflowers...)</v>
          </cell>
          <cell r="B590" t="str">
            <v>SH02061</v>
          </cell>
        </row>
        <row r="591">
          <cell r="A591" t="str">
            <v>Rebecca Priester (becca1607@yahoo.com)</v>
          </cell>
          <cell r="B591" t="str">
            <v>SH02092</v>
          </cell>
        </row>
        <row r="592">
          <cell r="A592" t="str">
            <v>Ruth Hempel (hempel@charter.net)</v>
          </cell>
          <cell r="B592" t="str">
            <v>SH02176</v>
          </cell>
        </row>
        <row r="593">
          <cell r="A593" t="str">
            <v>Sally Strzalka (sstrzalka@wheatonacad...)</v>
          </cell>
          <cell r="B593" t="str">
            <v>SH02192</v>
          </cell>
        </row>
        <row r="594">
          <cell r="A594" t="str">
            <v>Sara Gardner (chickgardner@yahoo.com)</v>
          </cell>
          <cell r="B594" t="str">
            <v>SH02229</v>
          </cell>
        </row>
        <row r="595">
          <cell r="A595" t="str">
            <v>Sarah Ruuska (luteysmqt@yahoo.com)</v>
          </cell>
          <cell r="B595" t="str">
            <v>SH02240</v>
          </cell>
        </row>
        <row r="596">
          <cell r="A596" t="str">
            <v>Sebrell Smith (sebrell@sebrellsmith.com)</v>
          </cell>
          <cell r="B596" t="str">
            <v>SH02257</v>
          </cell>
        </row>
        <row r="597">
          <cell r="A597" t="str">
            <v>sharon beamon (sbrupps@comcast.net)</v>
          </cell>
          <cell r="B597" t="str">
            <v>SH02285</v>
          </cell>
        </row>
        <row r="598">
          <cell r="A598" t="str">
            <v>Sharon Rooker(irmamathisglenn@gmail.com)</v>
          </cell>
          <cell r="B598" t="str">
            <v>SH02288</v>
          </cell>
        </row>
        <row r="599">
          <cell r="A599" t="str">
            <v>Sharonne Latimer (sklatimer@aol.com)</v>
          </cell>
          <cell r="B599" t="str">
            <v>SH02291</v>
          </cell>
        </row>
        <row r="600">
          <cell r="A600" t="str">
            <v>Shawn Turner (shawnlturner@gmail.com)</v>
          </cell>
          <cell r="B600" t="str">
            <v>SH02293</v>
          </cell>
        </row>
        <row r="601">
          <cell r="A601" t="str">
            <v>Susan Toomey (sgtoomey@aol.com)</v>
          </cell>
          <cell r="B601" t="str">
            <v>SH02407</v>
          </cell>
        </row>
        <row r="602">
          <cell r="A602" t="str">
            <v>Timothy Harton (coopersflorist@aol.com)</v>
          </cell>
          <cell r="B602" t="str">
            <v>SH02508</v>
          </cell>
        </row>
        <row r="603">
          <cell r="A603" t="str">
            <v>vicky rotunno (vickyr@alsflorist.com)</v>
          </cell>
          <cell r="B603" t="str">
            <v>SH02587</v>
          </cell>
        </row>
        <row r="604">
          <cell r="A604" t="str">
            <v>Wendy Williams (threesistersfarm50@ya...)</v>
          </cell>
          <cell r="B604" t="str">
            <v>SH02612</v>
          </cell>
        </row>
        <row r="605">
          <cell r="A605" t="str">
            <v>Yvette Frazier (ysdevents@yahoo.com)</v>
          </cell>
          <cell r="B605" t="str">
            <v>SH02646</v>
          </cell>
        </row>
        <row r="606">
          <cell r="A606" t="str">
            <v>Zach Jones (bearded.bouquet@gmail.com)</v>
          </cell>
          <cell r="B606" t="str">
            <v>SH02648</v>
          </cell>
        </row>
        <row r="607">
          <cell r="A607" t="str">
            <v>Chrissy Ashcraft (tfgblairsville@gmai...)</v>
          </cell>
          <cell r="B607" t="str">
            <v>SH02673</v>
          </cell>
        </row>
        <row r="608">
          <cell r="A608" t="str">
            <v>Jessica Quick (hi@storylinesfloralco.com)</v>
          </cell>
          <cell r="B608" t="str">
            <v>SH02677</v>
          </cell>
        </row>
        <row r="609">
          <cell r="A609" t="str">
            <v>Liz Tinter flowers@olmstedfallscuttinggarden.com</v>
          </cell>
          <cell r="B609" t="str">
            <v>SH02683</v>
          </cell>
        </row>
        <row r="610">
          <cell r="A610" t="str">
            <v>Chandler Rossi (chandler@davidsdaught...)</v>
          </cell>
          <cell r="B610" t="str">
            <v>SH02686</v>
          </cell>
        </row>
        <row r="611">
          <cell r="A611" t="str">
            <v>Panhia Hicks (plor637@gmail.com)</v>
          </cell>
          <cell r="B611" t="str">
            <v>SH02695</v>
          </cell>
        </row>
        <row r="612">
          <cell r="A612" t="str">
            <v>Corine DeFrancesco (defrancescofarmst...)</v>
          </cell>
          <cell r="B612" t="str">
            <v>SH02707</v>
          </cell>
        </row>
        <row r="613">
          <cell r="A613" t="str">
            <v>Remy Brault (labellumflowers@gmail.com)</v>
          </cell>
          <cell r="B613" t="str">
            <v>SH02714</v>
          </cell>
        </row>
        <row r="614">
          <cell r="A614" t="str">
            <v>Kara Brown (icbaflorist@gmail.com)</v>
          </cell>
          <cell r="B614" t="str">
            <v>SH02751</v>
          </cell>
        </row>
        <row r="615">
          <cell r="A615" t="str">
            <v>Olga Garrido (ogarrido@cs-nri.com)</v>
          </cell>
          <cell r="B615" t="str">
            <v>SH02774</v>
          </cell>
        </row>
        <row r="616">
          <cell r="A616" t="str">
            <v>Olga Rodriguez(olgalopez2288@icloud.com)</v>
          </cell>
          <cell r="B616" t="str">
            <v>SH02775</v>
          </cell>
        </row>
        <row r="617">
          <cell r="A617" t="str">
            <v>Deanna Tran (dluu_124@yahoo.com)</v>
          </cell>
          <cell r="B617" t="str">
            <v>SH02782</v>
          </cell>
        </row>
        <row r="618">
          <cell r="A618" t="str">
            <v>Sarah Ruuska (luteysflowers@gmail.com)</v>
          </cell>
          <cell r="B618" t="str">
            <v>SH02793</v>
          </cell>
        </row>
        <row r="619">
          <cell r="A619" t="str">
            <v>John Varvarigos (jordan@wellingtonflo...)</v>
          </cell>
          <cell r="B619" t="str">
            <v>SH02801</v>
          </cell>
        </row>
        <row r="620">
          <cell r="A620" t="str">
            <v>Amy Murray (downtownfloralconc@gmail.com)</v>
          </cell>
          <cell r="B620" t="str">
            <v>SH02816</v>
          </cell>
        </row>
        <row r="621">
          <cell r="A621" t="str">
            <v>Kyusung Kang (divinepure@gmail.com)</v>
          </cell>
          <cell r="B621" t="str">
            <v>SH02821</v>
          </cell>
        </row>
        <row r="622">
          <cell r="A622" t="str">
            <v>Marie Amerson(marie_amerson@hotmail.com)</v>
          </cell>
          <cell r="B622" t="str">
            <v>SH02822</v>
          </cell>
        </row>
        <row r="623">
          <cell r="A623" t="str">
            <v>Tami Abernathy (tami@thebloomingbride)</v>
          </cell>
          <cell r="B623" t="str">
            <v>SH02823</v>
          </cell>
        </row>
        <row r="624">
          <cell r="A624" t="str">
            <v>Tara korjeski (tarak821@gmail.com)</v>
          </cell>
          <cell r="B624" t="str">
            <v>SH02824</v>
          </cell>
        </row>
        <row r="625">
          <cell r="A625" t="str">
            <v>Helena Perry (perrymaysboyd@gmail.com)</v>
          </cell>
          <cell r="B625" t="str">
            <v>SH02825</v>
          </cell>
        </row>
        <row r="626">
          <cell r="A626" t="str">
            <v>Lydia Foree (lydia@ksnyradio.com)</v>
          </cell>
          <cell r="B626" t="str">
            <v>SH02826</v>
          </cell>
        </row>
        <row r="627">
          <cell r="A627" t="str">
            <v>Nancy Lamont (nancyslittleark@gmail.com)</v>
          </cell>
          <cell r="B627" t="str">
            <v>SH02827</v>
          </cell>
        </row>
        <row r="628">
          <cell r="A628" t="str">
            <v>Paula Stallard (pstallard@christchurc..)</v>
          </cell>
          <cell r="B628" t="str">
            <v>SH02828</v>
          </cell>
        </row>
        <row r="629">
          <cell r="A629" t="str">
            <v>Pedro Sengsone (thecbdplusstore@outlo..)</v>
          </cell>
          <cell r="B629" t="str">
            <v>SH02829</v>
          </cell>
        </row>
        <row r="630">
          <cell r="A630" t="str">
            <v>Chanthavy Keovilay Abrams (bloomfield..)</v>
          </cell>
          <cell r="B630" t="str">
            <v>SH02830</v>
          </cell>
        </row>
        <row r="631">
          <cell r="A631" t="str">
            <v>Emily Cook (emmiejcook@gmail.com)</v>
          </cell>
          <cell r="B631" t="str">
            <v>SH02831</v>
          </cell>
        </row>
        <row r="632">
          <cell r="A632" t="str">
            <v>Keith Cook (keith@zerbos.com)</v>
          </cell>
          <cell r="B632" t="str">
            <v>SH02832</v>
          </cell>
        </row>
        <row r="633">
          <cell r="A633" t="str">
            <v>Sasha Kanno (sasha@farmlot59.org)</v>
          </cell>
          <cell r="B633" t="str">
            <v>SH02833</v>
          </cell>
        </row>
        <row r="634">
          <cell r="A634" t="str">
            <v>Kimberly Gutowsky (kimberly.melton@gm..)</v>
          </cell>
          <cell r="B634" t="str">
            <v>SH02834</v>
          </cell>
        </row>
        <row r="635">
          <cell r="A635" t="str">
            <v>Therese knabb (tknabb411@gmail.com)</v>
          </cell>
          <cell r="B635" t="str">
            <v>SH02836</v>
          </cell>
        </row>
        <row r="636">
          <cell r="A636" t="str">
            <v>Raeann Moore (raeann@jpparkerco.com)</v>
          </cell>
          <cell r="B636" t="str">
            <v>SH02837</v>
          </cell>
        </row>
        <row r="637">
          <cell r="A637" t="str">
            <v>Stephanie Herrera (sherrera0312@yahoo..)</v>
          </cell>
          <cell r="B637" t="str">
            <v>SH02838</v>
          </cell>
        </row>
        <row r="638">
          <cell r="A638" t="str">
            <v>Crystal Vue (crystalvue98@gmail.com)</v>
          </cell>
          <cell r="B638" t="str">
            <v>SH02839</v>
          </cell>
        </row>
        <row r="639">
          <cell r="A639" t="str">
            <v>Christina Browning (crbrowning4660@ou..)</v>
          </cell>
          <cell r="B639" t="str">
            <v>SH02840</v>
          </cell>
        </row>
        <row r="640">
          <cell r="A640" t="str">
            <v>Luke Esford esfordfamily@gmail.com</v>
          </cell>
          <cell r="B640" t="str">
            <v>SH02841</v>
          </cell>
        </row>
        <row r="641">
          <cell r="A641" t="str">
            <v>Robert McLaughlin kristine@floridafreshevents.com</v>
          </cell>
          <cell r="B641" t="str">
            <v>SH02842</v>
          </cell>
        </row>
        <row r="642">
          <cell r="A642" t="str">
            <v>Natanya Piper natanyapiper@gmail.com</v>
          </cell>
          <cell r="B642" t="str">
            <v>SH02843</v>
          </cell>
        </row>
        <row r="643">
          <cell r="A643" t="str">
            <v>Laura Azevedo threelittlebudsfarm@gmail.com</v>
          </cell>
          <cell r="B643" t="str">
            <v>SH02844</v>
          </cell>
        </row>
        <row r="644">
          <cell r="A644" t="str">
            <v>Nancy Weibye bsbouquets@aol.com</v>
          </cell>
          <cell r="B644" t="str">
            <v>SH02845</v>
          </cell>
        </row>
        <row r="645">
          <cell r="A645" t="str">
            <v>Kathy Sexton kathysexton5252@gmail.com</v>
          </cell>
          <cell r="B645" t="str">
            <v>SH02846</v>
          </cell>
        </row>
        <row r="646">
          <cell r="A646" t="str">
            <v>Muffie DoNaldson muffie@abideawhile.com</v>
          </cell>
          <cell r="B646" t="str">
            <v>SH02847</v>
          </cell>
        </row>
        <row r="647">
          <cell r="A647" t="str">
            <v>James Van Acker vanackerp544@gmail.com</v>
          </cell>
          <cell r="B647" t="str">
            <v>SH02848</v>
          </cell>
        </row>
        <row r="648">
          <cell r="A648" t="str">
            <v>Lacie Fallin fictitious.flowers@gmail.com</v>
          </cell>
          <cell r="B648" t="str">
            <v>SH02849</v>
          </cell>
        </row>
        <row r="649">
          <cell r="A649" t="str">
            <v>Aarika Osborne jessicasattic.designs@yahoo.com</v>
          </cell>
          <cell r="B649" t="str">
            <v>SH02850</v>
          </cell>
        </row>
        <row r="650">
          <cell r="A650" t="str">
            <v>orders@etc.studio</v>
          </cell>
          <cell r="B650" t="str">
            <v>SH02851</v>
          </cell>
        </row>
        <row r="651">
          <cell r="A651" t="str">
            <v>Wilma Stacey missnmar@aol.com</v>
          </cell>
          <cell r="B651" t="str">
            <v>SH02852</v>
          </cell>
        </row>
        <row r="652">
          <cell r="A652" t="str">
            <v>sanela jenkins liadavis@gmail.com</v>
          </cell>
          <cell r="B652" t="str">
            <v>SH02853</v>
          </cell>
        </row>
        <row r="653">
          <cell r="A653" t="str">
            <v>Lynn Reuschel lynn.reuschel@gmail.com</v>
          </cell>
          <cell r="B653" t="str">
            <v>SH02854</v>
          </cell>
        </row>
        <row r="654">
          <cell r="A654" t="str">
            <v>Mary Sirisky flowercottagesc@yahoo.com</v>
          </cell>
          <cell r="B654" t="str">
            <v>SH02855</v>
          </cell>
        </row>
        <row r="655">
          <cell r="A655" t="str">
            <v>Martha Beckort mjbeckort@gmail.com</v>
          </cell>
          <cell r="B655" t="str">
            <v>SH02856</v>
          </cell>
        </row>
        <row r="656">
          <cell r="A656" t="str">
            <v>Julie Aijala info@bloomfloraldesign.com</v>
          </cell>
          <cell r="B656" t="str">
            <v>SH02857</v>
          </cell>
        </row>
        <row r="657">
          <cell r="A657" t="str">
            <v>Lane Doyle lane.ldf@gmail.com</v>
          </cell>
          <cell r="B657" t="str">
            <v>SH02858</v>
          </cell>
        </row>
        <row r="658">
          <cell r="A658" t="str">
            <v>Keyanna McClarty keyanna_mcclarty@yahoo.com</v>
          </cell>
          <cell r="B658" t="str">
            <v>SH02859</v>
          </cell>
        </row>
        <row r="659">
          <cell r="A659" t="str">
            <v>janie merritt jmaburkhalter@gmail.com</v>
          </cell>
          <cell r="B659" t="str">
            <v>SH02860</v>
          </cell>
        </row>
        <row r="660">
          <cell r="A660" t="str">
            <v>Tonya Rich lastingimpressions145@gmail.com</v>
          </cell>
          <cell r="B660" t="str">
            <v>SH02861</v>
          </cell>
        </row>
        <row r="661">
          <cell r="A661" t="str">
            <v>laura slovich peaceandpetalsflorist@gmail.com</v>
          </cell>
          <cell r="B661" t="str">
            <v>SH02862</v>
          </cell>
        </row>
        <row r="662">
          <cell r="A662" t="str">
            <v>lynette adams lynettea1120@yahoo.com</v>
          </cell>
          <cell r="B662" t="str">
            <v>SH02863</v>
          </cell>
        </row>
        <row r="663">
          <cell r="A663" t="str">
            <v>Kelly Warden aperfectbloom@yahoo.com</v>
          </cell>
          <cell r="B663" t="str">
            <v>SH02864</v>
          </cell>
        </row>
        <row r="664">
          <cell r="A664" t="str">
            <v>Alexandra Morton sunkissedfloral24@gmail.com</v>
          </cell>
          <cell r="B664" t="str">
            <v>SH02865</v>
          </cell>
        </row>
        <row r="665">
          <cell r="A665" t="str">
            <v>David Long davidlonginteriors@gmail.com</v>
          </cell>
          <cell r="B665" t="str">
            <v>SH02866</v>
          </cell>
        </row>
        <row r="666">
          <cell r="A666" t="str">
            <v>Susan Flowers sflow239@yahoo.com</v>
          </cell>
          <cell r="B666" t="str">
            <v>SH02867</v>
          </cell>
        </row>
        <row r="667">
          <cell r="A667" t="str">
            <v>Abby Brooks blackdogbloomsmaine@gmail.com</v>
          </cell>
          <cell r="B667" t="str">
            <v>SH02868</v>
          </cell>
        </row>
        <row r="668">
          <cell r="A668" t="str">
            <v>mishell thielen mishellct@gmail.com</v>
          </cell>
          <cell r="B668" t="str">
            <v>SH02869</v>
          </cell>
        </row>
        <row r="669">
          <cell r="A669" t="str">
            <v>Bird Haven Greenhouse dradzik@jolietpark.org</v>
          </cell>
          <cell r="B669" t="str">
            <v>SH02870</v>
          </cell>
        </row>
        <row r="670">
          <cell r="A670" t="str">
            <v>Kathryn Fekete kathryn.fekete@gmail.com</v>
          </cell>
          <cell r="B670" t="str">
            <v>SH02871</v>
          </cell>
        </row>
        <row r="671">
          <cell r="A671" t="str">
            <v>Rebecca Zorn beccazorndesigns@gmail.com</v>
          </cell>
          <cell r="B671" t="str">
            <v>SH02872</v>
          </cell>
        </row>
        <row r="672">
          <cell r="A672" t="str">
            <v>Susan Strait suestrait17@gmail.com</v>
          </cell>
          <cell r="B672" t="str">
            <v>SH02873</v>
          </cell>
        </row>
        <row r="673">
          <cell r="A673" t="str">
            <v>Bermudez Neris isabermudez1@yahoo.com</v>
          </cell>
          <cell r="B673" t="str">
            <v>SH02874</v>
          </cell>
        </row>
        <row r="674">
          <cell r="A674" t="str">
            <v>Lizette Estrada lizzettees@icloud.com</v>
          </cell>
          <cell r="B674" t="str">
            <v>SH02875</v>
          </cell>
        </row>
        <row r="675">
          <cell r="A675" t="str">
            <v>Melyna Stinson melynadixiestinson@gmail.com</v>
          </cell>
          <cell r="B675" t="str">
            <v>SH02876</v>
          </cell>
        </row>
        <row r="676">
          <cell r="A676" t="str">
            <v>Joann Hackman Hackman1983@comcast.net</v>
          </cell>
          <cell r="B676" t="str">
            <v>SH02877</v>
          </cell>
        </row>
        <row r="677">
          <cell r="A677" t="str">
            <v>Victoria Wallace hrmyinclr@gmail.com</v>
          </cell>
          <cell r="B677" t="str">
            <v>SH02878</v>
          </cell>
        </row>
        <row r="678">
          <cell r="A678" t="str">
            <v>Angela Chen flowers@jephry.com</v>
          </cell>
          <cell r="B678" t="str">
            <v>SH02879</v>
          </cell>
        </row>
        <row r="679">
          <cell r="A679" t="str">
            <v>Juli Martinez juli@hopecommunityms.com</v>
          </cell>
          <cell r="B679" t="str">
            <v>SH02880</v>
          </cell>
        </row>
        <row r="680">
          <cell r="A680" t="str">
            <v>bella vu bellavu01@gmail.com</v>
          </cell>
          <cell r="B680" t="str">
            <v>SH02881</v>
          </cell>
        </row>
        <row r="681">
          <cell r="A681" t="str">
            <v>Dawna Sherrell lattaflowershop@yahoo.com</v>
          </cell>
          <cell r="B681" t="str">
            <v>SH02882</v>
          </cell>
        </row>
        <row r="682">
          <cell r="A682" t="str">
            <v>Sandra Bemis sssbemis@msn.com</v>
          </cell>
          <cell r="B682" t="str">
            <v>SH02883</v>
          </cell>
        </row>
        <row r="683">
          <cell r="A683" t="str">
            <v>Colleen Clausen aprilsgardendurango@gmail.com</v>
          </cell>
          <cell r="B683" t="str">
            <v>SH02884</v>
          </cell>
        </row>
        <row r="684">
          <cell r="A684" t="str">
            <v>Jennifer Boyer jennifer@jenbs.com</v>
          </cell>
          <cell r="B684" t="str">
            <v>SH02885</v>
          </cell>
        </row>
        <row r="685">
          <cell r="A685" t="str">
            <v>Marsha Stipp stippm@usd413.org</v>
          </cell>
          <cell r="B685" t="str">
            <v>SH02886</v>
          </cell>
        </row>
        <row r="686">
          <cell r="A686" t="str">
            <v>Brent Wride bwride@rqn.com</v>
          </cell>
          <cell r="B686" t="str">
            <v>SH02887</v>
          </cell>
        </row>
        <row r="687">
          <cell r="A687" t="str">
            <v>Gwyneth Murphy gmurphy4209@icloud.com</v>
          </cell>
          <cell r="B687" t="str">
            <v>SH02888</v>
          </cell>
        </row>
        <row r="688">
          <cell r="A688" t="str">
            <v>Shelley Kentrikon Noufaro olga@designyourdayevents.com</v>
          </cell>
          <cell r="B688" t="str">
            <v>SH02889</v>
          </cell>
        </row>
        <row r="689">
          <cell r="A689" t="str">
            <v>Helen Griffin helengriffin48@gmail.com</v>
          </cell>
          <cell r="B689" t="str">
            <v>SH02890</v>
          </cell>
        </row>
        <row r="690">
          <cell r="A690" t="str">
            <v>Sydney Stewart sydneyrae2121@gmail.com</v>
          </cell>
          <cell r="B690" t="str">
            <v>SH02891</v>
          </cell>
        </row>
        <row r="691">
          <cell r="A691" t="str">
            <v>Frances Lidwell Frances@mdssf.org</v>
          </cell>
          <cell r="B691" t="str">
            <v>SH02892</v>
          </cell>
        </row>
        <row r="692">
          <cell r="A692" t="str">
            <v>Sergio Rochet sales@solmaryfp.com</v>
          </cell>
          <cell r="B692" t="str">
            <v>SH02893</v>
          </cell>
        </row>
        <row r="693">
          <cell r="A693" t="str">
            <v>Heather Simunich HSIMUNICH@AUTOFOL.COM</v>
          </cell>
          <cell r="B693" t="str">
            <v>SH02894</v>
          </cell>
        </row>
        <row r="694">
          <cell r="A694" t="str">
            <v>vkshw7@gmail.com</v>
          </cell>
          <cell r="B694" t="str">
            <v>SH02895</v>
          </cell>
        </row>
        <row r="695">
          <cell r="A695" t="str">
            <v>Heriberto Granados queenflowersclt@gmail.com</v>
          </cell>
          <cell r="B695" t="str">
            <v>SH02896</v>
          </cell>
        </row>
        <row r="696">
          <cell r="A696" t="str">
            <v>Concepcion Bencomo conchita.bencomo@live.com</v>
          </cell>
          <cell r="B696" t="str">
            <v>SH02897</v>
          </cell>
        </row>
        <row r="697">
          <cell r="A697" t="str">
            <v>Keiko Tamura hyejatamura@clearwatercasino.com</v>
          </cell>
          <cell r="B697" t="str">
            <v>SH02898</v>
          </cell>
        </row>
        <row r="698">
          <cell r="A698" t="str">
            <v>Daisy Benson dbenson221@hotmail.com</v>
          </cell>
          <cell r="B698" t="str">
            <v>SH02899</v>
          </cell>
        </row>
        <row r="699">
          <cell r="A699" t="str">
            <v>Melissa Higgins bloomsbymela@gmail.com</v>
          </cell>
          <cell r="B699" t="str">
            <v>SH02900</v>
          </cell>
        </row>
        <row r="700">
          <cell r="A700" t="str">
            <v>Anuja Shukla anuja.shuk21@gmail.com</v>
          </cell>
          <cell r="B700" t="str">
            <v>SH02901</v>
          </cell>
        </row>
        <row r="701">
          <cell r="A701" t="str">
            <v>Rachel Schipper rjwall2233@gmail.com</v>
          </cell>
          <cell r="B701" t="str">
            <v>SH02902</v>
          </cell>
        </row>
        <row r="702">
          <cell r="A702" t="str">
            <v>Mary Spry marybethspry@gmail.com</v>
          </cell>
          <cell r="B702" t="str">
            <v>SH02903</v>
          </cell>
        </row>
        <row r="703">
          <cell r="A703" t="str">
            <v>Keith Cook keith@zerbos.com</v>
          </cell>
          <cell r="B703" t="str">
            <v>SH02904</v>
          </cell>
        </row>
        <row r="704">
          <cell r="A704" t="str">
            <v>Stacy Parsons canningqueen@yahoo.com</v>
          </cell>
          <cell r="B704" t="str">
            <v>SH02905</v>
          </cell>
        </row>
        <row r="705">
          <cell r="A705" t="str">
            <v>lnmelcher@usfamily.net</v>
          </cell>
          <cell r="B705" t="str">
            <v>SH02906</v>
          </cell>
        </row>
        <row r="706">
          <cell r="A706" t="str">
            <v>Lacy Showers lacychanelle@yahoo.com</v>
          </cell>
          <cell r="B706" t="str">
            <v>SH02907</v>
          </cell>
        </row>
        <row r="707">
          <cell r="A707" t="str">
            <v>Lisa Stout-Bashioum lisastoutbashioum@gmail.com</v>
          </cell>
          <cell r="B707" t="str">
            <v>SH02908</v>
          </cell>
        </row>
        <row r="708">
          <cell r="A708" t="str">
            <v>Mary Kay Brekke mkbrekke24@icloud.com</v>
          </cell>
          <cell r="B708" t="str">
            <v>SH02909</v>
          </cell>
        </row>
        <row r="709">
          <cell r="A709" t="str">
            <v>Ashley Mather matherashley@gmail.com</v>
          </cell>
          <cell r="B709" t="str">
            <v>SH02910</v>
          </cell>
        </row>
        <row r="710">
          <cell r="A710" t="str">
            <v>Candii Mediina candiimedina@icloud.com</v>
          </cell>
          <cell r="B710" t="str">
            <v>SH02911</v>
          </cell>
        </row>
        <row r="711">
          <cell r="A711" t="str">
            <v>Jessica Giles sedgefieldflorist@yahoo.com</v>
          </cell>
          <cell r="B711" t="str">
            <v>SH02912</v>
          </cell>
        </row>
        <row r="712">
          <cell r="A712" t="str">
            <v>Terrence Mack maclamara@gmail.com</v>
          </cell>
          <cell r="B712" t="str">
            <v>SH02913</v>
          </cell>
        </row>
        <row r="713">
          <cell r="A713" t="str">
            <v>Linda Oliver ( linda@harbourbayflorist.com)</v>
          </cell>
          <cell r="B713" t="str">
            <v>SH02914</v>
          </cell>
        </row>
        <row r="714">
          <cell r="A714" t="str">
            <v>Kim Stevens kim@howsweetgarden.com</v>
          </cell>
          <cell r="B714" t="str">
            <v>SH02915</v>
          </cell>
        </row>
        <row r="715">
          <cell r="A715" t="str">
            <v>Juliet Kennedy juliet@roseshacklasvegas.com</v>
          </cell>
          <cell r="B715" t="str">
            <v>SH02916</v>
          </cell>
        </row>
        <row r="716">
          <cell r="A716" t="str">
            <v>Bill Hildebrandt whildebrandt@zoominternet.net</v>
          </cell>
          <cell r="B716" t="str">
            <v>SH02917</v>
          </cell>
        </row>
        <row r="717">
          <cell r="A717" t="str">
            <v>Tanner Irwin trirwin04@gmail.com</v>
          </cell>
          <cell r="B717" t="str">
            <v>SH02918</v>
          </cell>
        </row>
        <row r="718">
          <cell r="A718" t="str">
            <v>Jennifer Hoffman lemoncrate_gal@hotmail.com</v>
          </cell>
          <cell r="B718" t="str">
            <v>SH02919</v>
          </cell>
        </row>
        <row r="719">
          <cell r="A719" t="str">
            <v>Tom Swiatek pestcontrolpb@gmail.com</v>
          </cell>
          <cell r="B719" t="str">
            <v>SH02920</v>
          </cell>
        </row>
        <row r="720">
          <cell r="A720" t="str">
            <v>Eileen OWEN ptadult274@gmail.com</v>
          </cell>
          <cell r="B720" t="str">
            <v>SH02921</v>
          </cell>
        </row>
        <row r="721">
          <cell r="A721" t="str">
            <v>ayman rustom terrflora@gmail.com</v>
          </cell>
          <cell r="B721" t="str">
            <v>SH02922</v>
          </cell>
        </row>
        <row r="722">
          <cell r="A722" t="str">
            <v>katharine@artsforlifenc.org</v>
          </cell>
          <cell r="B722" t="str">
            <v>SH02923</v>
          </cell>
        </row>
        <row r="723">
          <cell r="A723" t="str">
            <v>Roland Chaplin oakandivyrental@gmail.com</v>
          </cell>
          <cell r="B723" t="str">
            <v>SH02924</v>
          </cell>
        </row>
        <row r="724">
          <cell r="A724" t="str">
            <v>Martha Ramirez ramirezmartha35@yahoo.com</v>
          </cell>
          <cell r="B724" t="str">
            <v>SH02925</v>
          </cell>
        </row>
        <row r="725">
          <cell r="A725" t="str">
            <v>Ryan Foster ryan@gillespiesflowers.com</v>
          </cell>
          <cell r="B725" t="str">
            <v>SH02926</v>
          </cell>
        </row>
        <row r="726">
          <cell r="A726" t="str">
            <v>Nikki Hoover hoovers213@yahoo.com</v>
          </cell>
          <cell r="B726" t="str">
            <v>SH02927</v>
          </cell>
        </row>
        <row r="727">
          <cell r="A727" t="str">
            <v>Roselyn Myers rmoynetmyers@gmail.com</v>
          </cell>
          <cell r="B727" t="str">
            <v>SH02928</v>
          </cell>
        </row>
        <row r="728">
          <cell r="A728" t="str">
            <v>Blanche Butler bbutler0882@gmail.com</v>
          </cell>
          <cell r="B728" t="str">
            <v>SH02929</v>
          </cell>
        </row>
        <row r="729">
          <cell r="A729" t="str">
            <v>Adriana Martinez beatrizmartinezas14@gmail.com</v>
          </cell>
          <cell r="B729" t="str">
            <v>SH02930</v>
          </cell>
        </row>
        <row r="730">
          <cell r="A730" t="str">
            <v>Jacob Gulbransen jacob.gulbransen@gmail.com</v>
          </cell>
          <cell r="B730" t="str">
            <v>SH02931</v>
          </cell>
        </row>
        <row r="731">
          <cell r="A731" t="str">
            <v>susan blum susanmblum@hotmail.com</v>
          </cell>
          <cell r="B731" t="str">
            <v>SH02932</v>
          </cell>
        </row>
        <row r="732">
          <cell r="A732" t="str">
            <v>bean4444@aol.com</v>
          </cell>
          <cell r="B732" t="str">
            <v>SH02933</v>
          </cell>
        </row>
        <row r="733">
          <cell r="A733" t="str">
            <v>Charaye Dickson charaye@paulmichaelhome.com</v>
          </cell>
          <cell r="B733" t="str">
            <v>SH02934</v>
          </cell>
        </row>
        <row r="734">
          <cell r="A734" t="str">
            <v>Jan Edwards 54nanajan@gmail.com</v>
          </cell>
          <cell r="B734" t="str">
            <v>SH02935</v>
          </cell>
        </row>
        <row r="735">
          <cell r="A735" t="str">
            <v>Eileen Glynn-Tucker eglynntucker@gmail.com</v>
          </cell>
          <cell r="B735" t="str">
            <v>SH02936</v>
          </cell>
        </row>
        <row r="736">
          <cell r="A736" t="str">
            <v>Katie Aurand backmtnflowerfarm@gmail.com</v>
          </cell>
          <cell r="B736" t="str">
            <v>SH02937</v>
          </cell>
        </row>
        <row r="737">
          <cell r="A737" t="str">
            <v>John Conner jacon13@aol.com</v>
          </cell>
          <cell r="B737" t="str">
            <v>SH02938</v>
          </cell>
        </row>
        <row r="738">
          <cell r="A738" t="str">
            <v>Anthony Bruno ajbruno68@gmail.com</v>
          </cell>
          <cell r="B738" t="str">
            <v>SH02939</v>
          </cell>
        </row>
        <row r="739">
          <cell r="A739" t="str">
            <v>Judy Wilson judy.gaspardwilson@yahoo.com</v>
          </cell>
          <cell r="B739" t="str">
            <v>SH02940</v>
          </cell>
        </row>
        <row r="740">
          <cell r="A740" t="str">
            <v>Hallie Thompson thompson.hallie@gmail.com</v>
          </cell>
          <cell r="B740" t="str">
            <v>SH02941</v>
          </cell>
        </row>
        <row r="741">
          <cell r="A741" t="str">
            <v>Laurie Francis lauriewfrancis@gmail.com</v>
          </cell>
          <cell r="B741" t="str">
            <v>SH02942</v>
          </cell>
        </row>
        <row r="742">
          <cell r="A742" t="str">
            <v>FLEURETTE LLC fleurettedamour@gmail.com</v>
          </cell>
          <cell r="B742" t="str">
            <v>SH02943</v>
          </cell>
        </row>
        <row r="743">
          <cell r="A743" t="str">
            <v>Donna Goings donnagoings@gmail.com</v>
          </cell>
          <cell r="B743" t="str">
            <v>SH02944</v>
          </cell>
        </row>
        <row r="744">
          <cell r="A744" t="str">
            <v>Chloe Regino chloe.regino@gmail.com</v>
          </cell>
          <cell r="B744" t="str">
            <v>SH02945</v>
          </cell>
        </row>
        <row r="745">
          <cell r="A745" t="str">
            <v>Michele Parente info@thegardentable.com</v>
          </cell>
          <cell r="B745" t="str">
            <v>SH02946</v>
          </cell>
        </row>
        <row r="746">
          <cell r="A746" t="str">
            <v>Adriana Osorio adrianaosoriotx@yahoo.com</v>
          </cell>
          <cell r="B746" t="str">
            <v>SH02947</v>
          </cell>
        </row>
        <row r="747">
          <cell r="A747" t="str">
            <v>Lisa Gillies Lisaraegillies@gmail.com</v>
          </cell>
          <cell r="B747" t="str">
            <v>SH02948</v>
          </cell>
        </row>
        <row r="748">
          <cell r="A748" t="str">
            <v>Teresa McCalop info@totallybeautifulmoments.com</v>
          </cell>
          <cell r="B748" t="str">
            <v>SH02949</v>
          </cell>
        </row>
        <row r="749">
          <cell r="A749" t="str">
            <v>Kimberly Gutowsky the.rosie.laine@gmail.com</v>
          </cell>
          <cell r="B749" t="str">
            <v>SH02950</v>
          </cell>
        </row>
        <row r="750">
          <cell r="A750" t="str">
            <v>JOSHY JOSEPH joshyjoseph5339@gmail.com</v>
          </cell>
          <cell r="B750" t="str">
            <v>SH02951</v>
          </cell>
        </row>
        <row r="751">
          <cell r="A751" t="str">
            <v>Lisa macleod scituateflowers@comcast.net</v>
          </cell>
          <cell r="B751" t="str">
            <v>SH02952</v>
          </cell>
        </row>
        <row r="752">
          <cell r="A752" t="str">
            <v>CORTNEY PFEIFFER service@shelbysfloral.com</v>
          </cell>
          <cell r="B752" t="str">
            <v>SH02953</v>
          </cell>
        </row>
        <row r="753">
          <cell r="A753" t="str">
            <v>Gregory Byrum byrumsflorist@msn.com</v>
          </cell>
          <cell r="B753" t="str">
            <v>SH02954</v>
          </cell>
        </row>
        <row r="754">
          <cell r="A754" t="str">
            <v>Erica Armstrong eaastrong@gmail.com</v>
          </cell>
          <cell r="B754" t="str">
            <v>SH02955</v>
          </cell>
        </row>
        <row r="755">
          <cell r="A755" t="str">
            <v>Cynthia Ebanks cgebanks@me.com</v>
          </cell>
          <cell r="B755" t="str">
            <v>SH02956</v>
          </cell>
        </row>
        <row r="756">
          <cell r="A756" t="str">
            <v>Lin Lo zyraflorist@gmail.com</v>
          </cell>
          <cell r="B756" t="str">
            <v>SH02957</v>
          </cell>
        </row>
        <row r="757">
          <cell r="A757" t="str">
            <v>Morgan Gump wildflwrevents@gmail.com</v>
          </cell>
          <cell r="B757" t="str">
            <v>SH02958</v>
          </cell>
        </row>
        <row r="758">
          <cell r="A758" t="str">
            <v>Carrie Schmidt carrie.afy@gmail.com</v>
          </cell>
          <cell r="B758" t="str">
            <v>SH02959</v>
          </cell>
        </row>
        <row r="759">
          <cell r="A759" t="str">
            <v>Michelle Petrone purchasing@wcs.org</v>
          </cell>
          <cell r="B759" t="str">
            <v>SH02960</v>
          </cell>
        </row>
        <row r="760">
          <cell r="A760" t="str">
            <v>Kathrine Rockne-Truxall cwtrux@earthlink.net</v>
          </cell>
          <cell r="B760" t="str">
            <v>SH02961</v>
          </cell>
        </row>
        <row r="761">
          <cell r="A761" t="str">
            <v>Shailah Pelto shailah@samaraflorals.com</v>
          </cell>
          <cell r="B761" t="str">
            <v>SH02962</v>
          </cell>
        </row>
        <row r="762">
          <cell r="A762" t="str">
            <v>Dawn Duran dawnduran41@yahoo.com</v>
          </cell>
          <cell r="B762" t="str">
            <v>SH02963</v>
          </cell>
        </row>
        <row r="763">
          <cell r="A763" t="str">
            <v>Alyssa Swartz brighterdaysfloralco@gmail.com</v>
          </cell>
          <cell r="B763" t="str">
            <v>SH02964</v>
          </cell>
        </row>
        <row r="764">
          <cell r="A764" t="str">
            <v>Guy Stamm stammhouse@gmail.com</v>
          </cell>
          <cell r="B764" t="str">
            <v>SH02965</v>
          </cell>
        </row>
        <row r="765">
          <cell r="A765" t="str">
            <v>Anissa Creque anissa@houstonhardware.net</v>
          </cell>
          <cell r="B765" t="str">
            <v>SH02966</v>
          </cell>
        </row>
        <row r="766">
          <cell r="A766" t="str">
            <v>Maria Blum Sullivan maria@blumsulli.com</v>
          </cell>
          <cell r="B766" t="str">
            <v>SH02967</v>
          </cell>
        </row>
        <row r="767">
          <cell r="A767" t="str">
            <v>Stephanie Hamilton esample0@gmail.com</v>
          </cell>
          <cell r="B767" t="str">
            <v>SH02968</v>
          </cell>
        </row>
        <row r="768">
          <cell r="A768" t="str">
            <v>Brandi Bosserman brandi@bosserhouseblooms.com</v>
          </cell>
          <cell r="B768" t="str">
            <v>SH02969</v>
          </cell>
        </row>
        <row r="769">
          <cell r="A769" t="str">
            <v>Mark Douglas r.mark.douglas@gmail.com</v>
          </cell>
          <cell r="B769" t="str">
            <v>SH02970</v>
          </cell>
        </row>
        <row r="770">
          <cell r="A770" t="str">
            <v>Susan Blum suzyblum3@gmail.com</v>
          </cell>
          <cell r="B770" t="str">
            <v>SH02971</v>
          </cell>
        </row>
        <row r="771">
          <cell r="A771" t="str">
            <v>kathleen lewis kblewis260@gmail.com</v>
          </cell>
          <cell r="B771" t="str">
            <v>SH02972</v>
          </cell>
        </row>
        <row r="772">
          <cell r="A772" t="str">
            <v>CATHERINE MURNIGHAN cathy@mwmanagementgroup.com</v>
          </cell>
          <cell r="B772" t="str">
            <v>SH02973</v>
          </cell>
        </row>
        <row r="773">
          <cell r="A773" t="str">
            <v>Danny Wells danny@wylieflowershop.com</v>
          </cell>
          <cell r="B773" t="str">
            <v>SH02974</v>
          </cell>
        </row>
        <row r="774">
          <cell r="A774" t="str">
            <v>CARA Osier sunflower89@midconetwork.com</v>
          </cell>
          <cell r="B774" t="str">
            <v>SH02975</v>
          </cell>
        </row>
        <row r="775">
          <cell r="A775" t="str">
            <v>Mollyrose Wright mollyroseabbott@gmail.com</v>
          </cell>
          <cell r="B775" t="str">
            <v>SH02976</v>
          </cell>
        </row>
        <row r="776">
          <cell r="A776" t="str">
            <v>Jayeson Tkac tkacjayeson@yahoo.com</v>
          </cell>
          <cell r="B776" t="str">
            <v>SH02977</v>
          </cell>
        </row>
        <row r="777">
          <cell r="A777" t="str">
            <v>caitlyn rylander fleurderye@gmail.com</v>
          </cell>
          <cell r="B777" t="str">
            <v>SH02978</v>
          </cell>
        </row>
        <row r="778">
          <cell r="A778" t="str">
            <v>pedro sengsone thecbdplusstore@outlook.com</v>
          </cell>
          <cell r="B778" t="str">
            <v>SH02979</v>
          </cell>
        </row>
        <row r="779">
          <cell r="A779" t="str">
            <v>Ronald Flores rodan2722@sbcglobal.net</v>
          </cell>
          <cell r="B779" t="str">
            <v>SH02980</v>
          </cell>
        </row>
        <row r="780">
          <cell r="A780" t="str">
            <v>Angela Concepcion info@charlestonflowergirl.com</v>
          </cell>
          <cell r="B780" t="str">
            <v>SH02981</v>
          </cell>
        </row>
        <row r="781">
          <cell r="A781" t="str">
            <v>Michelle Evans shop@theglacierlily.com</v>
          </cell>
          <cell r="B781" t="str">
            <v>SH02982</v>
          </cell>
        </row>
        <row r="782">
          <cell r="A782" t="str">
            <v>Rebeca Lagunas rebecalagunas@yahoo.com</v>
          </cell>
          <cell r="B782" t="str">
            <v>SH02983</v>
          </cell>
        </row>
        <row r="783">
          <cell r="A783" t="str">
            <v>Rosalea Potter riley.buffalocreekbeef@gmail.com</v>
          </cell>
          <cell r="B783" t="str">
            <v>SH02984</v>
          </cell>
        </row>
        <row r="784">
          <cell r="A784" t="str">
            <v>amy toussaint amytou777@gmail.com</v>
          </cell>
          <cell r="B784" t="str">
            <v>SH02985</v>
          </cell>
        </row>
        <row r="785">
          <cell r="A785" t="str">
            <v>Mark Williams marywilliams5511@gmail.com</v>
          </cell>
          <cell r="B785" t="str">
            <v>SH02986</v>
          </cell>
        </row>
        <row r="786">
          <cell r="A786" t="str">
            <v>Angela McNutt button.mcnutt@gmail.com</v>
          </cell>
          <cell r="B786" t="str">
            <v>SH02987</v>
          </cell>
        </row>
        <row r="787">
          <cell r="A787" t="str">
            <v>Eddie Gosman egosman77@gmail.com</v>
          </cell>
          <cell r="B787" t="str">
            <v>SH02988</v>
          </cell>
        </row>
        <row r="788">
          <cell r="A788" t="str">
            <v>KATHY SETTLE settle92@icloud.com</v>
          </cell>
          <cell r="B788" t="str">
            <v>SH02989</v>
          </cell>
        </row>
        <row r="789">
          <cell r="A789" t="str">
            <v>Branson Maxwell bransonmaxwell11@gmail.com</v>
          </cell>
          <cell r="B789" t="str">
            <v>SH02990</v>
          </cell>
        </row>
        <row r="790">
          <cell r="A790" t="str">
            <v>Jessica Schirmer pocketsfullofposey@gmail.com</v>
          </cell>
          <cell r="B790" t="str">
            <v>SH02991</v>
          </cell>
        </row>
        <row r="791">
          <cell r="A791" t="str">
            <v>Christopher Powers cpowersr2@md.metrocast.net</v>
          </cell>
          <cell r="B791" t="str">
            <v>SH02992</v>
          </cell>
        </row>
        <row r="792">
          <cell r="A792" t="str">
            <v>Stacee Puller stacee@choiceplantings.com</v>
          </cell>
          <cell r="B792" t="str">
            <v>SH02993</v>
          </cell>
        </row>
        <row r="793">
          <cell r="A793" t="str">
            <v>Lacia VanSlyke flsup@bennettsgreenhouse.com</v>
          </cell>
          <cell r="B793" t="str">
            <v>SH02994</v>
          </cell>
        </row>
        <row r="794">
          <cell r="A794" t="str">
            <v>Elizabeth Kvamso bakerstreetblooms@gmail.com</v>
          </cell>
          <cell r="B794" t="str">
            <v>SH02995</v>
          </cell>
        </row>
        <row r="795">
          <cell r="A795" t="str">
            <v>Katharine Griffiths kgriff@prodigy.net</v>
          </cell>
          <cell r="B795" t="str">
            <v>SH02996</v>
          </cell>
        </row>
        <row r="796">
          <cell r="A796" t="str">
            <v>Lauren Williams hillcountryhive@gmail.com</v>
          </cell>
          <cell r="B796" t="str">
            <v>SH02997</v>
          </cell>
        </row>
        <row r="797">
          <cell r="A797" t="str">
            <v>CHRIS GRANGER c.smithgranger@gmail.com</v>
          </cell>
          <cell r="B797" t="str">
            <v>SH02998</v>
          </cell>
        </row>
        <row r="798">
          <cell r="A798" t="str">
            <v>Leann Surz leann@raimondihg.com</v>
          </cell>
          <cell r="B798" t="str">
            <v>SH02999</v>
          </cell>
        </row>
        <row r="799">
          <cell r="A799" t="str">
            <v>Mary Higgins mary@accentinbrentwood.com</v>
          </cell>
          <cell r="B799" t="str">
            <v>SH03000</v>
          </cell>
        </row>
        <row r="800">
          <cell r="A800" t="str">
            <v>Zdravko Sulaver dvudrag@gmail.com</v>
          </cell>
          <cell r="B800" t="str">
            <v>SH03001</v>
          </cell>
        </row>
        <row r="801">
          <cell r="A801" t="str">
            <v>Andy Keaton kortho66@gmail.com</v>
          </cell>
          <cell r="B801" t="str">
            <v>SH03002</v>
          </cell>
        </row>
        <row r="802">
          <cell r="A802" t="str">
            <v>Romane Recalde romane.recalde@gmail.com</v>
          </cell>
          <cell r="B802" t="str">
            <v>SH03003</v>
          </cell>
        </row>
        <row r="803">
          <cell r="A803" t="str">
            <v>Jayne Altimari jmaaltimari@gmail.com</v>
          </cell>
          <cell r="B803" t="str">
            <v>SH03004</v>
          </cell>
        </row>
        <row r="804">
          <cell r="A804" t="str">
            <v>William Pendziwiatr plumpenz@epix.net</v>
          </cell>
          <cell r="B804" t="str">
            <v>SH03005</v>
          </cell>
        </row>
        <row r="805">
          <cell r="A805" t="str">
            <v>Esther Contreras econtreras1220@sbcglobal.net</v>
          </cell>
          <cell r="B805" t="str">
            <v>SH03006</v>
          </cell>
        </row>
        <row r="806">
          <cell r="A806" t="str">
            <v>LYNN BOLAND ldboland@gmail.com</v>
          </cell>
          <cell r="B806" t="str">
            <v>SH03007</v>
          </cell>
        </row>
        <row r="807">
          <cell r="A807" t="str">
            <v>Carole LaVigne info@edgewaterhomeandgarden.com</v>
          </cell>
          <cell r="B807" t="str">
            <v>SH03008</v>
          </cell>
        </row>
        <row r="808">
          <cell r="A808" t="str">
            <v>Kelly Sullivan kellysullivanart@gmail.com</v>
          </cell>
          <cell r="B808" t="str">
            <v>SH03009</v>
          </cell>
        </row>
        <row r="809">
          <cell r="A809" t="str">
            <v>Rosario Fiesta chatto107@gmail.com</v>
          </cell>
          <cell r="B809" t="str">
            <v>SH03010</v>
          </cell>
        </row>
        <row r="810">
          <cell r="A810" t="str">
            <v>Florist Florist hailey@greenoakms.com</v>
          </cell>
          <cell r="B810" t="str">
            <v>SH03011</v>
          </cell>
        </row>
        <row r="811">
          <cell r="A811" t="str">
            <v>Aurora Albrand registryinfo@yahoo.com</v>
          </cell>
          <cell r="B811" t="str">
            <v>SH03012</v>
          </cell>
        </row>
        <row r="812">
          <cell r="A812" t="str">
            <v>Lauren Donovan (lrdonovan19@yahoo.com)</v>
          </cell>
          <cell r="B812" t="str">
            <v>SH03013</v>
          </cell>
        </row>
        <row r="813">
          <cell r="A813" t="str">
            <v>Ken Stamper kentwoodnurseries@gmail.com</v>
          </cell>
          <cell r="B813" t="str">
            <v>SH03014</v>
          </cell>
        </row>
        <row r="814">
          <cell r="A814" t="str">
            <v>Malachi Curtis malachicurtis@burke.k12.nc.us</v>
          </cell>
          <cell r="B814" t="str">
            <v>SH03015</v>
          </cell>
        </row>
        <row r="815">
          <cell r="A815" t="str">
            <v>Cynthia Shemela shemela7777@gmail.com</v>
          </cell>
          <cell r="B815" t="str">
            <v>SH03016</v>
          </cell>
        </row>
        <row r="816">
          <cell r="A816" t="str">
            <v>Lucinda Ostrander c_ostrander@comcast.net</v>
          </cell>
          <cell r="B816" t="str">
            <v>SH03017</v>
          </cell>
        </row>
        <row r="817">
          <cell r="A817" t="str">
            <v>Angela Steinberg angelasteinberg7@gmail.com</v>
          </cell>
          <cell r="B817" t="str">
            <v>SH03018</v>
          </cell>
        </row>
        <row r="818">
          <cell r="A818" t="str">
            <v>Laura Flower flowerlaura3@gmail.com</v>
          </cell>
          <cell r="B818" t="str">
            <v>SH03019</v>
          </cell>
        </row>
        <row r="819">
          <cell r="A819" t="str">
            <v>Mona Turakhia mturakhia22@gmail.com</v>
          </cell>
          <cell r="B819" t="str">
            <v>SH03020</v>
          </cell>
        </row>
        <row r="820">
          <cell r="A820" t="str">
            <v>Deborah De La Flor ddelaflor@aol.com</v>
          </cell>
          <cell r="B820" t="str">
            <v>SH03021</v>
          </cell>
        </row>
        <row r="821">
          <cell r="A821" t="str">
            <v>David Schmidt dms@rfdny.com</v>
          </cell>
          <cell r="B821" t="str">
            <v>SH03022</v>
          </cell>
        </row>
        <row r="822">
          <cell r="A822" t="str">
            <v>Karyn Rapp krapp@brookgreen.org</v>
          </cell>
          <cell r="B822" t="str">
            <v>SH03023</v>
          </cell>
        </row>
        <row r="823">
          <cell r="A823" t="str">
            <v>Betty Pue bewrightier1943@gmail.com</v>
          </cell>
          <cell r="B823" t="str">
            <v>SH03024</v>
          </cell>
        </row>
        <row r="824">
          <cell r="A824" t="str">
            <v>Vista Cheesman sthelierfarm@gmail.com</v>
          </cell>
          <cell r="B824" t="str">
            <v>SH03025</v>
          </cell>
        </row>
        <row r="825">
          <cell r="A825" t="str">
            <v>Natalia Jimenez nataliajimenez@gmail.com</v>
          </cell>
          <cell r="B825" t="str">
            <v>SH03026</v>
          </cell>
        </row>
        <row r="826">
          <cell r="A826" t="str">
            <v>Marliese Mosley marliesemosley3@gmail.com</v>
          </cell>
          <cell r="B826" t="str">
            <v>SH03027</v>
          </cell>
        </row>
        <row r="827">
          <cell r="A827" t="str">
            <v>Carla Ballard carla@precioustimesevents.com</v>
          </cell>
          <cell r="B827" t="str">
            <v>SH03028</v>
          </cell>
        </row>
        <row r="828">
          <cell r="A828" t="str">
            <v>Matthew Miranda mjmiranda@ag.tamu.edu</v>
          </cell>
          <cell r="B828" t="str">
            <v>SH03029</v>
          </cell>
        </row>
        <row r="829">
          <cell r="A829" t="str">
            <v>Jet Visneski pevjlv@comcast.net</v>
          </cell>
          <cell r="B829" t="str">
            <v>SH03030</v>
          </cell>
        </row>
        <row r="830">
          <cell r="A830" t="str">
            <v>Christine Cummings cummings680@msn.com</v>
          </cell>
          <cell r="B830" t="str">
            <v>SH03031</v>
          </cell>
        </row>
        <row r="831">
          <cell r="A831" t="str">
            <v>Shannon Nowell shannonnowell@yahoo.com</v>
          </cell>
          <cell r="B831" t="str">
            <v>SH03032</v>
          </cell>
        </row>
        <row r="832">
          <cell r="A832" t="str">
            <v>Debbie N. businessmgr@sacredheartsparish.org</v>
          </cell>
          <cell r="B832" t="str">
            <v>SH03033</v>
          </cell>
        </row>
        <row r="833">
          <cell r="A833" t="str">
            <v>Terri Pellegrino terri.pellegrino@nuvancehealth.org</v>
          </cell>
          <cell r="B833" t="str">
            <v>SH03034</v>
          </cell>
        </row>
        <row r="834">
          <cell r="A834" t="str">
            <v>ROBIN SIEPRAWSKI facilities@logantrd.com</v>
          </cell>
          <cell r="B834" t="str">
            <v>SH03035</v>
          </cell>
        </row>
        <row r="835">
          <cell r="A835" t="str">
            <v>Sarah Lamphere sarah@fastsailors.com</v>
          </cell>
          <cell r="B835" t="str">
            <v>SH03036</v>
          </cell>
        </row>
        <row r="836">
          <cell r="A836" t="str">
            <v>Steve Brown susanh@pgisales.com</v>
          </cell>
          <cell r="B836" t="str">
            <v>SH03037</v>
          </cell>
        </row>
        <row r="837">
          <cell r="A837" t="str">
            <v>Michael Gasper mike.gasper.mg@gmail.com</v>
          </cell>
          <cell r="B837" t="str">
            <v>SH03038</v>
          </cell>
        </row>
        <row r="838">
          <cell r="A838" t="str">
            <v>Shannon Nehoda shannon.nehoda@gmail.com</v>
          </cell>
          <cell r="B838" t="str">
            <v>SH03039</v>
          </cell>
        </row>
        <row r="839">
          <cell r="A839" t="str">
            <v>Daniela Azer contact@partycoveclay.com</v>
          </cell>
          <cell r="B839" t="str">
            <v>SH03040</v>
          </cell>
        </row>
        <row r="840">
          <cell r="A840" t="str">
            <v>Tom Delcambre tjdelcambre@icloud.com</v>
          </cell>
          <cell r="B840" t="str">
            <v>SH03041</v>
          </cell>
        </row>
        <row r="841">
          <cell r="A841" t="str">
            <v>Sandra Cheney sandy0350@gmail.com</v>
          </cell>
          <cell r="B841" t="str">
            <v>SH03042</v>
          </cell>
        </row>
        <row r="842">
          <cell r="A842" t="str">
            <v>Carole Mariez pegulu carole.mp@icloud.com</v>
          </cell>
          <cell r="B842" t="str">
            <v>SH03043</v>
          </cell>
        </row>
        <row r="843">
          <cell r="A843" t="str">
            <v>Nikita Age-Oneal info.nxtlevelevents@gmail.com</v>
          </cell>
          <cell r="B843" t="str">
            <v>SH03044</v>
          </cell>
        </row>
        <row r="844">
          <cell r="A844" t="str">
            <v>Windy Ellis ellisw477@gmail.com</v>
          </cell>
          <cell r="B844" t="str">
            <v>SH03045</v>
          </cell>
        </row>
        <row r="845">
          <cell r="A845" t="str">
            <v>Jennifer Gruszka bloomsonpoint@gmail.com</v>
          </cell>
          <cell r="B845" t="str">
            <v>SH03046</v>
          </cell>
        </row>
        <row r="846">
          <cell r="A846" t="str">
            <v>Kara Acri karaallison1@gmail.com</v>
          </cell>
          <cell r="B846" t="str">
            <v>SH03047</v>
          </cell>
        </row>
        <row r="847">
          <cell r="A847" t="str">
            <v>Penny Fricke pfricke7@hotmail.com</v>
          </cell>
          <cell r="B847" t="str">
            <v>SH03048</v>
          </cell>
        </row>
        <row r="848">
          <cell r="A848" t="str">
            <v>Kristen Sparboe kristen@gainans.com</v>
          </cell>
          <cell r="B848" t="str">
            <v>SH03049</v>
          </cell>
        </row>
        <row r="849">
          <cell r="A849" t="str">
            <v>Julie Petruzzi julie.petruzzi@zitomedia.com</v>
          </cell>
          <cell r="B849" t="str">
            <v>SH03050</v>
          </cell>
        </row>
        <row r="850">
          <cell r="A850" t="str">
            <v>Elaine M Pontone epontone@gmail.com</v>
          </cell>
          <cell r="B850" t="str">
            <v>SH03051</v>
          </cell>
        </row>
        <row r="851">
          <cell r="A851" t="str">
            <v>Michelle Johnson michellejohnson1022@gmail.com</v>
          </cell>
          <cell r="B851" t="str">
            <v>SH03052</v>
          </cell>
        </row>
        <row r="852">
          <cell r="A852" t="str">
            <v>Lindsey White Hello@bloominggaylesnwa.com</v>
          </cell>
          <cell r="B852" t="str">
            <v>SH03053</v>
          </cell>
        </row>
        <row r="853">
          <cell r="A853" t="str">
            <v>SHARON LYLE cateringpats@yahoo.com</v>
          </cell>
          <cell r="B853" t="str">
            <v>SH03054</v>
          </cell>
        </row>
        <row r="854">
          <cell r="A854" t="str">
            <v>Cindy Wood woodcindy20@gmail.com</v>
          </cell>
          <cell r="B854" t="str">
            <v>SH03055</v>
          </cell>
        </row>
        <row r="855">
          <cell r="A855" t="str">
            <v>Garrett Robertson grobertson86@gmail.com</v>
          </cell>
          <cell r="B855" t="str">
            <v>SH03056</v>
          </cell>
        </row>
        <row r="856">
          <cell r="A856" t="str">
            <v>Sarah Lambrecht (flowers@blairflorist.com)</v>
          </cell>
          <cell r="B856" t="str">
            <v>SH03057</v>
          </cell>
        </row>
        <row r="857">
          <cell r="A857" t="str">
            <v>Mireida Martinez blmsandbynd10@yahoo.com</v>
          </cell>
          <cell r="B857" t="str">
            <v>SH03058</v>
          </cell>
        </row>
        <row r="858">
          <cell r="A858" t="str">
            <v>Amy Livingston alivingston@thelaurelgroup.net</v>
          </cell>
          <cell r="B858" t="str">
            <v>SH03059</v>
          </cell>
        </row>
        <row r="859">
          <cell r="A859" t="str">
            <v>Crystal Ruiz crystalruiz430@gmail.com</v>
          </cell>
          <cell r="B859" t="str">
            <v>SH03060</v>
          </cell>
        </row>
        <row r="860">
          <cell r="A860" t="str">
            <v>anaa.hrdz92@gmail.com</v>
          </cell>
          <cell r="B860" t="str">
            <v>SH03061</v>
          </cell>
        </row>
        <row r="861">
          <cell r="A861" t="str">
            <v>Deneil Boyd kennewicksoccer@hotmail.com</v>
          </cell>
          <cell r="B861" t="str">
            <v>SH03062</v>
          </cell>
        </row>
        <row r="862">
          <cell r="A862" t="str">
            <v>Liza Rodriguez lizascianca@hotmail.com</v>
          </cell>
          <cell r="B862" t="str">
            <v>SH03063</v>
          </cell>
        </row>
        <row r="863">
          <cell r="A863" t="str">
            <v>cooper@hcinc.org</v>
          </cell>
          <cell r="B863" t="str">
            <v>SH03064</v>
          </cell>
        </row>
        <row r="864">
          <cell r="A864" t="str">
            <v>Alex Ruiz jaycalhounevents@gmail.com</v>
          </cell>
          <cell r="B864" t="str">
            <v>SH03065</v>
          </cell>
        </row>
        <row r="865">
          <cell r="A865" t="str">
            <v>Ronna Ball balltrucking@aol.com</v>
          </cell>
          <cell r="B865" t="str">
            <v>SH03066</v>
          </cell>
        </row>
        <row r="866">
          <cell r="A866" t="str">
            <v>Chelsea Hoehn lacysfloristorange@gmail.com</v>
          </cell>
          <cell r="B866" t="str">
            <v>SH03067</v>
          </cell>
        </row>
        <row r="867">
          <cell r="A867" t="str">
            <v>April Hopkins aprilhrice@mac.com</v>
          </cell>
          <cell r="B867" t="str">
            <v>SH03068</v>
          </cell>
        </row>
        <row r="868">
          <cell r="A868" t="str">
            <v>Milford Florist villageflorist@comcast.net</v>
          </cell>
          <cell r="B868" t="str">
            <v>SH03069</v>
          </cell>
        </row>
        <row r="869">
          <cell r="A869" t="str">
            <v>Sarah Brinker sarah@buildingshalom.org</v>
          </cell>
          <cell r="B869" t="str">
            <v>SH03070</v>
          </cell>
        </row>
        <row r="870">
          <cell r="A870" t="str">
            <v>Gwen Midyette gwen@biscaynebayyachtclub.com.com</v>
          </cell>
          <cell r="B870" t="str">
            <v>SH03071</v>
          </cell>
        </row>
        <row r="871">
          <cell r="A871" t="str">
            <v>Melissa Mills mel.demaio@gmail.com</v>
          </cell>
          <cell r="B871" t="str">
            <v>SH03072</v>
          </cell>
        </row>
        <row r="872">
          <cell r="A872" t="str">
            <v>Kelly Boland kmsboland@yahoo.com</v>
          </cell>
          <cell r="B872" t="str">
            <v>SH03073</v>
          </cell>
        </row>
        <row r="873">
          <cell r="A873" t="str">
            <v>Martha Zuck prtalsandvinesflowers@gmail.com</v>
          </cell>
          <cell r="B873" t="str">
            <v>SH03074</v>
          </cell>
        </row>
        <row r="874">
          <cell r="A874" t="str">
            <v>kim rollinson rolli2301@aol.com</v>
          </cell>
          <cell r="B874" t="str">
            <v>SH03075</v>
          </cell>
        </row>
        <row r="875">
          <cell r="A875" t="str">
            <v>Pam Hudson pambhudson@gmail.com</v>
          </cell>
          <cell r="B875" t="str">
            <v>SH03076</v>
          </cell>
        </row>
        <row r="876">
          <cell r="A876" t="str">
            <v>Patrick Russell Russellswoodenroses@gmail.com</v>
          </cell>
          <cell r="B876" t="str">
            <v>SH03077</v>
          </cell>
        </row>
        <row r="877">
          <cell r="A877" t="str">
            <v>Jay Thompson triplethreatbball67@gmail.com</v>
          </cell>
          <cell r="B877" t="str">
            <v>SH03078</v>
          </cell>
        </row>
        <row r="878">
          <cell r="A878" t="str">
            <v>Robin Jordan robinsflowerpot@gmail.com</v>
          </cell>
          <cell r="B878" t="str">
            <v>SH03079</v>
          </cell>
        </row>
        <row r="879">
          <cell r="A879" t="str">
            <v>Vicki Trimble thehardygeranium@gmail.com</v>
          </cell>
          <cell r="B879" t="str">
            <v>SH03080</v>
          </cell>
        </row>
        <row r="880">
          <cell r="A880" t="str">
            <v>Kim Goldstone kdgstl@gmail.com</v>
          </cell>
          <cell r="B880" t="str">
            <v>SH03081</v>
          </cell>
        </row>
        <row r="881">
          <cell r="A881" t="str">
            <v>Olga Zuyeva bb.olgasz@gmail.com</v>
          </cell>
          <cell r="B881" t="str">
            <v>SH03082</v>
          </cell>
        </row>
        <row r="882">
          <cell r="A882" t="str">
            <v>Jo-Dee Olds cherryblossomfloristinc@gmail.com</v>
          </cell>
          <cell r="B882" t="str">
            <v>SH03083</v>
          </cell>
        </row>
        <row r="883">
          <cell r="A883" t="str">
            <v>Flynne Olivarez mariquita.medicinals@gmail.com</v>
          </cell>
          <cell r="B883" t="str">
            <v>SH03084</v>
          </cell>
        </row>
        <row r="884">
          <cell r="A884" t="str">
            <v>Cara LaBrozzi shopthepapergarden@gmail.com</v>
          </cell>
          <cell r="B884" t="str">
            <v>SH03085</v>
          </cell>
        </row>
        <row r="885">
          <cell r="A885" t="str">
            <v>Roger Roa rogersr1@bellsouth.net</v>
          </cell>
          <cell r="B885" t="str">
            <v>SH03086</v>
          </cell>
        </row>
        <row r="886">
          <cell r="A886" t="str">
            <v>Scott Mateer giftse@hotmail.com</v>
          </cell>
          <cell r="B886" t="str">
            <v>SH03087</v>
          </cell>
        </row>
        <row r="887">
          <cell r="A887" t="str">
            <v>Katherine Richmond kmrkrafty1@sbcglobal.net</v>
          </cell>
          <cell r="B887" t="str">
            <v>SH03088</v>
          </cell>
        </row>
        <row r="888">
          <cell r="A888" t="str">
            <v>Elizabeth jones bossladielashes@yahoo.com</v>
          </cell>
          <cell r="B888" t="str">
            <v>SH03089</v>
          </cell>
        </row>
        <row r="889">
          <cell r="A889" t="str">
            <v>Michelle Turner v.s.flowers@hotmail.com</v>
          </cell>
          <cell r="B889" t="str">
            <v>SH03090</v>
          </cell>
        </row>
        <row r="890">
          <cell r="A890" t="str">
            <v>Gail Stevens parkplaceboutique75@gmail.com</v>
          </cell>
          <cell r="B890" t="str">
            <v>SH03091</v>
          </cell>
        </row>
        <row r="891">
          <cell r="A891" t="str">
            <v>Brian Musser winklergallery@gmail.com</v>
          </cell>
          <cell r="B891" t="str">
            <v>SH03092</v>
          </cell>
        </row>
        <row r="892">
          <cell r="A892" t="str">
            <v>Thomas Dayton info@daytonnursery.com</v>
          </cell>
          <cell r="B892" t="str">
            <v>SH03093</v>
          </cell>
        </row>
        <row r="893">
          <cell r="A893" t="str">
            <v>Linnea McCurdy Linnea@flowerworldusa.com</v>
          </cell>
          <cell r="B893" t="str">
            <v>SH03094</v>
          </cell>
        </row>
        <row r="894">
          <cell r="A894" t="str">
            <v>Evan Pearson evanp@moananursery.com</v>
          </cell>
          <cell r="B894" t="str">
            <v>SH03095</v>
          </cell>
        </row>
        <row r="895">
          <cell r="A895" t="str">
            <v>Laura Baierwalter planting@optonline.net</v>
          </cell>
          <cell r="B895" t="str">
            <v>SH03096</v>
          </cell>
        </row>
        <row r="896">
          <cell r="A896" t="str">
            <v>Tina Fratus tinafratus@icloud.com</v>
          </cell>
          <cell r="B896" t="str">
            <v>SH03097</v>
          </cell>
        </row>
        <row r="897">
          <cell r="A897" t="str">
            <v>Hailey Pearson delectablydetailed@gmail.com</v>
          </cell>
          <cell r="B897" t="str">
            <v>SH03098</v>
          </cell>
        </row>
        <row r="898">
          <cell r="A898" t="str">
            <v>Zacharie Izyaguyev zackizyaguyev16@gmail.com</v>
          </cell>
          <cell r="B898" t="str">
            <v>SH03099</v>
          </cell>
        </row>
        <row r="899">
          <cell r="A899" t="str">
            <v>Linda Rowe lindabrowe@verizon.net</v>
          </cell>
          <cell r="B899" t="str">
            <v>SH03100</v>
          </cell>
        </row>
        <row r="900">
          <cell r="A900" t="str">
            <v>Adrienne Ehlert-Bashista passalongsfarm@gmail.com</v>
          </cell>
          <cell r="B900" t="str">
            <v>SH03101</v>
          </cell>
        </row>
        <row r="901">
          <cell r="A901" t="str">
            <v>Lauren Imbruglia deeplyrootedridgewood@gmail.com</v>
          </cell>
          <cell r="B901" t="str">
            <v>SH03102</v>
          </cell>
        </row>
        <row r="902">
          <cell r="A902" t="str">
            <v>Tracy Robbins-Garrison SunnyHunnyFarms@gmail.com</v>
          </cell>
          <cell r="B902" t="str">
            <v>SH03103</v>
          </cell>
        </row>
        <row r="903">
          <cell r="A903" t="str">
            <v>Jeni Tyson jeni@thequietseed.com</v>
          </cell>
          <cell r="B903" t="str">
            <v>SH03104</v>
          </cell>
        </row>
        <row r="904">
          <cell r="A904" t="str">
            <v>Missy Pacha mdrinnen5@comcast.net</v>
          </cell>
          <cell r="B904" t="str">
            <v>SH03105</v>
          </cell>
        </row>
        <row r="905">
          <cell r="A905" t="str">
            <v>Robert Dery bob.dery72@gmail.com</v>
          </cell>
          <cell r="B905" t="str">
            <v>SH03106</v>
          </cell>
        </row>
        <row r="906">
          <cell r="A906" t="str">
            <v>sarah spruill sarahcspruill@gmail.com</v>
          </cell>
          <cell r="B906" t="str">
            <v>SH03107</v>
          </cell>
        </row>
        <row r="907">
          <cell r="A907" t="str">
            <v>Jill Shrum truetnvol@aol.com</v>
          </cell>
          <cell r="B907" t="str">
            <v>SH03108</v>
          </cell>
        </row>
        <row r="908">
          <cell r="A908" t="str">
            <v>Alison Lorenz coyotethedog@msn.com</v>
          </cell>
          <cell r="B908" t="str">
            <v>SH03109</v>
          </cell>
        </row>
        <row r="909">
          <cell r="A909" t="str">
            <v>Janet Wheeler (jrw4psu@gmail.com)</v>
          </cell>
          <cell r="B909" t="str">
            <v>SH03110</v>
          </cell>
        </row>
        <row r="910">
          <cell r="A910" t="str">
            <v>Anne Chang (flowerboutique8471@gmail.com)</v>
          </cell>
          <cell r="B910" t="str">
            <v>SH03111</v>
          </cell>
        </row>
        <row r="911">
          <cell r="A911" t="str">
            <v>Ning Ta Hsu (ningtahsu@gmail.com)</v>
          </cell>
          <cell r="B911" t="str">
            <v>SH03112</v>
          </cell>
        </row>
        <row r="912">
          <cell r="A912" t="str">
            <v>Jenny Greenup (jennygreenup@gmail.com)</v>
          </cell>
          <cell r="B912" t="str">
            <v>SH03113</v>
          </cell>
        </row>
        <row r="913">
          <cell r="A913" t="str">
            <v>Lauren Cline laurenhcline@gmail.com</v>
          </cell>
          <cell r="B913" t="str">
            <v>SH03114</v>
          </cell>
        </row>
        <row r="914">
          <cell r="A914" t="str">
            <v>Jorge Lopez bmarrufo@atziriflowersusa.com</v>
          </cell>
          <cell r="B914" t="str">
            <v>SH03115</v>
          </cell>
        </row>
        <row r="915">
          <cell r="A915" t="str">
            <v>Sarah Sarah Aguilar saraha@oursaviorssalem.org</v>
          </cell>
          <cell r="B915" t="str">
            <v>SH03116</v>
          </cell>
        </row>
        <row r="916">
          <cell r="A916" t="str">
            <v>RONA HARDEN rfharden@gmail.com</v>
          </cell>
          <cell r="B916" t="str">
            <v>SH03117</v>
          </cell>
        </row>
        <row r="917">
          <cell r="A917" t="str">
            <v>Diem Civin bloomsbydiem@gmail.com</v>
          </cell>
          <cell r="B917" t="str">
            <v>SH03119</v>
          </cell>
        </row>
        <row r="918">
          <cell r="A918" t="str">
            <v>Frank Gallo kellyanne0929@gmail.com</v>
          </cell>
          <cell r="B918" t="str">
            <v>SH03120</v>
          </cell>
        </row>
        <row r="919">
          <cell r="A919" t="str">
            <v>Alfred Welch alfredwelchjr@hotmail.com</v>
          </cell>
          <cell r="B919" t="str">
            <v>SH03121</v>
          </cell>
        </row>
        <row r="920">
          <cell r="A920" t="str">
            <v>Aurelio Gonzalez sandibelgonz@gmail.com</v>
          </cell>
          <cell r="B920" t="str">
            <v>SH03122</v>
          </cell>
        </row>
        <row r="921">
          <cell r="A921" t="str">
            <v>Daniel Carney carlislegardenclub@gmail.com</v>
          </cell>
          <cell r="B921" t="str">
            <v>SH03123</v>
          </cell>
        </row>
        <row r="922">
          <cell r="A922" t="str">
            <v>Richard Strack dicksflowersalton@gmail.com</v>
          </cell>
          <cell r="B922" t="str">
            <v>SH03124</v>
          </cell>
        </row>
        <row r="923">
          <cell r="A923" t="str">
            <v>Gerald Oldham jesusfreak92@ymail.com</v>
          </cell>
          <cell r="B923" t="str">
            <v>SH03125</v>
          </cell>
        </row>
        <row r="924">
          <cell r="A924" t="str">
            <v>WILLIAM METHLIE billmethlie@comcast.net</v>
          </cell>
          <cell r="B924" t="str">
            <v>SH03126</v>
          </cell>
        </row>
        <row r="925">
          <cell r="A925" t="str">
            <v>Tinker Garcia junebug.nursery@outlook.com</v>
          </cell>
          <cell r="B925" t="str">
            <v>SH03127</v>
          </cell>
        </row>
        <row r="926">
          <cell r="A926" t="str">
            <v>Luke Palmerlee purchaser@topiarius.com</v>
          </cell>
          <cell r="B926" t="str">
            <v>SH03128</v>
          </cell>
        </row>
        <row r="927">
          <cell r="A927" t="str">
            <v>Jessica Castaneda gaaabby_679@hotmail.com</v>
          </cell>
          <cell r="B927" t="str">
            <v>SH03129</v>
          </cell>
        </row>
        <row r="928">
          <cell r="A928" t="str">
            <v>Mike Vande Vrede bethany@nbplants.com</v>
          </cell>
          <cell r="B928" t="str">
            <v>SH03130</v>
          </cell>
        </row>
        <row r="929">
          <cell r="A929" t="str">
            <v>Nancy Muenzler thegreenhouse@cox.net</v>
          </cell>
          <cell r="B929" t="str">
            <v>SH03131</v>
          </cell>
        </row>
        <row r="930">
          <cell r="A930" t="str">
            <v>theodore zois theodore@aristonflowers.com</v>
          </cell>
          <cell r="B930" t="str">
            <v>SH03132</v>
          </cell>
        </row>
        <row r="931">
          <cell r="A931" t="str">
            <v>Laura Lybek (lauralybek@gmail.com)</v>
          </cell>
          <cell r="B931" t="str">
            <v>SH03134</v>
          </cell>
        </row>
        <row r="932">
          <cell r="A932" t="str">
            <v>susanna walter hello@blossombaydesign.com</v>
          </cell>
          <cell r="B932" t="str">
            <v>SH03135</v>
          </cell>
        </row>
        <row r="933">
          <cell r="A933" t="str">
            <v>ELisha mayes elisha@plumeriami.com</v>
          </cell>
          <cell r="B933" t="str">
            <v>SH03136</v>
          </cell>
        </row>
        <row r="934">
          <cell r="A934" t="str">
            <v>george papadelis amanda@tellys.com</v>
          </cell>
          <cell r="B934" t="str">
            <v>SH03137</v>
          </cell>
        </row>
        <row r="935">
          <cell r="A935" t="str">
            <v>Jairo Huerta ninjamonkey541@gmail.com</v>
          </cell>
          <cell r="B935" t="str">
            <v>SH03138</v>
          </cell>
        </row>
        <row r="936">
          <cell r="A936" t="str">
            <v>hillary munro hillaryjmunro@gmail.com</v>
          </cell>
          <cell r="B936" t="str">
            <v>SH03139</v>
          </cell>
        </row>
        <row r="937">
          <cell r="A937" t="str">
            <v>Griselle Pacheco griselle.pacheco@gmail.com</v>
          </cell>
          <cell r="B937" t="str">
            <v>SH03140</v>
          </cell>
        </row>
        <row r="938">
          <cell r="A938" t="str">
            <v>Jay Thompson triplethreatbball67@gmail.com</v>
          </cell>
          <cell r="B938" t="str">
            <v>SH03141</v>
          </cell>
        </row>
        <row r="939">
          <cell r="A939" t="str">
            <v>Maria A Moreno mariaamorenomm@gmail.com</v>
          </cell>
          <cell r="B939" t="str">
            <v>SH03142</v>
          </cell>
        </row>
        <row r="940">
          <cell r="A940" t="str">
            <v>Andrew Miller Miller sales@dsmflorist.com</v>
          </cell>
          <cell r="B940" t="str">
            <v>SH03143</v>
          </cell>
        </row>
        <row r="941">
          <cell r="A941" t="str">
            <v>Jin KIM conroyf15@gmail.com</v>
          </cell>
          <cell r="B941" t="str">
            <v>SH03144</v>
          </cell>
        </row>
        <row r="942">
          <cell r="A942" t="str">
            <v>Lorie Vanwinkle blossomkhardt24@gmail.com</v>
          </cell>
          <cell r="B942" t="str">
            <v>SH03145</v>
          </cell>
        </row>
        <row r="943">
          <cell r="A943" t="str">
            <v>Lauren Marzullo burghbouquets@gmail.com</v>
          </cell>
          <cell r="B943" t="str">
            <v>SH03146</v>
          </cell>
        </row>
        <row r="944">
          <cell r="A944" t="str">
            <v>Jodi Lambert thewhitewillowevents@gmail.com</v>
          </cell>
          <cell r="B944" t="str">
            <v>SH03147</v>
          </cell>
        </row>
        <row r="945">
          <cell r="A945" t="str">
            <v>Kelly Gibson kellygibson2010@yahoo.com</v>
          </cell>
          <cell r="B945" t="str">
            <v>SH03148</v>
          </cell>
        </row>
        <row r="946">
          <cell r="A946" t="str">
            <v>Susan Stout ssstout260@aol.com</v>
          </cell>
          <cell r="B946" t="str">
            <v>SH03149</v>
          </cell>
        </row>
        <row r="947">
          <cell r="A947" t="str">
            <v>Garrett Robertson grobertson86@gmail.com</v>
          </cell>
          <cell r="B947" t="str">
            <v>SH03150</v>
          </cell>
        </row>
        <row r="948">
          <cell r="A948" t="str">
            <v>Brian Owen bgowen13@gmail.com</v>
          </cell>
          <cell r="B948" t="str">
            <v>SH03151</v>
          </cell>
        </row>
        <row r="949">
          <cell r="A949" t="str">
            <v>brett Johnson brettj100@hotmail.com</v>
          </cell>
          <cell r="B949" t="str">
            <v>SH03152</v>
          </cell>
        </row>
        <row r="950">
          <cell r="A950" t="str">
            <v>Jason Beckerman jason@westbrae-nursery.com</v>
          </cell>
          <cell r="B950" t="str">
            <v>SH03153</v>
          </cell>
        </row>
        <row r="951">
          <cell r="A951" t="str">
            <v>Rita Flint ritatflint@bellsouth.net</v>
          </cell>
          <cell r="B951" t="str">
            <v>SH03154</v>
          </cell>
        </row>
        <row r="952">
          <cell r="A952" t="str">
            <v>Kelly Smith info@mexicoroadflorist.com</v>
          </cell>
          <cell r="B952" t="str">
            <v>SH03155</v>
          </cell>
        </row>
        <row r="953">
          <cell r="A953" t="str">
            <v>Laura Benson etsymegan81@gmail.com</v>
          </cell>
          <cell r="B953" t="str">
            <v>SH03156</v>
          </cell>
        </row>
        <row r="954">
          <cell r="A954" t="str">
            <v>JASMINE WELTER buildabouquet1ocala@gmail.com</v>
          </cell>
          <cell r="B954" t="str">
            <v>SH03157</v>
          </cell>
        </row>
        <row r="955">
          <cell r="A955" t="str">
            <v>Raquel Sowa raquel_veron@yahoo.com</v>
          </cell>
          <cell r="B955" t="str">
            <v>SH03158</v>
          </cell>
        </row>
        <row r="956">
          <cell r="A956" t="str">
            <v>Lauren Williams hillcountryhive@gmail.com</v>
          </cell>
          <cell r="B956" t="str">
            <v>SH03159</v>
          </cell>
        </row>
        <row r="957">
          <cell r="A957" t="str">
            <v>Laura Lybek lauralybek@gmail.com</v>
          </cell>
          <cell r="B957" t="str">
            <v>SH03160</v>
          </cell>
        </row>
        <row r="958">
          <cell r="A958" t="str">
            <v>Patrick Meadows patrickmeadows26@gmail.com</v>
          </cell>
          <cell r="B958" t="str">
            <v>SH03161</v>
          </cell>
        </row>
        <row r="959">
          <cell r="A959" t="str">
            <v>Adriana Osorio adrianaosoriotx@yahoo.com</v>
          </cell>
          <cell r="B959" t="str">
            <v>SH03162</v>
          </cell>
        </row>
        <row r="960">
          <cell r="A960" t="str">
            <v>Kit Ward kward@plantscape.com</v>
          </cell>
          <cell r="B960" t="str">
            <v>SH03163</v>
          </cell>
        </row>
        <row r="961">
          <cell r="A961" t="str">
            <v>Rebecca Berman rberman@gmail.com</v>
          </cell>
          <cell r="B961" t="str">
            <v>SH03164</v>
          </cell>
        </row>
        <row r="962">
          <cell r="A962" t="str">
            <v>Lori Kay sueb@upc.org</v>
          </cell>
          <cell r="B962" t="str">
            <v>SH03165</v>
          </cell>
        </row>
        <row r="963">
          <cell r="A963" t="str">
            <v>Delaney Hicks dhicks@hsvbg.org</v>
          </cell>
          <cell r="B963" t="str">
            <v>SH03166</v>
          </cell>
        </row>
        <row r="964">
          <cell r="A964" t="str">
            <v>Patty Parker windinthewillows@gmail.com</v>
          </cell>
          <cell r="B964" t="str">
            <v>SH03167</v>
          </cell>
        </row>
        <row r="965">
          <cell r="A965" t="str">
            <v>Whitney Dickerson whitneybradford@gmail.com</v>
          </cell>
          <cell r="B965" t="str">
            <v>SH03168</v>
          </cell>
        </row>
        <row r="966">
          <cell r="A966" t="str">
            <v>Tammy Chapman theglassjarstore@gmail.com</v>
          </cell>
          <cell r="B966" t="str">
            <v>SH03169</v>
          </cell>
        </row>
        <row r="967">
          <cell r="A967" t="str">
            <v>Angeline Ansorie angeline@megalestari.com</v>
          </cell>
          <cell r="B967" t="str">
            <v>SH03170</v>
          </cell>
        </row>
        <row r="968">
          <cell r="A968" t="str">
            <v>Luis Munoz luis@balltagawa.com</v>
          </cell>
          <cell r="B968" t="str">
            <v>SH03171</v>
          </cell>
        </row>
        <row r="969">
          <cell r="A969" t="str">
            <v>Carolina Sabogal info@risingstart.org</v>
          </cell>
          <cell r="B969" t="str">
            <v>SH03172</v>
          </cell>
        </row>
        <row r="970">
          <cell r="A970" t="str">
            <v>Sarah Ruczynski s_ruczynski@comcast.net</v>
          </cell>
          <cell r="B970" t="str">
            <v>SH03173</v>
          </cell>
        </row>
        <row r="971">
          <cell r="A971" t="str">
            <v>Sara Gardner chickgardner@yahoo.com</v>
          </cell>
          <cell r="B971" t="str">
            <v>SH03174</v>
          </cell>
        </row>
        <row r="972">
          <cell r="A972" t="str">
            <v>Michelle Turner v.s.flowers@hotmail.com</v>
          </cell>
          <cell r="B972" t="str">
            <v>SH03175</v>
          </cell>
        </row>
        <row r="973">
          <cell r="A973" t="str">
            <v>Donna Mitchell donnaruthmitchell@gmail.com</v>
          </cell>
          <cell r="B973" t="str">
            <v>SH03176</v>
          </cell>
        </row>
        <row r="974">
          <cell r="A974" t="str">
            <v>Sheryl Pedrick spedrick@ladewgardens.com</v>
          </cell>
          <cell r="B974" t="str">
            <v>SH03177</v>
          </cell>
        </row>
        <row r="975">
          <cell r="A975" t="str">
            <v>Olivia Berner olivia.berner33@gmail.com</v>
          </cell>
          <cell r="B975" t="str">
            <v>SH03178</v>
          </cell>
        </row>
        <row r="976">
          <cell r="A976" t="str">
            <v>leonard cohen lenny@petalsandstemsflorist.com</v>
          </cell>
          <cell r="B976" t="str">
            <v>SH03179</v>
          </cell>
        </row>
        <row r="977">
          <cell r="A977" t="str">
            <v>alejandra perez alejandraperez470@gmail.com</v>
          </cell>
          <cell r="B977" t="str">
            <v>SH03180</v>
          </cell>
        </row>
        <row r="978">
          <cell r="A978" t="str">
            <v>Eliya Ushkevich mypeonika@gmail.com</v>
          </cell>
          <cell r="B978" t="str">
            <v>SH03181</v>
          </cell>
        </row>
        <row r="979">
          <cell r="A979" t="str">
            <v>Phyllis Graser phyllyg4@gmail.com</v>
          </cell>
          <cell r="B979" t="str">
            <v>SH03182</v>
          </cell>
        </row>
        <row r="980">
          <cell r="A980" t="str">
            <v>Tiffany Culpepper tiffany@rootsandwillow.com</v>
          </cell>
          <cell r="B980" t="str">
            <v>SH03183</v>
          </cell>
        </row>
        <row r="981">
          <cell r="A981" t="str">
            <v>Susan Williams suewilliams322@gmail.com</v>
          </cell>
          <cell r="B981" t="str">
            <v>SH03184</v>
          </cell>
        </row>
        <row r="982">
          <cell r="A982" t="str">
            <v>Kim Stevens kim@howsweetgarden.com</v>
          </cell>
          <cell r="B982" t="str">
            <v>SH03185</v>
          </cell>
        </row>
        <row r="983">
          <cell r="A983" t="str">
            <v>Erika Roman eroman@concretepetals.com</v>
          </cell>
          <cell r="B983" t="str">
            <v>SH03186</v>
          </cell>
        </row>
        <row r="984">
          <cell r="A984" t="str">
            <v>Marty Fleischacker promenadeventures23@gmail.com</v>
          </cell>
          <cell r="B984" t="str">
            <v>SH03187</v>
          </cell>
        </row>
        <row r="985">
          <cell r="A985" t="str">
            <v>Scott Chang sc350z@yahoo.com</v>
          </cell>
          <cell r="B985" t="str">
            <v>SH03188</v>
          </cell>
        </row>
        <row r="986">
          <cell r="A986" t="str">
            <v>Lesley Judd juddla@cobleskill.edu</v>
          </cell>
          <cell r="B986" t="str">
            <v>SH03189</v>
          </cell>
        </row>
        <row r="987">
          <cell r="A987" t="str">
            <v>Laura Baierwalter planting@optonline.net</v>
          </cell>
          <cell r="B987" t="str">
            <v>SH03190</v>
          </cell>
        </row>
        <row r="988">
          <cell r="A988" t="str">
            <v>Ada Lyle hamawilo@gmail.com</v>
          </cell>
          <cell r="B988" t="str">
            <v>SH03191</v>
          </cell>
        </row>
        <row r="989">
          <cell r="A989" t="str">
            <v>Jason Cannon shadystonepots@gmail.com</v>
          </cell>
          <cell r="B989" t="str">
            <v>SH03192</v>
          </cell>
        </row>
        <row r="990">
          <cell r="A990" t="str">
            <v>janie merritt jmaburkhalter@gmail.com</v>
          </cell>
          <cell r="B990" t="str">
            <v>SH03193</v>
          </cell>
        </row>
        <row r="991">
          <cell r="A991" t="str">
            <v>Nicole Rodriguez greencavendar1996@gmail.com</v>
          </cell>
          <cell r="B991" t="str">
            <v>SH03194</v>
          </cell>
        </row>
        <row r="992">
          <cell r="A992" t="str">
            <v>Ryan McNulty ryan@mcnultyoutdoors.com</v>
          </cell>
          <cell r="B992" t="str">
            <v>SH03195</v>
          </cell>
        </row>
        <row r="993">
          <cell r="A993" t="str">
            <v>Peter Engel engelpg@gmail.com</v>
          </cell>
          <cell r="B993" t="str">
            <v>SH03196</v>
          </cell>
        </row>
        <row r="994">
          <cell r="A994" t="str">
            <v>Brandi Bates bbates318@gmail.com</v>
          </cell>
          <cell r="B994" t="str">
            <v>SH03197</v>
          </cell>
        </row>
        <row r="995">
          <cell r="A995" t="str">
            <v>Matthew Strickland matthewcstrickland@gmail.com</v>
          </cell>
          <cell r="B995" t="str">
            <v>SH03198</v>
          </cell>
        </row>
        <row r="996">
          <cell r="A996" t="str">
            <v>Rebecca Logan lcoffe@aol.com</v>
          </cell>
          <cell r="B996" t="str">
            <v>SH03199</v>
          </cell>
        </row>
        <row r="997">
          <cell r="A997" t="str">
            <v>Patrick Ehlers patrick@plantaffair.com</v>
          </cell>
          <cell r="B997" t="str">
            <v>SH03200</v>
          </cell>
        </row>
        <row r="998">
          <cell r="A998" t="str">
            <v>Shelley Berger kentrikon2004@msn.com</v>
          </cell>
          <cell r="B998" t="str">
            <v>SH03201</v>
          </cell>
        </row>
        <row r="999">
          <cell r="A999" t="str">
            <v>Wynn Herndon dtherndon@cox.net</v>
          </cell>
          <cell r="B999" t="str">
            <v>SH03202</v>
          </cell>
        </row>
        <row r="1000">
          <cell r="A1000" t="str">
            <v>CHRISTINE VASCONCELO christine@bloomingdays.com</v>
          </cell>
          <cell r="B1000" t="str">
            <v>SH03203</v>
          </cell>
        </row>
        <row r="1001">
          <cell r="A1001" t="str">
            <v>bree speicher admin@realspeicher.com</v>
          </cell>
          <cell r="B1001" t="str">
            <v>SH03204</v>
          </cell>
        </row>
        <row r="1002">
          <cell r="A1002" t="str">
            <v>Valerie Campbell val_campbell@yahoo.com</v>
          </cell>
          <cell r="B1002" t="str">
            <v>SH03205</v>
          </cell>
        </row>
        <row r="1003">
          <cell r="A1003" t="str">
            <v>Missy Robinson moosefeathers@sbcglobal.net</v>
          </cell>
          <cell r="B1003" t="str">
            <v>SH03206</v>
          </cell>
        </row>
        <row r="1004">
          <cell r="A1004" t="str">
            <v>David Kurtz dandlzest4life@gmail.com</v>
          </cell>
          <cell r="B1004" t="str">
            <v>SH03207</v>
          </cell>
        </row>
        <row r="1005">
          <cell r="A1005" t="str">
            <v>Jane Klinefelter jane@zuzusflowers.com</v>
          </cell>
          <cell r="B1005" t="str">
            <v>SH03208</v>
          </cell>
        </row>
        <row r="1006">
          <cell r="A1006" t="str">
            <v>Linda T Batson mylastnerve@verizon.net</v>
          </cell>
          <cell r="B1006" t="str">
            <v>SH03209</v>
          </cell>
        </row>
        <row r="1007">
          <cell r="A1007" t="str">
            <v>Laura May info@thegardencenterbyaos.com</v>
          </cell>
          <cell r="B1007" t="str">
            <v>SH03210</v>
          </cell>
        </row>
        <row r="1008">
          <cell r="A1008" t="str">
            <v>jamie.waddingham@northpolk.org  jamie.waddingham@northpolk.</v>
          </cell>
          <cell r="B1008" t="str">
            <v>SH03211</v>
          </cell>
        </row>
        <row r="1009">
          <cell r="A1009" t="str">
            <v>Amanda H-Rippert info@wildwoodbyaranda.com</v>
          </cell>
          <cell r="B1009" t="str">
            <v>SH03212</v>
          </cell>
        </row>
        <row r="1010">
          <cell r="A1010" t="str">
            <v>Susan Coulter susan_coulter@yahoo.com</v>
          </cell>
          <cell r="B1010" t="str">
            <v>SH03213</v>
          </cell>
        </row>
        <row r="1011">
          <cell r="A1011" t="str">
            <v>Arlette Wiege arlette.wiege@gmail.com</v>
          </cell>
          <cell r="B1011" t="str">
            <v>SH03214</v>
          </cell>
        </row>
        <row r="1012">
          <cell r="A1012" t="str">
            <v>Lauren Brown Laurenbrown1@cox.net</v>
          </cell>
          <cell r="B1012" t="str">
            <v>SH03215</v>
          </cell>
        </row>
        <row r="1013">
          <cell r="A1013" t="str">
            <v>Abigail Eckstein aeckstein@higbeeschool.com</v>
          </cell>
          <cell r="B1013" t="str">
            <v>SH03216</v>
          </cell>
        </row>
        <row r="1014">
          <cell r="A1014" t="str">
            <v>Cally Johnson cally@springcreeknursery.net</v>
          </cell>
          <cell r="B1014" t="str">
            <v>SH03217</v>
          </cell>
        </row>
        <row r="1015">
          <cell r="A1015" t="str">
            <v>Jean Shuler bj.shuler@att.net</v>
          </cell>
          <cell r="B1015" t="str">
            <v>SH03218</v>
          </cell>
        </row>
        <row r="1016">
          <cell r="A1016" t="str">
            <v>Laura Smith bunns888@yahoo.com</v>
          </cell>
          <cell r="B1016" t="str">
            <v>SH03219</v>
          </cell>
        </row>
        <row r="1017">
          <cell r="A1017" t="str">
            <v>Allison Kantor randomart7777@gmail.com</v>
          </cell>
          <cell r="B1017" t="str">
            <v>SH03221</v>
          </cell>
        </row>
        <row r="1018">
          <cell r="A1018" t="str">
            <v>al newsom al@good-dirt.com</v>
          </cell>
          <cell r="B1018" t="str">
            <v>SH03222</v>
          </cell>
        </row>
        <row r="1019">
          <cell r="A1019" t="str">
            <v>Kyle Brown kelli@lsbco.com</v>
          </cell>
          <cell r="B1019" t="str">
            <v>SH03223</v>
          </cell>
        </row>
        <row r="1020">
          <cell r="A1020" t="str">
            <v>Henry Cronister jr theflowerfactor1@gmail.com</v>
          </cell>
          <cell r="B1020" t="str">
            <v>SH03224</v>
          </cell>
        </row>
        <row r="1021">
          <cell r="A1021" t="str">
            <v>John D Faerber jfaerber@lakehousecdga.com</v>
          </cell>
          <cell r="B1021" t="str">
            <v>SH03225</v>
          </cell>
        </row>
        <row r="1022">
          <cell r="A1022" t="str">
            <v>Sandra Williams smckwms@gmail.com</v>
          </cell>
          <cell r="B1022" t="str">
            <v>SH03226</v>
          </cell>
        </row>
        <row r="1023">
          <cell r="A1023" t="str">
            <v>Kyle Hodges info@uprootedrose.com</v>
          </cell>
          <cell r="B1023" t="str">
            <v>SH03227</v>
          </cell>
        </row>
        <row r="1024">
          <cell r="A1024" t="str">
            <v>Heidi Monosmith (hmonosmith@icloud.com)</v>
          </cell>
          <cell r="B1024" t="str">
            <v>SH03228</v>
          </cell>
        </row>
        <row r="1025">
          <cell r="A1025" t="str">
            <v>Pamela McIntyre pamusic_5@msn.com</v>
          </cell>
          <cell r="B1025" t="str">
            <v>SH03229</v>
          </cell>
        </row>
        <row r="1026">
          <cell r="A1026" t="str">
            <v>Mary Kay Sherman givingtree_gifts@yahoo.com</v>
          </cell>
          <cell r="B1026" t="str">
            <v>SH03230</v>
          </cell>
        </row>
        <row r="1027">
          <cell r="A1027" t="str">
            <v>Mandi McClone mccloman@bonduel.k12.wi.us</v>
          </cell>
          <cell r="B1027" t="str">
            <v>SH03231</v>
          </cell>
        </row>
        <row r="1028">
          <cell r="A1028" t="str">
            <v>Chris Warwick cw@ranch101flowers.com</v>
          </cell>
          <cell r="B1028" t="str">
            <v>SH03232</v>
          </cell>
        </row>
        <row r="1029">
          <cell r="A1029" t="str">
            <v>Clint Whitney gm@glendalecc.com</v>
          </cell>
          <cell r="B1029" t="str">
            <v>SH03233</v>
          </cell>
        </row>
        <row r="1030">
          <cell r="A1030" t="str">
            <v>Anita Stix artemisflorals@gmail.com</v>
          </cell>
          <cell r="B1030" t="str">
            <v>SH03234</v>
          </cell>
        </row>
        <row r="1031">
          <cell r="A1031" t="str">
            <v>Huan Vo huan@cymnow.com</v>
          </cell>
          <cell r="B1031" t="str">
            <v>SH03235</v>
          </cell>
        </row>
        <row r="1032">
          <cell r="A1032" t="str">
            <v>Laura Barcelo info@indyviolins.com</v>
          </cell>
          <cell r="B1032" t="str">
            <v>SH03236</v>
          </cell>
        </row>
        <row r="1033">
          <cell r="A1033" t="str">
            <v>Ranee Mortis raneemortis@gmail.com</v>
          </cell>
          <cell r="B1033" t="str">
            <v>SH03237</v>
          </cell>
        </row>
        <row r="1034">
          <cell r="A1034" t="str">
            <v>Irina Shmalko lasenteur.nyc@gmail.com</v>
          </cell>
          <cell r="B1034" t="str">
            <v>SH03238</v>
          </cell>
        </row>
        <row r="1035">
          <cell r="A1035" t="str">
            <v>Greer High jfarmer@greenville.k12.sc.us</v>
          </cell>
          <cell r="B1035" t="str">
            <v>SH03239</v>
          </cell>
        </row>
        <row r="1036">
          <cell r="A1036" t="str">
            <v>KAREN GALLO flowershoppe@hotmail.com</v>
          </cell>
          <cell r="B1036" t="str">
            <v>SH03240</v>
          </cell>
        </row>
        <row r="1037">
          <cell r="A1037" t="str">
            <v>Jennie Chamberlain jenniechamberlain@icloud.com</v>
          </cell>
          <cell r="B1037" t="str">
            <v>SH03241</v>
          </cell>
        </row>
        <row r="1038">
          <cell r="A1038" t="str">
            <v>Chelsea Flynn cflynn@dylanscandybar.com</v>
          </cell>
          <cell r="B1038" t="str">
            <v>SH03242</v>
          </cell>
        </row>
        <row r="1039">
          <cell r="A1039" t="str">
            <v>Ruth raizin ruthhome@teleport.com</v>
          </cell>
          <cell r="B1039" t="str">
            <v>SH03243</v>
          </cell>
        </row>
        <row r="1040">
          <cell r="A1040" t="str">
            <v>Sophie Divozzo msa.divozzo@gmail.com</v>
          </cell>
          <cell r="B1040" t="str">
            <v>SH03244</v>
          </cell>
        </row>
        <row r="1041">
          <cell r="A1041" t="str">
            <v>NIGUEL ATTONG ray@acehomesupply.com</v>
          </cell>
          <cell r="B1041" t="str">
            <v>SH03245</v>
          </cell>
        </row>
        <row r="1042">
          <cell r="A1042" t="str">
            <v>Connie Everett fernwoodgc2@att.net</v>
          </cell>
          <cell r="B1042" t="str">
            <v>SH03246</v>
          </cell>
        </row>
        <row r="1043">
          <cell r="A1043" t="str">
            <v>STEPHANIE BEGUELIN stephbeguelin19@gmail.com</v>
          </cell>
          <cell r="B1043" t="str">
            <v>SH03247</v>
          </cell>
        </row>
        <row r="1044">
          <cell r="A1044" t="str">
            <v>Carmen Ocasio csocasio123@gmail.com</v>
          </cell>
          <cell r="B1044" t="str">
            <v>SH03248</v>
          </cell>
        </row>
        <row r="1045">
          <cell r="A1045" t="str">
            <v>Gail Dickerson deborahdickerson35@gmail.com</v>
          </cell>
          <cell r="B1045" t="str">
            <v>SH03249</v>
          </cell>
        </row>
        <row r="1046">
          <cell r="A1046" t="str">
            <v>Cindy Lindstrom clindstrom11@gmail.com</v>
          </cell>
          <cell r="B1046" t="str">
            <v>SH03250</v>
          </cell>
        </row>
        <row r="1047">
          <cell r="A1047" t="str">
            <v>Jeanmarie Patterson jmp618@tampabay.rr.com</v>
          </cell>
          <cell r="B1047" t="str">
            <v>SH03251</v>
          </cell>
        </row>
        <row r="1048">
          <cell r="A1048" t="str">
            <v>Lori Friend frienergy4@gmail.com</v>
          </cell>
          <cell r="B1048" t="str">
            <v>SH03252</v>
          </cell>
        </row>
        <row r="1049">
          <cell r="A1049" t="str">
            <v>Vic Smirnow vicanddrew@mac.com</v>
          </cell>
          <cell r="B1049" t="str">
            <v>SH03253</v>
          </cell>
        </row>
        <row r="1050">
          <cell r="A1050" t="str">
            <v>Melisa Duckett duckettma@gmail.com</v>
          </cell>
          <cell r="B1050" t="str">
            <v>SH03254</v>
          </cell>
        </row>
        <row r="1051">
          <cell r="A1051" t="str">
            <v>Carlye Howard carlye.howard@rockybrands.com</v>
          </cell>
          <cell r="B1051" t="str">
            <v>SH03255</v>
          </cell>
        </row>
        <row r="1052">
          <cell r="A1052" t="str">
            <v>GABRIELA TREVINO garzasfloraloffice@hotmail.com</v>
          </cell>
          <cell r="B1052" t="str">
            <v>SH03256</v>
          </cell>
        </row>
        <row r="1053">
          <cell r="A1053" t="str">
            <v>Jeremy Davis msangie1@live.com</v>
          </cell>
          <cell r="B1053" t="str">
            <v>SH03257</v>
          </cell>
        </row>
        <row r="1054">
          <cell r="A1054" t="str">
            <v>Linda Magoto lclementsmagoto@comcast.net</v>
          </cell>
          <cell r="B1054" t="str">
            <v>SH03258</v>
          </cell>
        </row>
        <row r="1055">
          <cell r="A1055" t="str">
            <v>Amye Jennings almasflowers@yahoo.com</v>
          </cell>
          <cell r="B1055" t="str">
            <v>SH03259</v>
          </cell>
        </row>
        <row r="1056">
          <cell r="A1056" t="str">
            <v>Carol Ferrentino cferren295@aol.com</v>
          </cell>
          <cell r="B1056" t="str">
            <v>SH03260</v>
          </cell>
        </row>
        <row r="1057">
          <cell r="A1057" t="str">
            <v>shuai wang angelaforistus@gmail.com</v>
          </cell>
          <cell r="B1057" t="str">
            <v>SH03261</v>
          </cell>
        </row>
        <row r="1058">
          <cell r="A1058" t="str">
            <v>Julie Tseng jtseng55@gmail.com</v>
          </cell>
          <cell r="B1058" t="str">
            <v>SH03262</v>
          </cell>
        </row>
        <row r="1059">
          <cell r="A1059" t="str">
            <v>UK MOREDOCK cherrycreekflorist@gmail.com</v>
          </cell>
          <cell r="B1059" t="str">
            <v>SH03263</v>
          </cell>
        </row>
        <row r="1060">
          <cell r="A1060" t="str">
            <v>Whitney Meyer blacksseedstore@gmail.com</v>
          </cell>
          <cell r="B1060" t="str">
            <v>SH03264</v>
          </cell>
        </row>
        <row r="1061">
          <cell r="A1061" t="str">
            <v>Melanie Herr melaniemichelle75@outlook.com</v>
          </cell>
          <cell r="B1061" t="str">
            <v>SH03265</v>
          </cell>
        </row>
        <row r="1062">
          <cell r="A1062" t="str">
            <v>Anna Dunn desantia28@gmail.com</v>
          </cell>
          <cell r="B1062" t="str">
            <v>SH03266</v>
          </cell>
        </row>
        <row r="1063">
          <cell r="A1063" t="str">
            <v>Gregory Gambuti greg@mainwholesaleflorist.com</v>
          </cell>
          <cell r="B1063" t="str">
            <v>SH03267</v>
          </cell>
        </row>
        <row r="1064">
          <cell r="A1064" t="str">
            <v>Bernard Presutti bdpresutti@gmail.com</v>
          </cell>
          <cell r="B1064" t="str">
            <v>SH03268</v>
          </cell>
        </row>
        <row r="1065">
          <cell r="A1065" t="str">
            <v>Mitchel Lopez citysupermarket6@yahoo.com</v>
          </cell>
          <cell r="B1065" t="str">
            <v>SH03269</v>
          </cell>
        </row>
        <row r="1066">
          <cell r="A1066" t="str">
            <v>Lori O'Connell lorioc13@hotmail.com</v>
          </cell>
          <cell r="B1066" t="str">
            <v>SH03270</v>
          </cell>
        </row>
        <row r="1067">
          <cell r="A1067" t="str">
            <v>orianny martinez info@onaraballoons.com</v>
          </cell>
          <cell r="B1067" t="str">
            <v>SH03271</v>
          </cell>
        </row>
        <row r="1068">
          <cell r="A1068" t="str">
            <v>Sarah Ewing marigold.provisions@gmail.com</v>
          </cell>
          <cell r="B1068" t="str">
            <v>SH03272</v>
          </cell>
        </row>
        <row r="1069">
          <cell r="A1069" t="str">
            <v>Jennifer Gruszka bloomsonpoint@gmail.com</v>
          </cell>
          <cell r="B1069" t="str">
            <v>SH03273</v>
          </cell>
        </row>
        <row r="1070">
          <cell r="A1070" t="str">
            <v>Marcia Moore mdmoore916@gmail.com</v>
          </cell>
          <cell r="B1070" t="str">
            <v>SH03274</v>
          </cell>
        </row>
        <row r="1071">
          <cell r="A1071" t="str">
            <v>Sr Deborah Rose Rosado srdeborahrose@allsaintssisters.org</v>
          </cell>
          <cell r="B1071" t="str">
            <v>SH03275</v>
          </cell>
        </row>
        <row r="1072">
          <cell r="A1072" t="str">
            <v>April Smith aprilsfloraldesign@gmail.com</v>
          </cell>
          <cell r="B1072" t="str">
            <v>SH03276</v>
          </cell>
        </row>
        <row r="1073">
          <cell r="A1073" t="str">
            <v>Christa L Burke burkeridgefarmsct@gmail.com</v>
          </cell>
          <cell r="B1073" t="str">
            <v>SH03277</v>
          </cell>
        </row>
        <row r="1074">
          <cell r="A1074" t="str">
            <v>*Kelly Glover armfulflowers@gmail.com*</v>
          </cell>
          <cell r="B1074" t="str">
            <v>SH03278</v>
          </cell>
        </row>
        <row r="1075">
          <cell r="A1075" t="str">
            <v>jamie rehm jjrehm68@gmail.com</v>
          </cell>
          <cell r="B1075" t="str">
            <v>SH03279</v>
          </cell>
        </row>
        <row r="1076">
          <cell r="A1076" t="str">
            <v>Debbie Money money.debbie@gmail.com</v>
          </cell>
          <cell r="B1076" t="str">
            <v>SH03280</v>
          </cell>
        </row>
        <row r="1077">
          <cell r="A1077" t="str">
            <v>Kelly Glover armfulflowers@gmail.com</v>
          </cell>
          <cell r="B1077" t="str">
            <v>SH03281</v>
          </cell>
        </row>
        <row r="1078">
          <cell r="A1078" t="str">
            <v>Janet Hennessey yodabird1@hotmail.com</v>
          </cell>
          <cell r="B1078" t="str">
            <v>SH03282</v>
          </cell>
        </row>
        <row r="1079">
          <cell r="A1079" t="str">
            <v>Heather Bergherr heatherbergherr@gmail.com</v>
          </cell>
          <cell r="B1079" t="str">
            <v>SH03283</v>
          </cell>
        </row>
        <row r="1080">
          <cell r="A1080" t="str">
            <v>Sheri Underwood sheriunderwood1111@gmail.com</v>
          </cell>
          <cell r="B1080" t="str">
            <v>SH03284</v>
          </cell>
        </row>
        <row r="1081">
          <cell r="A1081" t="str">
            <v>Mary Harrell jmhrl@aol.com</v>
          </cell>
          <cell r="B1081" t="str">
            <v>SH03285</v>
          </cell>
        </row>
        <row r="1082">
          <cell r="A1082" t="str">
            <v>Sherri Panarella sherriapanarella@yahoo.com</v>
          </cell>
          <cell r="B1082" t="str">
            <v>SH03286</v>
          </cell>
        </row>
        <row r="1083">
          <cell r="A1083" t="str">
            <v>Joseph Dunsire j.dunsire@smpschool.org</v>
          </cell>
          <cell r="B1083" t="str">
            <v>SH03287</v>
          </cell>
        </row>
        <row r="1084">
          <cell r="A1084" t="str">
            <v>Emma Griffin emma.griffin@indianhills.edu</v>
          </cell>
          <cell r="B1084" t="str">
            <v>SH03288</v>
          </cell>
        </row>
        <row r="1085">
          <cell r="A1085" t="str">
            <v>Guillermo Rojas chilo123mix@gmail.com</v>
          </cell>
          <cell r="B1085" t="str">
            <v>SH03289</v>
          </cell>
        </row>
        <row r="1086">
          <cell r="A1086" t="str">
            <v>Erin Blake erin.blake@peachtreeplants.com</v>
          </cell>
          <cell r="B1086" t="str">
            <v>SH03290</v>
          </cell>
        </row>
        <row r="1087">
          <cell r="A1087" t="str">
            <v>Jason Griffith tmiller@ioniaisd.org</v>
          </cell>
          <cell r="B1087" t="str">
            <v>SH03291</v>
          </cell>
        </row>
        <row r="1088">
          <cell r="A1088" t="str">
            <v>Interior Plantscapes admin@interiorplantscapes.com</v>
          </cell>
          <cell r="B1088" t="str">
            <v>SH03292</v>
          </cell>
        </row>
        <row r="1089">
          <cell r="A1089" t="str">
            <v>Deborah Corrao hoorays@aol.com</v>
          </cell>
          <cell r="B1089" t="str">
            <v>SH03293</v>
          </cell>
        </row>
        <row r="1090">
          <cell r="A1090" t="str">
            <v>Donna Covell dcovell@powellgardens.org</v>
          </cell>
          <cell r="B1090" t="str">
            <v>SH03294</v>
          </cell>
        </row>
        <row r="1091">
          <cell r="A1091" t="str">
            <v>Michael Haley sam293@comcast.net</v>
          </cell>
          <cell r="B1091" t="str">
            <v>SH03295</v>
          </cell>
        </row>
        <row r="1092">
          <cell r="A1092" t="str">
            <v>Kim Gill kgill.7061design@gmail.com</v>
          </cell>
          <cell r="B1092" t="str">
            <v>SH03296</v>
          </cell>
        </row>
        <row r="1093">
          <cell r="A1093" t="str">
            <v>Guillermo Castro mguillermo94@gmail.com</v>
          </cell>
          <cell r="B1093" t="str">
            <v>SH03297</v>
          </cell>
        </row>
        <row r="1094">
          <cell r="A1094" t="str">
            <v>Vanessa Smith vsmith006@comcast.net</v>
          </cell>
          <cell r="B1094" t="str">
            <v>SH03298</v>
          </cell>
        </row>
        <row r="1095">
          <cell r="A1095" t="str">
            <v>Ron Zayac canterburycgardens@gmail.com</v>
          </cell>
          <cell r="B1095" t="str">
            <v>SH03299</v>
          </cell>
        </row>
        <row r="1096">
          <cell r="A1096" t="str">
            <v>Cathy Seras cathyseras@gmail.com</v>
          </cell>
          <cell r="B1096" t="str">
            <v>SH03300</v>
          </cell>
        </row>
        <row r="1097">
          <cell r="A1097" t="str">
            <v>Victoria Stienstra v_stienstra@hotmail.com</v>
          </cell>
          <cell r="B1097" t="str">
            <v>SH03301</v>
          </cell>
        </row>
        <row r="1098">
          <cell r="A1098" t="str">
            <v>Chrystal Murphy everlastingarden4@gmail.com</v>
          </cell>
          <cell r="B1098" t="str">
            <v>SH03302</v>
          </cell>
        </row>
        <row r="1099">
          <cell r="A1099" t="str">
            <v>Ann Palmer palmer.berg@gmail.com</v>
          </cell>
          <cell r="B1099" t="str">
            <v>SH03303</v>
          </cell>
        </row>
        <row r="1100">
          <cell r="A1100" t="str">
            <v>Takahide Tanaka seijiltd@gmail.com</v>
          </cell>
          <cell r="B1100" t="str">
            <v>SH03304</v>
          </cell>
        </row>
        <row r="1101">
          <cell r="A1101" t="str">
            <v>Brandiann Garcia Salinas greetings@esteromarket.com</v>
          </cell>
          <cell r="B1101" t="str">
            <v>SH03305</v>
          </cell>
        </row>
        <row r="1102">
          <cell r="A1102" t="str">
            <v>Rodolfo Gato roddy.gato@dynaserv.com</v>
          </cell>
          <cell r="B1102" t="str">
            <v>SH03306</v>
          </cell>
        </row>
        <row r="1103">
          <cell r="A1103" t="str">
            <v>pedro sengsone thecbdplusstore@outlook.com</v>
          </cell>
          <cell r="B1103" t="str">
            <v>SH03307</v>
          </cell>
        </row>
        <row r="1104">
          <cell r="A1104" t="str">
            <v>TAMMY BLOM mom@blomcentral.com</v>
          </cell>
          <cell r="B1104" t="str">
            <v>SH03308</v>
          </cell>
        </row>
        <row r="1105">
          <cell r="A1105" t="str">
            <v>Dianna Fresella dfresella@gmail.com</v>
          </cell>
          <cell r="B1105" t="str">
            <v>SH03309</v>
          </cell>
        </row>
        <row r="1106">
          <cell r="A1106" t="str">
            <v>Jon Harrison jmh.llc@gmail.com</v>
          </cell>
          <cell r="B1106" t="str">
            <v>SH03310</v>
          </cell>
        </row>
        <row r="1107">
          <cell r="A1107" t="str">
            <v>John Snyder theplantman@roadrunner.com</v>
          </cell>
          <cell r="B1107" t="str">
            <v>SH03311</v>
          </cell>
        </row>
        <row r="1108">
          <cell r="A1108" t="str">
            <v>Emily St. Lifer estlifer@ramahberkshires.org</v>
          </cell>
          <cell r="B1108" t="str">
            <v>SH03312</v>
          </cell>
        </row>
        <row r="1109">
          <cell r="A1109" t="str">
            <v>Scott smeed everybloominthing@comcast.net</v>
          </cell>
          <cell r="B1109" t="str">
            <v>SH03313</v>
          </cell>
        </row>
        <row r="1110">
          <cell r="A1110" t="str">
            <v>Jane Gelb tiffany@byovernight.com</v>
          </cell>
          <cell r="B1110" t="str">
            <v>SH03314</v>
          </cell>
        </row>
        <row r="1111">
          <cell r="A1111" t="str">
            <v>Bradley Johnson brad.johnson@frauenshuh.com</v>
          </cell>
          <cell r="B1111" t="str">
            <v>SH03315</v>
          </cell>
        </row>
        <row r="1112">
          <cell r="A1112" t="str">
            <v>Brenetta Cox brencox2010@hotmail.com</v>
          </cell>
          <cell r="B1112" t="str">
            <v>SH03316</v>
          </cell>
        </row>
        <row r="1113">
          <cell r="A1113" t="str">
            <v>Stephanie Delaney landscape_by_steph@yahoo.com</v>
          </cell>
          <cell r="B1113" t="str">
            <v>SH03317</v>
          </cell>
        </row>
        <row r="1114">
          <cell r="A1114" t="str">
            <v>Michael Ruiz totalcontrolpestcontrol@hotmail.com</v>
          </cell>
          <cell r="B1114" t="str">
            <v>SH03318</v>
          </cell>
        </row>
        <row r="1115">
          <cell r="A1115" t="str">
            <v>Molly Kemink info@theflowerhouseholland.com</v>
          </cell>
          <cell r="B1115" t="str">
            <v>SH03319</v>
          </cell>
        </row>
        <row r="1116">
          <cell r="A1116" t="str">
            <v>Andrea Pike carolinaseasosnnursery@gmail.com</v>
          </cell>
          <cell r="B1116" t="str">
            <v>SH03320</v>
          </cell>
        </row>
        <row r="1117">
          <cell r="A1117" t="str">
            <v>Patrick Casey casey174@comcast.net</v>
          </cell>
          <cell r="B1117" t="str">
            <v>SH03321</v>
          </cell>
        </row>
        <row r="1118">
          <cell r="A1118" t="str">
            <v>Kelli Matthews kmatthews@sanjose.org</v>
          </cell>
          <cell r="B1118" t="str">
            <v>SH03322</v>
          </cell>
        </row>
        <row r="1119">
          <cell r="A1119" t="str">
            <v>Lori Ros lorikros@gmail.com</v>
          </cell>
          <cell r="B1119" t="str">
            <v>SH03323</v>
          </cell>
        </row>
        <row r="1120">
          <cell r="A1120" t="str">
            <v>Elenora McGahee elenorakell@gmail.com</v>
          </cell>
          <cell r="B1120" t="str">
            <v>SH03324</v>
          </cell>
        </row>
        <row r="1121">
          <cell r="A1121" t="str">
            <v>Jan Fuller janfuller21@gmail.com</v>
          </cell>
          <cell r="B1121" t="str">
            <v>SH03325</v>
          </cell>
        </row>
        <row r="1122">
          <cell r="A1122" t="str">
            <v>Jill Rizzo hello@wildseasonflorals.com</v>
          </cell>
          <cell r="B1122" t="str">
            <v>SH03326</v>
          </cell>
        </row>
        <row r="1123">
          <cell r="A1123" t="str">
            <v>Sujin Kim skim@sycamorechurch.org</v>
          </cell>
          <cell r="B1123" t="str">
            <v>SH03327</v>
          </cell>
        </row>
        <row r="1124">
          <cell r="A1124" t="str">
            <v>Joy Gregory chloescollections@gmail.com</v>
          </cell>
          <cell r="B1124" t="str">
            <v>SH03328</v>
          </cell>
        </row>
        <row r="1125">
          <cell r="A1125" t="str">
            <v>Susan Velazquez magnoliasflowersfl@gmail.com</v>
          </cell>
          <cell r="B1125" t="str">
            <v>SH03329</v>
          </cell>
        </row>
        <row r="1126">
          <cell r="A1126" t="str">
            <v>Kate sheridan Chung chung.katesheridan@gmail.com</v>
          </cell>
          <cell r="B1126" t="str">
            <v>SH03330</v>
          </cell>
        </row>
        <row r="1127">
          <cell r="A1127" t="str">
            <v>Malinda McMillian malinda.mcmillian@corecivic.com</v>
          </cell>
          <cell r="B1127" t="str">
            <v>SH03331</v>
          </cell>
        </row>
        <row r="1128">
          <cell r="A1128" t="str">
            <v>Katherine Tommerup misscommunikate@hotmail.com</v>
          </cell>
          <cell r="B1128" t="str">
            <v>SH03332</v>
          </cell>
        </row>
        <row r="1129">
          <cell r="A1129" t="str">
            <v>Kristy Ehlers drkristyosu@gmail.com</v>
          </cell>
          <cell r="B1129" t="str">
            <v>SH03333</v>
          </cell>
        </row>
        <row r="1130">
          <cell r="A1130" t="str">
            <v>Sybil Smith sdsmith752@gmail.com</v>
          </cell>
          <cell r="B1130" t="str">
            <v>SH03334</v>
          </cell>
        </row>
        <row r="1131">
          <cell r="A1131" t="str">
            <v>Celia Williamson gooddaygourmetcw@aol.com</v>
          </cell>
          <cell r="B1131" t="str">
            <v>SH03335</v>
          </cell>
        </row>
        <row r="1132">
          <cell r="A1132" t="str">
            <v>Melanie Herr danschantz2024@outlook.com</v>
          </cell>
          <cell r="B1132" t="str">
            <v>SH03336</v>
          </cell>
        </row>
        <row r="1133">
          <cell r="A1133" t="str">
            <v>stanton ezzell thefloristsupplyshop.401lw@simplelogin.com</v>
          </cell>
          <cell r="B1133" t="str">
            <v>SH03337</v>
          </cell>
        </row>
        <row r="1134">
          <cell r="A1134" t="str">
            <v>Shawn Turner shawnlturner@gmail.com</v>
          </cell>
          <cell r="B1134" t="str">
            <v>SH03338</v>
          </cell>
        </row>
        <row r="1135">
          <cell r="A1135" t="str">
            <v>VINITA JONES tusky1959@gmail.com</v>
          </cell>
          <cell r="B1135" t="str">
            <v>SH03339</v>
          </cell>
        </row>
        <row r="1136">
          <cell r="A1136" t="str">
            <v>Adam Skowronek baileyeobiz@gmail.com</v>
          </cell>
          <cell r="B1136" t="str">
            <v>SH03340</v>
          </cell>
        </row>
        <row r="1137">
          <cell r="A1137" t="str">
            <v>Briceida Lauriano brizeidamorales90@gmail.com</v>
          </cell>
          <cell r="B1137" t="str">
            <v>SH03341</v>
          </cell>
        </row>
        <row r="1138">
          <cell r="A1138" t="str">
            <v>Cassidy Bishop cassidy.p.rasmusson@k12.nd.us</v>
          </cell>
          <cell r="B1138" t="str">
            <v>SH03342</v>
          </cell>
        </row>
        <row r="1139">
          <cell r="A1139" t="str">
            <v>Juana H Guzhnay jbsolutions59@gmail.com</v>
          </cell>
          <cell r="B1139" t="str">
            <v>SH03343</v>
          </cell>
        </row>
        <row r="1140">
          <cell r="A1140" t="str">
            <v>Jessica Street butterflyhousehospice@gmail.com</v>
          </cell>
          <cell r="B1140" t="str">
            <v>SH03344</v>
          </cell>
        </row>
        <row r="1141">
          <cell r="A1141" t="str">
            <v>Kimberly Whitworth flowerbouquet123@icloud.com</v>
          </cell>
          <cell r="B1141" t="str">
            <v>SH03345</v>
          </cell>
        </row>
        <row r="1142">
          <cell r="A1142" t="str">
            <v>Tina Williamson williamsoneventflorals@gmail.com</v>
          </cell>
          <cell r="B1142" t="str">
            <v>SH03346</v>
          </cell>
        </row>
        <row r="1143">
          <cell r="A1143" t="str">
            <v>CODY YERIAN cody@crosstownpromotional.com</v>
          </cell>
          <cell r="B1143" t="str">
            <v>SH03347</v>
          </cell>
        </row>
        <row r="1144">
          <cell r="A1144" t="str">
            <v>Catherine m kinworthy kinworthycat@gmail.com</v>
          </cell>
          <cell r="B1144" t="str">
            <v>SH03348</v>
          </cell>
        </row>
        <row r="1145">
          <cell r="A1145" t="str">
            <v>Farrah Delano trid1197@aol.com</v>
          </cell>
          <cell r="B1145" t="str">
            <v>SH03349</v>
          </cell>
        </row>
        <row r="1146">
          <cell r="A1146" t="str">
            <v>Kelly Booth sono412@yahoo.com</v>
          </cell>
          <cell r="B1146" t="str">
            <v>SH03350</v>
          </cell>
        </row>
        <row r="1147">
          <cell r="A1147" t="str">
            <v>Carlos Torres vlaadbrain@gmail.com</v>
          </cell>
          <cell r="B1147" t="str">
            <v>SH03351</v>
          </cell>
        </row>
        <row r="1148">
          <cell r="A1148" t="str">
            <v>Cynthia Campbell eckersflowers@gmail.com</v>
          </cell>
          <cell r="B1148" t="str">
            <v>SH03352</v>
          </cell>
        </row>
        <row r="1149">
          <cell r="A1149" t="str">
            <v>Angela Chen flowers@jephry.com</v>
          </cell>
          <cell r="B1149" t="str">
            <v>SH03353</v>
          </cell>
        </row>
        <row r="1150">
          <cell r="A1150" t="str">
            <v>Michele Poorman michelepoorman0680@gmail.com</v>
          </cell>
          <cell r="B1150" t="str">
            <v>SH03354</v>
          </cell>
        </row>
        <row r="1151">
          <cell r="A1151" t="str">
            <v>Jon McGann jmcgann@brookgreen.org</v>
          </cell>
          <cell r="B1151" t="str">
            <v>SH03355</v>
          </cell>
        </row>
        <row r="1152">
          <cell r="A1152" t="str">
            <v>Patricia Heimann tpheimann@juno.com</v>
          </cell>
          <cell r="B1152" t="str">
            <v>SH03356</v>
          </cell>
        </row>
        <row r="1153">
          <cell r="A1153" t="str">
            <v>Nina Brahman hello@ilovetus.com</v>
          </cell>
          <cell r="B1153" t="str">
            <v>SH03357</v>
          </cell>
        </row>
        <row r="1154">
          <cell r="A1154" t="str">
            <v>David Giurleo david.giurleo@gmail.com</v>
          </cell>
          <cell r="B1154" t="str">
            <v>SH03358</v>
          </cell>
        </row>
        <row r="1155">
          <cell r="A1155" t="str">
            <v>mark larabel mlarabel53@gmail.com</v>
          </cell>
          <cell r="B1155" t="str">
            <v>SH03359</v>
          </cell>
        </row>
        <row r="1156">
          <cell r="A1156" t="str">
            <v>Devony Scott shopposhpetals@gmail.com</v>
          </cell>
          <cell r="B1156" t="str">
            <v>SH03360</v>
          </cell>
        </row>
        <row r="1157">
          <cell r="A1157" t="str">
            <v>Mary Barone marylbarone@gmail.com</v>
          </cell>
          <cell r="B1157" t="str">
            <v>SH03361</v>
          </cell>
        </row>
        <row r="1158">
          <cell r="A1158" t="str">
            <v>John Varvarigos jordan@wellingtonflorist.com</v>
          </cell>
          <cell r="B1158" t="str">
            <v>SH03362</v>
          </cell>
        </row>
        <row r="1159">
          <cell r="A1159" t="str">
            <v>Roxane Allen roxane.allen@icic-usa.com</v>
          </cell>
          <cell r="B1159" t="str">
            <v>SH03363</v>
          </cell>
        </row>
        <row r="1160">
          <cell r="A1160" t="str">
            <v>April Hatchell help@boonmail.com</v>
          </cell>
          <cell r="B1160" t="str">
            <v>SH03364</v>
          </cell>
        </row>
        <row r="1161">
          <cell r="A1161" t="str">
            <v>April Hatchell algsunflower87@aol.com</v>
          </cell>
          <cell r="B1161" t="str">
            <v>SH03365</v>
          </cell>
        </row>
        <row r="1162">
          <cell r="A1162" t="str">
            <v>Roseann Purden rosieishere@icloud.com</v>
          </cell>
          <cell r="B1162" t="str">
            <v>SH03366</v>
          </cell>
        </row>
        <row r="1163">
          <cell r="A1163" t="str">
            <v>Rebecca Snell jessica@drsnellnursery.com</v>
          </cell>
          <cell r="B1163" t="str">
            <v>SH03367</v>
          </cell>
        </row>
        <row r="1164">
          <cell r="A1164" t="str">
            <v>Sarah Miller smiller@smithersoasis.com</v>
          </cell>
          <cell r="B1164" t="str">
            <v>SH03368</v>
          </cell>
        </row>
        <row r="1165">
          <cell r="A1165" t="str">
            <v>Kat Hills kathills@me.com</v>
          </cell>
          <cell r="B1165" t="str">
            <v>SH03369</v>
          </cell>
        </row>
        <row r="1166">
          <cell r="A1166" t="str">
            <v>trina daniel mooresflower@gmail.com</v>
          </cell>
          <cell r="B1166" t="str">
            <v>SH03370</v>
          </cell>
        </row>
        <row r="1167">
          <cell r="A1167" t="str">
            <v>Sandra Vogel williamsflorist@gmail.com</v>
          </cell>
          <cell r="B1167" t="str">
            <v>SH03371</v>
          </cell>
        </row>
        <row r="1168">
          <cell r="A1168" t="str">
            <v>Gayla Buboltz buboltzgayla64@gmail.com</v>
          </cell>
          <cell r="B1168" t="str">
            <v>SH03372</v>
          </cell>
        </row>
        <row r="1169">
          <cell r="A1169" t="str">
            <v>Chad McKay chad_mckay@wilmington.edu</v>
          </cell>
          <cell r="B1169" t="str">
            <v>SH03373</v>
          </cell>
        </row>
        <row r="1170">
          <cell r="A1170" t="str">
            <v>Gloria Marroquin marroquin.joy@gmail.com</v>
          </cell>
          <cell r="B1170" t="str">
            <v>SH03374</v>
          </cell>
        </row>
        <row r="1171">
          <cell r="A1171" t="str">
            <v>Brett Smith srenee.salazar@gmail.com</v>
          </cell>
          <cell r="B1171" t="str">
            <v>SH03375</v>
          </cell>
        </row>
        <row r="1172">
          <cell r="A1172" t="str">
            <v>Lesly Villalobos leslyv647@gmail.com</v>
          </cell>
          <cell r="B1172" t="str">
            <v>SH03376</v>
          </cell>
        </row>
        <row r="1173">
          <cell r="A1173" t="str">
            <v>Kari Souder kcsouder@gmail.com</v>
          </cell>
          <cell r="B1173" t="str">
            <v>SH03377</v>
          </cell>
        </row>
        <row r="1174">
          <cell r="A1174" t="str">
            <v>Quinn Snyder quinn@lqflowers.com</v>
          </cell>
          <cell r="B1174" t="str">
            <v>SH03378</v>
          </cell>
        </row>
        <row r="1175">
          <cell r="A1175" t="str">
            <v>Laurel Prince everettsnursery@hotmail.com</v>
          </cell>
          <cell r="B1175" t="str">
            <v>SH03379</v>
          </cell>
        </row>
        <row r="1176">
          <cell r="A1176" t="str">
            <v>Bryan Steib bryans504@msn.com</v>
          </cell>
          <cell r="B1176" t="str">
            <v>SH03380</v>
          </cell>
        </row>
        <row r="1177">
          <cell r="A1177" t="str">
            <v>Jonathan Walsh jonwalshuf@gmail.com</v>
          </cell>
          <cell r="B1177" t="str">
            <v>SH03381</v>
          </cell>
        </row>
        <row r="1178">
          <cell r="A1178" t="str">
            <v>Shelby Dasenbrock burklandswedding@gmail.com</v>
          </cell>
          <cell r="B1178" t="str">
            <v>SH03382</v>
          </cell>
        </row>
        <row r="1179">
          <cell r="A1179" t="str">
            <v>r kent arblaster rkenta@netzero.net</v>
          </cell>
          <cell r="B1179" t="str">
            <v>SH03383</v>
          </cell>
        </row>
        <row r="1180">
          <cell r="A1180" t="str">
            <v>Charles Moreno ifmcharles@gmail.com</v>
          </cell>
          <cell r="B1180" t="str">
            <v>SH03384</v>
          </cell>
        </row>
        <row r="1181">
          <cell r="A1181" t="str">
            <v>Anna Williford hernandoflowers@gmail.com</v>
          </cell>
          <cell r="B1181" t="str">
            <v>SH03385</v>
          </cell>
        </row>
        <row r="1182">
          <cell r="A1182" t="str">
            <v>Sarah Brinker sarah@buildingshalom.org</v>
          </cell>
          <cell r="B1182" t="str">
            <v>SH03386</v>
          </cell>
        </row>
        <row r="1183">
          <cell r="A1183" t="str">
            <v>Staci Bryant customerservice@expressions24-7.com</v>
          </cell>
          <cell r="B1183" t="str">
            <v>SH03387</v>
          </cell>
        </row>
        <row r="1184">
          <cell r="A1184" t="str">
            <v>Elaine Rembold elaine.rembold@gmail.com</v>
          </cell>
          <cell r="B1184" t="str">
            <v>SH03388</v>
          </cell>
        </row>
        <row r="1185">
          <cell r="A1185" t="str">
            <v>Alexa Goglanian hello@wearecranky.com</v>
          </cell>
          <cell r="B1185" t="str">
            <v>SH03389</v>
          </cell>
        </row>
        <row r="1186">
          <cell r="A1186" t="str">
            <v>Susan Bachert floristaifd@gmail.com</v>
          </cell>
          <cell r="B1186" t="str">
            <v>SH03390</v>
          </cell>
        </row>
        <row r="1187">
          <cell r="A1187" t="str">
            <v>Justine Ocelus ocelusjustine@gmail.com</v>
          </cell>
          <cell r="B1187" t="str">
            <v>SH03391</v>
          </cell>
        </row>
        <row r="1188">
          <cell r="A1188" t="str">
            <v>Paul Levine pauley1@optonline.net</v>
          </cell>
          <cell r="B1188" t="str">
            <v>SH03392</v>
          </cell>
        </row>
        <row r="1189">
          <cell r="A1189" t="str">
            <v>Joe DiPietro chubbyshardware@yahoo.com</v>
          </cell>
          <cell r="B1189" t="str">
            <v>SH03393</v>
          </cell>
        </row>
        <row r="1190">
          <cell r="A1190" t="str">
            <v>María Cortez dmaria80@hotmail.com</v>
          </cell>
          <cell r="B1190" t="str">
            <v>SH03394</v>
          </cell>
        </row>
        <row r="1191">
          <cell r="A1191" t="str">
            <v>Gwen Walsh gwalshlc@hotmail.com</v>
          </cell>
          <cell r="B1191" t="str">
            <v>SH03395</v>
          </cell>
        </row>
        <row r="1192">
          <cell r="A1192" t="str">
            <v>Dana Monk dmonk@prvepa.com</v>
          </cell>
          <cell r="B1192" t="str">
            <v>SH03396</v>
          </cell>
        </row>
        <row r="1193">
          <cell r="A1193" t="str">
            <v>Angie McClure angiemmcclure@gmail.com</v>
          </cell>
          <cell r="B1193" t="str">
            <v>SH03397</v>
          </cell>
        </row>
        <row r="1194">
          <cell r="A1194" t="str">
            <v>Sheree Wanner office@camelotgardens.com</v>
          </cell>
          <cell r="B1194" t="str">
            <v>SH03398</v>
          </cell>
        </row>
        <row r="1195">
          <cell r="A1195" t="str">
            <v>Jacqui Wandling jwandling14@gmail.com</v>
          </cell>
          <cell r="B1195" t="str">
            <v>SH03399</v>
          </cell>
        </row>
        <row r="1196">
          <cell r="A1196" t="str">
            <v>Sara Bordeleau sassybord88@gmail.com</v>
          </cell>
          <cell r="B1196" t="str">
            <v>SH03400</v>
          </cell>
        </row>
        <row r="1197">
          <cell r="A1197" t="str">
            <v>Katherine Janicki ksjanicki@gmail.com</v>
          </cell>
          <cell r="B1197" t="str">
            <v>SH03401</v>
          </cell>
        </row>
        <row r="1198">
          <cell r="A1198" t="str">
            <v>Ben Jameson ben@springvalleybc.org</v>
          </cell>
          <cell r="B1198" t="str">
            <v>SH03402</v>
          </cell>
        </row>
        <row r="1199">
          <cell r="A1199" t="str">
            <v>Jeff Reynebeau mreynebeau1@gmail.com</v>
          </cell>
          <cell r="B1199" t="str">
            <v>SH03403</v>
          </cell>
        </row>
        <row r="1200">
          <cell r="A1200" t="str">
            <v>Nicholas Degennaro n.degennaro13@outlook.com</v>
          </cell>
          <cell r="B1200" t="str">
            <v>SH03404</v>
          </cell>
        </row>
        <row r="1201">
          <cell r="A1201" t="str">
            <v>Seung Yang initialsky@gmail.com</v>
          </cell>
          <cell r="B1201" t="str">
            <v>SH03405</v>
          </cell>
        </row>
        <row r="1202">
          <cell r="A1202" t="str">
            <v>Nahlah Saab nona_queenoflove10@yahoo.com</v>
          </cell>
          <cell r="B1202" t="str">
            <v>SH03406</v>
          </cell>
        </row>
        <row r="1203">
          <cell r="A1203" t="str">
            <v>Susan Santiago floridagigi17@gmail.com</v>
          </cell>
          <cell r="B1203" t="str">
            <v>SH03407</v>
          </cell>
        </row>
        <row r="1204">
          <cell r="A1204" t="str">
            <v>Sara Bohorquez sales@yourcherryblossom.shop</v>
          </cell>
          <cell r="B1204" t="str">
            <v>SH03408</v>
          </cell>
        </row>
        <row r="1205">
          <cell r="A1205" t="str">
            <v>Patricia Lindsey pottedorchid@aol.com</v>
          </cell>
          <cell r="B1205" t="str">
            <v>SH03409</v>
          </cell>
        </row>
        <row r="1206">
          <cell r="A1206" t="str">
            <v>Lisa Phillips scott@piedmontflowers.com</v>
          </cell>
          <cell r="B1206" t="str">
            <v>SH03410</v>
          </cell>
        </row>
        <row r="1207">
          <cell r="A1207" t="str">
            <v>Susie Pratt pratt5551@aol.com</v>
          </cell>
          <cell r="B1207" t="str">
            <v>SH03411</v>
          </cell>
        </row>
        <row r="1208">
          <cell r="A1208" t="str">
            <v>Helen Kirk hsollee@yahoo.com</v>
          </cell>
          <cell r="B1208" t="str">
            <v>SH03412</v>
          </cell>
        </row>
        <row r="1209">
          <cell r="A1209" t="str">
            <v>Bree Ellis breeellis218@gmail.com</v>
          </cell>
          <cell r="B1209" t="str">
            <v>SH03413</v>
          </cell>
        </row>
        <row r="1210">
          <cell r="A1210" t="str">
            <v>Cindy Lindstrom cindy@panzicos.com</v>
          </cell>
          <cell r="B1210" t="str">
            <v>SH03414</v>
          </cell>
        </row>
        <row r="1211">
          <cell r="A1211" t="str">
            <v>Teresa Antonio teresa_antonio@stdominics.org</v>
          </cell>
          <cell r="B1211" t="str">
            <v>SH03415</v>
          </cell>
        </row>
        <row r="1212">
          <cell r="A1212" t="str">
            <v>Joy Hamby joydhamby@gmail.com</v>
          </cell>
          <cell r="B1212" t="str">
            <v>SH03416</v>
          </cell>
        </row>
        <row r="1213">
          <cell r="A1213" t="str">
            <v>Donald Bokman don@dwellersoul.com</v>
          </cell>
          <cell r="B1213" t="str">
            <v>SH03417</v>
          </cell>
        </row>
        <row r="1214">
          <cell r="A1214" t="str">
            <v>Kristin Wolter wofield29@gmail.com</v>
          </cell>
          <cell r="B1214" t="str">
            <v>SH03418</v>
          </cell>
        </row>
        <row r="1215">
          <cell r="A1215" t="str">
            <v>Carole LaVigne info@edgewaterhomeandgarden.com</v>
          </cell>
          <cell r="B1215" t="str">
            <v>SH03419</v>
          </cell>
        </row>
        <row r="1216">
          <cell r="A1216" t="str">
            <v>Moira Johnson mgj517@gmail.com</v>
          </cell>
          <cell r="B1216" t="str">
            <v>SH03420</v>
          </cell>
        </row>
        <row r="1217">
          <cell r="A1217" t="str">
            <v>Anthony Diglio lisa.bradley95@gmail.com</v>
          </cell>
          <cell r="B1217" t="str">
            <v>SH03421</v>
          </cell>
        </row>
        <row r="1218">
          <cell r="A1218" t="str">
            <v>cntbjp@yahoo.com</v>
          </cell>
          <cell r="B1218" t="str">
            <v>SH03422</v>
          </cell>
        </row>
        <row r="1219">
          <cell r="A1219" t="str">
            <v>Quan Am Nam Monastery quanamnamhaimonastery@gmail.com</v>
          </cell>
          <cell r="B1219" t="str">
            <v>SH03423</v>
          </cell>
        </row>
        <row r="1220">
          <cell r="A1220" t="str">
            <v>Tracy Cowles pollennationllc@gmail.com</v>
          </cell>
          <cell r="B1220" t="str">
            <v>SH03424</v>
          </cell>
        </row>
        <row r="1221">
          <cell r="A1221" t="str">
            <v>Gwen Price Gwenprice56@gmail.com</v>
          </cell>
          <cell r="B1221" t="str">
            <v>SH03425</v>
          </cell>
        </row>
        <row r="1222">
          <cell r="A1222" t="str">
            <v>Christopher Melton cmelt198588@gmail.com</v>
          </cell>
          <cell r="B1222" t="str">
            <v>SH03426</v>
          </cell>
        </row>
        <row r="1223">
          <cell r="A1223" t="str">
            <v>PAIGE MCGUFFEY paige@welovemoss.com</v>
          </cell>
          <cell r="B1223" t="str">
            <v>SH03427</v>
          </cell>
        </row>
        <row r="1224">
          <cell r="A1224" t="str">
            <v>brenda ray petalmehome@gmail.com</v>
          </cell>
          <cell r="B1224" t="str">
            <v>SH03428</v>
          </cell>
        </row>
        <row r="1225">
          <cell r="A1225" t="str">
            <v>Sierra George sierracgeorge@gmail.com</v>
          </cell>
          <cell r="B1225" t="str">
            <v>SH03429</v>
          </cell>
        </row>
        <row r="1226">
          <cell r="A1226" t="str">
            <v>Abigail Manny hogtide@comcast.net</v>
          </cell>
          <cell r="B1226" t="str">
            <v>SH03430</v>
          </cell>
        </row>
        <row r="1227">
          <cell r="A1227" t="str">
            <v>Nikki Bales nikki@wilcoxnursery.com</v>
          </cell>
          <cell r="B1227" t="str">
            <v>SH03431</v>
          </cell>
        </row>
        <row r="1228">
          <cell r="A1228" t="str">
            <v>Stanley West stan@djnursery.com</v>
          </cell>
          <cell r="B1228" t="str">
            <v>SH03432</v>
          </cell>
        </row>
        <row r="1229">
          <cell r="A1229" t="str">
            <v>Michael Kooiman michaelskooiman@gmail.com</v>
          </cell>
          <cell r="B1229" t="str">
            <v>SH03433</v>
          </cell>
        </row>
        <row r="1230">
          <cell r="A1230" t="str">
            <v>Cassidy Dickerson janinesflowers@gmail.com</v>
          </cell>
          <cell r="B1230" t="str">
            <v>SH03434</v>
          </cell>
        </row>
        <row r="1231">
          <cell r="A1231" t="str">
            <v>Kandyce Parsons slaton.heirloom@gmail.com</v>
          </cell>
          <cell r="B1231" t="str">
            <v>SH03435</v>
          </cell>
        </row>
        <row r="1232">
          <cell r="A1232" t="str">
            <v>Kelli Maberry kelli.maberry@ag.tamu.edu</v>
          </cell>
          <cell r="B1232" t="str">
            <v>SH03436</v>
          </cell>
        </row>
        <row r="1233">
          <cell r="A1233" t="str">
            <v>laura Feytser laura.feytser@gmail.com</v>
          </cell>
          <cell r="B1233" t="str">
            <v>SH03437</v>
          </cell>
        </row>
        <row r="1234">
          <cell r="A1234" t="str">
            <v>JoMarah C info@no1flowersbyjo.com</v>
          </cell>
          <cell r="B1234" t="str">
            <v>SH03438</v>
          </cell>
        </row>
        <row r="1235">
          <cell r="A1235" t="str">
            <v>Ethel Powell ethelpowell@gmail.com</v>
          </cell>
          <cell r="B1235" t="str">
            <v>SH03439</v>
          </cell>
        </row>
        <row r="1236">
          <cell r="A1236" t="str">
            <v>Judith Anderson livininpa@msn.com</v>
          </cell>
          <cell r="B1236" t="str">
            <v>SH03440</v>
          </cell>
        </row>
        <row r="1237">
          <cell r="A1237" t="str">
            <v>Margaret Holder mckeemargo35@gmail.com</v>
          </cell>
          <cell r="B1237" t="str">
            <v>SH03441</v>
          </cell>
        </row>
        <row r="1238">
          <cell r="A1238" t="str">
            <v>Jason Faia umer@globalsupplynet.com</v>
          </cell>
          <cell r="B1238" t="str">
            <v>SH03442</v>
          </cell>
        </row>
        <row r="1239">
          <cell r="A1239" t="str">
            <v>Jodi Knotts jodi.knotts@myactv.net</v>
          </cell>
          <cell r="B1239" t="str">
            <v>SH03443</v>
          </cell>
        </row>
        <row r="1240">
          <cell r="A1240" t="str">
            <v>Sonia Watkins-Davis swatkinsdavis@gmail.com</v>
          </cell>
          <cell r="B1240" t="str">
            <v>SH03444</v>
          </cell>
        </row>
        <row r="1241">
          <cell r="A1241" t="str">
            <v>Amelia Missaghi info@the-petal.com</v>
          </cell>
          <cell r="B1241" t="str">
            <v>SH03445</v>
          </cell>
        </row>
        <row r="1242">
          <cell r="A1242" t="str">
            <v>Kim Goldstone kdgstl@gmail.com</v>
          </cell>
          <cell r="B1242" t="str">
            <v>SH03446</v>
          </cell>
        </row>
        <row r="1243">
          <cell r="A1243" t="str">
            <v>Karin Kane karinkane@umpquabank.com</v>
          </cell>
          <cell r="B1243" t="str">
            <v>SH03447</v>
          </cell>
        </row>
        <row r="1244">
          <cell r="A1244" t="str">
            <v>Abby Hitchler bcoffice@boonecentral.esu7.org</v>
          </cell>
          <cell r="B1244" t="str">
            <v>SH03448</v>
          </cell>
        </row>
        <row r="1245">
          <cell r="A1245" t="str">
            <v>Carole Cook rcook@nancysfloral.com</v>
          </cell>
          <cell r="B1245" t="str">
            <v>SH03449</v>
          </cell>
        </row>
        <row r="1246">
          <cell r="A1246" t="str">
            <v>Kim Westmoreland efyflowers2@att.net</v>
          </cell>
          <cell r="B1246" t="str">
            <v>SH03450</v>
          </cell>
        </row>
        <row r="1247">
          <cell r="A1247" t="str">
            <v>Stefanie Fleming stefaniejfleming@gmail.com</v>
          </cell>
          <cell r="B1247" t="str">
            <v>SH03451</v>
          </cell>
        </row>
        <row r="1248">
          <cell r="A1248" t="str">
            <v>nancy waltman nmomhro@aol.com</v>
          </cell>
          <cell r="B1248" t="str">
            <v>SH03452</v>
          </cell>
        </row>
        <row r="1249">
          <cell r="A1249" t="str">
            <v>Florist Florist hailey@greenoakms.com</v>
          </cell>
          <cell r="B1249" t="str">
            <v>SH03453</v>
          </cell>
        </row>
        <row r="1250">
          <cell r="A1250" t="str">
            <v>Annie Williams anniesun927@gmail.com</v>
          </cell>
          <cell r="B1250" t="str">
            <v>SH03454</v>
          </cell>
        </row>
        <row r="1251">
          <cell r="A1251" t="str">
            <v>suzanne black flora_savage@yahoo.com</v>
          </cell>
          <cell r="B1251" t="str">
            <v>SH03455</v>
          </cell>
        </row>
        <row r="1252">
          <cell r="A1252" t="str">
            <v>John Slivon john.slivon@comcast.net</v>
          </cell>
          <cell r="B1252" t="str">
            <v>SH03456</v>
          </cell>
        </row>
        <row r="1253">
          <cell r="A1253" t="str">
            <v>Marc Granovitz marc@blvdflst.com</v>
          </cell>
          <cell r="B1253" t="str">
            <v>SH03457</v>
          </cell>
        </row>
        <row r="1254">
          <cell r="A1254" t="str">
            <v>Jaymie Nielsen jaymiewo@yahoo.com</v>
          </cell>
          <cell r="B1254" t="str">
            <v>SH03458</v>
          </cell>
        </row>
        <row r="1255">
          <cell r="A1255" t="str">
            <v>Janith Taylor jdtgwt34@gmail.com</v>
          </cell>
          <cell r="B1255" t="str">
            <v>SH03459</v>
          </cell>
        </row>
        <row r="1256">
          <cell r="A1256" t="str">
            <v>Pat Frazier ppfarminfo@gmail.com</v>
          </cell>
          <cell r="B1256" t="str">
            <v>SH03460</v>
          </cell>
        </row>
        <row r="1257">
          <cell r="A1257" t="str">
            <v>Diane Listort listorda@eckerd.edu</v>
          </cell>
          <cell r="B1257" t="str">
            <v>SH03461</v>
          </cell>
        </row>
        <row r="1258">
          <cell r="A1258" t="str">
            <v>maria pale palemaria83@gmail.com</v>
          </cell>
          <cell r="B1258" t="str">
            <v>SH03462</v>
          </cell>
        </row>
        <row r="1259">
          <cell r="A1259" t="str">
            <v>Eric Gonzalez ldominguez@yellowstonelandscape.com</v>
          </cell>
          <cell r="B1259" t="str">
            <v>SH03463</v>
          </cell>
        </row>
        <row r="1260">
          <cell r="A1260" t="str">
            <v>Charlie homes produce-vests-0z@icloud.com</v>
          </cell>
          <cell r="B1260" t="str">
            <v>SH03464</v>
          </cell>
        </row>
        <row r="1261">
          <cell r="A1261" t="str">
            <v>Courtney Terrell courtneyterrell@hotmail.com</v>
          </cell>
          <cell r="B1261" t="str">
            <v>SH03465</v>
          </cell>
        </row>
        <row r="1262">
          <cell r="A1262" t="str">
            <v>Nacole Stacey nacolestacey@yahoo.com</v>
          </cell>
          <cell r="B1262" t="str">
            <v>SH03466</v>
          </cell>
        </row>
        <row r="1263">
          <cell r="A1263" t="str">
            <v>Helen Griffin villageshoppe1999@gmail.com</v>
          </cell>
          <cell r="B1263" t="str">
            <v>SH03467</v>
          </cell>
        </row>
        <row r="1264">
          <cell r="A1264" t="str">
            <v>Sam Edwards megglesa1@gmail.com</v>
          </cell>
          <cell r="B1264" t="str">
            <v>SH03468</v>
          </cell>
        </row>
        <row r="1265">
          <cell r="A1265" t="str">
            <v>Cece Otto lazydogranchtonasket@gmail.com</v>
          </cell>
          <cell r="B1265" t="str">
            <v>SH03469</v>
          </cell>
        </row>
        <row r="1266">
          <cell r="A1266" t="str">
            <v>Lane Doyle colind.ldf@gmail.com</v>
          </cell>
          <cell r="B1266" t="str">
            <v>SH03470</v>
          </cell>
        </row>
        <row r="1267">
          <cell r="A1267" t="str">
            <v>alejandra cook ale@houseofmargotblair.com</v>
          </cell>
          <cell r="B1267" t="str">
            <v>SH03471</v>
          </cell>
        </row>
        <row r="1268">
          <cell r="A1268" t="str">
            <v>brushandbloomsllc@gmail.com</v>
          </cell>
          <cell r="B1268" t="str">
            <v>SH03472</v>
          </cell>
        </row>
        <row r="1269">
          <cell r="A1269" t="str">
            <v>Dawna Sherrell dbelle7@yahoo.com</v>
          </cell>
          <cell r="B1269" t="str">
            <v>SH03473</v>
          </cell>
        </row>
        <row r="1270">
          <cell r="A1270" t="str">
            <v>Keith Rockcastle krockcastle@rockcastle.com</v>
          </cell>
          <cell r="B1270" t="str">
            <v>SH03474</v>
          </cell>
        </row>
        <row r="1271">
          <cell r="A1271" t="str">
            <v>James Pittman drjamespittman@aol.com</v>
          </cell>
          <cell r="B1271" t="str">
            <v>SH03475</v>
          </cell>
        </row>
        <row r="1272">
          <cell r="A1272" t="str">
            <v>Minhe Zheng nayizhihe@gmail.com</v>
          </cell>
          <cell r="B1272" t="str">
            <v>SH03476</v>
          </cell>
        </row>
        <row r="1273">
          <cell r="A1273" t="str">
            <v>Brian Townsend hcw1019@gmail.com</v>
          </cell>
          <cell r="B1273" t="str">
            <v>SH03477</v>
          </cell>
        </row>
        <row r="1274">
          <cell r="A1274" t="str">
            <v>Monica Jean Howard howardmonicaj@aol.com</v>
          </cell>
          <cell r="B1274" t="str">
            <v>SH03478</v>
          </cell>
        </row>
        <row r="1275">
          <cell r="A1275" t="str">
            <v>elizabeth Dufresne lizannedufresne@gmail.com</v>
          </cell>
          <cell r="B1275" t="str">
            <v>SH03479</v>
          </cell>
        </row>
        <row r="1276">
          <cell r="A1276" t="str">
            <v>Madelyn Taylor metperidot@gmail.com</v>
          </cell>
          <cell r="B1276" t="str">
            <v>SH03480</v>
          </cell>
        </row>
        <row r="1277">
          <cell r="A1277" t="str">
            <v>louise andrews landrews@powerhousemechanical.com</v>
          </cell>
          <cell r="B1277" t="str">
            <v>SH03481</v>
          </cell>
        </row>
        <row r="1278">
          <cell r="A1278" t="str">
            <v>Eric Wieland chiefwieland@roadrunner.com</v>
          </cell>
          <cell r="B1278" t="str">
            <v>SH03482</v>
          </cell>
        </row>
        <row r="1279">
          <cell r="A1279" t="str">
            <v>Jeanna Bailey floralmatters@yahoo.com</v>
          </cell>
          <cell r="B1279" t="str">
            <v>SH03483</v>
          </cell>
        </row>
        <row r="1280">
          <cell r="A1280" t="str">
            <v>Angelica Carvalho Borborema Castro borborema3@hotmail.com</v>
          </cell>
          <cell r="B1280" t="str">
            <v>SH03484</v>
          </cell>
        </row>
        <row r="1281">
          <cell r="A1281" t="str">
            <v>Lawrence Shoup mshoup60@aol.com</v>
          </cell>
          <cell r="B1281" t="str">
            <v>SH03485</v>
          </cell>
        </row>
        <row r="1282">
          <cell r="A1282" t="str">
            <v>Go FLowers JAX LLC gotflowersjax@gmail.com</v>
          </cell>
          <cell r="B1282" t="str">
            <v>SH03486</v>
          </cell>
        </row>
        <row r="1283">
          <cell r="A1283" t="str">
            <v>Anne Taylor Schaaf annetschaaf@gmail.com</v>
          </cell>
          <cell r="B1283" t="str">
            <v>SH03487</v>
          </cell>
        </row>
        <row r="1284">
          <cell r="A1284" t="str">
            <v>Steve Skinner sgskinny@gmail.com</v>
          </cell>
          <cell r="B1284" t="str">
            <v>SH03488</v>
          </cell>
        </row>
        <row r="1285">
          <cell r="A1285" t="str">
            <v>Gina C. Diamond gdfcflowers@gmail.com</v>
          </cell>
          <cell r="B1285" t="str">
            <v>SH03489</v>
          </cell>
        </row>
        <row r="1286">
          <cell r="A1286" t="str">
            <v>Aileen Moore aileenmoore@secondpreslr.org</v>
          </cell>
          <cell r="B1286" t="str">
            <v>SH03490</v>
          </cell>
        </row>
        <row r="1287">
          <cell r="A1287" t="str">
            <v>Sarah Hollon sarah@bernsgardencenter.com</v>
          </cell>
          <cell r="B1287" t="str">
            <v>SH03491</v>
          </cell>
        </row>
        <row r="1288">
          <cell r="A1288" t="str">
            <v>Callie Dyer calliesflowershop@gmail.com</v>
          </cell>
          <cell r="B1288" t="str">
            <v>SH03492</v>
          </cell>
        </row>
        <row r="1289">
          <cell r="A1289" t="str">
            <v>Yanique Shaw bostonflowercompany@gmail.com</v>
          </cell>
          <cell r="B1289" t="str">
            <v>SH03493</v>
          </cell>
        </row>
        <row r="1290">
          <cell r="A1290" t="str">
            <v>Amanda Blissit amanda@blume-haus.com</v>
          </cell>
          <cell r="B1290" t="str">
            <v>SH03494</v>
          </cell>
        </row>
        <row r="1291">
          <cell r="A1291" t="str">
            <v>Donna Rutherford donnarutherford.0908@gmail.com</v>
          </cell>
          <cell r="B1291" t="str">
            <v>SH03495</v>
          </cell>
        </row>
        <row r="1292">
          <cell r="A1292" t="str">
            <v>Amanda Pfeifer apfeifer@stpatselkhorn.org</v>
          </cell>
          <cell r="B1292" t="str">
            <v>SH03496</v>
          </cell>
        </row>
        <row r="1293">
          <cell r="A1293" t="str">
            <v>George Alderete pa_alderete@hotmail.com</v>
          </cell>
          <cell r="B1293" t="str">
            <v>SH03497</v>
          </cell>
        </row>
        <row r="1294">
          <cell r="A1294" t="str">
            <v>Judith lynnflorist04@gmail.com lynnflorist04@gmail.com</v>
          </cell>
          <cell r="B1294" t="str">
            <v>SH03498</v>
          </cell>
        </row>
        <row r="1295">
          <cell r="A1295" t="str">
            <v>Anne Marie Larson amlarson1830@gmail.com</v>
          </cell>
          <cell r="B1295" t="str">
            <v>SH03499</v>
          </cell>
        </row>
        <row r="1296">
          <cell r="A1296" t="str">
            <v>Melissa Cargal cargalcmc@yahoo.com</v>
          </cell>
          <cell r="B1296" t="str">
            <v>SH03500</v>
          </cell>
        </row>
        <row r="1297">
          <cell r="A1297" t="str">
            <v>Frank Caldwell secretay@cureofarschurch.org</v>
          </cell>
          <cell r="B1297" t="str">
            <v>SH03501</v>
          </cell>
        </row>
        <row r="1298">
          <cell r="A1298" t="str">
            <v>Kimberly Malouf pkmalouf@gmail.com</v>
          </cell>
          <cell r="B1298" t="str">
            <v>SH03502</v>
          </cell>
        </row>
        <row r="1299">
          <cell r="A1299" t="str">
            <v>Dawn Duran dawnduran41@yahoo.com</v>
          </cell>
          <cell r="B1299" t="str">
            <v>SH03503</v>
          </cell>
        </row>
        <row r="1300">
          <cell r="A1300" t="str">
            <v>Linda Kleiss lindakleiss@gmail.com</v>
          </cell>
          <cell r="B1300" t="str">
            <v>SH03504</v>
          </cell>
        </row>
        <row r="1301">
          <cell r="A1301" t="str">
            <v>Yvette Frazier ysdevents@yahoo.com</v>
          </cell>
          <cell r="B1301" t="str">
            <v>SH03505</v>
          </cell>
        </row>
        <row r="1302">
          <cell r="A1302" t="str">
            <v>Victor Alarcon info.anniez@gmail.com</v>
          </cell>
          <cell r="B1302" t="str">
            <v>SH03506</v>
          </cell>
        </row>
        <row r="1303">
          <cell r="A1303" t="str">
            <v>Joann Gsell donna@russosfruitandveg.com</v>
          </cell>
          <cell r="B1303" t="str">
            <v>SH03507</v>
          </cell>
        </row>
        <row r="1304">
          <cell r="A1304" t="str">
            <v>Hannah James hannahjames92@gmail.com</v>
          </cell>
          <cell r="B1304" t="str">
            <v>SH03508</v>
          </cell>
        </row>
        <row r="1305">
          <cell r="A1305" t="str">
            <v>David Flack george@bountifulacres.com</v>
          </cell>
          <cell r="B1305" t="str">
            <v>SH03509</v>
          </cell>
        </row>
        <row r="1306">
          <cell r="A1306" t="str">
            <v>Janna Pemberton Schmidt pembertons@pembertonsgreenhouses.com</v>
          </cell>
          <cell r="B1306" t="str">
            <v>SH03510</v>
          </cell>
        </row>
        <row r="1307">
          <cell r="A1307" t="str">
            <v>Ann Bailey ann_bailey3370@yahoo.com</v>
          </cell>
          <cell r="B1307" t="str">
            <v>SH03511</v>
          </cell>
        </row>
        <row r="1308">
          <cell r="A1308" t="str">
            <v>Brenda Webb theflowernookshop@gmail.com</v>
          </cell>
          <cell r="B1308" t="str">
            <v>SH03514</v>
          </cell>
        </row>
        <row r="1309">
          <cell r="A1309" t="str">
            <v>Courtney Sauer courtney@abbygarden.com</v>
          </cell>
          <cell r="B1309" t="str">
            <v>SH03515</v>
          </cell>
        </row>
        <row r="1310">
          <cell r="A1310" t="str">
            <v>Kelley Byars byars.kelley@gmail.com</v>
          </cell>
          <cell r="B1310" t="str">
            <v>SH03516</v>
          </cell>
        </row>
        <row r="1311">
          <cell r="A1311" t="str">
            <v>Shelly Hagan shelly@jacksonvilleflowermarket.com</v>
          </cell>
          <cell r="B1311" t="str">
            <v>SH03517</v>
          </cell>
        </row>
        <row r="1312">
          <cell r="A1312" t="str">
            <v>Ashley Hendrex ashleyhendrex@gmail.com</v>
          </cell>
          <cell r="B1312" t="str">
            <v>SH03518</v>
          </cell>
        </row>
        <row r="1313">
          <cell r="A1313" t="str">
            <v>Mirna Benitez mbenitez84@hotmail.com</v>
          </cell>
          <cell r="B1313" t="str">
            <v>SH03519</v>
          </cell>
        </row>
        <row r="1314">
          <cell r="A1314" t="str">
            <v>Rodney Kerr rodneykerr@msn.com</v>
          </cell>
          <cell r="B1314" t="str">
            <v>SH03520</v>
          </cell>
        </row>
        <row r="1315">
          <cell r="A1315" t="str">
            <v>Jordan Littrell jordan@gracemj.org</v>
          </cell>
          <cell r="B1315" t="str">
            <v>SH03521</v>
          </cell>
        </row>
        <row r="1316">
          <cell r="A1316" t="str">
            <v>Annie Whalen awhalen@guidosfreshmarketplace.com</v>
          </cell>
          <cell r="B1316" t="str">
            <v>SH03522</v>
          </cell>
        </row>
        <row r="1317">
          <cell r="A1317" t="str">
            <v>Douglas Gemmell douggml@hotmail.com</v>
          </cell>
          <cell r="B1317" t="str">
            <v>SH03523</v>
          </cell>
        </row>
        <row r="1318">
          <cell r="A1318" t="str">
            <v>Melissa LaRose melissa.larose@wasatchpeaksranch.com</v>
          </cell>
          <cell r="B1318" t="str">
            <v>SH03524</v>
          </cell>
        </row>
        <row r="1319">
          <cell r="A1319" t="str">
            <v>Sophy Kohler alex@parkcitynursery.com</v>
          </cell>
          <cell r="B1319" t="str">
            <v>SH03525</v>
          </cell>
        </row>
        <row r="1320">
          <cell r="A1320" t="str">
            <v>Pepper Sweeney jsweeney@sweeneymediagroup.com</v>
          </cell>
          <cell r="B1320" t="str">
            <v>SH03526</v>
          </cell>
        </row>
        <row r="1321">
          <cell r="A1321" t="str">
            <v>Carolina Escobar carolinaescobar0617@gmail.com</v>
          </cell>
          <cell r="B1321" t="str">
            <v>SH03527</v>
          </cell>
        </row>
        <row r="1322">
          <cell r="A1322" t="str">
            <v>Jennifer Litterst jenlitterst@gmail.com</v>
          </cell>
          <cell r="B1322" t="str">
            <v>SH03528</v>
          </cell>
        </row>
        <row r="1323">
          <cell r="A1323" t="str">
            <v>Lauren Shipp laurenshipp@sbcglobal.net</v>
          </cell>
          <cell r="B1323" t="str">
            <v>SH03529</v>
          </cell>
        </row>
        <row r="1324">
          <cell r="A1324" t="str">
            <v>Lacia VanSlyke flsup@bennettsgreenhouse.com</v>
          </cell>
          <cell r="B1324" t="str">
            <v>SH03530</v>
          </cell>
        </row>
        <row r="1325">
          <cell r="A1325" t="str">
            <v>Sarah Vieck sarah@jmrfarms.com</v>
          </cell>
          <cell r="B1325" t="str">
            <v>SH03531</v>
          </cell>
        </row>
        <row r="1326">
          <cell r="A1326" t="str">
            <v>Lisa Taylor lisataylor303@gmail.com</v>
          </cell>
          <cell r="B1326" t="str">
            <v>SH03532</v>
          </cell>
        </row>
        <row r="1327">
          <cell r="A1327" t="str">
            <v>Sherrie Graves sherrie@gracelife.com</v>
          </cell>
          <cell r="B1327" t="str">
            <v>SH03533</v>
          </cell>
        </row>
        <row r="1328">
          <cell r="A1328" t="str">
            <v>Theresa Greenwood sec@saccfl.org</v>
          </cell>
          <cell r="B1328" t="str">
            <v>SH03534</v>
          </cell>
        </row>
        <row r="1329">
          <cell r="A1329" t="str">
            <v>Betty Mcguffey acountryrose@comcast.net</v>
          </cell>
          <cell r="B1329" t="str">
            <v>SH03535</v>
          </cell>
        </row>
        <row r="1330">
          <cell r="A1330" t="str">
            <v>Kathleen Kempf kitkats41@aol.com</v>
          </cell>
          <cell r="B1330" t="str">
            <v>SH03536</v>
          </cell>
        </row>
        <row r="1331">
          <cell r="A1331" t="str">
            <v>Nicole Hartman nicole@catholicshrineatlanta.org</v>
          </cell>
          <cell r="B1331" t="str">
            <v>SH03537</v>
          </cell>
        </row>
        <row r="1332">
          <cell r="A1332" t="str">
            <v>Rebecca Priester becca1607@yahoo.com</v>
          </cell>
          <cell r="B1332" t="str">
            <v>SH03538</v>
          </cell>
        </row>
        <row r="1333">
          <cell r="A1333" t="str">
            <v>Eilene Maupin maupin@comcast.net</v>
          </cell>
          <cell r="B1333" t="str">
            <v>SH03539</v>
          </cell>
        </row>
        <row r="1334">
          <cell r="A1334" t="str">
            <v>Elizabeth Tews contact@heartlandstoremn.com</v>
          </cell>
          <cell r="B1334" t="str">
            <v>SH03540</v>
          </cell>
        </row>
        <row r="1335">
          <cell r="A1335" t="str">
            <v>Sarah Werner brian@bergamotandivy.com</v>
          </cell>
          <cell r="B1335" t="str">
            <v>SH03541</v>
          </cell>
        </row>
        <row r="1336">
          <cell r="A1336" t="str">
            <v>Rebecca Flores bloomsbybeccaflores@gmail.com</v>
          </cell>
          <cell r="B1336" t="str">
            <v>SH03542</v>
          </cell>
        </row>
        <row r="1337">
          <cell r="A1337" t="str">
            <v>lillian de la flor info@dollysflorist.com</v>
          </cell>
          <cell r="B1337" t="str">
            <v>SH03543</v>
          </cell>
        </row>
        <row r="1338">
          <cell r="A1338" t="str">
            <v>Emily Singh sweeneysfloralshop@gmail.com</v>
          </cell>
          <cell r="B1338" t="str">
            <v>SH03544</v>
          </cell>
        </row>
        <row r="1339">
          <cell r="A1339" t="str">
            <v>Mike Cashwiler mcashwiler@shady-maple.com</v>
          </cell>
          <cell r="B1339" t="str">
            <v>SH03545</v>
          </cell>
        </row>
        <row r="1340">
          <cell r="A1340" t="str">
            <v>mayelin alfonso maycrazybloom@gmail.com</v>
          </cell>
          <cell r="B1340" t="str">
            <v>SH03546</v>
          </cell>
        </row>
        <row r="1341">
          <cell r="A1341" t="str">
            <v>Ly Pham lyp303@yahoo.com</v>
          </cell>
          <cell r="B1341" t="str">
            <v>SH03547</v>
          </cell>
        </row>
        <row r="1342">
          <cell r="A1342" t="str">
            <v>Scott Atwood atwoodscottn@gmail.com</v>
          </cell>
          <cell r="B1342" t="str">
            <v>SH03548</v>
          </cell>
        </row>
        <row r="1343">
          <cell r="A1343" t="str">
            <v>Rhea Sarsfield rheasarsfield@yahoo.com</v>
          </cell>
          <cell r="B1343" t="str">
            <v>SH03549</v>
          </cell>
        </row>
        <row r="1344">
          <cell r="A1344" t="str">
            <v>Cynthia McGovern johncynthia1@verizon.net</v>
          </cell>
          <cell r="B1344" t="str">
            <v>SH03550</v>
          </cell>
        </row>
        <row r="1345">
          <cell r="A1345" t="str">
            <v>Lorry Werner lorrywfloral@gmail.com</v>
          </cell>
          <cell r="B1345" t="str">
            <v>SH03551</v>
          </cell>
        </row>
        <row r="1346">
          <cell r="A1346" t="str">
            <v>Jeanne Robichaux jeannerobichaux@outlook.com</v>
          </cell>
          <cell r="B1346" t="str">
            <v>SH03552</v>
          </cell>
        </row>
        <row r="1347">
          <cell r="A1347" t="str">
            <v>Lacie Fallin fictitious.flowers@gmail.com</v>
          </cell>
          <cell r="B1347" t="str">
            <v>SH03553</v>
          </cell>
        </row>
        <row r="1348">
          <cell r="A1348" t="str">
            <v>Paul Matalon paul@solomonequities.com</v>
          </cell>
          <cell r="B1348" t="str">
            <v>SH03554</v>
          </cell>
        </row>
        <row r="1349">
          <cell r="A1349" t="str">
            <v>Emily Cavey ecavey@hm1842.com</v>
          </cell>
          <cell r="B1349" t="str">
            <v>SH03555</v>
          </cell>
        </row>
        <row r="1350">
          <cell r="A1350" t="str">
            <v>Mora Farag morafarag@gmail.com</v>
          </cell>
          <cell r="B1350" t="str">
            <v>SH03556</v>
          </cell>
        </row>
        <row r="1351">
          <cell r="A1351" t="str">
            <v>Jessica Cheatham anniecheatham@hotmail.com</v>
          </cell>
          <cell r="B1351" t="str">
            <v>SH03557</v>
          </cell>
        </row>
        <row r="1352">
          <cell r="A1352" t="str">
            <v>Victoria Murray mainstreetfloralduncan@gmail.com</v>
          </cell>
          <cell r="B1352" t="str">
            <v>SH03558</v>
          </cell>
        </row>
        <row r="1353">
          <cell r="A1353" t="str">
            <v>C Briton-Jones cmbritonjones@gmail.com</v>
          </cell>
          <cell r="B1353" t="str">
            <v>SH03559</v>
          </cell>
        </row>
        <row r="1354">
          <cell r="A1354" t="str">
            <v>Hilary Atamian gracegardensfloral@gmail.com</v>
          </cell>
          <cell r="B1354" t="str">
            <v>SH03560</v>
          </cell>
        </row>
        <row r="1355">
          <cell r="A1355" t="str">
            <v>Kay A hello@sisuflorals.com</v>
          </cell>
          <cell r="B1355" t="str">
            <v>SH03561</v>
          </cell>
        </row>
        <row r="1356">
          <cell r="A1356" t="str">
            <v>Damaris Oliveras damabella0709@gmail.com</v>
          </cell>
          <cell r="B1356" t="str">
            <v>SH03562</v>
          </cell>
        </row>
        <row r="1357">
          <cell r="A1357" t="str">
            <v>April Pietsch april@pietschs.net</v>
          </cell>
          <cell r="B1357" t="str">
            <v>SH03563</v>
          </cell>
        </row>
        <row r="1358">
          <cell r="A1358" t="str">
            <v>Alissa Futhey alissa.futhey@gmail.com</v>
          </cell>
          <cell r="B1358" t="str">
            <v>SH03564</v>
          </cell>
        </row>
        <row r="1359">
          <cell r="A1359" t="str">
            <v>Leslie Bell lesliegrowingcompany@gmail.com</v>
          </cell>
          <cell r="B1359" t="str">
            <v>SH03565</v>
          </cell>
        </row>
        <row r="1360">
          <cell r="A1360" t="str">
            <v>Lance Hoopai ljhoopai@gmail.com</v>
          </cell>
          <cell r="B1360" t="str">
            <v>SH03566</v>
          </cell>
        </row>
        <row r="1361">
          <cell r="A1361" t="str">
            <v>Candice Szarzec hello@thepetalandthestem.com</v>
          </cell>
          <cell r="B1361" t="str">
            <v>SH03567</v>
          </cell>
        </row>
        <row r="1362">
          <cell r="A1362" t="str">
            <v>Amelia Iliohan amelia.h.iliohan@gmail.com</v>
          </cell>
          <cell r="B1362" t="str">
            <v>SH03568</v>
          </cell>
        </row>
        <row r="1363">
          <cell r="A1363" t="str">
            <v>Sara Slingerland sslingerland@floracraft.com</v>
          </cell>
          <cell r="B1363" t="str">
            <v>SH03569</v>
          </cell>
        </row>
        <row r="1364">
          <cell r="A1364" t="str">
            <v>Siying Zhu sunshinesjzk@gmail.com</v>
          </cell>
          <cell r="B1364" t="str">
            <v>SH03570</v>
          </cell>
        </row>
        <row r="1365">
          <cell r="A1365" t="str">
            <v>Micki Houston mickisflorist@optonline.net</v>
          </cell>
          <cell r="B1365" t="str">
            <v>SH03571</v>
          </cell>
        </row>
        <row r="1366">
          <cell r="A1366" t="str">
            <v>Miranda Bergeron mirandashawaryn@yahoo.com</v>
          </cell>
          <cell r="B1366" t="str">
            <v>SH03572</v>
          </cell>
        </row>
        <row r="1367">
          <cell r="A1367" t="str">
            <v>Ashley Joiner veesflowersmonroe@gmail.com</v>
          </cell>
          <cell r="B1367" t="str">
            <v>SH03573</v>
          </cell>
        </row>
        <row r="1368">
          <cell r="A1368" t="str">
            <v>Laney Vivo laneyvivo@yahoo.com</v>
          </cell>
          <cell r="B1368" t="str">
            <v>SH03574</v>
          </cell>
        </row>
        <row r="1369">
          <cell r="A1369" t="str">
            <v>Bernard Carvajal meljeff88@aol.com</v>
          </cell>
          <cell r="B1369" t="str">
            <v>SH03575</v>
          </cell>
        </row>
        <row r="1370">
          <cell r="A1370" t="str">
            <v>Krista Gardent kristagardent@yahoo.com</v>
          </cell>
          <cell r="B1370" t="str">
            <v>SH03576</v>
          </cell>
        </row>
        <row r="1371">
          <cell r="A1371" t="str">
            <v>1-800Flowers.com:Bloomnet</v>
          </cell>
          <cell r="B1371" t="str">
            <v>NAC0457</v>
          </cell>
        </row>
        <row r="1372">
          <cell r="A1372" t="str">
            <v>Ahold USA:BUNZL BALTIMORE</v>
          </cell>
          <cell r="B1372" t="str">
            <v>NAC0478</v>
          </cell>
        </row>
        <row r="1373">
          <cell r="A1373" t="str">
            <v>Ahold USA:BUNZL R3 NEW ENGLAND</v>
          </cell>
          <cell r="B1373" t="str">
            <v>NAC0480</v>
          </cell>
        </row>
        <row r="1374">
          <cell r="A1374" t="str">
            <v>Ahold USA:Bunzl Schwarz</v>
          </cell>
          <cell r="B1374" t="str">
            <v>NAC0479</v>
          </cell>
        </row>
        <row r="1375">
          <cell r="A1375" t="str">
            <v>Ahold USA:BUNZL YORK</v>
          </cell>
          <cell r="B1375" t="str">
            <v>NAC0477</v>
          </cell>
        </row>
        <row r="1376">
          <cell r="A1376" t="str">
            <v>Albertsons:Albertson's #682</v>
          </cell>
          <cell r="B1376" t="str">
            <v>NAC0507</v>
          </cell>
        </row>
        <row r="1377">
          <cell r="A1377" t="str">
            <v>Albertsons:Albertson's #904</v>
          </cell>
          <cell r="B1377" t="str">
            <v>NAC0502</v>
          </cell>
        </row>
        <row r="1378">
          <cell r="A1378" t="str">
            <v>Albertsons:Albertson's #905</v>
          </cell>
          <cell r="B1378" t="str">
            <v>NAC0506</v>
          </cell>
        </row>
        <row r="1379">
          <cell r="A1379" t="str">
            <v>Albertsons:Albertson's #915</v>
          </cell>
          <cell r="B1379" t="str">
            <v>NAC0488</v>
          </cell>
        </row>
        <row r="1380">
          <cell r="A1380" t="str">
            <v>Albertsons:Albertson's #919</v>
          </cell>
          <cell r="B1380" t="str">
            <v>NAC0501</v>
          </cell>
        </row>
        <row r="1381">
          <cell r="A1381" t="str">
            <v>Albertsons:Albertson's #927</v>
          </cell>
          <cell r="B1381" t="str">
            <v>NAC0511</v>
          </cell>
        </row>
        <row r="1382">
          <cell r="A1382" t="str">
            <v>Albertsons:Albertson's #928</v>
          </cell>
          <cell r="B1382" t="str">
            <v>NAC0497</v>
          </cell>
        </row>
        <row r="1383">
          <cell r="A1383" t="str">
            <v>Albertsons:Albertson's #937</v>
          </cell>
          <cell r="B1383" t="str">
            <v>NAC0495</v>
          </cell>
        </row>
        <row r="1384">
          <cell r="A1384" t="str">
            <v>Albertsons:Albertson's #939</v>
          </cell>
          <cell r="B1384" t="str">
            <v>NAC0510</v>
          </cell>
        </row>
        <row r="1385">
          <cell r="A1385" t="str">
            <v>Albertsons:Albertson's #986</v>
          </cell>
          <cell r="B1385" t="str">
            <v>NAC0489</v>
          </cell>
        </row>
        <row r="1386">
          <cell r="A1386" t="str">
            <v>Albertsons:Albertson's #987</v>
          </cell>
          <cell r="B1386" t="str">
            <v>NAC0494</v>
          </cell>
        </row>
        <row r="1387">
          <cell r="A1387" t="str">
            <v>Albertsons:Albertsons #665</v>
          </cell>
          <cell r="B1387" t="str">
            <v>NAC0491</v>
          </cell>
        </row>
        <row r="1388">
          <cell r="A1388" t="str">
            <v>Albertsons:Albertsons #671</v>
          </cell>
          <cell r="B1388" t="str">
            <v>NAC0492</v>
          </cell>
        </row>
        <row r="1389">
          <cell r="A1389" t="str">
            <v>Albertsons:Albertsons #676</v>
          </cell>
          <cell r="B1389" t="str">
            <v>NAC0484</v>
          </cell>
        </row>
        <row r="1390">
          <cell r="A1390" t="str">
            <v>Albertsons:Albertsons #678</v>
          </cell>
          <cell r="B1390" t="str">
            <v>NAC0487</v>
          </cell>
        </row>
        <row r="1391">
          <cell r="A1391" t="str">
            <v>Albertsons:Albertsons #680</v>
          </cell>
          <cell r="B1391" t="str">
            <v>NAC0485</v>
          </cell>
        </row>
        <row r="1392">
          <cell r="A1392" t="str">
            <v>Albertsons:Albertsons #681</v>
          </cell>
          <cell r="B1392" t="str">
            <v>NAC0500</v>
          </cell>
        </row>
        <row r="1393">
          <cell r="A1393" t="str">
            <v>Albertsons:Albertsons #690</v>
          </cell>
          <cell r="B1393" t="str">
            <v>NAC0490</v>
          </cell>
        </row>
        <row r="1394">
          <cell r="A1394" t="str">
            <v>Albertsons:Albertsons #691</v>
          </cell>
          <cell r="B1394" t="str">
            <v>NAC0505</v>
          </cell>
        </row>
        <row r="1395">
          <cell r="A1395" t="str">
            <v>Albertsons:Albertsons #917</v>
          </cell>
          <cell r="B1395" t="str">
            <v>NAC0496</v>
          </cell>
        </row>
        <row r="1396">
          <cell r="A1396" t="str">
            <v>Albertsons:ALBERTSONS #923</v>
          </cell>
          <cell r="B1396" t="str">
            <v>NAC0493</v>
          </cell>
        </row>
        <row r="1397">
          <cell r="A1397" t="str">
            <v>Albertsons:ALBERTSONS #924</v>
          </cell>
          <cell r="B1397" t="str">
            <v>NAC0509</v>
          </cell>
        </row>
        <row r="1398">
          <cell r="A1398" t="str">
            <v>Albertsons:ALBERTSONS #938</v>
          </cell>
          <cell r="B1398" t="str">
            <v>NAC0486</v>
          </cell>
        </row>
        <row r="1399">
          <cell r="A1399" t="str">
            <v>BUNZL:BUNZL BUFFALO</v>
          </cell>
          <cell r="B1399" t="str">
            <v>NAC0609</v>
          </cell>
        </row>
        <row r="1400">
          <cell r="A1400" t="str">
            <v>Chanthavy Keovilay Abrams (bloomfield...)</v>
          </cell>
          <cell r="B1400" t="str">
            <v>SH02830</v>
          </cell>
        </row>
        <row r="1401">
          <cell r="A1401" t="str">
            <v>Decowraps Holdings LLC</v>
          </cell>
          <cell r="B1401" t="str">
            <v>INT0009</v>
          </cell>
        </row>
        <row r="1402">
          <cell r="A1402" t="str">
            <v>DWF Wholesale Florist:DWF Wholesale Florist-Albuquerque</v>
          </cell>
          <cell r="B1402" t="str">
            <v>NAC0750</v>
          </cell>
        </row>
        <row r="1403">
          <cell r="A1403" t="str">
            <v>DWF Wholesale Florist:DWF Wholesale Florist-Cincinnati</v>
          </cell>
          <cell r="B1403" t="str">
            <v>NAC0746</v>
          </cell>
        </row>
        <row r="1404">
          <cell r="A1404" t="str">
            <v>DWF Wholesale Florist:DWF Wholesale Florist-Denver Corporate</v>
          </cell>
          <cell r="B1404" t="str">
            <v>NAC0751</v>
          </cell>
        </row>
        <row r="1405">
          <cell r="A1405" t="str">
            <v>DWF Wholesale Florist:DWF Wholesale Florist-Flint</v>
          </cell>
          <cell r="B1405" t="str">
            <v>NAC0755</v>
          </cell>
        </row>
        <row r="1406">
          <cell r="A1406" t="str">
            <v>DWF Wholesale Florist:DWF Wholesale Florist-Nashville</v>
          </cell>
          <cell r="B1406" t="str">
            <v>NAC0754</v>
          </cell>
        </row>
        <row r="1407">
          <cell r="A1407" t="str">
            <v>DWF Wholesale Florist:DWF Wholesale Florist-WA</v>
          </cell>
          <cell r="B1407" t="str">
            <v>NAC0749</v>
          </cell>
        </row>
        <row r="1408">
          <cell r="A1408" t="str">
            <v>DWF Wholesale Florist:DWF Wholesale Florist - Dallas</v>
          </cell>
          <cell r="B1408" t="str">
            <v>NAC0747</v>
          </cell>
        </row>
        <row r="1409">
          <cell r="A1409" t="str">
            <v>DWF Wholesale Florist:DWF Wholesale Florist - Phoenix</v>
          </cell>
          <cell r="B1409" t="str">
            <v>NAC0753</v>
          </cell>
        </row>
        <row r="1410">
          <cell r="A1410" t="str">
            <v>DWF Wholesale Florist:DWF Wholesale Florist - Salt Lake City</v>
          </cell>
          <cell r="B1410" t="str">
            <v>NAC0744</v>
          </cell>
        </row>
        <row r="1411">
          <cell r="A1411" t="str">
            <v>DWF Wholesale Florist:DWF Wholesale Florist - St. Louis</v>
          </cell>
          <cell r="B1411" t="str">
            <v>NAC0752</v>
          </cell>
        </row>
        <row r="1412">
          <cell r="A1412" t="str">
            <v>FAMILY FARE:FAMILY FARE #3253</v>
          </cell>
          <cell r="B1412" t="str">
            <v>NAC0794</v>
          </cell>
        </row>
        <row r="1413">
          <cell r="A1413" t="str">
            <v>FAMILY FARE:FAMILY FARE #3265</v>
          </cell>
          <cell r="B1413" t="str">
            <v>NAC0793</v>
          </cell>
        </row>
        <row r="1414">
          <cell r="A1414" t="str">
            <v>Hugo's Supermarket:Hugo's Supermarket #10</v>
          </cell>
          <cell r="B1414" t="str">
            <v>NAC0947</v>
          </cell>
        </row>
        <row r="1415">
          <cell r="A1415" t="str">
            <v>Hugo's Supermarket:Hugo's Supermarket #13</v>
          </cell>
          <cell r="B1415" t="str">
            <v>NAC0945</v>
          </cell>
        </row>
        <row r="1416">
          <cell r="A1416" t="str">
            <v>Jose A Beltran</v>
          </cell>
          <cell r="B1416" t="str">
            <v>NAC0996</v>
          </cell>
        </row>
        <row r="1417">
          <cell r="A1417" t="str">
            <v>Kendal:Kendal Floral</v>
          </cell>
          <cell r="B1417" t="str">
            <v>NAC1017</v>
          </cell>
        </row>
        <row r="1418">
          <cell r="A1418" t="str">
            <v>Kendal:Kendal Floral 1</v>
          </cell>
          <cell r="B1418" t="str">
            <v>NAC1616</v>
          </cell>
        </row>
        <row r="1419">
          <cell r="A1419" t="str">
            <v>Kendal:Kendal North</v>
          </cell>
          <cell r="B1419" t="str">
            <v>NAC1015</v>
          </cell>
        </row>
        <row r="1420">
          <cell r="A1420" t="str">
            <v>Kimberly Gutowsky (kimberly.melton@gm...)</v>
          </cell>
          <cell r="B1420" t="str">
            <v>SH02834</v>
          </cell>
        </row>
        <row r="1421">
          <cell r="A1421" t="str">
            <v>Kroger:Kroger Fred Meyer-Clackamas</v>
          </cell>
          <cell r="B1421" t="str">
            <v>NAC1032</v>
          </cell>
        </row>
        <row r="1422">
          <cell r="A1422" t="str">
            <v>Kroger:Kroger Peyton's Fountain</v>
          </cell>
          <cell r="B1422" t="str">
            <v>NAC1038</v>
          </cell>
        </row>
        <row r="1423">
          <cell r="A1423" t="str">
            <v>Kroger:Kroger Peyton's Mid South</v>
          </cell>
          <cell r="B1423" t="str">
            <v>NAC1035</v>
          </cell>
        </row>
        <row r="1424">
          <cell r="A1424" t="str">
            <v>Kroger:Kroger Peyton's Phoenix</v>
          </cell>
          <cell r="B1424" t="str">
            <v>NAC1039</v>
          </cell>
        </row>
        <row r="1425">
          <cell r="A1425" t="str">
            <v>Kroger:Kroger Ralph's Riverside</v>
          </cell>
          <cell r="B1425" t="str">
            <v>NAC1031</v>
          </cell>
        </row>
        <row r="1426">
          <cell r="A1426" t="str">
            <v>Marie Amerson (marie_amerson@hotmail.com)</v>
          </cell>
          <cell r="B1426" t="str">
            <v>SH02822</v>
          </cell>
        </row>
        <row r="1427">
          <cell r="A1427" t="str">
            <v>Market Street #:Market Street #517</v>
          </cell>
          <cell r="B1427" t="str">
            <v>NAC1097</v>
          </cell>
        </row>
        <row r="1428">
          <cell r="A1428" t="str">
            <v>Market Street #:Market Street #526</v>
          </cell>
          <cell r="B1428" t="str">
            <v>NAC1090</v>
          </cell>
        </row>
        <row r="1429">
          <cell r="A1429" t="str">
            <v>Market Street #:Market Street #561</v>
          </cell>
          <cell r="B1429" t="str">
            <v>NAC1092</v>
          </cell>
        </row>
        <row r="1430">
          <cell r="A1430" t="str">
            <v>Market Street #:Market Street #562</v>
          </cell>
          <cell r="B1430" t="str">
            <v>NAC1088</v>
          </cell>
        </row>
        <row r="1431">
          <cell r="A1431" t="str">
            <v>Market Street #:Market Street #563</v>
          </cell>
          <cell r="B1431" t="str">
            <v>NAC1093</v>
          </cell>
        </row>
        <row r="1432">
          <cell r="A1432" t="str">
            <v>Market Street #:Market Street #564</v>
          </cell>
          <cell r="B1432" t="str">
            <v>NAC1102</v>
          </cell>
        </row>
        <row r="1433">
          <cell r="A1433" t="str">
            <v>Market Street #:Market Street #565</v>
          </cell>
          <cell r="B1433" t="str">
            <v>NAC1098</v>
          </cell>
        </row>
        <row r="1434">
          <cell r="A1434" t="str">
            <v>Market Street #:Market Street #566</v>
          </cell>
          <cell r="B1434" t="str">
            <v>NAC1099</v>
          </cell>
        </row>
        <row r="1435">
          <cell r="A1435" t="str">
            <v>Market Street #:Market Street #675</v>
          </cell>
          <cell r="B1435" t="str">
            <v>NAC1091</v>
          </cell>
        </row>
        <row r="1436">
          <cell r="A1436" t="str">
            <v>Market Street #:Market Street #685</v>
          </cell>
          <cell r="B1436" t="str">
            <v>NAC1100</v>
          </cell>
        </row>
        <row r="1437">
          <cell r="A1437" t="str">
            <v>Market Street #:Market Street #696</v>
          </cell>
          <cell r="B1437" t="str">
            <v>NAC1095</v>
          </cell>
        </row>
        <row r="1438">
          <cell r="A1438" t="str">
            <v>Metro Inc</v>
          </cell>
          <cell r="B1438" t="str">
            <v>CAN0037</v>
          </cell>
        </row>
        <row r="1439">
          <cell r="A1439" t="str">
            <v>Milgro:Milgro New Castle</v>
          </cell>
          <cell r="B1439" t="str">
            <v>NAC1138</v>
          </cell>
        </row>
        <row r="1440">
          <cell r="A1440" t="str">
            <v>Milgro:Victoria Nursery Inc.</v>
          </cell>
          <cell r="B1440" t="str">
            <v>NAC1140</v>
          </cell>
        </row>
        <row r="1441">
          <cell r="A1441" t="str">
            <v>Native:Native Floral Atlanta</v>
          </cell>
          <cell r="B1441" t="str">
            <v>NAC1164</v>
          </cell>
        </row>
        <row r="1442">
          <cell r="A1442" t="str">
            <v>Native:Native Floral Maryland</v>
          </cell>
          <cell r="B1442" t="str">
            <v>NAC1162</v>
          </cell>
        </row>
        <row r="1443">
          <cell r="A1443" t="str">
            <v>Native:Native Wholesale (Chicago)</v>
          </cell>
          <cell r="B1443" t="str">
            <v>NAC1163</v>
          </cell>
        </row>
        <row r="1444">
          <cell r="A1444" t="str">
            <v>Native:Native Wholesale Detroit</v>
          </cell>
          <cell r="B1444" t="str">
            <v>NAC1161</v>
          </cell>
        </row>
        <row r="1445">
          <cell r="A1445" t="str">
            <v>Olga Rodriguez (olgalopez2288@icloud.com)</v>
          </cell>
          <cell r="B1445" t="str">
            <v>SH02775</v>
          </cell>
        </row>
        <row r="1446">
          <cell r="A1446" t="str">
            <v>Paula Stallard (pstallard@christchurc...)</v>
          </cell>
          <cell r="B1446" t="str">
            <v>SH02828</v>
          </cell>
        </row>
        <row r="1447">
          <cell r="A1447" t="str">
            <v>pedro sengsone (thecbdplusstore@outlo...)</v>
          </cell>
          <cell r="B1447" t="str">
            <v>SH02829</v>
          </cell>
        </row>
        <row r="1448">
          <cell r="A1448" t="str">
            <v>Reasor's:Reasor's #02</v>
          </cell>
          <cell r="B1448" t="str">
            <v>NAC1276</v>
          </cell>
        </row>
        <row r="1449">
          <cell r="A1449" t="str">
            <v>Reasor's:Reasor's #03</v>
          </cell>
          <cell r="B1449" t="str">
            <v>NAC1279</v>
          </cell>
        </row>
        <row r="1450">
          <cell r="A1450" t="str">
            <v>Reasor's:Reasor's #04</v>
          </cell>
          <cell r="B1450" t="str">
            <v>NAC1278</v>
          </cell>
        </row>
        <row r="1451">
          <cell r="A1451" t="str">
            <v>Reasor's:Reasor's #05</v>
          </cell>
          <cell r="B1451" t="str">
            <v>NAC1602</v>
          </cell>
        </row>
        <row r="1452">
          <cell r="A1452" t="str">
            <v>Reasor's:Reasor's #07</v>
          </cell>
          <cell r="B1452" t="str">
            <v>NAC1267</v>
          </cell>
        </row>
        <row r="1453">
          <cell r="A1453" t="str">
            <v>Reasor's:Reasor's #09</v>
          </cell>
          <cell r="B1453" t="str">
            <v>NAC1270</v>
          </cell>
        </row>
        <row r="1454">
          <cell r="A1454" t="str">
            <v>Reasor's:Reasor's #13</v>
          </cell>
          <cell r="B1454" t="str">
            <v>NAC1268</v>
          </cell>
        </row>
        <row r="1455">
          <cell r="A1455" t="str">
            <v>Reasor's:Reasor's #14</v>
          </cell>
          <cell r="B1455" t="str">
            <v>NAC1265</v>
          </cell>
        </row>
        <row r="1456">
          <cell r="A1456" t="str">
            <v>Reasor's:Reasor's #15</v>
          </cell>
          <cell r="B1456" t="str">
            <v>NAC1269</v>
          </cell>
        </row>
        <row r="1457">
          <cell r="A1457" t="str">
            <v>Reasor's:Reasor's #16</v>
          </cell>
          <cell r="B1457" t="str">
            <v>NAC1275</v>
          </cell>
        </row>
        <row r="1458">
          <cell r="A1458" t="str">
            <v>Reasor's:Reasor's #17</v>
          </cell>
          <cell r="B1458" t="str">
            <v>NAC1272</v>
          </cell>
        </row>
        <row r="1459">
          <cell r="A1459" t="str">
            <v>Reasor's:Reasor's #18</v>
          </cell>
          <cell r="B1459" t="str">
            <v>NAC1274</v>
          </cell>
        </row>
        <row r="1460">
          <cell r="A1460" t="str">
            <v>Reasor's:Reasor's #19</v>
          </cell>
          <cell r="B1460" t="str">
            <v>NAC1280</v>
          </cell>
        </row>
        <row r="1461">
          <cell r="A1461" t="str">
            <v>Reasor's:Reasor's #20</v>
          </cell>
          <cell r="B1461" t="str">
            <v>NAC1266</v>
          </cell>
        </row>
        <row r="1462">
          <cell r="A1462" t="str">
            <v>Reasor's:Reasor's #21</v>
          </cell>
          <cell r="B1462" t="str">
            <v>NAC1277</v>
          </cell>
        </row>
        <row r="1463">
          <cell r="A1463" t="str">
            <v>Reasor's:Reasor's #22</v>
          </cell>
          <cell r="B1463" t="str">
            <v>NAC1271</v>
          </cell>
        </row>
        <row r="1464">
          <cell r="A1464" t="str">
            <v>Reasor's:Reasor's #25</v>
          </cell>
          <cell r="B1464" t="str">
            <v>NAC1273</v>
          </cell>
        </row>
        <row r="1465">
          <cell r="A1465" t="str">
            <v>Safeway:Safeway Denver</v>
          </cell>
          <cell r="B1465" t="str">
            <v>NAC1319</v>
          </cell>
        </row>
        <row r="1466">
          <cell r="A1466" t="str">
            <v>Safeway:Safeway Eastern</v>
          </cell>
          <cell r="B1466" t="str">
            <v>NAC1315</v>
          </cell>
        </row>
        <row r="1467">
          <cell r="A1467" t="str">
            <v>Safeway:Safeway Northern CA</v>
          </cell>
          <cell r="B1467" t="str">
            <v>NAC1322</v>
          </cell>
        </row>
        <row r="1468">
          <cell r="A1468" t="str">
            <v>Safeway:Safeway Portland</v>
          </cell>
          <cell r="B1468" t="str">
            <v>NAC1314</v>
          </cell>
        </row>
        <row r="1469">
          <cell r="A1469" t="str">
            <v>Safeway:Safeway Seattle</v>
          </cell>
          <cell r="B1469" t="str">
            <v>NAC1317</v>
          </cell>
        </row>
        <row r="1470">
          <cell r="A1470" t="str">
            <v>Safeway:Safeway Southern</v>
          </cell>
          <cell r="B1470" t="str">
            <v>NAC1320</v>
          </cell>
        </row>
        <row r="1471">
          <cell r="A1471" t="str">
            <v>Safeway:Safeway Southern CA</v>
          </cell>
          <cell r="B1471" t="str">
            <v>NAC1316</v>
          </cell>
        </row>
        <row r="1472">
          <cell r="A1472" t="str">
            <v>Safeway:Shaw´s Supermarket Inc.</v>
          </cell>
          <cell r="B1472" t="str">
            <v>NAC1318</v>
          </cell>
        </row>
        <row r="1473">
          <cell r="A1473" t="str">
            <v>Sharon Rooker (irmamathisglenn@gmail.com)</v>
          </cell>
          <cell r="B1473" t="str">
            <v>SH02288</v>
          </cell>
        </row>
        <row r="1474">
          <cell r="A1474" t="str">
            <v>System Corrections</v>
          </cell>
          <cell r="B1474">
            <v>0</v>
          </cell>
        </row>
        <row r="1475">
          <cell r="A1475" t="str">
            <v>Tami Abernathy (tami@thebloomingbride...)</v>
          </cell>
          <cell r="B1475" t="str">
            <v>SH02823</v>
          </cell>
        </row>
        <row r="1476">
          <cell r="A1476" t="str">
            <v>The Flower Factory*:The Flower Factory</v>
          </cell>
          <cell r="B1476" t="str">
            <v>CAN0070</v>
          </cell>
        </row>
        <row r="1477">
          <cell r="A1477" t="str">
            <v>United Supermarkets:United Supermarkets #523</v>
          </cell>
          <cell r="B1477" t="str">
            <v>NAC1452</v>
          </cell>
        </row>
        <row r="1478">
          <cell r="A1478" t="str">
            <v>United Supermarkets:United Supermarkets #530</v>
          </cell>
          <cell r="B1478" t="str">
            <v>NAC1459</v>
          </cell>
        </row>
        <row r="1479">
          <cell r="A1479" t="str">
            <v>United Supermarkets:United Supermarkets #539</v>
          </cell>
          <cell r="B1479" t="str">
            <v>NAC1451</v>
          </cell>
        </row>
        <row r="1480">
          <cell r="A1480" t="str">
            <v>United Supermarkets:United Supermarkets #551</v>
          </cell>
          <cell r="B1480" t="str">
            <v>NAC1457</v>
          </cell>
        </row>
        <row r="1481">
          <cell r="A1481" t="str">
            <v>United Supermarkets:UNITED SUPERMARKETS #552</v>
          </cell>
          <cell r="B1481" t="str">
            <v>NAC1454</v>
          </cell>
        </row>
        <row r="1482">
          <cell r="A1482" t="str">
            <v>United Supermarkets:United Supermarkets #574</v>
          </cell>
          <cell r="B1482" t="str">
            <v>NAC1462</v>
          </cell>
        </row>
        <row r="1483">
          <cell r="A1483" t="str">
            <v>United Supermarkets:United Supermarkets #657</v>
          </cell>
          <cell r="B1483" t="str">
            <v>NAC1458</v>
          </cell>
        </row>
        <row r="1484">
          <cell r="A1484" t="str">
            <v>United Supermarkets:United Supermarkets #663</v>
          </cell>
          <cell r="B1484" t="str">
            <v>NAC1463</v>
          </cell>
        </row>
        <row r="1485">
          <cell r="A1485" t="str">
            <v>Whole Foods Market:WFM Global Perishable Purchasing</v>
          </cell>
          <cell r="B1485" t="str">
            <v>NAC1519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D605-54D0-42B0-9C0C-29D9679DF847}">
  <sheetPr codeName="Hoja1"/>
  <dimension ref="A1:L7"/>
  <sheetViews>
    <sheetView tabSelected="1" workbookViewId="0">
      <selection activeCell="H6" sqref="H6"/>
    </sheetView>
  </sheetViews>
  <sheetFormatPr defaultColWidth="11.42578125" defaultRowHeight="14.45"/>
  <cols>
    <col min="2" max="2" width="25.42578125" customWidth="1"/>
    <col min="3" max="3" width="13" customWidth="1"/>
    <col min="7" max="7" width="14.28515625" customWidth="1"/>
    <col min="8" max="8" width="6.5703125" customWidth="1"/>
    <col min="10" max="11" width="11.5703125" customWidth="1"/>
    <col min="12" max="12" width="11.7109375" customWidth="1"/>
  </cols>
  <sheetData>
    <row r="1" spans="1:12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2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</row>
    <row r="4" spans="1:12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12" ht="15" thickBot="1">
      <c r="A5" s="22"/>
      <c r="B5" s="23"/>
      <c r="C5" s="22"/>
      <c r="D5" s="22"/>
      <c r="E5" s="22"/>
      <c r="F5" s="22"/>
      <c r="G5" s="22"/>
      <c r="H5" s="22"/>
      <c r="I5" s="22"/>
      <c r="J5" s="22"/>
      <c r="K5" s="22"/>
      <c r="L5" s="24"/>
    </row>
    <row r="6" spans="1:12">
      <c r="G6" s="25" t="s">
        <v>1</v>
      </c>
      <c r="H6" s="26">
        <v>10</v>
      </c>
    </row>
    <row r="7" spans="1:12" ht="15" thickBot="1">
      <c r="G7" s="27" t="s">
        <v>2</v>
      </c>
      <c r="H7" s="28">
        <v>13</v>
      </c>
    </row>
  </sheetData>
  <mergeCells count="1">
    <mergeCell ref="A1:L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105C-63BA-4958-95C1-03C4F7B7C834}">
  <sheetPr codeName="Hoja2"/>
  <dimension ref="A1:M3626"/>
  <sheetViews>
    <sheetView workbookViewId="0">
      <selection activeCell="O2" sqref="O2:O3626"/>
    </sheetView>
  </sheetViews>
  <sheetFormatPr defaultColWidth="11.42578125" defaultRowHeight="14.45"/>
  <cols>
    <col min="1" max="1" width="9.140625" bestFit="1" customWidth="1"/>
    <col min="2" max="2" width="29" customWidth="1"/>
  </cols>
  <sheetData>
    <row r="1" spans="1:1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7</v>
      </c>
      <c r="G1" t="s">
        <v>8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H2" s="2">
        <v>45713</v>
      </c>
      <c r="I2" s="1">
        <v>-1491.6</v>
      </c>
      <c r="J2">
        <v>-1491.6</v>
      </c>
      <c r="K2" t="s">
        <v>20</v>
      </c>
      <c r="L2">
        <v>0</v>
      </c>
      <c r="M2">
        <v>-1491.6</v>
      </c>
    </row>
    <row r="3" spans="1:13">
      <c r="A3" t="s">
        <v>14</v>
      </c>
      <c r="B3" t="s">
        <v>15</v>
      </c>
      <c r="C3" t="s">
        <v>16</v>
      </c>
      <c r="D3" t="s">
        <v>21</v>
      </c>
      <c r="E3" t="s">
        <v>22</v>
      </c>
      <c r="F3" t="s">
        <v>22</v>
      </c>
      <c r="G3" s="2">
        <v>45712</v>
      </c>
      <c r="H3" s="2">
        <v>45742</v>
      </c>
      <c r="I3" s="1">
        <v>1288.2</v>
      </c>
      <c r="J3">
        <v>1288.2</v>
      </c>
      <c r="K3" t="s">
        <v>20</v>
      </c>
      <c r="L3">
        <v>13</v>
      </c>
      <c r="M3">
        <v>1288.2</v>
      </c>
    </row>
    <row r="4" spans="1:13">
      <c r="A4" t="s">
        <v>14</v>
      </c>
      <c r="B4" t="s">
        <v>15</v>
      </c>
      <c r="C4" t="s">
        <v>16</v>
      </c>
      <c r="D4" t="s">
        <v>21</v>
      </c>
      <c r="E4" t="s">
        <v>23</v>
      </c>
      <c r="F4" t="s">
        <v>23</v>
      </c>
      <c r="G4" s="2">
        <v>45719</v>
      </c>
      <c r="H4" s="2">
        <v>45749</v>
      </c>
      <c r="I4" s="1">
        <v>7773.95</v>
      </c>
      <c r="J4">
        <v>7773.95</v>
      </c>
      <c r="K4" t="s">
        <v>20</v>
      </c>
      <c r="L4">
        <v>0</v>
      </c>
      <c r="M4">
        <v>0</v>
      </c>
    </row>
    <row r="5" spans="1:13">
      <c r="A5" t="s">
        <v>14</v>
      </c>
      <c r="B5" t="s">
        <v>15</v>
      </c>
      <c r="C5" t="s">
        <v>16</v>
      </c>
      <c r="D5" t="s">
        <v>21</v>
      </c>
      <c r="E5" t="s">
        <v>24</v>
      </c>
      <c r="F5" t="s">
        <v>24</v>
      </c>
      <c r="G5" s="2">
        <v>45729</v>
      </c>
      <c r="H5" s="2">
        <v>45759</v>
      </c>
      <c r="I5">
        <v>271.2</v>
      </c>
      <c r="J5">
        <v>271.2</v>
      </c>
      <c r="K5" t="s">
        <v>20</v>
      </c>
      <c r="L5">
        <v>0</v>
      </c>
      <c r="M5">
        <v>0</v>
      </c>
    </row>
    <row r="6" spans="1:13">
      <c r="A6" t="s">
        <v>14</v>
      </c>
      <c r="B6" t="s">
        <v>15</v>
      </c>
      <c r="C6" t="s">
        <v>16</v>
      </c>
      <c r="D6" t="s">
        <v>21</v>
      </c>
      <c r="E6" t="s">
        <v>25</v>
      </c>
      <c r="F6" t="s">
        <v>25</v>
      </c>
      <c r="G6" s="2">
        <v>45729</v>
      </c>
      <c r="H6" s="2">
        <v>45759</v>
      </c>
      <c r="I6">
        <v>316.39999999999998</v>
      </c>
      <c r="J6">
        <v>316.39999999999998</v>
      </c>
      <c r="K6" t="s">
        <v>20</v>
      </c>
      <c r="L6">
        <v>0</v>
      </c>
      <c r="M6">
        <v>0</v>
      </c>
    </row>
    <row r="7" spans="1:13">
      <c r="A7" t="s">
        <v>14</v>
      </c>
      <c r="B7" t="s">
        <v>15</v>
      </c>
      <c r="C7" t="s">
        <v>16</v>
      </c>
      <c r="D7" t="s">
        <v>21</v>
      </c>
      <c r="E7" t="s">
        <v>26</v>
      </c>
      <c r="F7" t="s">
        <v>26</v>
      </c>
      <c r="G7" s="2">
        <v>45729</v>
      </c>
      <c r="H7" s="2">
        <v>45759</v>
      </c>
      <c r="I7" s="1">
        <v>7023.18</v>
      </c>
      <c r="J7">
        <v>7023.18</v>
      </c>
      <c r="K7" t="s">
        <v>20</v>
      </c>
      <c r="L7">
        <v>0</v>
      </c>
      <c r="M7">
        <v>0</v>
      </c>
    </row>
    <row r="8" spans="1:13">
      <c r="A8" t="s">
        <v>14</v>
      </c>
      <c r="B8" t="s">
        <v>15</v>
      </c>
      <c r="C8" t="s">
        <v>16</v>
      </c>
      <c r="D8" t="s">
        <v>21</v>
      </c>
      <c r="E8" t="s">
        <v>27</v>
      </c>
      <c r="F8" t="s">
        <v>27</v>
      </c>
      <c r="G8" s="2">
        <v>45729</v>
      </c>
      <c r="H8" s="2">
        <v>45759</v>
      </c>
      <c r="I8" s="1">
        <v>2515.38</v>
      </c>
      <c r="J8">
        <v>2515.38</v>
      </c>
      <c r="K8" t="s">
        <v>20</v>
      </c>
      <c r="L8">
        <v>0</v>
      </c>
      <c r="M8">
        <v>0</v>
      </c>
    </row>
    <row r="9" spans="1:13">
      <c r="A9" t="s">
        <v>14</v>
      </c>
      <c r="B9" t="s">
        <v>15</v>
      </c>
      <c r="C9" t="s">
        <v>16</v>
      </c>
      <c r="D9" t="s">
        <v>21</v>
      </c>
      <c r="E9" t="s">
        <v>28</v>
      </c>
      <c r="F9" t="s">
        <v>28</v>
      </c>
      <c r="G9" s="2">
        <v>45729</v>
      </c>
      <c r="H9" s="2">
        <v>45759</v>
      </c>
      <c r="I9" s="1">
        <v>2306.5500000000002</v>
      </c>
      <c r="J9">
        <v>2306.5500000000002</v>
      </c>
      <c r="K9" t="s">
        <v>20</v>
      </c>
      <c r="L9">
        <v>0</v>
      </c>
      <c r="M9">
        <v>0</v>
      </c>
    </row>
    <row r="10" spans="1:13">
      <c r="A10" t="s">
        <v>14</v>
      </c>
      <c r="B10" t="s">
        <v>15</v>
      </c>
      <c r="C10" t="s">
        <v>16</v>
      </c>
      <c r="D10" t="s">
        <v>21</v>
      </c>
      <c r="E10" t="s">
        <v>29</v>
      </c>
      <c r="F10" t="s">
        <v>29</v>
      </c>
      <c r="G10" s="2">
        <v>45729</v>
      </c>
      <c r="H10" s="2">
        <v>45759</v>
      </c>
      <c r="I10" s="1">
        <v>3801.32</v>
      </c>
      <c r="J10">
        <v>3801.32</v>
      </c>
      <c r="K10" t="s">
        <v>20</v>
      </c>
      <c r="L10">
        <v>0</v>
      </c>
      <c r="M10">
        <v>0</v>
      </c>
    </row>
    <row r="11" spans="1:13">
      <c r="A11" t="s">
        <v>14</v>
      </c>
      <c r="B11" t="s">
        <v>15</v>
      </c>
      <c r="C11" t="s">
        <v>16</v>
      </c>
      <c r="D11" t="s">
        <v>21</v>
      </c>
      <c r="E11" t="s">
        <v>30</v>
      </c>
      <c r="F11" t="s">
        <v>30</v>
      </c>
      <c r="G11" s="2">
        <v>45729</v>
      </c>
      <c r="H11" s="2">
        <v>45759</v>
      </c>
      <c r="I11">
        <v>389.85</v>
      </c>
      <c r="J11">
        <v>389.85</v>
      </c>
      <c r="K11" t="s">
        <v>20</v>
      </c>
      <c r="L11">
        <v>0</v>
      </c>
      <c r="M11">
        <v>0</v>
      </c>
    </row>
    <row r="12" spans="1:13">
      <c r="A12" t="s">
        <v>14</v>
      </c>
      <c r="B12" t="s">
        <v>15</v>
      </c>
      <c r="C12" t="s">
        <v>16</v>
      </c>
      <c r="D12" t="s">
        <v>21</v>
      </c>
      <c r="E12" t="s">
        <v>31</v>
      </c>
      <c r="F12" t="s">
        <v>31</v>
      </c>
      <c r="G12" s="2">
        <v>45729</v>
      </c>
      <c r="H12" s="2">
        <v>45759</v>
      </c>
      <c r="I12">
        <v>247.48</v>
      </c>
      <c r="J12">
        <v>247.48</v>
      </c>
      <c r="K12" t="s">
        <v>20</v>
      </c>
      <c r="L12">
        <v>0</v>
      </c>
      <c r="M12">
        <v>0</v>
      </c>
    </row>
    <row r="13" spans="1:13">
      <c r="A13" t="s">
        <v>14</v>
      </c>
      <c r="B13" t="s">
        <v>15</v>
      </c>
      <c r="C13" t="s">
        <v>16</v>
      </c>
      <c r="D13" t="s">
        <v>21</v>
      </c>
      <c r="E13" t="s">
        <v>32</v>
      </c>
      <c r="F13" t="s">
        <v>32</v>
      </c>
      <c r="G13" s="2">
        <v>45730</v>
      </c>
      <c r="H13" s="2">
        <v>45760</v>
      </c>
      <c r="I13" s="1">
        <v>1582</v>
      </c>
      <c r="J13">
        <v>1582</v>
      </c>
      <c r="K13" t="s">
        <v>20</v>
      </c>
      <c r="L13">
        <v>0</v>
      </c>
      <c r="M13">
        <v>0</v>
      </c>
    </row>
    <row r="14" spans="1:13">
      <c r="A14" t="s">
        <v>14</v>
      </c>
      <c r="B14" t="s">
        <v>15</v>
      </c>
      <c r="C14" t="s">
        <v>16</v>
      </c>
      <c r="D14" t="s">
        <v>21</v>
      </c>
      <c r="E14" t="s">
        <v>33</v>
      </c>
      <c r="F14" t="s">
        <v>33</v>
      </c>
      <c r="G14" s="2">
        <v>45730</v>
      </c>
      <c r="H14" s="2">
        <v>45760</v>
      </c>
      <c r="I14" s="1">
        <v>7419.59</v>
      </c>
      <c r="J14">
        <v>7419.59</v>
      </c>
      <c r="K14" t="s">
        <v>20</v>
      </c>
      <c r="L14">
        <v>0</v>
      </c>
      <c r="M14">
        <v>0</v>
      </c>
    </row>
    <row r="15" spans="1:13">
      <c r="A15" t="s">
        <v>14</v>
      </c>
      <c r="B15" t="s">
        <v>15</v>
      </c>
      <c r="C15" t="s">
        <v>16</v>
      </c>
      <c r="D15" t="s">
        <v>21</v>
      </c>
      <c r="E15" t="s">
        <v>34</v>
      </c>
      <c r="F15" t="s">
        <v>34</v>
      </c>
      <c r="G15" s="2">
        <v>45735</v>
      </c>
      <c r="H15" s="2">
        <v>45765</v>
      </c>
      <c r="I15" s="1">
        <v>23260.03</v>
      </c>
      <c r="J15">
        <v>23260.03</v>
      </c>
      <c r="K15" t="s">
        <v>20</v>
      </c>
      <c r="L15">
        <v>0</v>
      </c>
      <c r="M15">
        <v>0</v>
      </c>
    </row>
    <row r="16" spans="1:13">
      <c r="A16" t="s">
        <v>14</v>
      </c>
      <c r="B16" t="s">
        <v>15</v>
      </c>
      <c r="C16" t="s">
        <v>16</v>
      </c>
      <c r="D16" t="s">
        <v>21</v>
      </c>
      <c r="E16" t="s">
        <v>35</v>
      </c>
      <c r="F16" t="s">
        <v>35</v>
      </c>
      <c r="G16" s="2">
        <v>45737</v>
      </c>
      <c r="H16" s="2">
        <v>45767</v>
      </c>
      <c r="I16" s="1">
        <v>9254.7000000000007</v>
      </c>
      <c r="J16">
        <v>9254.7000000000007</v>
      </c>
      <c r="K16" t="s">
        <v>20</v>
      </c>
      <c r="L16">
        <v>0</v>
      </c>
      <c r="M16">
        <v>0</v>
      </c>
    </row>
    <row r="17" spans="1:13">
      <c r="A17" t="s">
        <v>14</v>
      </c>
      <c r="B17" t="s">
        <v>15</v>
      </c>
      <c r="C17" t="s">
        <v>16</v>
      </c>
      <c r="D17" t="s">
        <v>21</v>
      </c>
      <c r="E17" t="s">
        <v>36</v>
      </c>
      <c r="F17" t="s">
        <v>36</v>
      </c>
      <c r="G17" s="2">
        <v>45741</v>
      </c>
      <c r="H17" s="2">
        <v>45771</v>
      </c>
      <c r="I17" s="1">
        <v>16746.599999999999</v>
      </c>
      <c r="J17">
        <v>16746.599999999999</v>
      </c>
      <c r="K17" t="s">
        <v>20</v>
      </c>
      <c r="L17">
        <v>0</v>
      </c>
      <c r="M17">
        <v>0</v>
      </c>
    </row>
    <row r="18" spans="1:13">
      <c r="A18" t="s">
        <v>14</v>
      </c>
      <c r="B18" t="s">
        <v>15</v>
      </c>
      <c r="C18" t="s">
        <v>16</v>
      </c>
      <c r="D18" t="s">
        <v>21</v>
      </c>
      <c r="E18" t="s">
        <v>37</v>
      </c>
      <c r="F18" t="s">
        <v>37</v>
      </c>
      <c r="G18" s="2">
        <v>45742</v>
      </c>
      <c r="H18" s="2">
        <v>45772</v>
      </c>
      <c r="I18">
        <v>549.17999999999995</v>
      </c>
      <c r="J18">
        <v>549.17999999999995</v>
      </c>
      <c r="K18" t="s">
        <v>20</v>
      </c>
      <c r="L18">
        <v>0</v>
      </c>
      <c r="M18">
        <v>0</v>
      </c>
    </row>
    <row r="19" spans="1:13">
      <c r="A19" t="s">
        <v>38</v>
      </c>
      <c r="B19" t="s">
        <v>39</v>
      </c>
      <c r="C19" t="s">
        <v>16</v>
      </c>
      <c r="D19" t="s">
        <v>17</v>
      </c>
      <c r="E19" t="s">
        <v>40</v>
      </c>
      <c r="F19" t="s">
        <v>19</v>
      </c>
      <c r="H19" s="2">
        <v>45252</v>
      </c>
      <c r="I19">
        <v>-81.7</v>
      </c>
      <c r="J19">
        <v>-81.7</v>
      </c>
      <c r="K19" t="s">
        <v>20</v>
      </c>
      <c r="L19">
        <v>0</v>
      </c>
      <c r="M19">
        <v>-81.7</v>
      </c>
    </row>
    <row r="20" spans="1:13">
      <c r="A20" t="s">
        <v>38</v>
      </c>
      <c r="B20" t="s">
        <v>39</v>
      </c>
      <c r="C20" t="s">
        <v>16</v>
      </c>
      <c r="D20" t="s">
        <v>21</v>
      </c>
      <c r="E20" t="s">
        <v>41</v>
      </c>
      <c r="F20" t="s">
        <v>41</v>
      </c>
      <c r="G20" s="2">
        <v>45237</v>
      </c>
      <c r="H20" s="2">
        <v>45267</v>
      </c>
      <c r="I20">
        <v>130</v>
      </c>
      <c r="J20">
        <v>130</v>
      </c>
      <c r="K20" t="s">
        <v>20</v>
      </c>
      <c r="L20">
        <v>0</v>
      </c>
      <c r="M20">
        <v>130</v>
      </c>
    </row>
    <row r="21" spans="1:13">
      <c r="A21" t="s">
        <v>38</v>
      </c>
      <c r="B21" t="s">
        <v>39</v>
      </c>
      <c r="C21" t="s">
        <v>16</v>
      </c>
      <c r="D21" t="s">
        <v>21</v>
      </c>
      <c r="E21" t="s">
        <v>42</v>
      </c>
      <c r="F21" t="s">
        <v>42</v>
      </c>
      <c r="G21" s="2">
        <v>45238</v>
      </c>
      <c r="H21" s="2">
        <v>45268</v>
      </c>
      <c r="I21">
        <v>201.42</v>
      </c>
      <c r="J21">
        <v>201.42</v>
      </c>
      <c r="K21" t="s">
        <v>20</v>
      </c>
      <c r="L21">
        <v>0</v>
      </c>
      <c r="M21">
        <v>201.42</v>
      </c>
    </row>
    <row r="22" spans="1:13">
      <c r="A22" t="s">
        <v>38</v>
      </c>
      <c r="B22" t="s">
        <v>39</v>
      </c>
      <c r="C22" t="s">
        <v>16</v>
      </c>
      <c r="D22" t="s">
        <v>21</v>
      </c>
      <c r="E22" t="s">
        <v>43</v>
      </c>
      <c r="F22" t="s">
        <v>43</v>
      </c>
      <c r="G22" s="2">
        <v>45279</v>
      </c>
      <c r="H22" s="2">
        <v>45309</v>
      </c>
      <c r="I22">
        <v>167.81</v>
      </c>
      <c r="J22">
        <v>167.81</v>
      </c>
      <c r="K22" t="s">
        <v>20</v>
      </c>
      <c r="L22">
        <v>0</v>
      </c>
      <c r="M22">
        <v>167.81</v>
      </c>
    </row>
    <row r="23" spans="1:13">
      <c r="A23" t="s">
        <v>38</v>
      </c>
      <c r="B23" t="s">
        <v>39</v>
      </c>
      <c r="C23" t="s">
        <v>16</v>
      </c>
      <c r="D23" t="s">
        <v>17</v>
      </c>
      <c r="E23" t="s">
        <v>44</v>
      </c>
      <c r="F23" t="s">
        <v>19</v>
      </c>
      <c r="H23" s="2">
        <v>45331</v>
      </c>
      <c r="I23" s="1">
        <v>-1102</v>
      </c>
      <c r="J23">
        <v>-1102</v>
      </c>
      <c r="K23" t="s">
        <v>20</v>
      </c>
      <c r="L23">
        <v>0</v>
      </c>
      <c r="M23">
        <v>-1102</v>
      </c>
    </row>
    <row r="24" spans="1:13">
      <c r="A24" t="s">
        <v>38</v>
      </c>
      <c r="B24" t="s">
        <v>39</v>
      </c>
      <c r="C24" t="s">
        <v>16</v>
      </c>
      <c r="D24" t="s">
        <v>21</v>
      </c>
      <c r="E24" t="s">
        <v>45</v>
      </c>
      <c r="F24" t="s">
        <v>45</v>
      </c>
      <c r="G24" s="2">
        <v>45307</v>
      </c>
      <c r="H24" s="2">
        <v>45337</v>
      </c>
      <c r="I24">
        <v>130</v>
      </c>
      <c r="J24">
        <v>130</v>
      </c>
      <c r="K24" t="s">
        <v>20</v>
      </c>
      <c r="L24">
        <v>0</v>
      </c>
      <c r="M24">
        <v>130</v>
      </c>
    </row>
    <row r="25" spans="1:13">
      <c r="A25" t="s">
        <v>38</v>
      </c>
      <c r="B25" t="s">
        <v>39</v>
      </c>
      <c r="C25" t="s">
        <v>16</v>
      </c>
      <c r="D25" t="s">
        <v>21</v>
      </c>
      <c r="E25" t="s">
        <v>46</v>
      </c>
      <c r="F25" t="s">
        <v>46</v>
      </c>
      <c r="G25" s="2">
        <v>45666</v>
      </c>
      <c r="H25" s="2">
        <v>45696</v>
      </c>
      <c r="I25" s="1">
        <v>12920.99</v>
      </c>
      <c r="J25">
        <v>12920.99</v>
      </c>
      <c r="K25" t="s">
        <v>20</v>
      </c>
      <c r="L25">
        <v>0</v>
      </c>
      <c r="M25">
        <v>12920.99</v>
      </c>
    </row>
    <row r="26" spans="1:13">
      <c r="A26" t="s">
        <v>38</v>
      </c>
      <c r="B26" t="s">
        <v>39</v>
      </c>
      <c r="C26" t="s">
        <v>16</v>
      </c>
      <c r="D26" t="s">
        <v>21</v>
      </c>
      <c r="E26" t="s">
        <v>47</v>
      </c>
      <c r="F26" t="s">
        <v>47</v>
      </c>
      <c r="G26" s="2">
        <v>45673</v>
      </c>
      <c r="H26" s="2">
        <v>45703</v>
      </c>
      <c r="I26" s="1">
        <v>1107.4000000000001</v>
      </c>
      <c r="J26">
        <v>1107.4000000000001</v>
      </c>
      <c r="K26" t="s">
        <v>20</v>
      </c>
      <c r="L26">
        <v>0</v>
      </c>
      <c r="M26">
        <v>1107.4000000000001</v>
      </c>
    </row>
    <row r="27" spans="1:13">
      <c r="A27" t="s">
        <v>38</v>
      </c>
      <c r="B27" t="s">
        <v>39</v>
      </c>
      <c r="C27" t="s">
        <v>16</v>
      </c>
      <c r="D27" t="s">
        <v>21</v>
      </c>
      <c r="E27" t="s">
        <v>48</v>
      </c>
      <c r="F27" t="s">
        <v>48</v>
      </c>
      <c r="G27" s="2">
        <v>45740</v>
      </c>
      <c r="H27" s="2">
        <v>45770</v>
      </c>
      <c r="I27" s="1">
        <v>3876.12</v>
      </c>
      <c r="J27">
        <v>3876.12</v>
      </c>
      <c r="K27" t="s">
        <v>20</v>
      </c>
      <c r="L27">
        <v>0</v>
      </c>
      <c r="M27">
        <v>0</v>
      </c>
    </row>
    <row r="28" spans="1:13">
      <c r="A28" t="s">
        <v>38</v>
      </c>
      <c r="B28" t="s">
        <v>39</v>
      </c>
      <c r="C28" t="s">
        <v>16</v>
      </c>
      <c r="D28" t="s">
        <v>21</v>
      </c>
      <c r="E28" t="s">
        <v>49</v>
      </c>
      <c r="F28" t="s">
        <v>49</v>
      </c>
      <c r="G28" s="2">
        <v>45742</v>
      </c>
      <c r="H28" s="2">
        <v>45772</v>
      </c>
      <c r="I28" s="1">
        <v>1102</v>
      </c>
      <c r="J28">
        <v>1102</v>
      </c>
      <c r="K28" t="s">
        <v>20</v>
      </c>
      <c r="L28">
        <v>0</v>
      </c>
      <c r="M28">
        <v>0</v>
      </c>
    </row>
    <row r="29" spans="1:13">
      <c r="A29" t="s">
        <v>50</v>
      </c>
      <c r="B29" t="s">
        <v>51</v>
      </c>
      <c r="C29" t="s">
        <v>16</v>
      </c>
      <c r="D29" t="s">
        <v>21</v>
      </c>
      <c r="E29" t="s">
        <v>52</v>
      </c>
      <c r="F29" t="s">
        <v>52</v>
      </c>
      <c r="G29" s="2">
        <v>45719</v>
      </c>
      <c r="H29" s="2">
        <v>45749</v>
      </c>
      <c r="I29" s="1">
        <v>4475.97</v>
      </c>
      <c r="J29">
        <v>4475.97</v>
      </c>
      <c r="K29" t="s">
        <v>20</v>
      </c>
      <c r="L29">
        <v>0</v>
      </c>
      <c r="M29">
        <v>0</v>
      </c>
    </row>
    <row r="30" spans="1:13">
      <c r="A30" t="s">
        <v>53</v>
      </c>
      <c r="B30" t="s">
        <v>54</v>
      </c>
      <c r="C30" t="s">
        <v>16</v>
      </c>
      <c r="D30" t="s">
        <v>55</v>
      </c>
      <c r="E30" t="s">
        <v>19</v>
      </c>
      <c r="F30" t="s">
        <v>19</v>
      </c>
      <c r="H30" s="2">
        <v>45560</v>
      </c>
      <c r="I30" s="1">
        <v>-1868.1</v>
      </c>
      <c r="J30">
        <v>-1868.1</v>
      </c>
      <c r="K30" t="s">
        <v>20</v>
      </c>
      <c r="L30">
        <v>0</v>
      </c>
      <c r="M30">
        <v>-1868.1</v>
      </c>
    </row>
    <row r="31" spans="1:13">
      <c r="A31" t="s">
        <v>53</v>
      </c>
      <c r="B31" t="s">
        <v>54</v>
      </c>
      <c r="C31" t="s">
        <v>16</v>
      </c>
      <c r="D31" t="s">
        <v>55</v>
      </c>
      <c r="E31" t="s">
        <v>19</v>
      </c>
      <c r="F31" t="s">
        <v>19</v>
      </c>
      <c r="H31" s="2">
        <v>45659</v>
      </c>
      <c r="I31">
        <v>-20</v>
      </c>
      <c r="J31">
        <v>-20</v>
      </c>
      <c r="K31" t="s">
        <v>20</v>
      </c>
      <c r="L31">
        <v>0</v>
      </c>
      <c r="M31">
        <v>-20</v>
      </c>
    </row>
    <row r="32" spans="1:13">
      <c r="A32" t="s">
        <v>53</v>
      </c>
      <c r="B32" t="s">
        <v>54</v>
      </c>
      <c r="C32" t="s">
        <v>16</v>
      </c>
      <c r="D32" t="s">
        <v>21</v>
      </c>
      <c r="E32" t="s">
        <v>56</v>
      </c>
      <c r="F32" t="s">
        <v>56</v>
      </c>
      <c r="G32" s="2">
        <v>45692</v>
      </c>
      <c r="H32" s="2">
        <v>45722</v>
      </c>
      <c r="I32">
        <v>748</v>
      </c>
      <c r="J32">
        <v>748</v>
      </c>
      <c r="K32" t="s">
        <v>20</v>
      </c>
      <c r="L32">
        <v>10</v>
      </c>
      <c r="M32">
        <v>748</v>
      </c>
    </row>
    <row r="33" spans="1:13">
      <c r="A33" t="s">
        <v>53</v>
      </c>
      <c r="B33" t="s">
        <v>54</v>
      </c>
      <c r="C33" t="s">
        <v>16</v>
      </c>
      <c r="D33" t="s">
        <v>21</v>
      </c>
      <c r="E33" t="s">
        <v>57</v>
      </c>
      <c r="F33" t="s">
        <v>57</v>
      </c>
      <c r="G33" s="2">
        <v>45692</v>
      </c>
      <c r="H33" s="2">
        <v>45722</v>
      </c>
      <c r="I33">
        <v>172</v>
      </c>
      <c r="J33">
        <v>172</v>
      </c>
      <c r="K33" t="s">
        <v>20</v>
      </c>
      <c r="L33">
        <v>10</v>
      </c>
      <c r="M33">
        <v>172</v>
      </c>
    </row>
    <row r="34" spans="1:13">
      <c r="A34" t="s">
        <v>53</v>
      </c>
      <c r="B34" t="s">
        <v>54</v>
      </c>
      <c r="C34" t="s">
        <v>16</v>
      </c>
      <c r="D34" t="s">
        <v>21</v>
      </c>
      <c r="E34" t="s">
        <v>58</v>
      </c>
      <c r="F34" t="s">
        <v>58</v>
      </c>
      <c r="G34" s="2">
        <v>45692</v>
      </c>
      <c r="H34" s="2">
        <v>45722</v>
      </c>
      <c r="I34">
        <v>258</v>
      </c>
      <c r="J34">
        <v>258</v>
      </c>
      <c r="K34" t="s">
        <v>20</v>
      </c>
      <c r="L34">
        <v>10</v>
      </c>
      <c r="M34">
        <v>258</v>
      </c>
    </row>
    <row r="35" spans="1:13">
      <c r="A35" t="s">
        <v>53</v>
      </c>
      <c r="B35" t="s">
        <v>54</v>
      </c>
      <c r="C35" t="s">
        <v>16</v>
      </c>
      <c r="D35" t="s">
        <v>21</v>
      </c>
      <c r="E35" t="s">
        <v>59</v>
      </c>
      <c r="F35" t="s">
        <v>59</v>
      </c>
      <c r="G35" s="2">
        <v>45701</v>
      </c>
      <c r="H35" s="2">
        <v>45731</v>
      </c>
      <c r="I35" s="1">
        <v>5040</v>
      </c>
      <c r="J35">
        <v>5040</v>
      </c>
      <c r="K35" t="s">
        <v>20</v>
      </c>
      <c r="L35">
        <v>11</v>
      </c>
      <c r="M35">
        <v>5040</v>
      </c>
    </row>
    <row r="36" spans="1:13">
      <c r="A36" t="s">
        <v>53</v>
      </c>
      <c r="B36" t="s">
        <v>54</v>
      </c>
      <c r="C36" t="s">
        <v>16</v>
      </c>
      <c r="D36" t="s">
        <v>21</v>
      </c>
      <c r="E36" t="s">
        <v>60</v>
      </c>
      <c r="F36" t="s">
        <v>60</v>
      </c>
      <c r="G36" s="2">
        <v>45701</v>
      </c>
      <c r="H36" s="2">
        <v>45731</v>
      </c>
      <c r="I36" s="1">
        <v>19854.240000000002</v>
      </c>
      <c r="J36">
        <v>19854.240000000002</v>
      </c>
      <c r="K36" t="s">
        <v>20</v>
      </c>
      <c r="L36">
        <v>11</v>
      </c>
      <c r="M36">
        <v>19854.240000000002</v>
      </c>
    </row>
    <row r="37" spans="1:13">
      <c r="A37" t="s">
        <v>53</v>
      </c>
      <c r="B37" t="s">
        <v>54</v>
      </c>
      <c r="C37" t="s">
        <v>16</v>
      </c>
      <c r="D37" t="s">
        <v>55</v>
      </c>
      <c r="E37" t="s">
        <v>19</v>
      </c>
      <c r="F37" t="s">
        <v>19</v>
      </c>
      <c r="H37" s="2">
        <v>45733</v>
      </c>
      <c r="I37">
        <v>-492.96</v>
      </c>
      <c r="J37">
        <v>-492.96</v>
      </c>
      <c r="K37" t="s">
        <v>20</v>
      </c>
      <c r="L37">
        <v>12</v>
      </c>
      <c r="M37">
        <v>-492.96</v>
      </c>
    </row>
    <row r="38" spans="1:13">
      <c r="A38" t="s">
        <v>53</v>
      </c>
      <c r="B38" t="s">
        <v>54</v>
      </c>
      <c r="C38" t="s">
        <v>16</v>
      </c>
      <c r="D38" t="s">
        <v>21</v>
      </c>
      <c r="E38" t="s">
        <v>61</v>
      </c>
      <c r="F38" t="s">
        <v>61</v>
      </c>
      <c r="G38" s="2">
        <v>45705</v>
      </c>
      <c r="H38" s="2">
        <v>45735</v>
      </c>
      <c r="I38" s="1">
        <v>19482.62</v>
      </c>
      <c r="J38">
        <v>19482.62</v>
      </c>
      <c r="K38" t="s">
        <v>20</v>
      </c>
      <c r="L38">
        <v>12</v>
      </c>
      <c r="M38">
        <v>19482.62</v>
      </c>
    </row>
    <row r="39" spans="1:13">
      <c r="A39" t="s">
        <v>53</v>
      </c>
      <c r="B39" t="s">
        <v>54</v>
      </c>
      <c r="C39" t="s">
        <v>16</v>
      </c>
      <c r="D39" t="s">
        <v>21</v>
      </c>
      <c r="E39" t="s">
        <v>62</v>
      </c>
      <c r="F39" t="s">
        <v>62</v>
      </c>
      <c r="G39" s="2">
        <v>45706</v>
      </c>
      <c r="H39" s="2">
        <v>45736</v>
      </c>
      <c r="I39" s="1">
        <v>21147.09</v>
      </c>
      <c r="J39">
        <v>21147.09</v>
      </c>
      <c r="K39" t="s">
        <v>20</v>
      </c>
      <c r="L39">
        <v>12</v>
      </c>
      <c r="M39">
        <v>21147.09</v>
      </c>
    </row>
    <row r="40" spans="1:13">
      <c r="A40" t="s">
        <v>53</v>
      </c>
      <c r="B40" t="s">
        <v>54</v>
      </c>
      <c r="C40" t="s">
        <v>16</v>
      </c>
      <c r="D40" t="s">
        <v>21</v>
      </c>
      <c r="E40" t="s">
        <v>63</v>
      </c>
      <c r="F40" t="s">
        <v>63</v>
      </c>
      <c r="G40" s="2">
        <v>45706</v>
      </c>
      <c r="H40" s="2">
        <v>45736</v>
      </c>
      <c r="I40" s="1">
        <v>21147.09</v>
      </c>
      <c r="J40">
        <v>21147.09</v>
      </c>
      <c r="K40" t="s">
        <v>20</v>
      </c>
      <c r="L40">
        <v>12</v>
      </c>
      <c r="M40">
        <v>21147.09</v>
      </c>
    </row>
    <row r="41" spans="1:13">
      <c r="A41" t="s">
        <v>53</v>
      </c>
      <c r="B41" t="s">
        <v>54</v>
      </c>
      <c r="C41" t="s">
        <v>16</v>
      </c>
      <c r="D41" t="s">
        <v>21</v>
      </c>
      <c r="E41" t="s">
        <v>64</v>
      </c>
      <c r="F41" t="s">
        <v>64</v>
      </c>
      <c r="G41" s="2">
        <v>45708</v>
      </c>
      <c r="H41" s="2">
        <v>45738</v>
      </c>
      <c r="I41" s="1">
        <v>11550.85</v>
      </c>
      <c r="J41">
        <v>11550.85</v>
      </c>
      <c r="K41" t="s">
        <v>20</v>
      </c>
      <c r="L41">
        <v>12</v>
      </c>
      <c r="M41">
        <v>11550.85</v>
      </c>
    </row>
    <row r="42" spans="1:13">
      <c r="A42" t="s">
        <v>53</v>
      </c>
      <c r="B42" t="s">
        <v>54</v>
      </c>
      <c r="C42" t="s">
        <v>16</v>
      </c>
      <c r="D42" t="s">
        <v>21</v>
      </c>
      <c r="E42" t="s">
        <v>65</v>
      </c>
      <c r="F42" t="s">
        <v>65</v>
      </c>
      <c r="G42" s="2">
        <v>45708</v>
      </c>
      <c r="H42" s="2">
        <v>45738</v>
      </c>
      <c r="I42" s="1">
        <v>10479.17</v>
      </c>
      <c r="J42">
        <v>10479.17</v>
      </c>
      <c r="K42" t="s">
        <v>20</v>
      </c>
      <c r="L42">
        <v>12</v>
      </c>
      <c r="M42">
        <v>10479.17</v>
      </c>
    </row>
    <row r="43" spans="1:13">
      <c r="A43" t="s">
        <v>53</v>
      </c>
      <c r="B43" t="s">
        <v>54</v>
      </c>
      <c r="C43" t="s">
        <v>16</v>
      </c>
      <c r="D43" t="s">
        <v>21</v>
      </c>
      <c r="E43" t="s">
        <v>66</v>
      </c>
      <c r="F43" t="s">
        <v>66</v>
      </c>
      <c r="G43" s="2">
        <v>45709</v>
      </c>
      <c r="H43" s="2">
        <v>45739</v>
      </c>
      <c r="I43" s="1">
        <v>21696</v>
      </c>
      <c r="J43">
        <v>21696</v>
      </c>
      <c r="K43" t="s">
        <v>20</v>
      </c>
      <c r="L43">
        <v>13</v>
      </c>
      <c r="M43">
        <v>21696</v>
      </c>
    </row>
    <row r="44" spans="1:13">
      <c r="A44" t="s">
        <v>53</v>
      </c>
      <c r="B44" t="s">
        <v>54</v>
      </c>
      <c r="C44" t="s">
        <v>16</v>
      </c>
      <c r="D44" t="s">
        <v>21</v>
      </c>
      <c r="E44" t="s">
        <v>67</v>
      </c>
      <c r="F44" t="s">
        <v>67</v>
      </c>
      <c r="G44" s="2">
        <v>45709</v>
      </c>
      <c r="H44" s="2">
        <v>45739</v>
      </c>
      <c r="I44" s="1">
        <v>26369.86</v>
      </c>
      <c r="J44">
        <v>26369.86</v>
      </c>
      <c r="K44" t="s">
        <v>20</v>
      </c>
      <c r="L44">
        <v>13</v>
      </c>
      <c r="M44">
        <v>26369.86</v>
      </c>
    </row>
    <row r="45" spans="1:13">
      <c r="A45" t="s">
        <v>53</v>
      </c>
      <c r="B45" t="s">
        <v>54</v>
      </c>
      <c r="C45" t="s">
        <v>16</v>
      </c>
      <c r="D45" t="s">
        <v>21</v>
      </c>
      <c r="E45" t="s">
        <v>68</v>
      </c>
      <c r="F45" t="s">
        <v>68</v>
      </c>
      <c r="G45" s="2">
        <v>45713</v>
      </c>
      <c r="H45" s="2">
        <v>45743</v>
      </c>
      <c r="I45" s="1">
        <v>21147.09</v>
      </c>
      <c r="J45">
        <v>21147.09</v>
      </c>
      <c r="K45" t="s">
        <v>20</v>
      </c>
      <c r="L45">
        <v>13</v>
      </c>
      <c r="M45">
        <v>21147.09</v>
      </c>
    </row>
    <row r="46" spans="1:13">
      <c r="A46" t="s">
        <v>53</v>
      </c>
      <c r="B46" t="s">
        <v>54</v>
      </c>
      <c r="C46" t="s">
        <v>16</v>
      </c>
      <c r="D46" t="s">
        <v>21</v>
      </c>
      <c r="E46" t="s">
        <v>69</v>
      </c>
      <c r="F46" t="s">
        <v>69</v>
      </c>
      <c r="G46" s="2">
        <v>45715</v>
      </c>
      <c r="H46" s="2">
        <v>45745</v>
      </c>
      <c r="I46" s="1">
        <v>25521.49</v>
      </c>
      <c r="J46">
        <v>25521.49</v>
      </c>
      <c r="K46" t="s">
        <v>20</v>
      </c>
      <c r="L46">
        <v>13</v>
      </c>
      <c r="M46">
        <v>25521.49</v>
      </c>
    </row>
    <row r="47" spans="1:13">
      <c r="A47" t="s">
        <v>53</v>
      </c>
      <c r="B47" t="s">
        <v>54</v>
      </c>
      <c r="C47" t="s">
        <v>16</v>
      </c>
      <c r="D47" t="s">
        <v>21</v>
      </c>
      <c r="E47" t="s">
        <v>70</v>
      </c>
      <c r="F47" t="s">
        <v>70</v>
      </c>
      <c r="G47" s="2">
        <v>45723</v>
      </c>
      <c r="H47" s="2">
        <v>45753</v>
      </c>
      <c r="I47" s="1">
        <v>5040</v>
      </c>
      <c r="J47">
        <v>5040</v>
      </c>
      <c r="K47" t="s">
        <v>20</v>
      </c>
      <c r="L47">
        <v>0</v>
      </c>
      <c r="M47">
        <v>0</v>
      </c>
    </row>
    <row r="48" spans="1:13">
      <c r="A48" t="s">
        <v>53</v>
      </c>
      <c r="B48" t="s">
        <v>54</v>
      </c>
      <c r="C48" t="s">
        <v>16</v>
      </c>
      <c r="D48" t="s">
        <v>21</v>
      </c>
      <c r="E48" t="s">
        <v>71</v>
      </c>
      <c r="F48" t="s">
        <v>71</v>
      </c>
      <c r="G48" s="2">
        <v>45723</v>
      </c>
      <c r="H48" s="2">
        <v>45753</v>
      </c>
      <c r="I48" s="1">
        <v>2736</v>
      </c>
      <c r="J48">
        <v>2736</v>
      </c>
      <c r="K48" t="s">
        <v>20</v>
      </c>
      <c r="L48">
        <v>0</v>
      </c>
      <c r="M48">
        <v>0</v>
      </c>
    </row>
    <row r="49" spans="1:13">
      <c r="A49" t="s">
        <v>53</v>
      </c>
      <c r="B49" t="s">
        <v>54</v>
      </c>
      <c r="C49" t="s">
        <v>16</v>
      </c>
      <c r="D49" t="s">
        <v>21</v>
      </c>
      <c r="E49" t="s">
        <v>72</v>
      </c>
      <c r="F49" t="s">
        <v>72</v>
      </c>
      <c r="G49" s="2">
        <v>45723</v>
      </c>
      <c r="H49" s="2">
        <v>45753</v>
      </c>
      <c r="I49" s="1">
        <v>10662.32</v>
      </c>
      <c r="J49">
        <v>10662.32</v>
      </c>
      <c r="K49" t="s">
        <v>20</v>
      </c>
      <c r="L49">
        <v>0</v>
      </c>
      <c r="M49">
        <v>0</v>
      </c>
    </row>
    <row r="50" spans="1:13">
      <c r="A50" t="s">
        <v>53</v>
      </c>
      <c r="B50" t="s">
        <v>54</v>
      </c>
      <c r="C50" t="s">
        <v>16</v>
      </c>
      <c r="D50" t="s">
        <v>21</v>
      </c>
      <c r="E50" t="s">
        <v>73</v>
      </c>
      <c r="F50" t="s">
        <v>73</v>
      </c>
      <c r="G50" s="2">
        <v>45723</v>
      </c>
      <c r="H50" s="2">
        <v>45753</v>
      </c>
      <c r="I50" s="1">
        <v>6636</v>
      </c>
      <c r="J50">
        <v>6636</v>
      </c>
      <c r="K50" t="s">
        <v>20</v>
      </c>
      <c r="L50">
        <v>0</v>
      </c>
      <c r="M50">
        <v>0</v>
      </c>
    </row>
    <row r="51" spans="1:13">
      <c r="A51" t="s">
        <v>53</v>
      </c>
      <c r="B51" t="s">
        <v>54</v>
      </c>
      <c r="C51" t="s">
        <v>16</v>
      </c>
      <c r="D51" t="s">
        <v>21</v>
      </c>
      <c r="E51" t="s">
        <v>74</v>
      </c>
      <c r="F51" t="s">
        <v>74</v>
      </c>
      <c r="G51" s="2">
        <v>45727</v>
      </c>
      <c r="H51" s="2">
        <v>45757</v>
      </c>
      <c r="I51">
        <v>302.39999999999998</v>
      </c>
      <c r="J51">
        <v>302.39999999999998</v>
      </c>
      <c r="K51" t="s">
        <v>20</v>
      </c>
      <c r="L51">
        <v>0</v>
      </c>
      <c r="M51">
        <v>0</v>
      </c>
    </row>
    <row r="52" spans="1:13">
      <c r="A52" t="s">
        <v>53</v>
      </c>
      <c r="B52" t="s">
        <v>54</v>
      </c>
      <c r="C52" t="s">
        <v>16</v>
      </c>
      <c r="D52" t="s">
        <v>21</v>
      </c>
      <c r="E52" t="s">
        <v>75</v>
      </c>
      <c r="F52" t="s">
        <v>75</v>
      </c>
      <c r="G52" s="2">
        <v>45729</v>
      </c>
      <c r="H52" s="2">
        <v>45759</v>
      </c>
      <c r="I52" s="1">
        <v>3780</v>
      </c>
      <c r="J52">
        <v>3780</v>
      </c>
      <c r="K52" t="s">
        <v>20</v>
      </c>
      <c r="L52">
        <v>0</v>
      </c>
      <c r="M52">
        <v>0</v>
      </c>
    </row>
    <row r="53" spans="1:13">
      <c r="A53" t="s">
        <v>53</v>
      </c>
      <c r="B53" t="s">
        <v>54</v>
      </c>
      <c r="C53" t="s">
        <v>16</v>
      </c>
      <c r="D53" t="s">
        <v>21</v>
      </c>
      <c r="E53" t="s">
        <v>76</v>
      </c>
      <c r="F53" t="s">
        <v>76</v>
      </c>
      <c r="G53" s="2">
        <v>45730</v>
      </c>
      <c r="H53" s="2">
        <v>45760</v>
      </c>
      <c r="I53" s="1">
        <v>2389.65</v>
      </c>
      <c r="J53">
        <v>2389.65</v>
      </c>
      <c r="K53" t="s">
        <v>20</v>
      </c>
      <c r="L53">
        <v>0</v>
      </c>
      <c r="M53">
        <v>0</v>
      </c>
    </row>
    <row r="54" spans="1:13">
      <c r="A54" t="s">
        <v>53</v>
      </c>
      <c r="B54" t="s">
        <v>54</v>
      </c>
      <c r="C54" t="s">
        <v>16</v>
      </c>
      <c r="D54" t="s">
        <v>21</v>
      </c>
      <c r="E54" t="s">
        <v>77</v>
      </c>
      <c r="F54" t="s">
        <v>77</v>
      </c>
      <c r="G54" s="2">
        <v>45733</v>
      </c>
      <c r="H54" s="2">
        <v>45763</v>
      </c>
      <c r="I54">
        <v>537</v>
      </c>
      <c r="J54">
        <v>537</v>
      </c>
      <c r="K54" t="s">
        <v>20</v>
      </c>
      <c r="L54">
        <v>0</v>
      </c>
      <c r="M54">
        <v>0</v>
      </c>
    </row>
    <row r="55" spans="1:13">
      <c r="A55" t="s">
        <v>78</v>
      </c>
      <c r="B55" t="s">
        <v>79</v>
      </c>
      <c r="C55" t="s">
        <v>16</v>
      </c>
      <c r="D55" t="s">
        <v>55</v>
      </c>
      <c r="E55" t="s">
        <v>19</v>
      </c>
      <c r="F55" t="s">
        <v>19</v>
      </c>
      <c r="H55" s="2">
        <v>45329</v>
      </c>
      <c r="I55">
        <v>-176.73</v>
      </c>
      <c r="J55">
        <v>-176.73</v>
      </c>
      <c r="K55" t="s">
        <v>20</v>
      </c>
      <c r="L55">
        <v>0</v>
      </c>
      <c r="M55">
        <v>-176.73</v>
      </c>
    </row>
    <row r="56" spans="1:13">
      <c r="A56" t="s">
        <v>78</v>
      </c>
      <c r="B56" t="s">
        <v>79</v>
      </c>
      <c r="C56" t="s">
        <v>16</v>
      </c>
      <c r="D56" t="s">
        <v>17</v>
      </c>
      <c r="E56" t="s">
        <v>80</v>
      </c>
      <c r="F56" t="s">
        <v>19</v>
      </c>
      <c r="H56" s="2">
        <v>45331</v>
      </c>
      <c r="I56">
        <v>-771.75</v>
      </c>
      <c r="J56">
        <v>-771.75</v>
      </c>
      <c r="K56" t="s">
        <v>20</v>
      </c>
      <c r="L56">
        <v>0</v>
      </c>
      <c r="M56">
        <v>-771.75</v>
      </c>
    </row>
    <row r="57" spans="1:13">
      <c r="A57" t="s">
        <v>78</v>
      </c>
      <c r="B57" t="s">
        <v>79</v>
      </c>
      <c r="C57" t="s">
        <v>16</v>
      </c>
      <c r="D57" t="s">
        <v>17</v>
      </c>
      <c r="E57" t="s">
        <v>81</v>
      </c>
      <c r="F57" t="s">
        <v>19</v>
      </c>
      <c r="H57" s="2">
        <v>45342</v>
      </c>
      <c r="I57">
        <v>-88.2</v>
      </c>
      <c r="J57">
        <v>-88.2</v>
      </c>
      <c r="K57" t="s">
        <v>20</v>
      </c>
      <c r="L57">
        <v>0</v>
      </c>
      <c r="M57">
        <v>-88.2</v>
      </c>
    </row>
    <row r="58" spans="1:13">
      <c r="A58" t="s">
        <v>78</v>
      </c>
      <c r="B58" t="s">
        <v>79</v>
      </c>
      <c r="C58" t="s">
        <v>16</v>
      </c>
      <c r="D58" t="s">
        <v>17</v>
      </c>
      <c r="E58" t="s">
        <v>82</v>
      </c>
      <c r="F58" t="s">
        <v>19</v>
      </c>
      <c r="H58" s="2">
        <v>45495</v>
      </c>
      <c r="I58">
        <v>-14.7</v>
      </c>
      <c r="J58">
        <v>-14.7</v>
      </c>
      <c r="K58" t="s">
        <v>20</v>
      </c>
      <c r="L58">
        <v>0</v>
      </c>
      <c r="M58">
        <v>-14.7</v>
      </c>
    </row>
    <row r="59" spans="1:13">
      <c r="A59" t="s">
        <v>78</v>
      </c>
      <c r="B59" t="s">
        <v>79</v>
      </c>
      <c r="C59" t="s">
        <v>16</v>
      </c>
      <c r="D59" t="s">
        <v>21</v>
      </c>
      <c r="E59" t="s">
        <v>83</v>
      </c>
      <c r="F59" t="s">
        <v>83</v>
      </c>
      <c r="G59" s="2">
        <v>45476</v>
      </c>
      <c r="H59" s="2">
        <v>45506</v>
      </c>
      <c r="I59">
        <v>172.72</v>
      </c>
      <c r="J59">
        <v>172.72</v>
      </c>
      <c r="K59" t="s">
        <v>20</v>
      </c>
      <c r="L59">
        <v>0</v>
      </c>
      <c r="M59">
        <v>172.72</v>
      </c>
    </row>
    <row r="60" spans="1:13">
      <c r="A60" t="s">
        <v>78</v>
      </c>
      <c r="B60" t="s">
        <v>79</v>
      </c>
      <c r="C60" t="s">
        <v>16</v>
      </c>
      <c r="D60" t="s">
        <v>21</v>
      </c>
      <c r="E60" t="s">
        <v>84</v>
      </c>
      <c r="F60" t="s">
        <v>84</v>
      </c>
      <c r="G60" s="2">
        <v>45505</v>
      </c>
      <c r="H60" s="2">
        <v>45535</v>
      </c>
      <c r="I60">
        <v>735</v>
      </c>
      <c r="J60">
        <v>735</v>
      </c>
      <c r="K60" t="s">
        <v>20</v>
      </c>
      <c r="L60">
        <v>0</v>
      </c>
      <c r="M60">
        <v>735</v>
      </c>
    </row>
    <row r="61" spans="1:13">
      <c r="A61" t="s">
        <v>78</v>
      </c>
      <c r="B61" t="s">
        <v>79</v>
      </c>
      <c r="C61" t="s">
        <v>16</v>
      </c>
      <c r="D61" t="s">
        <v>21</v>
      </c>
      <c r="E61" t="s">
        <v>85</v>
      </c>
      <c r="F61" t="s">
        <v>85</v>
      </c>
      <c r="G61" s="2">
        <v>45589</v>
      </c>
      <c r="H61" s="2">
        <v>45619</v>
      </c>
      <c r="I61" s="1">
        <v>2940</v>
      </c>
      <c r="J61">
        <v>367.5</v>
      </c>
      <c r="K61" t="s">
        <v>20</v>
      </c>
      <c r="L61">
        <v>0</v>
      </c>
      <c r="M61">
        <v>367.5</v>
      </c>
    </row>
    <row r="62" spans="1:13">
      <c r="A62" t="s">
        <v>78</v>
      </c>
      <c r="B62" t="s">
        <v>79</v>
      </c>
      <c r="C62" t="s">
        <v>16</v>
      </c>
      <c r="D62" t="s">
        <v>55</v>
      </c>
      <c r="E62" t="s">
        <v>85</v>
      </c>
      <c r="F62" t="s">
        <v>85</v>
      </c>
      <c r="H62" s="2">
        <v>45688</v>
      </c>
      <c r="I62" s="1">
        <v>-2572.5</v>
      </c>
      <c r="J62" t="s">
        <v>86</v>
      </c>
      <c r="K62" t="s">
        <v>20</v>
      </c>
      <c r="L62">
        <v>0</v>
      </c>
      <c r="M62" t="s">
        <v>86</v>
      </c>
    </row>
    <row r="63" spans="1:13">
      <c r="A63" t="s">
        <v>78</v>
      </c>
      <c r="B63" t="s">
        <v>79</v>
      </c>
      <c r="C63" t="s">
        <v>16</v>
      </c>
      <c r="D63" t="s">
        <v>21</v>
      </c>
      <c r="E63" t="s">
        <v>87</v>
      </c>
      <c r="F63" t="s">
        <v>87</v>
      </c>
      <c r="G63" s="2">
        <v>45602</v>
      </c>
      <c r="H63" s="2">
        <v>45632</v>
      </c>
      <c r="I63" s="1">
        <v>1176</v>
      </c>
      <c r="J63">
        <v>147</v>
      </c>
      <c r="K63" t="s">
        <v>20</v>
      </c>
      <c r="L63">
        <v>0</v>
      </c>
      <c r="M63">
        <v>147</v>
      </c>
    </row>
    <row r="64" spans="1:13">
      <c r="A64" t="s">
        <v>78</v>
      </c>
      <c r="B64" t="s">
        <v>79</v>
      </c>
      <c r="C64" t="s">
        <v>16</v>
      </c>
      <c r="D64" t="s">
        <v>55</v>
      </c>
      <c r="E64" t="s">
        <v>87</v>
      </c>
      <c r="F64" t="s">
        <v>87</v>
      </c>
      <c r="H64" s="2">
        <v>45688</v>
      </c>
      <c r="I64" s="1">
        <v>-1029</v>
      </c>
      <c r="J64" t="s">
        <v>86</v>
      </c>
      <c r="K64" t="s">
        <v>20</v>
      </c>
      <c r="L64">
        <v>0</v>
      </c>
      <c r="M64" t="s">
        <v>86</v>
      </c>
    </row>
    <row r="65" spans="1:13">
      <c r="A65" t="s">
        <v>78</v>
      </c>
      <c r="B65" t="s">
        <v>79</v>
      </c>
      <c r="C65" t="s">
        <v>16</v>
      </c>
      <c r="D65" t="s">
        <v>21</v>
      </c>
      <c r="E65" t="s">
        <v>88</v>
      </c>
      <c r="F65" t="s">
        <v>88</v>
      </c>
      <c r="G65" s="2">
        <v>45708</v>
      </c>
      <c r="H65" s="2">
        <v>45738</v>
      </c>
      <c r="I65" s="1">
        <v>10804.5</v>
      </c>
      <c r="J65">
        <v>10804.5</v>
      </c>
      <c r="K65" t="s">
        <v>20</v>
      </c>
      <c r="L65">
        <v>12</v>
      </c>
      <c r="M65">
        <v>10804.5</v>
      </c>
    </row>
    <row r="66" spans="1:13">
      <c r="A66" t="s">
        <v>78</v>
      </c>
      <c r="B66" t="s">
        <v>79</v>
      </c>
      <c r="C66" t="s">
        <v>16</v>
      </c>
      <c r="D66" t="s">
        <v>21</v>
      </c>
      <c r="E66" t="s">
        <v>89</v>
      </c>
      <c r="F66" t="s">
        <v>89</v>
      </c>
      <c r="G66" s="2">
        <v>45721</v>
      </c>
      <c r="H66" s="2">
        <v>45751</v>
      </c>
      <c r="I66" s="1">
        <v>13230</v>
      </c>
      <c r="J66">
        <v>13230</v>
      </c>
      <c r="K66" t="s">
        <v>20</v>
      </c>
      <c r="L66">
        <v>0</v>
      </c>
      <c r="M66">
        <v>0</v>
      </c>
    </row>
    <row r="67" spans="1:13">
      <c r="A67" t="s">
        <v>78</v>
      </c>
      <c r="B67" t="s">
        <v>79</v>
      </c>
      <c r="C67" t="s">
        <v>16</v>
      </c>
      <c r="D67" t="s">
        <v>21</v>
      </c>
      <c r="E67" t="s">
        <v>90</v>
      </c>
      <c r="F67" t="s">
        <v>90</v>
      </c>
      <c r="G67" s="2">
        <v>45727</v>
      </c>
      <c r="H67" s="2">
        <v>45757</v>
      </c>
      <c r="I67" s="1">
        <v>14259</v>
      </c>
      <c r="J67">
        <v>14259</v>
      </c>
      <c r="K67" t="s">
        <v>20</v>
      </c>
      <c r="L67">
        <v>0</v>
      </c>
      <c r="M67">
        <v>0</v>
      </c>
    </row>
    <row r="68" spans="1:13">
      <c r="A68" t="s">
        <v>78</v>
      </c>
      <c r="B68" t="s">
        <v>79</v>
      </c>
      <c r="C68" t="s">
        <v>16</v>
      </c>
      <c r="D68" t="s">
        <v>21</v>
      </c>
      <c r="E68" t="s">
        <v>91</v>
      </c>
      <c r="F68" t="s">
        <v>91</v>
      </c>
      <c r="G68" s="2">
        <v>45735</v>
      </c>
      <c r="H68" s="2">
        <v>45765</v>
      </c>
      <c r="I68" s="1">
        <v>12054</v>
      </c>
      <c r="J68">
        <v>12054</v>
      </c>
      <c r="K68" t="s">
        <v>20</v>
      </c>
      <c r="L68">
        <v>0</v>
      </c>
      <c r="M68">
        <v>0</v>
      </c>
    </row>
    <row r="69" spans="1:13">
      <c r="A69" t="s">
        <v>78</v>
      </c>
      <c r="B69" t="s">
        <v>79</v>
      </c>
      <c r="C69" t="s">
        <v>16</v>
      </c>
      <c r="D69" t="s">
        <v>21</v>
      </c>
      <c r="E69" t="s">
        <v>92</v>
      </c>
      <c r="F69" t="s">
        <v>92</v>
      </c>
      <c r="G69" s="2">
        <v>45736</v>
      </c>
      <c r="H69" s="2">
        <v>45766</v>
      </c>
      <c r="I69" s="1">
        <v>2205</v>
      </c>
      <c r="J69">
        <v>2205</v>
      </c>
      <c r="K69" t="s">
        <v>20</v>
      </c>
      <c r="L69">
        <v>0</v>
      </c>
      <c r="M69">
        <v>0</v>
      </c>
    </row>
    <row r="70" spans="1:13">
      <c r="A70" t="s">
        <v>93</v>
      </c>
      <c r="B70" t="s">
        <v>94</v>
      </c>
      <c r="C70" t="s">
        <v>16</v>
      </c>
      <c r="D70" t="s">
        <v>21</v>
      </c>
      <c r="E70" t="s">
        <v>95</v>
      </c>
      <c r="F70" t="s">
        <v>95</v>
      </c>
      <c r="G70" s="2">
        <v>45275</v>
      </c>
      <c r="H70" s="2">
        <v>45305</v>
      </c>
      <c r="I70">
        <v>381.94</v>
      </c>
      <c r="J70">
        <v>381.94</v>
      </c>
      <c r="K70" t="s">
        <v>20</v>
      </c>
      <c r="L70">
        <v>0</v>
      </c>
      <c r="M70">
        <v>381.94</v>
      </c>
    </row>
    <row r="71" spans="1:13">
      <c r="A71" t="s">
        <v>93</v>
      </c>
      <c r="B71" t="s">
        <v>94</v>
      </c>
      <c r="C71" t="s">
        <v>16</v>
      </c>
      <c r="D71" t="s">
        <v>21</v>
      </c>
      <c r="E71" t="s">
        <v>96</v>
      </c>
      <c r="F71" t="s">
        <v>96</v>
      </c>
      <c r="G71" s="2">
        <v>45398</v>
      </c>
      <c r="H71" s="2">
        <v>45428</v>
      </c>
      <c r="I71" s="1">
        <v>31157.49</v>
      </c>
      <c r="J71">
        <v>2709.74</v>
      </c>
      <c r="K71" t="s">
        <v>20</v>
      </c>
      <c r="L71">
        <v>0</v>
      </c>
      <c r="M71">
        <v>2709.74</v>
      </c>
    </row>
    <row r="72" spans="1:13">
      <c r="A72" t="s">
        <v>93</v>
      </c>
      <c r="B72" t="s">
        <v>94</v>
      </c>
      <c r="C72" t="s">
        <v>16</v>
      </c>
      <c r="D72" t="s">
        <v>55</v>
      </c>
      <c r="E72" t="s">
        <v>96</v>
      </c>
      <c r="F72" t="s">
        <v>96</v>
      </c>
      <c r="H72" s="2">
        <v>45565</v>
      </c>
      <c r="I72" s="1">
        <v>-28447.75</v>
      </c>
      <c r="J72" t="s">
        <v>86</v>
      </c>
      <c r="K72" t="s">
        <v>20</v>
      </c>
      <c r="L72">
        <v>0</v>
      </c>
      <c r="M72" t="s">
        <v>86</v>
      </c>
    </row>
    <row r="73" spans="1:13">
      <c r="A73" t="s">
        <v>93</v>
      </c>
      <c r="B73" t="s">
        <v>94</v>
      </c>
      <c r="C73" t="s">
        <v>16</v>
      </c>
      <c r="D73" t="s">
        <v>21</v>
      </c>
      <c r="E73" t="s">
        <v>97</v>
      </c>
      <c r="F73" t="s">
        <v>97</v>
      </c>
      <c r="G73" s="2">
        <v>45565</v>
      </c>
      <c r="H73" s="2">
        <v>45595</v>
      </c>
      <c r="I73">
        <v>589.86</v>
      </c>
      <c r="J73">
        <v>589.86</v>
      </c>
      <c r="K73" t="s">
        <v>20</v>
      </c>
      <c r="L73">
        <v>0</v>
      </c>
      <c r="M73">
        <v>589.86</v>
      </c>
    </row>
    <row r="74" spans="1:13">
      <c r="A74" t="s">
        <v>93</v>
      </c>
      <c r="B74" t="s">
        <v>94</v>
      </c>
      <c r="C74" t="s">
        <v>16</v>
      </c>
      <c r="D74" t="s">
        <v>21</v>
      </c>
      <c r="E74" t="s">
        <v>98</v>
      </c>
      <c r="F74" t="s">
        <v>98</v>
      </c>
      <c r="G74" s="2">
        <v>45623</v>
      </c>
      <c r="H74" s="2">
        <v>45653</v>
      </c>
      <c r="I74" s="1">
        <v>1839.82</v>
      </c>
      <c r="J74">
        <v>1839.82</v>
      </c>
      <c r="K74" t="s">
        <v>20</v>
      </c>
      <c r="L74">
        <v>0</v>
      </c>
      <c r="M74">
        <v>1839.82</v>
      </c>
    </row>
    <row r="75" spans="1:13">
      <c r="A75" t="s">
        <v>93</v>
      </c>
      <c r="B75" t="s">
        <v>94</v>
      </c>
      <c r="C75" t="s">
        <v>16</v>
      </c>
      <c r="D75" t="s">
        <v>55</v>
      </c>
      <c r="E75" t="s">
        <v>19</v>
      </c>
      <c r="F75" t="s">
        <v>19</v>
      </c>
      <c r="H75" s="2">
        <v>45685</v>
      </c>
      <c r="I75" s="1">
        <v>-1494.99</v>
      </c>
      <c r="J75">
        <v>-1494.99</v>
      </c>
      <c r="K75" t="s">
        <v>20</v>
      </c>
      <c r="L75">
        <v>0</v>
      </c>
      <c r="M75">
        <v>-1494.99</v>
      </c>
    </row>
    <row r="76" spans="1:13">
      <c r="A76" t="s">
        <v>99</v>
      </c>
      <c r="B76" t="s">
        <v>100</v>
      </c>
      <c r="C76" t="s">
        <v>16</v>
      </c>
      <c r="D76" t="s">
        <v>21</v>
      </c>
      <c r="E76" t="s">
        <v>101</v>
      </c>
      <c r="F76" t="s">
        <v>101</v>
      </c>
      <c r="G76" s="2">
        <v>45428</v>
      </c>
      <c r="H76" s="2">
        <v>45458</v>
      </c>
      <c r="I76">
        <v>698.64</v>
      </c>
      <c r="J76">
        <v>300.83</v>
      </c>
      <c r="K76" t="s">
        <v>20</v>
      </c>
      <c r="L76">
        <v>0</v>
      </c>
      <c r="M76">
        <v>300.83</v>
      </c>
    </row>
    <row r="77" spans="1:13">
      <c r="A77" t="s">
        <v>99</v>
      </c>
      <c r="B77" t="s">
        <v>100</v>
      </c>
      <c r="C77" t="s">
        <v>16</v>
      </c>
      <c r="D77" t="s">
        <v>17</v>
      </c>
      <c r="E77" t="s">
        <v>102</v>
      </c>
      <c r="F77" t="s">
        <v>101</v>
      </c>
      <c r="H77" s="2">
        <v>45519</v>
      </c>
      <c r="I77">
        <v>-49.78</v>
      </c>
      <c r="J77" t="s">
        <v>86</v>
      </c>
      <c r="K77" t="s">
        <v>20</v>
      </c>
      <c r="L77">
        <v>0</v>
      </c>
      <c r="M77" t="s">
        <v>86</v>
      </c>
    </row>
    <row r="78" spans="1:13">
      <c r="A78" t="s">
        <v>99</v>
      </c>
      <c r="B78" t="s">
        <v>100</v>
      </c>
      <c r="C78" t="s">
        <v>16</v>
      </c>
      <c r="D78" t="s">
        <v>55</v>
      </c>
      <c r="E78" t="s">
        <v>101</v>
      </c>
      <c r="F78" t="s">
        <v>101</v>
      </c>
      <c r="H78" s="2">
        <v>45621</v>
      </c>
      <c r="I78">
        <v>-348.03</v>
      </c>
      <c r="J78" t="s">
        <v>86</v>
      </c>
      <c r="K78" t="s">
        <v>20</v>
      </c>
      <c r="L78">
        <v>0</v>
      </c>
      <c r="M78" t="s">
        <v>86</v>
      </c>
    </row>
    <row r="79" spans="1:13">
      <c r="A79" t="s">
        <v>99</v>
      </c>
      <c r="B79" t="s">
        <v>100</v>
      </c>
      <c r="C79" t="s">
        <v>16</v>
      </c>
      <c r="D79" t="s">
        <v>21</v>
      </c>
      <c r="E79" t="s">
        <v>103</v>
      </c>
      <c r="F79" t="s">
        <v>103</v>
      </c>
      <c r="G79" s="2">
        <v>45442</v>
      </c>
      <c r="H79" s="2">
        <v>45472</v>
      </c>
      <c r="I79" s="1">
        <v>21288.05</v>
      </c>
      <c r="J79">
        <v>21288.05</v>
      </c>
      <c r="K79" t="s">
        <v>20</v>
      </c>
      <c r="L79">
        <v>0</v>
      </c>
      <c r="M79">
        <v>21288.05</v>
      </c>
    </row>
    <row r="80" spans="1:13">
      <c r="A80" t="s">
        <v>99</v>
      </c>
      <c r="B80" t="s">
        <v>100</v>
      </c>
      <c r="C80" t="s">
        <v>16</v>
      </c>
      <c r="D80" t="s">
        <v>21</v>
      </c>
      <c r="E80" t="s">
        <v>104</v>
      </c>
      <c r="F80" t="s">
        <v>104</v>
      </c>
      <c r="G80" s="2">
        <v>45552</v>
      </c>
      <c r="H80" s="2">
        <v>45582</v>
      </c>
      <c r="I80">
        <v>350.67</v>
      </c>
      <c r="J80">
        <v>320.25</v>
      </c>
      <c r="K80" t="s">
        <v>20</v>
      </c>
      <c r="L80">
        <v>0</v>
      </c>
      <c r="M80">
        <v>320.25</v>
      </c>
    </row>
    <row r="81" spans="1:13">
      <c r="A81" t="s">
        <v>99</v>
      </c>
      <c r="B81" t="s">
        <v>100</v>
      </c>
      <c r="C81" t="s">
        <v>16</v>
      </c>
      <c r="D81" t="s">
        <v>17</v>
      </c>
      <c r="E81" t="s">
        <v>105</v>
      </c>
      <c r="F81" t="s">
        <v>104</v>
      </c>
      <c r="H81" s="2">
        <v>45581</v>
      </c>
      <c r="I81">
        <v>-30.42</v>
      </c>
      <c r="J81" t="s">
        <v>86</v>
      </c>
      <c r="K81" t="s">
        <v>20</v>
      </c>
      <c r="L81">
        <v>0</v>
      </c>
      <c r="M81" t="s">
        <v>86</v>
      </c>
    </row>
    <row r="82" spans="1:13">
      <c r="A82" t="s">
        <v>99</v>
      </c>
      <c r="B82" t="s">
        <v>100</v>
      </c>
      <c r="C82" t="s">
        <v>16</v>
      </c>
      <c r="D82" t="s">
        <v>21</v>
      </c>
      <c r="E82" t="s">
        <v>106</v>
      </c>
      <c r="F82" t="s">
        <v>106</v>
      </c>
      <c r="G82" s="2">
        <v>45552</v>
      </c>
      <c r="H82" s="2">
        <v>45582</v>
      </c>
      <c r="I82" s="1">
        <v>1407.41</v>
      </c>
      <c r="J82">
        <v>1285.3</v>
      </c>
      <c r="K82" t="s">
        <v>20</v>
      </c>
      <c r="L82">
        <v>0</v>
      </c>
      <c r="M82">
        <v>1285.3</v>
      </c>
    </row>
    <row r="83" spans="1:13">
      <c r="A83" t="s">
        <v>99</v>
      </c>
      <c r="B83" t="s">
        <v>100</v>
      </c>
      <c r="C83" t="s">
        <v>16</v>
      </c>
      <c r="D83" t="s">
        <v>17</v>
      </c>
      <c r="E83" t="s">
        <v>107</v>
      </c>
      <c r="F83" t="s">
        <v>106</v>
      </c>
      <c r="H83" s="2">
        <v>45581</v>
      </c>
      <c r="I83">
        <v>-122.11</v>
      </c>
      <c r="J83" t="s">
        <v>86</v>
      </c>
      <c r="K83" t="s">
        <v>20</v>
      </c>
      <c r="L83">
        <v>0</v>
      </c>
      <c r="M83" t="s">
        <v>86</v>
      </c>
    </row>
    <row r="84" spans="1:13">
      <c r="A84" t="s">
        <v>99</v>
      </c>
      <c r="B84" t="s">
        <v>100</v>
      </c>
      <c r="C84" t="s">
        <v>16</v>
      </c>
      <c r="D84" t="s">
        <v>21</v>
      </c>
      <c r="E84" t="s">
        <v>108</v>
      </c>
      <c r="F84" t="s">
        <v>108</v>
      </c>
      <c r="G84" s="2">
        <v>45555</v>
      </c>
      <c r="H84" s="2">
        <v>45585</v>
      </c>
      <c r="I84" s="1">
        <v>19174.419999999998</v>
      </c>
      <c r="J84">
        <v>17510.87</v>
      </c>
      <c r="K84" t="s">
        <v>20</v>
      </c>
      <c r="L84">
        <v>0</v>
      </c>
      <c r="M84">
        <v>17510.87</v>
      </c>
    </row>
    <row r="85" spans="1:13">
      <c r="A85" t="s">
        <v>99</v>
      </c>
      <c r="B85" t="s">
        <v>100</v>
      </c>
      <c r="C85" t="s">
        <v>16</v>
      </c>
      <c r="D85" t="s">
        <v>17</v>
      </c>
      <c r="E85" t="s">
        <v>109</v>
      </c>
      <c r="F85" t="s">
        <v>108</v>
      </c>
      <c r="H85" s="2">
        <v>45581</v>
      </c>
      <c r="I85" s="1">
        <v>-1663.55</v>
      </c>
      <c r="J85" t="s">
        <v>86</v>
      </c>
      <c r="K85" t="s">
        <v>20</v>
      </c>
      <c r="L85">
        <v>0</v>
      </c>
      <c r="M85" t="s">
        <v>86</v>
      </c>
    </row>
    <row r="86" spans="1:13">
      <c r="A86" t="s">
        <v>99</v>
      </c>
      <c r="B86" t="s">
        <v>100</v>
      </c>
      <c r="C86" t="s">
        <v>16</v>
      </c>
      <c r="D86" t="s">
        <v>21</v>
      </c>
      <c r="E86" t="s">
        <v>110</v>
      </c>
      <c r="F86" t="s">
        <v>110</v>
      </c>
      <c r="G86" s="2">
        <v>45565</v>
      </c>
      <c r="H86" s="2">
        <v>45595</v>
      </c>
      <c r="I86">
        <v>516.70000000000005</v>
      </c>
      <c r="J86">
        <v>516.70000000000005</v>
      </c>
      <c r="K86" t="s">
        <v>20</v>
      </c>
      <c r="L86">
        <v>0</v>
      </c>
      <c r="M86">
        <v>516.70000000000005</v>
      </c>
    </row>
    <row r="87" spans="1:13">
      <c r="A87" t="s">
        <v>99</v>
      </c>
      <c r="B87" t="s">
        <v>100</v>
      </c>
      <c r="C87" t="s">
        <v>16</v>
      </c>
      <c r="D87" t="s">
        <v>21</v>
      </c>
      <c r="E87" t="s">
        <v>111</v>
      </c>
      <c r="F87" t="s">
        <v>111</v>
      </c>
      <c r="G87" s="2">
        <v>45565</v>
      </c>
      <c r="H87" s="2">
        <v>45595</v>
      </c>
      <c r="I87" s="1">
        <v>1064.4000000000001</v>
      </c>
      <c r="J87">
        <v>1064.4000000000001</v>
      </c>
      <c r="K87" t="s">
        <v>20</v>
      </c>
      <c r="L87">
        <v>0</v>
      </c>
      <c r="M87">
        <v>1064.4000000000001</v>
      </c>
    </row>
    <row r="88" spans="1:13">
      <c r="A88" t="s">
        <v>99</v>
      </c>
      <c r="B88" t="s">
        <v>100</v>
      </c>
      <c r="C88" t="s">
        <v>16</v>
      </c>
      <c r="D88" t="s">
        <v>21</v>
      </c>
      <c r="E88" t="s">
        <v>112</v>
      </c>
      <c r="F88" t="s">
        <v>112</v>
      </c>
      <c r="G88" s="2">
        <v>45573</v>
      </c>
      <c r="H88" s="2">
        <v>45603</v>
      </c>
      <c r="I88" s="1">
        <v>1034.98</v>
      </c>
      <c r="J88">
        <v>1034.98</v>
      </c>
      <c r="K88" t="s">
        <v>20</v>
      </c>
      <c r="L88">
        <v>0</v>
      </c>
      <c r="M88">
        <v>1034.98</v>
      </c>
    </row>
    <row r="89" spans="1:13">
      <c r="A89" t="s">
        <v>99</v>
      </c>
      <c r="B89" t="s">
        <v>100</v>
      </c>
      <c r="C89" t="s">
        <v>16</v>
      </c>
      <c r="D89" t="s">
        <v>21</v>
      </c>
      <c r="E89" t="s">
        <v>113</v>
      </c>
      <c r="F89" t="s">
        <v>113</v>
      </c>
      <c r="G89" s="2">
        <v>45617</v>
      </c>
      <c r="H89" s="2">
        <v>45647</v>
      </c>
      <c r="I89" s="1">
        <v>2299.5</v>
      </c>
      <c r="J89">
        <v>2299.5</v>
      </c>
      <c r="K89" t="s">
        <v>20</v>
      </c>
      <c r="L89">
        <v>0</v>
      </c>
      <c r="M89">
        <v>2299.5</v>
      </c>
    </row>
    <row r="90" spans="1:13">
      <c r="A90" t="s">
        <v>99</v>
      </c>
      <c r="B90" t="s">
        <v>100</v>
      </c>
      <c r="C90" t="s">
        <v>16</v>
      </c>
      <c r="D90" t="s">
        <v>21</v>
      </c>
      <c r="E90" t="s">
        <v>114</v>
      </c>
      <c r="F90" t="s">
        <v>114</v>
      </c>
      <c r="G90" s="2">
        <v>45630</v>
      </c>
      <c r="H90" s="2">
        <v>45660</v>
      </c>
      <c r="I90">
        <v>378.93</v>
      </c>
      <c r="J90">
        <v>378.93</v>
      </c>
      <c r="K90" t="s">
        <v>20</v>
      </c>
      <c r="L90">
        <v>0</v>
      </c>
      <c r="M90">
        <v>378.93</v>
      </c>
    </row>
    <row r="91" spans="1:13">
      <c r="A91" t="s">
        <v>99</v>
      </c>
      <c r="B91" t="s">
        <v>100</v>
      </c>
      <c r="C91" t="s">
        <v>16</v>
      </c>
      <c r="D91" t="s">
        <v>21</v>
      </c>
      <c r="E91" t="s">
        <v>115</v>
      </c>
      <c r="F91" t="s">
        <v>115</v>
      </c>
      <c r="G91" s="2">
        <v>45652</v>
      </c>
      <c r="H91" s="2">
        <v>45682</v>
      </c>
      <c r="I91">
        <v>148.21</v>
      </c>
      <c r="J91">
        <v>148.21</v>
      </c>
      <c r="K91" t="s">
        <v>20</v>
      </c>
      <c r="L91">
        <v>0</v>
      </c>
      <c r="M91">
        <v>148.21</v>
      </c>
    </row>
    <row r="92" spans="1:13">
      <c r="A92" t="s">
        <v>99</v>
      </c>
      <c r="B92" t="s">
        <v>100</v>
      </c>
      <c r="C92" t="s">
        <v>16</v>
      </c>
      <c r="D92" t="s">
        <v>21</v>
      </c>
      <c r="E92" t="s">
        <v>116</v>
      </c>
      <c r="F92" t="s">
        <v>116</v>
      </c>
      <c r="G92" s="2">
        <v>45666</v>
      </c>
      <c r="H92" s="2">
        <v>45696</v>
      </c>
      <c r="I92" s="1">
        <v>14696.23</v>
      </c>
      <c r="J92">
        <v>12782.1</v>
      </c>
      <c r="K92" t="s">
        <v>20</v>
      </c>
      <c r="L92">
        <v>0</v>
      </c>
      <c r="M92">
        <v>12782.1</v>
      </c>
    </row>
    <row r="93" spans="1:13">
      <c r="A93" t="s">
        <v>99</v>
      </c>
      <c r="B93" t="s">
        <v>100</v>
      </c>
      <c r="C93" t="s">
        <v>16</v>
      </c>
      <c r="D93" t="s">
        <v>17</v>
      </c>
      <c r="E93" t="s">
        <v>117</v>
      </c>
      <c r="F93" t="s">
        <v>116</v>
      </c>
      <c r="H93" s="2">
        <v>45688</v>
      </c>
      <c r="I93" s="1">
        <v>-1914.13</v>
      </c>
      <c r="J93" t="s">
        <v>86</v>
      </c>
      <c r="K93" t="s">
        <v>20</v>
      </c>
      <c r="L93">
        <v>0</v>
      </c>
      <c r="M93" t="s">
        <v>86</v>
      </c>
    </row>
    <row r="94" spans="1:13">
      <c r="A94" t="s">
        <v>118</v>
      </c>
      <c r="B94" t="s">
        <v>119</v>
      </c>
      <c r="C94" t="s">
        <v>16</v>
      </c>
      <c r="D94" t="s">
        <v>21</v>
      </c>
      <c r="E94" t="s">
        <v>120</v>
      </c>
      <c r="F94" t="s">
        <v>120</v>
      </c>
      <c r="G94" s="2">
        <v>45642</v>
      </c>
      <c r="H94" s="2">
        <v>45672</v>
      </c>
      <c r="I94">
        <v>587.6</v>
      </c>
      <c r="J94">
        <v>587.6</v>
      </c>
      <c r="K94" t="s">
        <v>20</v>
      </c>
      <c r="L94">
        <v>0</v>
      </c>
      <c r="M94">
        <v>587.6</v>
      </c>
    </row>
    <row r="95" spans="1:13">
      <c r="A95" t="s">
        <v>118</v>
      </c>
      <c r="B95" t="s">
        <v>119</v>
      </c>
      <c r="C95" t="s">
        <v>16</v>
      </c>
      <c r="D95" t="s">
        <v>21</v>
      </c>
      <c r="E95" t="s">
        <v>121</v>
      </c>
      <c r="F95" t="s">
        <v>121</v>
      </c>
      <c r="G95" s="2">
        <v>45679</v>
      </c>
      <c r="H95" s="2">
        <v>45709</v>
      </c>
      <c r="I95" s="1">
        <v>9394</v>
      </c>
      <c r="J95">
        <v>8884.68</v>
      </c>
      <c r="K95" t="s">
        <v>20</v>
      </c>
      <c r="L95">
        <v>0</v>
      </c>
      <c r="M95">
        <v>8884.68</v>
      </c>
    </row>
    <row r="96" spans="1:13">
      <c r="A96" t="s">
        <v>118</v>
      </c>
      <c r="B96" t="s">
        <v>119</v>
      </c>
      <c r="C96" t="s">
        <v>16</v>
      </c>
      <c r="D96" t="s">
        <v>17</v>
      </c>
      <c r="E96" t="s">
        <v>122</v>
      </c>
      <c r="F96" t="s">
        <v>121</v>
      </c>
      <c r="H96" s="2">
        <v>45733</v>
      </c>
      <c r="I96">
        <v>-509.32</v>
      </c>
      <c r="J96" t="s">
        <v>86</v>
      </c>
      <c r="K96" t="s">
        <v>20</v>
      </c>
      <c r="L96">
        <v>12</v>
      </c>
      <c r="M96" t="s">
        <v>86</v>
      </c>
    </row>
    <row r="97" spans="1:13">
      <c r="A97" t="s">
        <v>118</v>
      </c>
      <c r="B97" t="s">
        <v>119</v>
      </c>
      <c r="C97" t="s">
        <v>16</v>
      </c>
      <c r="D97" t="s">
        <v>21</v>
      </c>
      <c r="E97" t="s">
        <v>123</v>
      </c>
      <c r="F97" t="s">
        <v>123</v>
      </c>
      <c r="G97" s="2">
        <v>45687</v>
      </c>
      <c r="H97" s="2">
        <v>45717</v>
      </c>
      <c r="I97" s="1">
        <v>3693.01</v>
      </c>
      <c r="J97">
        <v>3609.41</v>
      </c>
      <c r="K97" t="s">
        <v>20</v>
      </c>
      <c r="L97">
        <v>10</v>
      </c>
      <c r="M97">
        <v>3609.41</v>
      </c>
    </row>
    <row r="98" spans="1:13">
      <c r="A98" t="s">
        <v>118</v>
      </c>
      <c r="B98" t="s">
        <v>119</v>
      </c>
      <c r="C98" t="s">
        <v>16</v>
      </c>
      <c r="D98" t="s">
        <v>17</v>
      </c>
      <c r="E98" t="s">
        <v>124</v>
      </c>
      <c r="F98" t="s">
        <v>123</v>
      </c>
      <c r="H98" s="2">
        <v>45733</v>
      </c>
      <c r="I98">
        <v>-83.6</v>
      </c>
      <c r="J98" t="s">
        <v>86</v>
      </c>
      <c r="K98" t="s">
        <v>20</v>
      </c>
      <c r="L98">
        <v>12</v>
      </c>
      <c r="M98" t="s">
        <v>86</v>
      </c>
    </row>
    <row r="99" spans="1:13">
      <c r="A99" t="s">
        <v>118</v>
      </c>
      <c r="B99" t="s">
        <v>119</v>
      </c>
      <c r="C99" t="s">
        <v>16</v>
      </c>
      <c r="D99" t="s">
        <v>21</v>
      </c>
      <c r="E99" t="s">
        <v>125</v>
      </c>
      <c r="F99" t="s">
        <v>125</v>
      </c>
      <c r="G99" s="2">
        <v>45687</v>
      </c>
      <c r="H99" s="2">
        <v>45717</v>
      </c>
      <c r="I99" s="1">
        <v>1423.8</v>
      </c>
      <c r="J99">
        <v>1423.8</v>
      </c>
      <c r="K99" t="s">
        <v>20</v>
      </c>
      <c r="L99">
        <v>10</v>
      </c>
      <c r="M99">
        <v>1423.8</v>
      </c>
    </row>
    <row r="100" spans="1:13">
      <c r="A100" t="s">
        <v>118</v>
      </c>
      <c r="B100" t="s">
        <v>119</v>
      </c>
      <c r="C100" t="s">
        <v>16</v>
      </c>
      <c r="D100" t="s">
        <v>21</v>
      </c>
      <c r="E100" t="s">
        <v>126</v>
      </c>
      <c r="F100" t="s">
        <v>126</v>
      </c>
      <c r="G100" s="2">
        <v>45716</v>
      </c>
      <c r="H100" s="2">
        <v>45746</v>
      </c>
      <c r="I100" s="1">
        <v>2373</v>
      </c>
      <c r="J100">
        <v>2373</v>
      </c>
      <c r="K100" t="s">
        <v>20</v>
      </c>
      <c r="L100">
        <v>13</v>
      </c>
      <c r="M100">
        <v>2373</v>
      </c>
    </row>
    <row r="101" spans="1:13">
      <c r="A101" t="s">
        <v>118</v>
      </c>
      <c r="B101" t="s">
        <v>119</v>
      </c>
      <c r="C101" t="s">
        <v>16</v>
      </c>
      <c r="D101" t="s">
        <v>21</v>
      </c>
      <c r="E101" t="s">
        <v>127</v>
      </c>
      <c r="F101" t="s">
        <v>127</v>
      </c>
      <c r="G101" s="2">
        <v>45721</v>
      </c>
      <c r="H101" s="2">
        <v>45751</v>
      </c>
      <c r="I101">
        <v>442.96</v>
      </c>
      <c r="J101">
        <v>442.96</v>
      </c>
      <c r="K101" t="s">
        <v>20</v>
      </c>
      <c r="L101">
        <v>0</v>
      </c>
      <c r="M101">
        <v>0</v>
      </c>
    </row>
    <row r="102" spans="1:13">
      <c r="A102" t="s">
        <v>118</v>
      </c>
      <c r="B102" t="s">
        <v>119</v>
      </c>
      <c r="C102" t="s">
        <v>16</v>
      </c>
      <c r="D102" t="s">
        <v>21</v>
      </c>
      <c r="E102" t="s">
        <v>128</v>
      </c>
      <c r="F102" t="s">
        <v>128</v>
      </c>
      <c r="G102" s="2">
        <v>45735</v>
      </c>
      <c r="H102" s="2">
        <v>45765</v>
      </c>
      <c r="I102" s="1">
        <v>6830.64</v>
      </c>
      <c r="J102">
        <v>6830.64</v>
      </c>
      <c r="K102" t="s">
        <v>20</v>
      </c>
      <c r="L102">
        <v>0</v>
      </c>
      <c r="M102">
        <v>0</v>
      </c>
    </row>
    <row r="103" spans="1:13">
      <c r="A103" t="s">
        <v>118</v>
      </c>
      <c r="B103" t="s">
        <v>119</v>
      </c>
      <c r="C103" t="s">
        <v>16</v>
      </c>
      <c r="D103" t="s">
        <v>21</v>
      </c>
      <c r="E103" t="s">
        <v>129</v>
      </c>
      <c r="F103" t="s">
        <v>129</v>
      </c>
      <c r="G103" s="2">
        <v>45735</v>
      </c>
      <c r="H103" s="2">
        <v>45765</v>
      </c>
      <c r="I103" s="1">
        <v>4972</v>
      </c>
      <c r="J103">
        <v>4972</v>
      </c>
      <c r="K103" t="s">
        <v>20</v>
      </c>
      <c r="L103">
        <v>0</v>
      </c>
      <c r="M103">
        <v>0</v>
      </c>
    </row>
    <row r="104" spans="1:13">
      <c r="A104" t="s">
        <v>118</v>
      </c>
      <c r="B104" t="s">
        <v>119</v>
      </c>
      <c r="C104" t="s">
        <v>16</v>
      </c>
      <c r="D104" t="s">
        <v>21</v>
      </c>
      <c r="E104" t="s">
        <v>130</v>
      </c>
      <c r="F104" t="s">
        <v>130</v>
      </c>
      <c r="G104" s="2">
        <v>45737</v>
      </c>
      <c r="H104" s="2">
        <v>45767</v>
      </c>
      <c r="I104" s="1">
        <v>1559.4</v>
      </c>
      <c r="J104">
        <v>1559.4</v>
      </c>
      <c r="K104" t="s">
        <v>20</v>
      </c>
      <c r="L104">
        <v>0</v>
      </c>
      <c r="M104">
        <v>0</v>
      </c>
    </row>
    <row r="105" spans="1:13">
      <c r="A105" t="s">
        <v>118</v>
      </c>
      <c r="B105" t="s">
        <v>119</v>
      </c>
      <c r="C105" t="s">
        <v>16</v>
      </c>
      <c r="D105" t="s">
        <v>21</v>
      </c>
      <c r="E105" t="s">
        <v>131</v>
      </c>
      <c r="F105" t="s">
        <v>131</v>
      </c>
      <c r="G105" s="2">
        <v>45741</v>
      </c>
      <c r="H105" s="2">
        <v>45771</v>
      </c>
      <c r="I105" s="1">
        <v>4759.5600000000004</v>
      </c>
      <c r="J105">
        <v>4759.5600000000004</v>
      </c>
      <c r="K105" t="s">
        <v>20</v>
      </c>
      <c r="L105">
        <v>0</v>
      </c>
      <c r="M105">
        <v>0</v>
      </c>
    </row>
    <row r="106" spans="1:13">
      <c r="A106" t="s">
        <v>132</v>
      </c>
      <c r="B106" t="s">
        <v>133</v>
      </c>
      <c r="C106" t="s">
        <v>16</v>
      </c>
      <c r="D106" t="s">
        <v>55</v>
      </c>
      <c r="E106" t="s">
        <v>19</v>
      </c>
      <c r="F106" t="s">
        <v>19</v>
      </c>
      <c r="H106" s="2">
        <v>45520</v>
      </c>
      <c r="I106">
        <v>-896.09</v>
      </c>
      <c r="J106">
        <v>-896.09</v>
      </c>
      <c r="K106" t="s">
        <v>20</v>
      </c>
      <c r="L106">
        <v>0</v>
      </c>
      <c r="M106">
        <v>-896.09</v>
      </c>
    </row>
    <row r="107" spans="1:13">
      <c r="A107" t="s">
        <v>132</v>
      </c>
      <c r="B107" t="s">
        <v>133</v>
      </c>
      <c r="C107" t="s">
        <v>16</v>
      </c>
      <c r="D107" t="s">
        <v>55</v>
      </c>
      <c r="E107" t="s">
        <v>19</v>
      </c>
      <c r="F107" t="s">
        <v>19</v>
      </c>
      <c r="H107" s="2">
        <v>45575</v>
      </c>
      <c r="I107">
        <v>-946.26</v>
      </c>
      <c r="J107">
        <v>-946.26</v>
      </c>
      <c r="K107" t="s">
        <v>20</v>
      </c>
      <c r="L107">
        <v>0</v>
      </c>
      <c r="M107">
        <v>-946.26</v>
      </c>
    </row>
    <row r="108" spans="1:13">
      <c r="A108" t="s">
        <v>134</v>
      </c>
      <c r="B108" t="s">
        <v>135</v>
      </c>
      <c r="C108" t="s">
        <v>16</v>
      </c>
      <c r="D108" t="s">
        <v>21</v>
      </c>
      <c r="E108" t="s">
        <v>136</v>
      </c>
      <c r="F108" t="s">
        <v>136</v>
      </c>
      <c r="G108" s="2">
        <v>45714</v>
      </c>
      <c r="H108" s="2">
        <v>45744</v>
      </c>
      <c r="I108" s="1">
        <v>2715</v>
      </c>
      <c r="J108">
        <v>2715</v>
      </c>
      <c r="K108" t="s">
        <v>20</v>
      </c>
      <c r="L108">
        <v>13</v>
      </c>
      <c r="M108">
        <v>2715</v>
      </c>
    </row>
    <row r="109" spans="1:13">
      <c r="A109" t="s">
        <v>134</v>
      </c>
      <c r="B109" t="s">
        <v>135</v>
      </c>
      <c r="C109" t="s">
        <v>16</v>
      </c>
      <c r="D109" t="s">
        <v>21</v>
      </c>
      <c r="E109" t="s">
        <v>137</v>
      </c>
      <c r="F109" t="s">
        <v>137</v>
      </c>
      <c r="G109" s="2">
        <v>45727</v>
      </c>
      <c r="H109" s="2">
        <v>45757</v>
      </c>
      <c r="I109">
        <v>926.63</v>
      </c>
      <c r="J109">
        <v>926.63</v>
      </c>
      <c r="K109" t="s">
        <v>20</v>
      </c>
      <c r="L109">
        <v>0</v>
      </c>
      <c r="M109">
        <v>0</v>
      </c>
    </row>
    <row r="110" spans="1:13">
      <c r="A110" t="s">
        <v>134</v>
      </c>
      <c r="B110" t="s">
        <v>135</v>
      </c>
      <c r="C110" t="s">
        <v>16</v>
      </c>
      <c r="D110" t="s">
        <v>21</v>
      </c>
      <c r="E110" t="s">
        <v>138</v>
      </c>
      <c r="F110" t="s">
        <v>138</v>
      </c>
      <c r="G110" s="2">
        <v>45727</v>
      </c>
      <c r="H110" s="2">
        <v>45757</v>
      </c>
      <c r="I110">
        <v>375</v>
      </c>
      <c r="J110">
        <v>375</v>
      </c>
      <c r="K110" t="s">
        <v>20</v>
      </c>
      <c r="L110">
        <v>0</v>
      </c>
      <c r="M110">
        <v>0</v>
      </c>
    </row>
    <row r="111" spans="1:13">
      <c r="A111" t="s">
        <v>139</v>
      </c>
      <c r="B111" t="s">
        <v>140</v>
      </c>
      <c r="C111" t="s">
        <v>16</v>
      </c>
      <c r="D111" t="s">
        <v>21</v>
      </c>
      <c r="E111" t="s">
        <v>141</v>
      </c>
      <c r="F111" t="s">
        <v>141</v>
      </c>
      <c r="G111" s="2">
        <v>45230</v>
      </c>
      <c r="H111" s="2">
        <v>45260</v>
      </c>
      <c r="I111">
        <v>161.44999999999999</v>
      </c>
      <c r="J111">
        <v>161.44999999999999</v>
      </c>
      <c r="K111" t="s">
        <v>20</v>
      </c>
      <c r="L111">
        <v>0</v>
      </c>
      <c r="M111">
        <v>161.44999999999999</v>
      </c>
    </row>
    <row r="112" spans="1:13">
      <c r="A112" t="s">
        <v>139</v>
      </c>
      <c r="B112" t="s">
        <v>140</v>
      </c>
      <c r="C112" t="s">
        <v>16</v>
      </c>
      <c r="D112" t="s">
        <v>21</v>
      </c>
      <c r="E112" t="s">
        <v>142</v>
      </c>
      <c r="F112" t="s">
        <v>142</v>
      </c>
      <c r="G112" s="2">
        <v>45345</v>
      </c>
      <c r="H112" s="2">
        <v>45375</v>
      </c>
      <c r="I112">
        <v>38.5</v>
      </c>
      <c r="J112">
        <v>38.5</v>
      </c>
      <c r="K112" t="s">
        <v>20</v>
      </c>
      <c r="L112">
        <v>0</v>
      </c>
      <c r="M112">
        <v>38.5</v>
      </c>
    </row>
    <row r="113" spans="1:13">
      <c r="A113" t="s">
        <v>139</v>
      </c>
      <c r="B113" t="s">
        <v>140</v>
      </c>
      <c r="C113" t="s">
        <v>16</v>
      </c>
      <c r="D113" t="s">
        <v>21</v>
      </c>
      <c r="E113" t="s">
        <v>143</v>
      </c>
      <c r="F113" t="s">
        <v>143</v>
      </c>
      <c r="G113" s="2">
        <v>45355</v>
      </c>
      <c r="H113" s="2">
        <v>45385</v>
      </c>
      <c r="I113" s="1">
        <v>2366.91</v>
      </c>
      <c r="J113">
        <v>2366.91</v>
      </c>
      <c r="K113" t="s">
        <v>20</v>
      </c>
      <c r="L113">
        <v>0</v>
      </c>
      <c r="M113">
        <v>2366.91</v>
      </c>
    </row>
    <row r="114" spans="1:13">
      <c r="A114" t="s">
        <v>139</v>
      </c>
      <c r="B114" t="s">
        <v>140</v>
      </c>
      <c r="C114" t="s">
        <v>16</v>
      </c>
      <c r="D114" t="s">
        <v>21</v>
      </c>
      <c r="E114" t="s">
        <v>144</v>
      </c>
      <c r="F114" t="s">
        <v>144</v>
      </c>
      <c r="G114" s="2">
        <v>45362</v>
      </c>
      <c r="H114" s="2">
        <v>45392</v>
      </c>
      <c r="I114" s="1">
        <v>1352</v>
      </c>
      <c r="J114">
        <v>1352</v>
      </c>
      <c r="K114" t="s">
        <v>20</v>
      </c>
      <c r="L114">
        <v>0</v>
      </c>
      <c r="M114">
        <v>1352</v>
      </c>
    </row>
    <row r="115" spans="1:13">
      <c r="A115" t="s">
        <v>139</v>
      </c>
      <c r="B115" t="s">
        <v>140</v>
      </c>
      <c r="C115" t="s">
        <v>16</v>
      </c>
      <c r="D115" t="s">
        <v>21</v>
      </c>
      <c r="E115" t="s">
        <v>145</v>
      </c>
      <c r="F115" t="s">
        <v>145</v>
      </c>
      <c r="G115" s="2">
        <v>45583</v>
      </c>
      <c r="H115" s="2">
        <v>45613</v>
      </c>
      <c r="I115" s="1">
        <v>32921.42</v>
      </c>
      <c r="J115">
        <v>665.23</v>
      </c>
      <c r="K115" t="s">
        <v>20</v>
      </c>
      <c r="L115">
        <v>0</v>
      </c>
      <c r="M115">
        <v>665.23</v>
      </c>
    </row>
    <row r="116" spans="1:13">
      <c r="A116" t="s">
        <v>139</v>
      </c>
      <c r="B116" t="s">
        <v>140</v>
      </c>
      <c r="C116" t="s">
        <v>16</v>
      </c>
      <c r="D116" t="s">
        <v>17</v>
      </c>
      <c r="E116" t="s">
        <v>146</v>
      </c>
      <c r="F116" t="s">
        <v>145</v>
      </c>
      <c r="H116" s="2">
        <v>45674</v>
      </c>
      <c r="I116">
        <v>-150.06</v>
      </c>
      <c r="J116" t="s">
        <v>86</v>
      </c>
      <c r="K116" t="s">
        <v>20</v>
      </c>
      <c r="L116">
        <v>0</v>
      </c>
      <c r="M116" t="s">
        <v>86</v>
      </c>
    </row>
    <row r="117" spans="1:13">
      <c r="A117" t="s">
        <v>139</v>
      </c>
      <c r="B117" t="s">
        <v>140</v>
      </c>
      <c r="C117" t="s">
        <v>16</v>
      </c>
      <c r="D117" t="s">
        <v>55</v>
      </c>
      <c r="E117" t="s">
        <v>145</v>
      </c>
      <c r="F117" t="s">
        <v>145</v>
      </c>
      <c r="H117" s="2">
        <v>45685</v>
      </c>
      <c r="I117" s="1">
        <v>-32106.13</v>
      </c>
      <c r="J117" t="s">
        <v>86</v>
      </c>
      <c r="K117" t="s">
        <v>20</v>
      </c>
      <c r="L117">
        <v>0</v>
      </c>
      <c r="M117" t="s">
        <v>86</v>
      </c>
    </row>
    <row r="118" spans="1:13">
      <c r="A118" t="s">
        <v>139</v>
      </c>
      <c r="B118" t="s">
        <v>140</v>
      </c>
      <c r="C118" t="s">
        <v>16</v>
      </c>
      <c r="D118" t="s">
        <v>55</v>
      </c>
      <c r="E118" t="s">
        <v>145</v>
      </c>
      <c r="F118" t="s">
        <v>145</v>
      </c>
      <c r="H118" s="2">
        <v>45689</v>
      </c>
      <c r="I118" s="1">
        <v>32106.13</v>
      </c>
      <c r="J118" t="s">
        <v>86</v>
      </c>
      <c r="K118" t="s">
        <v>20</v>
      </c>
      <c r="L118">
        <v>0</v>
      </c>
      <c r="M118" t="s">
        <v>86</v>
      </c>
    </row>
    <row r="119" spans="1:13">
      <c r="A119" t="s">
        <v>139</v>
      </c>
      <c r="B119" t="s">
        <v>140</v>
      </c>
      <c r="C119" t="s">
        <v>16</v>
      </c>
      <c r="D119" t="s">
        <v>55</v>
      </c>
      <c r="E119" t="s">
        <v>145</v>
      </c>
      <c r="F119" t="s">
        <v>145</v>
      </c>
      <c r="H119" s="2">
        <v>45717</v>
      </c>
      <c r="I119" s="1">
        <v>-32106.13</v>
      </c>
      <c r="J119" t="s">
        <v>86</v>
      </c>
      <c r="K119" t="s">
        <v>20</v>
      </c>
      <c r="L119">
        <v>10</v>
      </c>
      <c r="M119" t="s">
        <v>86</v>
      </c>
    </row>
    <row r="120" spans="1:13">
      <c r="A120" t="s">
        <v>139</v>
      </c>
      <c r="B120" t="s">
        <v>140</v>
      </c>
      <c r="C120" t="s">
        <v>16</v>
      </c>
      <c r="D120" t="s">
        <v>21</v>
      </c>
      <c r="E120" t="s">
        <v>147</v>
      </c>
      <c r="F120" t="s">
        <v>147</v>
      </c>
      <c r="G120" s="2">
        <v>45635</v>
      </c>
      <c r="H120" s="2">
        <v>45665</v>
      </c>
      <c r="I120" s="1">
        <v>6601.46</v>
      </c>
      <c r="J120">
        <v>6601.46</v>
      </c>
      <c r="K120" t="s">
        <v>20</v>
      </c>
      <c r="L120">
        <v>0</v>
      </c>
      <c r="M120">
        <v>6601.46</v>
      </c>
    </row>
    <row r="121" spans="1:13">
      <c r="A121" t="s">
        <v>139</v>
      </c>
      <c r="B121" t="s">
        <v>140</v>
      </c>
      <c r="C121" t="s">
        <v>16</v>
      </c>
      <c r="D121" t="s">
        <v>21</v>
      </c>
      <c r="E121" t="s">
        <v>148</v>
      </c>
      <c r="F121" t="s">
        <v>148</v>
      </c>
      <c r="G121" s="2">
        <v>45645</v>
      </c>
      <c r="H121" s="2">
        <v>45675</v>
      </c>
      <c r="I121" s="1">
        <v>1000.62</v>
      </c>
      <c r="J121">
        <v>1000.62</v>
      </c>
      <c r="K121" t="s">
        <v>20</v>
      </c>
      <c r="L121">
        <v>0</v>
      </c>
      <c r="M121">
        <v>1000.62</v>
      </c>
    </row>
    <row r="122" spans="1:13">
      <c r="A122" t="s">
        <v>139</v>
      </c>
      <c r="B122" t="s">
        <v>140</v>
      </c>
      <c r="C122" t="s">
        <v>16</v>
      </c>
      <c r="D122" t="s">
        <v>21</v>
      </c>
      <c r="E122" t="s">
        <v>149</v>
      </c>
      <c r="F122" t="s">
        <v>149</v>
      </c>
      <c r="G122" s="2">
        <v>45671</v>
      </c>
      <c r="H122" s="2">
        <v>45701</v>
      </c>
      <c r="I122" s="1">
        <v>17628</v>
      </c>
      <c r="J122">
        <v>17628</v>
      </c>
      <c r="K122" t="s">
        <v>20</v>
      </c>
      <c r="L122">
        <v>0</v>
      </c>
      <c r="M122">
        <v>17628</v>
      </c>
    </row>
    <row r="123" spans="1:13">
      <c r="A123" t="s">
        <v>139</v>
      </c>
      <c r="B123" t="s">
        <v>140</v>
      </c>
      <c r="C123" t="s">
        <v>16</v>
      </c>
      <c r="D123" t="s">
        <v>55</v>
      </c>
      <c r="E123" t="s">
        <v>19</v>
      </c>
      <c r="F123" t="s">
        <v>19</v>
      </c>
      <c r="H123" s="2">
        <v>45712</v>
      </c>
      <c r="I123" s="1">
        <v>-6818.42</v>
      </c>
      <c r="J123">
        <v>-6818.42</v>
      </c>
      <c r="K123" t="s">
        <v>20</v>
      </c>
      <c r="L123">
        <v>0</v>
      </c>
      <c r="M123">
        <v>-6818.42</v>
      </c>
    </row>
    <row r="124" spans="1:13">
      <c r="A124" t="s">
        <v>150</v>
      </c>
      <c r="B124" t="s">
        <v>151</v>
      </c>
      <c r="C124" t="s">
        <v>16</v>
      </c>
      <c r="D124" t="s">
        <v>21</v>
      </c>
      <c r="E124" t="s">
        <v>152</v>
      </c>
      <c r="F124" t="s">
        <v>152</v>
      </c>
      <c r="G124" s="2">
        <v>45719</v>
      </c>
      <c r="H124" s="2">
        <v>45749</v>
      </c>
      <c r="I124">
        <v>745.8</v>
      </c>
      <c r="J124">
        <v>745.8</v>
      </c>
      <c r="K124" t="s">
        <v>20</v>
      </c>
      <c r="L124">
        <v>0</v>
      </c>
      <c r="M124">
        <v>0</v>
      </c>
    </row>
    <row r="125" spans="1:13">
      <c r="A125" t="s">
        <v>150</v>
      </c>
      <c r="B125" t="s">
        <v>151</v>
      </c>
      <c r="C125" t="s">
        <v>16</v>
      </c>
      <c r="D125" t="s">
        <v>21</v>
      </c>
      <c r="E125" t="s">
        <v>153</v>
      </c>
      <c r="F125" t="s">
        <v>153</v>
      </c>
      <c r="G125" s="2">
        <v>45719</v>
      </c>
      <c r="H125" s="2">
        <v>45749</v>
      </c>
      <c r="I125">
        <v>466.13</v>
      </c>
      <c r="J125">
        <v>466.13</v>
      </c>
      <c r="K125" t="s">
        <v>20</v>
      </c>
      <c r="L125">
        <v>0</v>
      </c>
      <c r="M125">
        <v>0</v>
      </c>
    </row>
    <row r="126" spans="1:13">
      <c r="A126" t="s">
        <v>154</v>
      </c>
      <c r="B126" t="s">
        <v>155</v>
      </c>
      <c r="C126" t="s">
        <v>16</v>
      </c>
      <c r="D126" t="s">
        <v>21</v>
      </c>
      <c r="E126" t="s">
        <v>156</v>
      </c>
      <c r="F126" t="s">
        <v>156</v>
      </c>
      <c r="G126" s="2">
        <v>45708</v>
      </c>
      <c r="H126" s="2">
        <v>45738</v>
      </c>
      <c r="I126" s="1">
        <v>1576.35</v>
      </c>
      <c r="J126">
        <v>1576.35</v>
      </c>
      <c r="K126" t="s">
        <v>20</v>
      </c>
      <c r="L126">
        <v>12</v>
      </c>
      <c r="M126">
        <v>1576.35</v>
      </c>
    </row>
    <row r="127" spans="1:13">
      <c r="A127" t="s">
        <v>154</v>
      </c>
      <c r="B127" t="s">
        <v>155</v>
      </c>
      <c r="C127" t="s">
        <v>16</v>
      </c>
      <c r="D127" t="s">
        <v>21</v>
      </c>
      <c r="E127" t="s">
        <v>157</v>
      </c>
      <c r="F127" t="s">
        <v>157</v>
      </c>
      <c r="G127" s="2">
        <v>45736</v>
      </c>
      <c r="H127" s="2">
        <v>45766</v>
      </c>
      <c r="I127">
        <v>844.11</v>
      </c>
      <c r="J127">
        <v>844.11</v>
      </c>
      <c r="K127" t="s">
        <v>20</v>
      </c>
      <c r="L127">
        <v>0</v>
      </c>
      <c r="M127">
        <v>0</v>
      </c>
    </row>
    <row r="128" spans="1:13">
      <c r="A128" t="s">
        <v>154</v>
      </c>
      <c r="B128" t="s">
        <v>155</v>
      </c>
      <c r="C128" t="s">
        <v>16</v>
      </c>
      <c r="D128" t="s">
        <v>21</v>
      </c>
      <c r="E128" t="s">
        <v>158</v>
      </c>
      <c r="F128" t="s">
        <v>158</v>
      </c>
      <c r="G128" s="2">
        <v>45736</v>
      </c>
      <c r="H128" s="2">
        <v>45766</v>
      </c>
      <c r="I128" s="1">
        <v>2009.14</v>
      </c>
      <c r="J128">
        <v>2009.14</v>
      </c>
      <c r="K128" t="s">
        <v>20</v>
      </c>
      <c r="L128">
        <v>0</v>
      </c>
      <c r="M128">
        <v>0</v>
      </c>
    </row>
    <row r="129" spans="1:13">
      <c r="A129" t="s">
        <v>159</v>
      </c>
      <c r="B129" t="s">
        <v>160</v>
      </c>
      <c r="C129" t="s">
        <v>16</v>
      </c>
      <c r="D129" t="s">
        <v>21</v>
      </c>
      <c r="E129" t="s">
        <v>161</v>
      </c>
      <c r="F129" t="s">
        <v>161</v>
      </c>
      <c r="G129" s="2">
        <v>45166</v>
      </c>
      <c r="H129" s="2">
        <v>45196</v>
      </c>
      <c r="I129">
        <v>374.36</v>
      </c>
      <c r="J129">
        <v>374.36</v>
      </c>
      <c r="K129" t="s">
        <v>20</v>
      </c>
      <c r="L129">
        <v>0</v>
      </c>
      <c r="M129">
        <v>374.36</v>
      </c>
    </row>
    <row r="130" spans="1:13">
      <c r="A130" t="s">
        <v>159</v>
      </c>
      <c r="B130" t="s">
        <v>160</v>
      </c>
      <c r="C130" t="s">
        <v>16</v>
      </c>
      <c r="D130" t="s">
        <v>21</v>
      </c>
      <c r="E130" t="s">
        <v>162</v>
      </c>
      <c r="F130" t="s">
        <v>162</v>
      </c>
      <c r="G130" s="2">
        <v>45623</v>
      </c>
      <c r="H130" s="2">
        <v>45653</v>
      </c>
      <c r="I130">
        <v>723.32</v>
      </c>
      <c r="J130">
        <v>47.32</v>
      </c>
      <c r="K130" t="s">
        <v>20</v>
      </c>
      <c r="L130">
        <v>0</v>
      </c>
      <c r="M130">
        <v>47.32</v>
      </c>
    </row>
    <row r="131" spans="1:13">
      <c r="A131" t="s">
        <v>159</v>
      </c>
      <c r="B131" t="s">
        <v>160</v>
      </c>
      <c r="C131" t="s">
        <v>16</v>
      </c>
      <c r="D131" t="s">
        <v>55</v>
      </c>
      <c r="E131" t="s">
        <v>162</v>
      </c>
      <c r="F131" t="s">
        <v>162</v>
      </c>
      <c r="H131" s="2">
        <v>45653</v>
      </c>
      <c r="I131">
        <v>-676</v>
      </c>
      <c r="J131" t="s">
        <v>86</v>
      </c>
      <c r="K131" t="s">
        <v>20</v>
      </c>
      <c r="L131">
        <v>0</v>
      </c>
      <c r="M131" t="s">
        <v>86</v>
      </c>
    </row>
    <row r="132" spans="1:13">
      <c r="A132" t="s">
        <v>159</v>
      </c>
      <c r="B132" t="s">
        <v>160</v>
      </c>
      <c r="C132" t="s">
        <v>16</v>
      </c>
      <c r="D132" t="s">
        <v>21</v>
      </c>
      <c r="E132" t="s">
        <v>163</v>
      </c>
      <c r="F132" t="s">
        <v>163</v>
      </c>
      <c r="G132" s="2">
        <v>45628</v>
      </c>
      <c r="H132" s="2">
        <v>45658</v>
      </c>
      <c r="I132" s="1">
        <v>2247</v>
      </c>
      <c r="J132">
        <v>147</v>
      </c>
      <c r="K132" t="s">
        <v>20</v>
      </c>
      <c r="L132">
        <v>0</v>
      </c>
      <c r="M132">
        <v>147</v>
      </c>
    </row>
    <row r="133" spans="1:13">
      <c r="A133" t="s">
        <v>159</v>
      </c>
      <c r="B133" t="s">
        <v>160</v>
      </c>
      <c r="C133" t="s">
        <v>16</v>
      </c>
      <c r="D133" t="s">
        <v>55</v>
      </c>
      <c r="E133" t="s">
        <v>163</v>
      </c>
      <c r="F133" t="s">
        <v>163</v>
      </c>
      <c r="H133" s="2">
        <v>45685</v>
      </c>
      <c r="I133" s="1">
        <v>-2100</v>
      </c>
      <c r="J133" t="s">
        <v>86</v>
      </c>
      <c r="K133" t="s">
        <v>20</v>
      </c>
      <c r="L133">
        <v>0</v>
      </c>
      <c r="M133" t="s">
        <v>86</v>
      </c>
    </row>
    <row r="134" spans="1:13">
      <c r="A134" t="s">
        <v>159</v>
      </c>
      <c r="B134" t="s">
        <v>160</v>
      </c>
      <c r="C134" t="s">
        <v>16</v>
      </c>
      <c r="D134" t="s">
        <v>21</v>
      </c>
      <c r="E134" t="s">
        <v>164</v>
      </c>
      <c r="F134" t="s">
        <v>164</v>
      </c>
      <c r="G134" s="2">
        <v>45630</v>
      </c>
      <c r="H134" s="2">
        <v>45660</v>
      </c>
      <c r="I134">
        <v>267.5</v>
      </c>
      <c r="J134">
        <v>17.5</v>
      </c>
      <c r="K134" t="s">
        <v>20</v>
      </c>
      <c r="L134">
        <v>0</v>
      </c>
      <c r="M134">
        <v>17.5</v>
      </c>
    </row>
    <row r="135" spans="1:13">
      <c r="A135" t="s">
        <v>159</v>
      </c>
      <c r="B135" t="s">
        <v>160</v>
      </c>
      <c r="C135" t="s">
        <v>16</v>
      </c>
      <c r="D135" t="s">
        <v>55</v>
      </c>
      <c r="E135" t="s">
        <v>164</v>
      </c>
      <c r="F135" t="s">
        <v>164</v>
      </c>
      <c r="H135" s="2">
        <v>45685</v>
      </c>
      <c r="I135">
        <v>-250</v>
      </c>
      <c r="J135" t="s">
        <v>86</v>
      </c>
      <c r="K135" t="s">
        <v>20</v>
      </c>
      <c r="L135">
        <v>0</v>
      </c>
      <c r="M135" t="s">
        <v>86</v>
      </c>
    </row>
    <row r="136" spans="1:13">
      <c r="A136" t="s">
        <v>159</v>
      </c>
      <c r="B136" t="s">
        <v>160</v>
      </c>
      <c r="C136" t="s">
        <v>16</v>
      </c>
      <c r="D136" t="s">
        <v>21</v>
      </c>
      <c r="E136" t="s">
        <v>165</v>
      </c>
      <c r="F136" t="s">
        <v>165</v>
      </c>
      <c r="G136" s="2">
        <v>45637</v>
      </c>
      <c r="H136" s="2">
        <v>45667</v>
      </c>
      <c r="I136">
        <v>194.74</v>
      </c>
      <c r="J136">
        <v>12.74</v>
      </c>
      <c r="K136" t="s">
        <v>20</v>
      </c>
      <c r="L136">
        <v>0</v>
      </c>
      <c r="M136">
        <v>12.74</v>
      </c>
    </row>
    <row r="137" spans="1:13">
      <c r="A137" t="s">
        <v>159</v>
      </c>
      <c r="B137" t="s">
        <v>160</v>
      </c>
      <c r="C137" t="s">
        <v>16</v>
      </c>
      <c r="D137" t="s">
        <v>55</v>
      </c>
      <c r="E137" t="s">
        <v>165</v>
      </c>
      <c r="F137" t="s">
        <v>165</v>
      </c>
      <c r="H137" s="2">
        <v>45685</v>
      </c>
      <c r="I137">
        <v>-182</v>
      </c>
      <c r="J137" t="s">
        <v>86</v>
      </c>
      <c r="K137" t="s">
        <v>20</v>
      </c>
      <c r="L137">
        <v>0</v>
      </c>
      <c r="M137" t="s">
        <v>86</v>
      </c>
    </row>
    <row r="138" spans="1:13">
      <c r="A138" t="s">
        <v>159</v>
      </c>
      <c r="B138" t="s">
        <v>160</v>
      </c>
      <c r="C138" t="s">
        <v>16</v>
      </c>
      <c r="D138" t="s">
        <v>21</v>
      </c>
      <c r="E138" t="s">
        <v>166</v>
      </c>
      <c r="F138" t="s">
        <v>166</v>
      </c>
      <c r="G138" s="2">
        <v>45713</v>
      </c>
      <c r="H138" s="2">
        <v>45743</v>
      </c>
      <c r="I138" s="1">
        <v>7056</v>
      </c>
      <c r="J138">
        <v>7056</v>
      </c>
      <c r="K138" t="s">
        <v>20</v>
      </c>
      <c r="L138">
        <v>13</v>
      </c>
      <c r="M138">
        <v>7056</v>
      </c>
    </row>
    <row r="139" spans="1:13">
      <c r="A139" t="s">
        <v>159</v>
      </c>
      <c r="B139" t="s">
        <v>160</v>
      </c>
      <c r="C139" t="s">
        <v>16</v>
      </c>
      <c r="D139" t="s">
        <v>21</v>
      </c>
      <c r="E139" t="s">
        <v>167</v>
      </c>
      <c r="F139" t="s">
        <v>167</v>
      </c>
      <c r="G139" s="2">
        <v>45713</v>
      </c>
      <c r="H139" s="2">
        <v>45743</v>
      </c>
      <c r="I139">
        <v>718</v>
      </c>
      <c r="J139">
        <v>718</v>
      </c>
      <c r="K139" t="s">
        <v>20</v>
      </c>
      <c r="L139">
        <v>13</v>
      </c>
      <c r="M139">
        <v>718</v>
      </c>
    </row>
    <row r="140" spans="1:13">
      <c r="A140" t="s">
        <v>159</v>
      </c>
      <c r="B140" t="s">
        <v>160</v>
      </c>
      <c r="C140" t="s">
        <v>16</v>
      </c>
      <c r="D140" t="s">
        <v>21</v>
      </c>
      <c r="E140" t="s">
        <v>168</v>
      </c>
      <c r="F140" t="s">
        <v>168</v>
      </c>
      <c r="G140" s="2">
        <v>45727</v>
      </c>
      <c r="H140" s="2">
        <v>45757</v>
      </c>
      <c r="I140" s="1">
        <v>2130.5</v>
      </c>
      <c r="J140">
        <v>2130.5</v>
      </c>
      <c r="K140" t="s">
        <v>20</v>
      </c>
      <c r="L140">
        <v>0</v>
      </c>
      <c r="M140">
        <v>0</v>
      </c>
    </row>
    <row r="141" spans="1:13">
      <c r="A141" t="s">
        <v>169</v>
      </c>
      <c r="B141" t="s">
        <v>170</v>
      </c>
      <c r="C141" t="s">
        <v>16</v>
      </c>
      <c r="D141" t="s">
        <v>21</v>
      </c>
      <c r="E141" t="s">
        <v>171</v>
      </c>
      <c r="F141" t="s">
        <v>171</v>
      </c>
      <c r="G141" s="2">
        <v>45707</v>
      </c>
      <c r="H141" s="2">
        <v>45737</v>
      </c>
      <c r="I141">
        <v>40</v>
      </c>
      <c r="J141">
        <v>40</v>
      </c>
      <c r="K141" t="s">
        <v>20</v>
      </c>
      <c r="L141">
        <v>12</v>
      </c>
      <c r="M141">
        <v>40</v>
      </c>
    </row>
    <row r="142" spans="1:13">
      <c r="A142" t="s">
        <v>172</v>
      </c>
      <c r="B142" t="s">
        <v>173</v>
      </c>
      <c r="C142" t="s">
        <v>16</v>
      </c>
      <c r="D142" t="s">
        <v>17</v>
      </c>
      <c r="E142" t="s">
        <v>174</v>
      </c>
      <c r="F142" t="s">
        <v>19</v>
      </c>
      <c r="H142" s="2">
        <v>45322</v>
      </c>
      <c r="I142" s="1">
        <v>-4056.13</v>
      </c>
      <c r="J142">
        <v>-4056.13</v>
      </c>
      <c r="K142" t="s">
        <v>20</v>
      </c>
      <c r="L142">
        <v>0</v>
      </c>
      <c r="M142">
        <v>-4056.13</v>
      </c>
    </row>
    <row r="143" spans="1:13">
      <c r="A143" t="s">
        <v>172</v>
      </c>
      <c r="B143" t="s">
        <v>173</v>
      </c>
      <c r="C143" t="s">
        <v>16</v>
      </c>
      <c r="D143" t="s">
        <v>17</v>
      </c>
      <c r="E143" t="s">
        <v>175</v>
      </c>
      <c r="F143" t="s">
        <v>19</v>
      </c>
      <c r="H143" s="2">
        <v>45489</v>
      </c>
      <c r="I143">
        <v>-240.46</v>
      </c>
      <c r="J143">
        <v>-240.46</v>
      </c>
      <c r="K143" t="s">
        <v>20</v>
      </c>
      <c r="L143">
        <v>0</v>
      </c>
      <c r="M143">
        <v>-240.46</v>
      </c>
    </row>
    <row r="144" spans="1:13">
      <c r="A144" t="s">
        <v>172</v>
      </c>
      <c r="B144" t="s">
        <v>173</v>
      </c>
      <c r="C144" t="s">
        <v>16</v>
      </c>
      <c r="D144" t="s">
        <v>21</v>
      </c>
      <c r="E144" t="s">
        <v>176</v>
      </c>
      <c r="F144" t="s">
        <v>176</v>
      </c>
      <c r="G144" s="2">
        <v>45548</v>
      </c>
      <c r="H144" s="2">
        <v>45578</v>
      </c>
      <c r="I144" s="1">
        <v>21051.9</v>
      </c>
      <c r="J144">
        <v>24.81</v>
      </c>
      <c r="K144" t="s">
        <v>20</v>
      </c>
      <c r="L144">
        <v>0</v>
      </c>
      <c r="M144">
        <v>24.81</v>
      </c>
    </row>
    <row r="145" spans="1:13">
      <c r="A145" t="s">
        <v>172</v>
      </c>
      <c r="B145" t="s">
        <v>173</v>
      </c>
      <c r="C145" t="s">
        <v>16</v>
      </c>
      <c r="D145" t="s">
        <v>17</v>
      </c>
      <c r="E145" t="s">
        <v>177</v>
      </c>
      <c r="F145" t="s">
        <v>176</v>
      </c>
      <c r="H145" s="2">
        <v>45667</v>
      </c>
      <c r="I145">
        <v>-59.47</v>
      </c>
      <c r="J145" t="s">
        <v>86</v>
      </c>
      <c r="K145" t="s">
        <v>20</v>
      </c>
      <c r="L145">
        <v>0</v>
      </c>
      <c r="M145" t="s">
        <v>86</v>
      </c>
    </row>
    <row r="146" spans="1:13">
      <c r="A146" t="s">
        <v>172</v>
      </c>
      <c r="B146" t="s">
        <v>173</v>
      </c>
      <c r="C146" t="s">
        <v>16</v>
      </c>
      <c r="D146" t="s">
        <v>55</v>
      </c>
      <c r="E146" t="s">
        <v>176</v>
      </c>
      <c r="F146" t="s">
        <v>176</v>
      </c>
      <c r="H146" s="2">
        <v>45575</v>
      </c>
      <c r="I146" s="1">
        <v>-20967.62</v>
      </c>
      <c r="J146" t="s">
        <v>86</v>
      </c>
      <c r="K146" t="s">
        <v>20</v>
      </c>
      <c r="L146">
        <v>0</v>
      </c>
      <c r="M146" t="s">
        <v>86</v>
      </c>
    </row>
    <row r="147" spans="1:13">
      <c r="A147" t="s">
        <v>172</v>
      </c>
      <c r="B147" t="s">
        <v>173</v>
      </c>
      <c r="C147" t="s">
        <v>16</v>
      </c>
      <c r="D147" t="s">
        <v>21</v>
      </c>
      <c r="E147" t="s">
        <v>178</v>
      </c>
      <c r="F147" t="s">
        <v>178</v>
      </c>
      <c r="G147" s="2">
        <v>45614</v>
      </c>
      <c r="H147" s="2">
        <v>45644</v>
      </c>
      <c r="I147" s="1">
        <v>24046.400000000001</v>
      </c>
      <c r="J147">
        <v>79.78</v>
      </c>
      <c r="K147" t="s">
        <v>20</v>
      </c>
      <c r="L147">
        <v>0</v>
      </c>
      <c r="M147">
        <v>79.78</v>
      </c>
    </row>
    <row r="148" spans="1:13">
      <c r="A148" t="s">
        <v>172</v>
      </c>
      <c r="B148" t="s">
        <v>173</v>
      </c>
      <c r="C148" t="s">
        <v>16</v>
      </c>
      <c r="D148" t="s">
        <v>17</v>
      </c>
      <c r="E148" t="s">
        <v>179</v>
      </c>
      <c r="F148" t="s">
        <v>178</v>
      </c>
      <c r="H148" s="2">
        <v>45667</v>
      </c>
      <c r="I148">
        <v>-67.94</v>
      </c>
      <c r="J148" t="s">
        <v>86</v>
      </c>
      <c r="K148" t="s">
        <v>20</v>
      </c>
      <c r="L148">
        <v>0</v>
      </c>
      <c r="M148" t="s">
        <v>86</v>
      </c>
    </row>
    <row r="149" spans="1:13">
      <c r="A149" t="s">
        <v>172</v>
      </c>
      <c r="B149" t="s">
        <v>173</v>
      </c>
      <c r="C149" t="s">
        <v>16</v>
      </c>
      <c r="D149" t="s">
        <v>55</v>
      </c>
      <c r="E149" t="s">
        <v>178</v>
      </c>
      <c r="F149" t="s">
        <v>178</v>
      </c>
      <c r="H149" s="2">
        <v>45643</v>
      </c>
      <c r="I149" s="1">
        <v>-23898.68</v>
      </c>
      <c r="J149" t="s">
        <v>86</v>
      </c>
      <c r="K149" t="s">
        <v>20</v>
      </c>
      <c r="L149">
        <v>0</v>
      </c>
      <c r="M149" t="s">
        <v>86</v>
      </c>
    </row>
    <row r="150" spans="1:13">
      <c r="A150" t="s">
        <v>172</v>
      </c>
      <c r="B150" t="s">
        <v>173</v>
      </c>
      <c r="C150" t="s">
        <v>16</v>
      </c>
      <c r="D150" t="s">
        <v>21</v>
      </c>
      <c r="E150" t="s">
        <v>180</v>
      </c>
      <c r="F150" t="s">
        <v>180</v>
      </c>
      <c r="G150" s="2">
        <v>45670</v>
      </c>
      <c r="H150" s="2">
        <v>45700</v>
      </c>
      <c r="I150" s="1">
        <v>36078.639999999999</v>
      </c>
      <c r="J150">
        <v>144.26</v>
      </c>
      <c r="K150" t="s">
        <v>20</v>
      </c>
      <c r="L150">
        <v>0</v>
      </c>
      <c r="M150">
        <v>144.26</v>
      </c>
    </row>
    <row r="151" spans="1:13">
      <c r="A151" t="s">
        <v>172</v>
      </c>
      <c r="B151" t="s">
        <v>173</v>
      </c>
      <c r="C151" t="s">
        <v>16</v>
      </c>
      <c r="D151" t="s">
        <v>55</v>
      </c>
      <c r="E151" t="s">
        <v>180</v>
      </c>
      <c r="F151" t="s">
        <v>180</v>
      </c>
      <c r="H151" s="2">
        <v>45699</v>
      </c>
      <c r="I151" s="1">
        <v>-35934.379999999997</v>
      </c>
      <c r="J151" t="s">
        <v>86</v>
      </c>
      <c r="K151" t="s">
        <v>20</v>
      </c>
      <c r="L151">
        <v>0</v>
      </c>
      <c r="M151" t="s">
        <v>86</v>
      </c>
    </row>
    <row r="152" spans="1:13">
      <c r="A152" t="s">
        <v>181</v>
      </c>
      <c r="B152" t="s">
        <v>182</v>
      </c>
      <c r="C152" t="s">
        <v>16</v>
      </c>
      <c r="D152" t="s">
        <v>55</v>
      </c>
      <c r="E152" t="s">
        <v>19</v>
      </c>
      <c r="F152" t="s">
        <v>19</v>
      </c>
      <c r="H152" s="2">
        <v>45554</v>
      </c>
      <c r="I152" s="1">
        <v>-3834.29</v>
      </c>
      <c r="J152">
        <v>-3834.29</v>
      </c>
      <c r="K152" t="s">
        <v>20</v>
      </c>
      <c r="L152">
        <v>0</v>
      </c>
      <c r="M152">
        <v>-3834.29</v>
      </c>
    </row>
    <row r="153" spans="1:13">
      <c r="A153" t="s">
        <v>181</v>
      </c>
      <c r="B153" t="s">
        <v>182</v>
      </c>
      <c r="C153" t="s">
        <v>16</v>
      </c>
      <c r="D153" t="s">
        <v>21</v>
      </c>
      <c r="E153" t="s">
        <v>183</v>
      </c>
      <c r="F153" t="s">
        <v>183</v>
      </c>
      <c r="G153" s="2">
        <v>45607</v>
      </c>
      <c r="H153" s="2">
        <v>45637</v>
      </c>
      <c r="I153" s="1">
        <v>1640.76</v>
      </c>
      <c r="J153">
        <v>1640.76</v>
      </c>
      <c r="K153" t="s">
        <v>20</v>
      </c>
      <c r="L153">
        <v>0</v>
      </c>
      <c r="M153">
        <v>1640.76</v>
      </c>
    </row>
    <row r="154" spans="1:13">
      <c r="A154" t="s">
        <v>181</v>
      </c>
      <c r="B154" t="s">
        <v>182</v>
      </c>
      <c r="C154" t="s">
        <v>16</v>
      </c>
      <c r="D154" t="s">
        <v>21</v>
      </c>
      <c r="E154" t="s">
        <v>184</v>
      </c>
      <c r="F154" t="s">
        <v>184</v>
      </c>
      <c r="G154" s="2">
        <v>45713</v>
      </c>
      <c r="H154" s="2">
        <v>45743</v>
      </c>
      <c r="I154">
        <v>372.9</v>
      </c>
      <c r="J154">
        <v>372.9</v>
      </c>
      <c r="K154" t="s">
        <v>20</v>
      </c>
      <c r="L154">
        <v>13</v>
      </c>
      <c r="M154">
        <v>372.9</v>
      </c>
    </row>
    <row r="155" spans="1:13">
      <c r="A155" t="s">
        <v>185</v>
      </c>
      <c r="B155" t="s">
        <v>186</v>
      </c>
      <c r="C155" t="s">
        <v>16</v>
      </c>
      <c r="D155" t="s">
        <v>21</v>
      </c>
      <c r="E155" t="s">
        <v>187</v>
      </c>
      <c r="F155" t="s">
        <v>187</v>
      </c>
      <c r="G155" s="2">
        <v>45705</v>
      </c>
      <c r="H155" s="2">
        <v>45735</v>
      </c>
      <c r="I155">
        <v>339</v>
      </c>
      <c r="J155">
        <v>339</v>
      </c>
      <c r="K155" t="s">
        <v>20</v>
      </c>
      <c r="L155">
        <v>12</v>
      </c>
      <c r="M155">
        <v>339</v>
      </c>
    </row>
    <row r="156" spans="1:13">
      <c r="A156" t="s">
        <v>185</v>
      </c>
      <c r="B156" t="s">
        <v>186</v>
      </c>
      <c r="C156" t="s">
        <v>16</v>
      </c>
      <c r="D156" t="s">
        <v>21</v>
      </c>
      <c r="E156" t="s">
        <v>188</v>
      </c>
      <c r="F156" t="s">
        <v>188</v>
      </c>
      <c r="G156" s="2">
        <v>45708</v>
      </c>
      <c r="H156" s="2">
        <v>45738</v>
      </c>
      <c r="I156" s="1">
        <v>2260</v>
      </c>
      <c r="J156">
        <v>2260</v>
      </c>
      <c r="K156" t="s">
        <v>20</v>
      </c>
      <c r="L156">
        <v>12</v>
      </c>
      <c r="M156">
        <v>2260</v>
      </c>
    </row>
    <row r="157" spans="1:13">
      <c r="A157" t="s">
        <v>185</v>
      </c>
      <c r="B157" t="s">
        <v>186</v>
      </c>
      <c r="C157" t="s">
        <v>16</v>
      </c>
      <c r="D157" t="s">
        <v>21</v>
      </c>
      <c r="E157" t="s">
        <v>189</v>
      </c>
      <c r="F157" t="s">
        <v>189</v>
      </c>
      <c r="G157" s="2">
        <v>45708</v>
      </c>
      <c r="H157" s="2">
        <v>45738</v>
      </c>
      <c r="I157">
        <v>590.99</v>
      </c>
      <c r="J157">
        <v>590.99</v>
      </c>
      <c r="K157" t="s">
        <v>20</v>
      </c>
      <c r="L157">
        <v>12</v>
      </c>
      <c r="M157">
        <v>590.99</v>
      </c>
    </row>
    <row r="158" spans="1:13">
      <c r="A158" t="s">
        <v>185</v>
      </c>
      <c r="B158" t="s">
        <v>186</v>
      </c>
      <c r="C158" t="s">
        <v>16</v>
      </c>
      <c r="D158" t="s">
        <v>21</v>
      </c>
      <c r="E158" t="s">
        <v>190</v>
      </c>
      <c r="F158" t="s">
        <v>190</v>
      </c>
      <c r="G158" s="2">
        <v>45708</v>
      </c>
      <c r="H158" s="2">
        <v>45738</v>
      </c>
      <c r="I158">
        <v>415.28</v>
      </c>
      <c r="J158">
        <v>415.28</v>
      </c>
      <c r="K158" t="s">
        <v>20</v>
      </c>
      <c r="L158">
        <v>12</v>
      </c>
      <c r="M158">
        <v>415.28</v>
      </c>
    </row>
    <row r="159" spans="1:13">
      <c r="A159" t="s">
        <v>185</v>
      </c>
      <c r="B159" t="s">
        <v>186</v>
      </c>
      <c r="C159" t="s">
        <v>16</v>
      </c>
      <c r="D159" t="s">
        <v>21</v>
      </c>
      <c r="E159" t="s">
        <v>191</v>
      </c>
      <c r="F159" t="s">
        <v>191</v>
      </c>
      <c r="G159" s="2">
        <v>45708</v>
      </c>
      <c r="H159" s="2">
        <v>45738</v>
      </c>
      <c r="I159" s="1">
        <v>1243</v>
      </c>
      <c r="J159">
        <v>1243</v>
      </c>
      <c r="K159" t="s">
        <v>20</v>
      </c>
      <c r="L159">
        <v>12</v>
      </c>
      <c r="M159">
        <v>1243</v>
      </c>
    </row>
    <row r="160" spans="1:13">
      <c r="A160" t="s">
        <v>185</v>
      </c>
      <c r="B160" t="s">
        <v>186</v>
      </c>
      <c r="C160" t="s">
        <v>16</v>
      </c>
      <c r="D160" t="s">
        <v>21</v>
      </c>
      <c r="E160" t="s">
        <v>192</v>
      </c>
      <c r="F160" t="s">
        <v>192</v>
      </c>
      <c r="G160" s="2">
        <v>45716</v>
      </c>
      <c r="H160" s="2">
        <v>45746</v>
      </c>
      <c r="I160">
        <v>302.83999999999997</v>
      </c>
      <c r="J160">
        <v>302.83999999999997</v>
      </c>
      <c r="K160" t="s">
        <v>20</v>
      </c>
      <c r="L160">
        <v>13</v>
      </c>
      <c r="M160">
        <v>302.83999999999997</v>
      </c>
    </row>
    <row r="161" spans="1:13">
      <c r="A161" t="s">
        <v>185</v>
      </c>
      <c r="B161" t="s">
        <v>186</v>
      </c>
      <c r="C161" t="s">
        <v>16</v>
      </c>
      <c r="D161" t="s">
        <v>21</v>
      </c>
      <c r="E161" t="s">
        <v>193</v>
      </c>
      <c r="F161" t="s">
        <v>193</v>
      </c>
      <c r="G161" s="2">
        <v>45729</v>
      </c>
      <c r="H161" s="2">
        <v>45759</v>
      </c>
      <c r="I161">
        <v>135.6</v>
      </c>
      <c r="J161">
        <v>135.6</v>
      </c>
      <c r="K161" t="s">
        <v>20</v>
      </c>
      <c r="L161">
        <v>0</v>
      </c>
      <c r="M161">
        <v>0</v>
      </c>
    </row>
    <row r="162" spans="1:13">
      <c r="A162" t="s">
        <v>194</v>
      </c>
      <c r="B162" t="s">
        <v>195</v>
      </c>
      <c r="C162" t="s">
        <v>16</v>
      </c>
      <c r="D162" t="s">
        <v>21</v>
      </c>
      <c r="E162" t="s">
        <v>196</v>
      </c>
      <c r="F162" t="s">
        <v>196</v>
      </c>
      <c r="G162" s="2">
        <v>45560</v>
      </c>
      <c r="H162" s="2">
        <v>45590</v>
      </c>
      <c r="I162">
        <v>336.74</v>
      </c>
      <c r="J162">
        <v>336.74</v>
      </c>
      <c r="K162" t="s">
        <v>20</v>
      </c>
      <c r="L162">
        <v>0</v>
      </c>
      <c r="M162">
        <v>336.74</v>
      </c>
    </row>
    <row r="163" spans="1:13">
      <c r="A163" t="s">
        <v>194</v>
      </c>
      <c r="B163" t="s">
        <v>195</v>
      </c>
      <c r="C163" t="s">
        <v>16</v>
      </c>
      <c r="D163" t="s">
        <v>21</v>
      </c>
      <c r="E163" t="s">
        <v>197</v>
      </c>
      <c r="F163" t="s">
        <v>197</v>
      </c>
      <c r="G163" s="2">
        <v>45623</v>
      </c>
      <c r="H163" s="2">
        <v>45653</v>
      </c>
      <c r="I163">
        <v>91.53</v>
      </c>
      <c r="J163">
        <v>91.53</v>
      </c>
      <c r="K163" t="s">
        <v>20</v>
      </c>
      <c r="L163">
        <v>0</v>
      </c>
      <c r="M163">
        <v>91.53</v>
      </c>
    </row>
    <row r="164" spans="1:13">
      <c r="A164" t="s">
        <v>194</v>
      </c>
      <c r="B164" t="s">
        <v>195</v>
      </c>
      <c r="C164" t="s">
        <v>16</v>
      </c>
      <c r="D164" t="s">
        <v>21</v>
      </c>
      <c r="E164" t="s">
        <v>198</v>
      </c>
      <c r="F164" t="s">
        <v>198</v>
      </c>
      <c r="G164" s="2">
        <v>45635</v>
      </c>
      <c r="H164" s="2">
        <v>45665</v>
      </c>
      <c r="I164">
        <v>122.04</v>
      </c>
      <c r="J164">
        <v>122.04</v>
      </c>
      <c r="K164" t="s">
        <v>20</v>
      </c>
      <c r="L164">
        <v>0</v>
      </c>
      <c r="M164">
        <v>122.04</v>
      </c>
    </row>
    <row r="165" spans="1:13">
      <c r="A165" t="s">
        <v>194</v>
      </c>
      <c r="B165" t="s">
        <v>195</v>
      </c>
      <c r="C165" t="s">
        <v>16</v>
      </c>
      <c r="D165" t="s">
        <v>21</v>
      </c>
      <c r="E165" t="s">
        <v>199</v>
      </c>
      <c r="F165" t="s">
        <v>199</v>
      </c>
      <c r="G165" s="2">
        <v>45716</v>
      </c>
      <c r="H165" s="2">
        <v>45746</v>
      </c>
      <c r="I165" s="1">
        <v>2858.9</v>
      </c>
      <c r="J165">
        <v>2858.9</v>
      </c>
      <c r="K165" t="s">
        <v>20</v>
      </c>
      <c r="L165">
        <v>13</v>
      </c>
      <c r="M165">
        <v>2858.9</v>
      </c>
    </row>
    <row r="166" spans="1:13">
      <c r="A166" t="s">
        <v>194</v>
      </c>
      <c r="B166" t="s">
        <v>195</v>
      </c>
      <c r="C166" t="s">
        <v>16</v>
      </c>
      <c r="D166" t="s">
        <v>21</v>
      </c>
      <c r="E166" t="s">
        <v>200</v>
      </c>
      <c r="F166" t="s">
        <v>200</v>
      </c>
      <c r="G166" s="2">
        <v>45716</v>
      </c>
      <c r="H166" s="2">
        <v>45746</v>
      </c>
      <c r="I166">
        <v>631.36</v>
      </c>
      <c r="J166">
        <v>631.36</v>
      </c>
      <c r="K166" t="s">
        <v>20</v>
      </c>
      <c r="L166">
        <v>13</v>
      </c>
      <c r="M166">
        <v>631.36</v>
      </c>
    </row>
    <row r="167" spans="1:13">
      <c r="A167" t="s">
        <v>194</v>
      </c>
      <c r="B167" t="s">
        <v>195</v>
      </c>
      <c r="C167" t="s">
        <v>16</v>
      </c>
      <c r="D167" t="s">
        <v>21</v>
      </c>
      <c r="E167" t="s">
        <v>201</v>
      </c>
      <c r="F167" t="s">
        <v>201</v>
      </c>
      <c r="G167" s="2">
        <v>45741</v>
      </c>
      <c r="H167" s="2">
        <v>45771</v>
      </c>
      <c r="I167" s="1">
        <v>1063.0999999999999</v>
      </c>
      <c r="J167">
        <v>1063.0999999999999</v>
      </c>
      <c r="K167" t="s">
        <v>20</v>
      </c>
      <c r="L167">
        <v>0</v>
      </c>
      <c r="M167">
        <v>0</v>
      </c>
    </row>
    <row r="168" spans="1:13">
      <c r="A168" t="s">
        <v>194</v>
      </c>
      <c r="B168" t="s">
        <v>195</v>
      </c>
      <c r="C168" t="s">
        <v>16</v>
      </c>
      <c r="D168" t="s">
        <v>21</v>
      </c>
      <c r="E168" t="s">
        <v>202</v>
      </c>
      <c r="F168" t="s">
        <v>202</v>
      </c>
      <c r="G168" s="2">
        <v>45741</v>
      </c>
      <c r="H168" s="2">
        <v>45771</v>
      </c>
      <c r="I168" s="1">
        <v>2712</v>
      </c>
      <c r="J168">
        <v>2712</v>
      </c>
      <c r="K168" t="s">
        <v>20</v>
      </c>
      <c r="L168">
        <v>0</v>
      </c>
      <c r="M168">
        <v>0</v>
      </c>
    </row>
    <row r="169" spans="1:13">
      <c r="A169" t="s">
        <v>203</v>
      </c>
      <c r="B169" t="s">
        <v>204</v>
      </c>
      <c r="C169" t="s">
        <v>16</v>
      </c>
      <c r="D169" t="s">
        <v>21</v>
      </c>
      <c r="E169" t="s">
        <v>205</v>
      </c>
      <c r="F169" t="s">
        <v>205</v>
      </c>
      <c r="G169" s="2">
        <v>45677</v>
      </c>
      <c r="H169" s="2">
        <v>45707</v>
      </c>
      <c r="I169" s="1">
        <v>68114.59</v>
      </c>
      <c r="J169">
        <v>68114.59</v>
      </c>
      <c r="K169" t="s">
        <v>20</v>
      </c>
      <c r="L169">
        <v>0</v>
      </c>
      <c r="M169">
        <v>68114.59</v>
      </c>
    </row>
    <row r="170" spans="1:13">
      <c r="A170" t="s">
        <v>203</v>
      </c>
      <c r="B170" t="s">
        <v>204</v>
      </c>
      <c r="C170" t="s">
        <v>16</v>
      </c>
      <c r="D170" t="s">
        <v>21</v>
      </c>
      <c r="E170" t="s">
        <v>206</v>
      </c>
      <c r="F170" t="s">
        <v>206</v>
      </c>
      <c r="G170" s="2">
        <v>45727</v>
      </c>
      <c r="H170" s="2">
        <v>45757</v>
      </c>
      <c r="I170" s="1">
        <v>69562.8</v>
      </c>
      <c r="J170">
        <v>69562.8</v>
      </c>
      <c r="K170" t="s">
        <v>20</v>
      </c>
      <c r="L170">
        <v>0</v>
      </c>
      <c r="M170">
        <v>0</v>
      </c>
    </row>
    <row r="171" spans="1:13">
      <c r="A171" t="s">
        <v>207</v>
      </c>
      <c r="B171" t="s">
        <v>208</v>
      </c>
      <c r="C171" t="s">
        <v>16</v>
      </c>
      <c r="D171" t="s">
        <v>21</v>
      </c>
      <c r="E171" t="s">
        <v>209</v>
      </c>
      <c r="F171" t="s">
        <v>209</v>
      </c>
      <c r="G171" s="2">
        <v>45716</v>
      </c>
      <c r="H171" s="2">
        <v>45746</v>
      </c>
      <c r="I171">
        <v>235.04</v>
      </c>
      <c r="J171">
        <v>235.04</v>
      </c>
      <c r="K171" t="s">
        <v>20</v>
      </c>
      <c r="L171">
        <v>13</v>
      </c>
      <c r="M171">
        <v>235.04</v>
      </c>
    </row>
    <row r="172" spans="1:13">
      <c r="A172" t="s">
        <v>207</v>
      </c>
      <c r="B172" t="s">
        <v>208</v>
      </c>
      <c r="C172" t="s">
        <v>16</v>
      </c>
      <c r="D172" t="s">
        <v>21</v>
      </c>
      <c r="E172" t="s">
        <v>210</v>
      </c>
      <c r="F172" t="s">
        <v>210</v>
      </c>
      <c r="G172" s="2">
        <v>45733</v>
      </c>
      <c r="H172" s="2">
        <v>45763</v>
      </c>
      <c r="I172">
        <v>317.52999999999997</v>
      </c>
      <c r="J172">
        <v>317.52999999999997</v>
      </c>
      <c r="K172" t="s">
        <v>20</v>
      </c>
      <c r="L172">
        <v>0</v>
      </c>
      <c r="M172">
        <v>0</v>
      </c>
    </row>
    <row r="173" spans="1:13">
      <c r="A173" t="s">
        <v>211</v>
      </c>
      <c r="B173" t="s">
        <v>212</v>
      </c>
      <c r="C173" t="s">
        <v>213</v>
      </c>
      <c r="D173" t="s">
        <v>17</v>
      </c>
      <c r="E173" t="s">
        <v>214</v>
      </c>
      <c r="F173" t="s">
        <v>19</v>
      </c>
      <c r="H173" s="2">
        <v>45428</v>
      </c>
      <c r="I173" s="1">
        <v>-12463.9</v>
      </c>
      <c r="J173">
        <v>-12463.9</v>
      </c>
      <c r="K173" t="s">
        <v>20</v>
      </c>
      <c r="L173">
        <v>0</v>
      </c>
      <c r="M173">
        <v>-12463.9</v>
      </c>
    </row>
    <row r="174" spans="1:13">
      <c r="A174" t="s">
        <v>215</v>
      </c>
      <c r="B174" t="s">
        <v>216</v>
      </c>
      <c r="C174" t="s">
        <v>16</v>
      </c>
      <c r="D174" t="s">
        <v>21</v>
      </c>
      <c r="E174" t="s">
        <v>217</v>
      </c>
      <c r="F174" t="s">
        <v>217</v>
      </c>
      <c r="G174" s="2">
        <v>45714</v>
      </c>
      <c r="H174" s="2">
        <v>45744</v>
      </c>
      <c r="I174" s="1">
        <v>2305.1999999999998</v>
      </c>
      <c r="J174">
        <v>2305.1999999999998</v>
      </c>
      <c r="K174" t="s">
        <v>20</v>
      </c>
      <c r="L174">
        <v>13</v>
      </c>
      <c r="M174">
        <v>2305.1999999999998</v>
      </c>
    </row>
    <row r="175" spans="1:13">
      <c r="A175" t="s">
        <v>215</v>
      </c>
      <c r="B175" t="s">
        <v>216</v>
      </c>
      <c r="C175" t="s">
        <v>16</v>
      </c>
      <c r="D175" t="s">
        <v>21</v>
      </c>
      <c r="E175" t="s">
        <v>218</v>
      </c>
      <c r="F175" t="s">
        <v>218</v>
      </c>
      <c r="G175" s="2">
        <v>45716</v>
      </c>
      <c r="H175" s="2">
        <v>45746</v>
      </c>
      <c r="I175" s="1">
        <v>1785.4</v>
      </c>
      <c r="J175">
        <v>1785.4</v>
      </c>
      <c r="K175" t="s">
        <v>20</v>
      </c>
      <c r="L175">
        <v>13</v>
      </c>
      <c r="M175">
        <v>1785.4</v>
      </c>
    </row>
    <row r="176" spans="1:13">
      <c r="A176" t="s">
        <v>215</v>
      </c>
      <c r="B176" t="s">
        <v>216</v>
      </c>
      <c r="C176" t="s">
        <v>16</v>
      </c>
      <c r="D176" t="s">
        <v>21</v>
      </c>
      <c r="E176" t="s">
        <v>219</v>
      </c>
      <c r="F176" t="s">
        <v>219</v>
      </c>
      <c r="G176" s="2">
        <v>45722</v>
      </c>
      <c r="H176" s="2">
        <v>45752</v>
      </c>
      <c r="I176" s="1">
        <v>3842</v>
      </c>
      <c r="J176">
        <v>3842</v>
      </c>
      <c r="K176" t="s">
        <v>20</v>
      </c>
      <c r="L176">
        <v>0</v>
      </c>
      <c r="M176">
        <v>0</v>
      </c>
    </row>
    <row r="177" spans="1:13">
      <c r="A177" t="s">
        <v>215</v>
      </c>
      <c r="B177" t="s">
        <v>216</v>
      </c>
      <c r="C177" t="s">
        <v>16</v>
      </c>
      <c r="D177" t="s">
        <v>21</v>
      </c>
      <c r="E177" t="s">
        <v>220</v>
      </c>
      <c r="F177" t="s">
        <v>220</v>
      </c>
      <c r="G177" s="2">
        <v>45735</v>
      </c>
      <c r="H177" s="2">
        <v>45765</v>
      </c>
      <c r="I177" s="1">
        <v>4618.54</v>
      </c>
      <c r="J177">
        <v>4618.54</v>
      </c>
      <c r="K177" t="s">
        <v>20</v>
      </c>
      <c r="L177">
        <v>0</v>
      </c>
      <c r="M177">
        <v>0</v>
      </c>
    </row>
    <row r="178" spans="1:13">
      <c r="A178" t="s">
        <v>221</v>
      </c>
      <c r="B178" t="s">
        <v>222</v>
      </c>
      <c r="C178" t="s">
        <v>16</v>
      </c>
      <c r="D178" t="s">
        <v>21</v>
      </c>
      <c r="E178" t="s">
        <v>223</v>
      </c>
      <c r="F178" t="s">
        <v>223</v>
      </c>
      <c r="G178" s="2">
        <v>45649</v>
      </c>
      <c r="H178" s="2">
        <v>45679</v>
      </c>
      <c r="I178" s="1">
        <v>105786.47</v>
      </c>
      <c r="J178">
        <v>1454.69</v>
      </c>
      <c r="K178" t="s">
        <v>20</v>
      </c>
      <c r="L178">
        <v>0</v>
      </c>
      <c r="M178">
        <v>1454.69</v>
      </c>
    </row>
    <row r="179" spans="1:13">
      <c r="A179" t="s">
        <v>221</v>
      </c>
      <c r="B179" t="s">
        <v>222</v>
      </c>
      <c r="C179" t="s">
        <v>16</v>
      </c>
      <c r="D179" t="s">
        <v>17</v>
      </c>
      <c r="E179" t="s">
        <v>224</v>
      </c>
      <c r="F179" t="s">
        <v>223</v>
      </c>
      <c r="H179" s="2">
        <v>45693</v>
      </c>
      <c r="I179">
        <v>-251.61</v>
      </c>
      <c r="J179" t="s">
        <v>86</v>
      </c>
      <c r="K179" t="s">
        <v>20</v>
      </c>
      <c r="L179">
        <v>0</v>
      </c>
      <c r="M179" t="s">
        <v>86</v>
      </c>
    </row>
    <row r="180" spans="1:13">
      <c r="A180" t="s">
        <v>221</v>
      </c>
      <c r="B180" t="s">
        <v>222</v>
      </c>
      <c r="C180" t="s">
        <v>16</v>
      </c>
      <c r="D180" t="s">
        <v>55</v>
      </c>
      <c r="E180" t="s">
        <v>223</v>
      </c>
      <c r="F180" t="s">
        <v>223</v>
      </c>
      <c r="H180" s="2">
        <v>45695</v>
      </c>
      <c r="I180" s="1">
        <v>-104080.17</v>
      </c>
      <c r="J180" t="s">
        <v>86</v>
      </c>
      <c r="K180" t="s">
        <v>20</v>
      </c>
      <c r="L180">
        <v>0</v>
      </c>
      <c r="M180" t="s">
        <v>86</v>
      </c>
    </row>
    <row r="181" spans="1:13">
      <c r="A181" t="s">
        <v>221</v>
      </c>
      <c r="B181" t="s">
        <v>222</v>
      </c>
      <c r="C181" t="s">
        <v>16</v>
      </c>
      <c r="D181" t="s">
        <v>21</v>
      </c>
      <c r="E181" t="s">
        <v>225</v>
      </c>
      <c r="F181" t="s">
        <v>225</v>
      </c>
      <c r="G181" s="2">
        <v>45664</v>
      </c>
      <c r="H181" s="2">
        <v>45694</v>
      </c>
      <c r="I181" s="1">
        <v>4166.3999999999996</v>
      </c>
      <c r="J181">
        <v>4166.3999999999996</v>
      </c>
      <c r="K181" t="s">
        <v>20</v>
      </c>
      <c r="L181">
        <v>0</v>
      </c>
      <c r="M181">
        <v>4166.3999999999996</v>
      </c>
    </row>
    <row r="182" spans="1:13">
      <c r="A182" t="s">
        <v>221</v>
      </c>
      <c r="B182" t="s">
        <v>222</v>
      </c>
      <c r="C182" t="s">
        <v>16</v>
      </c>
      <c r="D182" t="s">
        <v>21</v>
      </c>
      <c r="E182" t="s">
        <v>226</v>
      </c>
      <c r="F182" t="s">
        <v>226</v>
      </c>
      <c r="G182" s="2">
        <v>45688</v>
      </c>
      <c r="H182" s="2">
        <v>45718</v>
      </c>
      <c r="I182" s="1">
        <v>1334.44</v>
      </c>
      <c r="J182">
        <v>1334.44</v>
      </c>
      <c r="K182" t="s">
        <v>20</v>
      </c>
      <c r="L182">
        <v>10</v>
      </c>
      <c r="M182">
        <v>1334.44</v>
      </c>
    </row>
    <row r="183" spans="1:13">
      <c r="A183" t="s">
        <v>227</v>
      </c>
      <c r="B183" t="s">
        <v>228</v>
      </c>
      <c r="C183" t="s">
        <v>16</v>
      </c>
      <c r="D183" t="s">
        <v>21</v>
      </c>
      <c r="E183" t="s">
        <v>229</v>
      </c>
      <c r="F183" t="s">
        <v>229</v>
      </c>
      <c r="G183" s="2">
        <v>45197</v>
      </c>
      <c r="H183" s="2">
        <v>45227</v>
      </c>
      <c r="I183">
        <v>492.75</v>
      </c>
      <c r="J183">
        <v>492.75</v>
      </c>
      <c r="K183" t="s">
        <v>20</v>
      </c>
      <c r="L183">
        <v>0</v>
      </c>
      <c r="M183">
        <v>492.75</v>
      </c>
    </row>
    <row r="184" spans="1:13">
      <c r="A184" t="s">
        <v>227</v>
      </c>
      <c r="B184" t="s">
        <v>228</v>
      </c>
      <c r="C184" t="s">
        <v>16</v>
      </c>
      <c r="D184" t="s">
        <v>21</v>
      </c>
      <c r="E184" t="s">
        <v>230</v>
      </c>
      <c r="F184" t="s">
        <v>230</v>
      </c>
      <c r="G184" s="2">
        <v>45215</v>
      </c>
      <c r="H184" s="2">
        <v>45245</v>
      </c>
      <c r="I184">
        <v>128.16999999999999</v>
      </c>
      <c r="J184">
        <v>128.16999999999999</v>
      </c>
      <c r="K184" t="s">
        <v>20</v>
      </c>
      <c r="L184">
        <v>0</v>
      </c>
      <c r="M184">
        <v>128.16999999999999</v>
      </c>
    </row>
    <row r="185" spans="1:13">
      <c r="A185" t="s">
        <v>227</v>
      </c>
      <c r="B185" t="s">
        <v>228</v>
      </c>
      <c r="C185" t="s">
        <v>16</v>
      </c>
      <c r="D185" t="s">
        <v>21</v>
      </c>
      <c r="E185" t="s">
        <v>231</v>
      </c>
      <c r="F185" t="s">
        <v>231</v>
      </c>
      <c r="G185" s="2">
        <v>45266</v>
      </c>
      <c r="H185" s="2">
        <v>45296</v>
      </c>
      <c r="I185">
        <v>20.22</v>
      </c>
      <c r="J185">
        <v>20.22</v>
      </c>
      <c r="K185" t="s">
        <v>20</v>
      </c>
      <c r="L185">
        <v>0</v>
      </c>
      <c r="M185">
        <v>20.22</v>
      </c>
    </row>
    <row r="186" spans="1:13">
      <c r="A186" t="s">
        <v>227</v>
      </c>
      <c r="B186" t="s">
        <v>228</v>
      </c>
      <c r="C186" t="s">
        <v>16</v>
      </c>
      <c r="D186" t="s">
        <v>55</v>
      </c>
      <c r="E186" t="s">
        <v>19</v>
      </c>
      <c r="F186" t="s">
        <v>19</v>
      </c>
      <c r="H186" s="2">
        <v>45303</v>
      </c>
      <c r="I186">
        <v>-217.39</v>
      </c>
      <c r="J186">
        <v>-217.39</v>
      </c>
      <c r="K186" t="s">
        <v>20</v>
      </c>
      <c r="L186">
        <v>0</v>
      </c>
      <c r="M186">
        <v>-217.39</v>
      </c>
    </row>
    <row r="187" spans="1:13">
      <c r="A187" t="s">
        <v>227</v>
      </c>
      <c r="B187" t="s">
        <v>228</v>
      </c>
      <c r="C187" t="s">
        <v>16</v>
      </c>
      <c r="D187" t="s">
        <v>21</v>
      </c>
      <c r="E187" t="s">
        <v>232</v>
      </c>
      <c r="F187" t="s">
        <v>232</v>
      </c>
      <c r="G187" s="2">
        <v>45314</v>
      </c>
      <c r="H187" s="2">
        <v>45344</v>
      </c>
      <c r="I187">
        <v>645.78</v>
      </c>
      <c r="J187">
        <v>645.78</v>
      </c>
      <c r="K187" t="s">
        <v>20</v>
      </c>
      <c r="L187">
        <v>0</v>
      </c>
      <c r="M187">
        <v>645.78</v>
      </c>
    </row>
    <row r="188" spans="1:13">
      <c r="A188" t="s">
        <v>227</v>
      </c>
      <c r="B188" t="s">
        <v>228</v>
      </c>
      <c r="C188" t="s">
        <v>16</v>
      </c>
      <c r="D188" t="s">
        <v>55</v>
      </c>
      <c r="E188" t="s">
        <v>19</v>
      </c>
      <c r="F188" t="s">
        <v>19</v>
      </c>
      <c r="H188" s="2">
        <v>45504</v>
      </c>
      <c r="I188">
        <v>492.75</v>
      </c>
      <c r="J188">
        <v>492.75</v>
      </c>
      <c r="K188" t="s">
        <v>20</v>
      </c>
      <c r="L188">
        <v>0</v>
      </c>
      <c r="M188">
        <v>492.75</v>
      </c>
    </row>
    <row r="189" spans="1:13">
      <c r="A189" t="s">
        <v>227</v>
      </c>
      <c r="B189" t="s">
        <v>228</v>
      </c>
      <c r="C189" t="s">
        <v>16</v>
      </c>
      <c r="D189" t="s">
        <v>55</v>
      </c>
      <c r="E189" t="s">
        <v>19</v>
      </c>
      <c r="F189" t="s">
        <v>19</v>
      </c>
      <c r="H189" s="2">
        <v>45504</v>
      </c>
      <c r="I189">
        <v>-492.75</v>
      </c>
      <c r="J189">
        <v>-492.75</v>
      </c>
      <c r="K189" t="s">
        <v>20</v>
      </c>
      <c r="L189">
        <v>0</v>
      </c>
      <c r="M189">
        <v>-492.75</v>
      </c>
    </row>
    <row r="190" spans="1:13">
      <c r="A190" t="s">
        <v>227</v>
      </c>
      <c r="B190" t="s">
        <v>228</v>
      </c>
      <c r="C190" t="s">
        <v>16</v>
      </c>
      <c r="D190" t="s">
        <v>21</v>
      </c>
      <c r="E190" t="s">
        <v>233</v>
      </c>
      <c r="F190" t="s">
        <v>233</v>
      </c>
      <c r="G190" s="2">
        <v>45565</v>
      </c>
      <c r="H190" s="2">
        <v>45595</v>
      </c>
      <c r="I190" s="1">
        <v>22679.59</v>
      </c>
      <c r="J190">
        <v>-10723.33</v>
      </c>
      <c r="K190" t="s">
        <v>20</v>
      </c>
      <c r="L190">
        <v>0</v>
      </c>
      <c r="M190">
        <v>-10723.33</v>
      </c>
    </row>
    <row r="191" spans="1:13">
      <c r="A191" t="s">
        <v>227</v>
      </c>
      <c r="B191" t="s">
        <v>228</v>
      </c>
      <c r="C191" t="s">
        <v>16</v>
      </c>
      <c r="D191" t="s">
        <v>17</v>
      </c>
      <c r="E191" t="s">
        <v>234</v>
      </c>
      <c r="F191" t="s">
        <v>233</v>
      </c>
      <c r="H191" s="2">
        <v>45657</v>
      </c>
      <c r="I191" s="1">
        <v>-10723.33</v>
      </c>
      <c r="J191" t="s">
        <v>86</v>
      </c>
      <c r="K191" t="s">
        <v>20</v>
      </c>
      <c r="L191">
        <v>0</v>
      </c>
      <c r="M191" t="s">
        <v>86</v>
      </c>
    </row>
    <row r="192" spans="1:13">
      <c r="A192" t="s">
        <v>227</v>
      </c>
      <c r="B192" t="s">
        <v>228</v>
      </c>
      <c r="C192" t="s">
        <v>16</v>
      </c>
      <c r="D192" t="s">
        <v>55</v>
      </c>
      <c r="E192" t="s">
        <v>233</v>
      </c>
      <c r="F192" t="s">
        <v>233</v>
      </c>
      <c r="H192" s="2">
        <v>45504</v>
      </c>
      <c r="I192">
        <v>-20.22</v>
      </c>
      <c r="J192" t="s">
        <v>86</v>
      </c>
      <c r="K192" t="s">
        <v>20</v>
      </c>
      <c r="L192">
        <v>0</v>
      </c>
      <c r="M192" t="s">
        <v>86</v>
      </c>
    </row>
    <row r="193" spans="1:13">
      <c r="A193" t="s">
        <v>227</v>
      </c>
      <c r="B193" t="s">
        <v>228</v>
      </c>
      <c r="C193" t="s">
        <v>16</v>
      </c>
      <c r="D193" t="s">
        <v>55</v>
      </c>
      <c r="E193" t="s">
        <v>233</v>
      </c>
      <c r="F193" t="s">
        <v>233</v>
      </c>
      <c r="H193" s="2">
        <v>45504</v>
      </c>
      <c r="I193" s="1">
        <v>-2221.54</v>
      </c>
      <c r="J193" t="s">
        <v>86</v>
      </c>
      <c r="K193" t="s">
        <v>20</v>
      </c>
      <c r="L193">
        <v>0</v>
      </c>
      <c r="M193" t="s">
        <v>86</v>
      </c>
    </row>
    <row r="194" spans="1:13">
      <c r="A194" t="s">
        <v>227</v>
      </c>
      <c r="B194" t="s">
        <v>228</v>
      </c>
      <c r="C194" t="s">
        <v>16</v>
      </c>
      <c r="D194" t="s">
        <v>55</v>
      </c>
      <c r="E194" t="s">
        <v>233</v>
      </c>
      <c r="F194" t="s">
        <v>233</v>
      </c>
      <c r="H194" s="2">
        <v>45594</v>
      </c>
      <c r="I194" s="1">
        <v>-20437.830000000002</v>
      </c>
      <c r="J194" t="s">
        <v>86</v>
      </c>
      <c r="K194" t="s">
        <v>20</v>
      </c>
      <c r="L194">
        <v>0</v>
      </c>
      <c r="M194" t="s">
        <v>86</v>
      </c>
    </row>
    <row r="195" spans="1:13">
      <c r="A195" t="s">
        <v>227</v>
      </c>
      <c r="B195" t="s">
        <v>228</v>
      </c>
      <c r="C195" t="s">
        <v>16</v>
      </c>
      <c r="D195" t="s">
        <v>21</v>
      </c>
      <c r="E195" t="s">
        <v>235</v>
      </c>
      <c r="F195" t="s">
        <v>235</v>
      </c>
      <c r="G195" s="2">
        <v>45721</v>
      </c>
      <c r="H195" s="2">
        <v>45751</v>
      </c>
      <c r="I195" s="1">
        <v>16935.52</v>
      </c>
      <c r="J195">
        <v>16935.52</v>
      </c>
      <c r="K195" t="s">
        <v>20</v>
      </c>
      <c r="L195">
        <v>0</v>
      </c>
      <c r="M195">
        <v>0</v>
      </c>
    </row>
    <row r="196" spans="1:13">
      <c r="A196" t="s">
        <v>236</v>
      </c>
      <c r="B196" t="s">
        <v>237</v>
      </c>
      <c r="C196" t="s">
        <v>16</v>
      </c>
      <c r="D196" t="s">
        <v>21</v>
      </c>
      <c r="E196" t="s">
        <v>238</v>
      </c>
      <c r="F196" t="s">
        <v>238</v>
      </c>
      <c r="G196" s="2">
        <v>45637</v>
      </c>
      <c r="H196" s="2">
        <v>45667</v>
      </c>
      <c r="I196" s="1">
        <v>1448.66</v>
      </c>
      <c r="J196">
        <v>1448.66</v>
      </c>
      <c r="K196" t="s">
        <v>20</v>
      </c>
      <c r="L196">
        <v>0</v>
      </c>
      <c r="M196">
        <v>1448.66</v>
      </c>
    </row>
    <row r="197" spans="1:13">
      <c r="A197" t="s">
        <v>239</v>
      </c>
      <c r="B197" t="s">
        <v>240</v>
      </c>
      <c r="C197" t="s">
        <v>16</v>
      </c>
      <c r="D197" t="s">
        <v>21</v>
      </c>
      <c r="E197" t="s">
        <v>241</v>
      </c>
      <c r="F197" t="s">
        <v>241</v>
      </c>
      <c r="G197" s="2">
        <v>45364</v>
      </c>
      <c r="H197" s="2">
        <v>45394</v>
      </c>
      <c r="I197">
        <v>49.14</v>
      </c>
      <c r="J197">
        <v>49.14</v>
      </c>
      <c r="K197" t="s">
        <v>20</v>
      </c>
      <c r="L197">
        <v>0</v>
      </c>
      <c r="M197">
        <v>49.14</v>
      </c>
    </row>
    <row r="198" spans="1:13">
      <c r="A198" t="s">
        <v>239</v>
      </c>
      <c r="B198" t="s">
        <v>240</v>
      </c>
      <c r="C198" t="s">
        <v>16</v>
      </c>
      <c r="D198" t="s">
        <v>21</v>
      </c>
      <c r="E198" t="s">
        <v>242</v>
      </c>
      <c r="F198" t="s">
        <v>242</v>
      </c>
      <c r="G198" s="2">
        <v>45681</v>
      </c>
      <c r="H198" s="2">
        <v>45711</v>
      </c>
      <c r="I198" s="1">
        <v>2998.54</v>
      </c>
      <c r="J198">
        <v>390.54</v>
      </c>
      <c r="K198" t="s">
        <v>20</v>
      </c>
      <c r="L198">
        <v>0</v>
      </c>
      <c r="M198">
        <v>390.54</v>
      </c>
    </row>
    <row r="199" spans="1:13">
      <c r="A199" t="s">
        <v>239</v>
      </c>
      <c r="B199" t="s">
        <v>240</v>
      </c>
      <c r="C199" t="s">
        <v>16</v>
      </c>
      <c r="D199" t="s">
        <v>55</v>
      </c>
      <c r="E199" t="s">
        <v>242</v>
      </c>
      <c r="F199" t="s">
        <v>242</v>
      </c>
      <c r="H199" s="2">
        <v>45720</v>
      </c>
      <c r="I199" s="1">
        <v>-2608</v>
      </c>
      <c r="J199" t="s">
        <v>86</v>
      </c>
      <c r="K199" t="s">
        <v>20</v>
      </c>
      <c r="L199">
        <v>10</v>
      </c>
      <c r="M199" t="s">
        <v>86</v>
      </c>
    </row>
    <row r="200" spans="1:13">
      <c r="A200" t="s">
        <v>239</v>
      </c>
      <c r="B200" t="s">
        <v>240</v>
      </c>
      <c r="C200" t="s">
        <v>16</v>
      </c>
      <c r="D200" t="s">
        <v>21</v>
      </c>
      <c r="E200" t="s">
        <v>243</v>
      </c>
      <c r="F200" t="s">
        <v>243</v>
      </c>
      <c r="G200" s="2">
        <v>45709</v>
      </c>
      <c r="H200" s="2">
        <v>45739</v>
      </c>
      <c r="I200" s="1">
        <v>17710.07</v>
      </c>
      <c r="J200">
        <v>17710.07</v>
      </c>
      <c r="K200" t="s">
        <v>20</v>
      </c>
      <c r="L200">
        <v>13</v>
      </c>
      <c r="M200">
        <v>17710.07</v>
      </c>
    </row>
    <row r="201" spans="1:13">
      <c r="A201" t="s">
        <v>239</v>
      </c>
      <c r="B201" t="s">
        <v>240</v>
      </c>
      <c r="C201" t="s">
        <v>16</v>
      </c>
      <c r="D201" t="s">
        <v>21</v>
      </c>
      <c r="E201" t="s">
        <v>244</v>
      </c>
      <c r="F201" t="s">
        <v>244</v>
      </c>
      <c r="G201" s="2">
        <v>45709</v>
      </c>
      <c r="H201" s="2">
        <v>45739</v>
      </c>
      <c r="I201" s="1">
        <v>4009.76</v>
      </c>
      <c r="J201">
        <v>4009.76</v>
      </c>
      <c r="K201" t="s">
        <v>20</v>
      </c>
      <c r="L201">
        <v>13</v>
      </c>
      <c r="M201">
        <v>4009.76</v>
      </c>
    </row>
    <row r="202" spans="1:13">
      <c r="A202" t="s">
        <v>239</v>
      </c>
      <c r="B202" t="s">
        <v>240</v>
      </c>
      <c r="C202" t="s">
        <v>16</v>
      </c>
      <c r="D202" t="s">
        <v>21</v>
      </c>
      <c r="E202" t="s">
        <v>245</v>
      </c>
      <c r="F202" t="s">
        <v>245</v>
      </c>
      <c r="G202" s="2">
        <v>45730</v>
      </c>
      <c r="H202" s="2">
        <v>45760</v>
      </c>
      <c r="I202" s="1">
        <v>6581.65</v>
      </c>
      <c r="J202">
        <v>6581.65</v>
      </c>
      <c r="K202" t="s">
        <v>20</v>
      </c>
      <c r="L202">
        <v>0</v>
      </c>
      <c r="M202">
        <v>0</v>
      </c>
    </row>
    <row r="203" spans="1:13">
      <c r="A203" t="s">
        <v>246</v>
      </c>
      <c r="B203" t="s">
        <v>247</v>
      </c>
      <c r="C203" t="s">
        <v>16</v>
      </c>
      <c r="D203" t="s">
        <v>55</v>
      </c>
      <c r="E203" t="s">
        <v>19</v>
      </c>
      <c r="F203" t="s">
        <v>19</v>
      </c>
      <c r="H203" s="2">
        <v>45398</v>
      </c>
      <c r="I203">
        <v>-28.5</v>
      </c>
      <c r="J203">
        <v>-28.5</v>
      </c>
      <c r="K203" t="s">
        <v>20</v>
      </c>
      <c r="L203">
        <v>0</v>
      </c>
      <c r="M203">
        <v>-28.5</v>
      </c>
    </row>
    <row r="204" spans="1:13">
      <c r="A204" t="s">
        <v>246</v>
      </c>
      <c r="B204" t="s">
        <v>247</v>
      </c>
      <c r="C204" t="s">
        <v>16</v>
      </c>
      <c r="D204" t="s">
        <v>21</v>
      </c>
      <c r="E204" t="s">
        <v>248</v>
      </c>
      <c r="F204" t="s">
        <v>248</v>
      </c>
      <c r="G204" s="2">
        <v>45590</v>
      </c>
      <c r="H204" s="2">
        <v>45620</v>
      </c>
      <c r="I204" s="1">
        <v>1932.3</v>
      </c>
      <c r="J204">
        <v>1932.3</v>
      </c>
      <c r="K204" t="s">
        <v>20</v>
      </c>
      <c r="L204">
        <v>0</v>
      </c>
      <c r="M204">
        <v>1932.3</v>
      </c>
    </row>
    <row r="205" spans="1:13">
      <c r="A205" t="s">
        <v>246</v>
      </c>
      <c r="B205" t="s">
        <v>247</v>
      </c>
      <c r="C205" t="s">
        <v>16</v>
      </c>
      <c r="D205" t="s">
        <v>21</v>
      </c>
      <c r="E205" t="s">
        <v>249</v>
      </c>
      <c r="F205" t="s">
        <v>249</v>
      </c>
      <c r="G205" s="2">
        <v>45608</v>
      </c>
      <c r="H205" s="2">
        <v>45638</v>
      </c>
      <c r="I205">
        <v>149.16</v>
      </c>
      <c r="J205">
        <v>149.16</v>
      </c>
      <c r="K205" t="s">
        <v>20</v>
      </c>
      <c r="L205">
        <v>0</v>
      </c>
      <c r="M205">
        <v>149.16</v>
      </c>
    </row>
    <row r="206" spans="1:13">
      <c r="A206" t="s">
        <v>246</v>
      </c>
      <c r="B206" t="s">
        <v>247</v>
      </c>
      <c r="C206" t="s">
        <v>16</v>
      </c>
      <c r="D206" t="s">
        <v>21</v>
      </c>
      <c r="E206" t="s">
        <v>250</v>
      </c>
      <c r="F206" t="s">
        <v>250</v>
      </c>
      <c r="G206" s="2">
        <v>45721</v>
      </c>
      <c r="H206" s="2">
        <v>45751</v>
      </c>
      <c r="I206">
        <v>209.05</v>
      </c>
      <c r="J206">
        <v>209.05</v>
      </c>
      <c r="K206" t="s">
        <v>20</v>
      </c>
      <c r="L206">
        <v>0</v>
      </c>
      <c r="M206">
        <v>0</v>
      </c>
    </row>
    <row r="207" spans="1:13">
      <c r="A207" t="s">
        <v>251</v>
      </c>
      <c r="B207" t="s">
        <v>252</v>
      </c>
      <c r="C207" t="s">
        <v>16</v>
      </c>
      <c r="D207" t="s">
        <v>21</v>
      </c>
      <c r="E207" t="s">
        <v>253</v>
      </c>
      <c r="F207" t="s">
        <v>253</v>
      </c>
      <c r="G207" s="2">
        <v>45721</v>
      </c>
      <c r="H207" s="2">
        <v>45751</v>
      </c>
      <c r="I207" s="1">
        <v>4757.3</v>
      </c>
      <c r="J207">
        <v>4757.3</v>
      </c>
      <c r="K207" t="s">
        <v>20</v>
      </c>
      <c r="L207">
        <v>0</v>
      </c>
      <c r="M207">
        <v>0</v>
      </c>
    </row>
    <row r="208" spans="1:13">
      <c r="A208" t="s">
        <v>251</v>
      </c>
      <c r="B208" t="s">
        <v>252</v>
      </c>
      <c r="C208" t="s">
        <v>16</v>
      </c>
      <c r="D208" t="s">
        <v>21</v>
      </c>
      <c r="E208" t="s">
        <v>254</v>
      </c>
      <c r="F208" t="s">
        <v>254</v>
      </c>
      <c r="G208" s="2">
        <v>45734</v>
      </c>
      <c r="H208" s="2">
        <v>45764</v>
      </c>
      <c r="I208">
        <v>326.57</v>
      </c>
      <c r="J208">
        <v>326.57</v>
      </c>
      <c r="K208" t="s">
        <v>20</v>
      </c>
      <c r="L208">
        <v>0</v>
      </c>
      <c r="M208">
        <v>0</v>
      </c>
    </row>
    <row r="209" spans="1:13">
      <c r="A209" t="s">
        <v>251</v>
      </c>
      <c r="B209" t="s">
        <v>252</v>
      </c>
      <c r="C209" t="s">
        <v>16</v>
      </c>
      <c r="D209" t="s">
        <v>21</v>
      </c>
      <c r="E209" t="s">
        <v>255</v>
      </c>
      <c r="F209" t="s">
        <v>255</v>
      </c>
      <c r="G209" s="2">
        <v>45742</v>
      </c>
      <c r="H209" s="2">
        <v>45772</v>
      </c>
      <c r="I209" s="1">
        <v>1006.83</v>
      </c>
      <c r="J209">
        <v>1006.83</v>
      </c>
      <c r="K209" t="s">
        <v>20</v>
      </c>
      <c r="L209">
        <v>0</v>
      </c>
      <c r="M209">
        <v>0</v>
      </c>
    </row>
    <row r="210" spans="1:13">
      <c r="A210" t="s">
        <v>256</v>
      </c>
      <c r="B210" t="s">
        <v>257</v>
      </c>
      <c r="C210" t="s">
        <v>16</v>
      </c>
      <c r="D210" t="s">
        <v>55</v>
      </c>
      <c r="E210" t="s">
        <v>19</v>
      </c>
      <c r="F210" t="s">
        <v>19</v>
      </c>
      <c r="H210" s="2">
        <v>45628</v>
      </c>
      <c r="I210" s="1">
        <v>-3525.48</v>
      </c>
      <c r="J210">
        <v>-3525.48</v>
      </c>
      <c r="K210" t="s">
        <v>20</v>
      </c>
      <c r="L210">
        <v>0</v>
      </c>
      <c r="M210">
        <v>-3525.48</v>
      </c>
    </row>
    <row r="211" spans="1:13">
      <c r="A211" t="s">
        <v>256</v>
      </c>
      <c r="B211" t="s">
        <v>257</v>
      </c>
      <c r="C211" t="s">
        <v>16</v>
      </c>
      <c r="D211" t="s">
        <v>21</v>
      </c>
      <c r="E211" t="s">
        <v>258</v>
      </c>
      <c r="F211" t="s">
        <v>258</v>
      </c>
      <c r="G211" s="2">
        <v>45670</v>
      </c>
      <c r="H211" s="2">
        <v>45700</v>
      </c>
      <c r="I211" s="1">
        <v>3452.07</v>
      </c>
      <c r="J211">
        <v>3452.07</v>
      </c>
      <c r="K211" t="s">
        <v>20</v>
      </c>
      <c r="L211">
        <v>0</v>
      </c>
      <c r="M211">
        <v>3452.07</v>
      </c>
    </row>
    <row r="212" spans="1:13">
      <c r="A212" t="s">
        <v>256</v>
      </c>
      <c r="B212" t="s">
        <v>257</v>
      </c>
      <c r="C212" t="s">
        <v>16</v>
      </c>
      <c r="D212" t="s">
        <v>21</v>
      </c>
      <c r="E212" t="s">
        <v>259</v>
      </c>
      <c r="F212" t="s">
        <v>259</v>
      </c>
      <c r="G212" s="2">
        <v>45716</v>
      </c>
      <c r="H212" s="2">
        <v>45746</v>
      </c>
      <c r="I212" s="1">
        <v>3525.48</v>
      </c>
      <c r="J212">
        <v>3525.48</v>
      </c>
      <c r="K212" t="s">
        <v>20</v>
      </c>
      <c r="L212">
        <v>13</v>
      </c>
      <c r="M212">
        <v>3525.48</v>
      </c>
    </row>
    <row r="213" spans="1:13">
      <c r="A213" t="s">
        <v>260</v>
      </c>
      <c r="B213" t="s">
        <v>261</v>
      </c>
      <c r="C213" t="s">
        <v>16</v>
      </c>
      <c r="D213" t="s">
        <v>21</v>
      </c>
      <c r="E213" t="s">
        <v>262</v>
      </c>
      <c r="F213" t="s">
        <v>262</v>
      </c>
      <c r="G213" s="2">
        <v>45727</v>
      </c>
      <c r="H213" s="2">
        <v>45757</v>
      </c>
      <c r="I213" s="1">
        <v>8407.2000000000007</v>
      </c>
      <c r="J213">
        <v>8407.2000000000007</v>
      </c>
      <c r="K213" t="s">
        <v>20</v>
      </c>
      <c r="L213">
        <v>0</v>
      </c>
      <c r="M213">
        <v>0</v>
      </c>
    </row>
    <row r="214" spans="1:13">
      <c r="A214" t="s">
        <v>263</v>
      </c>
      <c r="B214" t="s">
        <v>264</v>
      </c>
      <c r="C214" t="s">
        <v>16</v>
      </c>
      <c r="D214" t="s">
        <v>21</v>
      </c>
      <c r="E214" t="s">
        <v>265</v>
      </c>
      <c r="F214" t="s">
        <v>265</v>
      </c>
      <c r="G214" s="2">
        <v>45233</v>
      </c>
      <c r="H214" s="2">
        <v>45233</v>
      </c>
      <c r="I214">
        <v>159.12</v>
      </c>
      <c r="J214">
        <v>159.12</v>
      </c>
      <c r="K214" t="s">
        <v>20</v>
      </c>
      <c r="L214">
        <v>0</v>
      </c>
      <c r="M214">
        <v>159.12</v>
      </c>
    </row>
    <row r="215" spans="1:13">
      <c r="A215" t="s">
        <v>263</v>
      </c>
      <c r="B215" t="s">
        <v>264</v>
      </c>
      <c r="C215" t="s">
        <v>16</v>
      </c>
      <c r="D215" t="s">
        <v>21</v>
      </c>
      <c r="E215" t="s">
        <v>266</v>
      </c>
      <c r="F215" t="s">
        <v>266</v>
      </c>
      <c r="G215" s="2">
        <v>45233</v>
      </c>
      <c r="H215" s="2">
        <v>45233</v>
      </c>
      <c r="I215">
        <v>381.03</v>
      </c>
      <c r="J215">
        <v>381.03</v>
      </c>
      <c r="K215" t="s">
        <v>20</v>
      </c>
      <c r="L215">
        <v>0</v>
      </c>
      <c r="M215">
        <v>381.03</v>
      </c>
    </row>
    <row r="216" spans="1:13">
      <c r="A216" t="s">
        <v>263</v>
      </c>
      <c r="B216" t="s">
        <v>264</v>
      </c>
      <c r="C216" t="s">
        <v>16</v>
      </c>
      <c r="D216" t="s">
        <v>21</v>
      </c>
      <c r="E216" t="s">
        <v>267</v>
      </c>
      <c r="F216" t="s">
        <v>267</v>
      </c>
      <c r="G216" s="2">
        <v>45692</v>
      </c>
      <c r="H216" s="2">
        <v>45722</v>
      </c>
      <c r="I216">
        <v>257.08</v>
      </c>
      <c r="J216">
        <v>257.08</v>
      </c>
      <c r="K216" t="s">
        <v>20</v>
      </c>
      <c r="L216">
        <v>10</v>
      </c>
      <c r="M216">
        <v>257.08</v>
      </c>
    </row>
    <row r="217" spans="1:13">
      <c r="A217" t="s">
        <v>263</v>
      </c>
      <c r="B217" t="s">
        <v>264</v>
      </c>
      <c r="C217" t="s">
        <v>16</v>
      </c>
      <c r="D217" t="s">
        <v>21</v>
      </c>
      <c r="E217" t="s">
        <v>268</v>
      </c>
      <c r="F217" t="s">
        <v>268</v>
      </c>
      <c r="G217" s="2">
        <v>45692</v>
      </c>
      <c r="H217" s="2">
        <v>45722</v>
      </c>
      <c r="I217">
        <v>411.32</v>
      </c>
      <c r="J217">
        <v>411.32</v>
      </c>
      <c r="K217" t="s">
        <v>20</v>
      </c>
      <c r="L217">
        <v>10</v>
      </c>
      <c r="M217">
        <v>411.32</v>
      </c>
    </row>
    <row r="218" spans="1:13">
      <c r="A218" t="s">
        <v>263</v>
      </c>
      <c r="B218" t="s">
        <v>264</v>
      </c>
      <c r="C218" t="s">
        <v>16</v>
      </c>
      <c r="D218" t="s">
        <v>21</v>
      </c>
      <c r="E218" t="s">
        <v>269</v>
      </c>
      <c r="F218" t="s">
        <v>269</v>
      </c>
      <c r="G218" s="2">
        <v>45716</v>
      </c>
      <c r="H218" s="2">
        <v>45746</v>
      </c>
      <c r="I218">
        <v>153.68</v>
      </c>
      <c r="J218">
        <v>153.68</v>
      </c>
      <c r="K218" t="s">
        <v>20</v>
      </c>
      <c r="L218">
        <v>13</v>
      </c>
      <c r="M218">
        <v>153.68</v>
      </c>
    </row>
    <row r="219" spans="1:13">
      <c r="A219" t="s">
        <v>263</v>
      </c>
      <c r="B219" t="s">
        <v>264</v>
      </c>
      <c r="C219" t="s">
        <v>16</v>
      </c>
      <c r="D219" t="s">
        <v>21</v>
      </c>
      <c r="E219" t="s">
        <v>270</v>
      </c>
      <c r="F219" t="s">
        <v>270</v>
      </c>
      <c r="G219" s="2">
        <v>45716</v>
      </c>
      <c r="H219" s="2">
        <v>45746</v>
      </c>
      <c r="I219">
        <v>169.5</v>
      </c>
      <c r="J219">
        <v>169.5</v>
      </c>
      <c r="K219" t="s">
        <v>20</v>
      </c>
      <c r="L219">
        <v>13</v>
      </c>
      <c r="M219">
        <v>169.5</v>
      </c>
    </row>
    <row r="220" spans="1:13">
      <c r="A220" t="s">
        <v>263</v>
      </c>
      <c r="B220" t="s">
        <v>264</v>
      </c>
      <c r="C220" t="s">
        <v>16</v>
      </c>
      <c r="D220" t="s">
        <v>21</v>
      </c>
      <c r="E220" t="s">
        <v>271</v>
      </c>
      <c r="F220" t="s">
        <v>271</v>
      </c>
      <c r="G220" s="2">
        <v>45735</v>
      </c>
      <c r="H220" s="2">
        <v>45765</v>
      </c>
      <c r="I220">
        <v>387.82</v>
      </c>
      <c r="J220">
        <v>387.82</v>
      </c>
      <c r="K220" t="s">
        <v>20</v>
      </c>
      <c r="L220">
        <v>0</v>
      </c>
      <c r="M220">
        <v>0</v>
      </c>
    </row>
    <row r="221" spans="1:13">
      <c r="A221" t="s">
        <v>263</v>
      </c>
      <c r="B221" t="s">
        <v>264</v>
      </c>
      <c r="C221" t="s">
        <v>16</v>
      </c>
      <c r="D221" t="s">
        <v>21</v>
      </c>
      <c r="E221" t="s">
        <v>272</v>
      </c>
      <c r="F221" t="s">
        <v>272</v>
      </c>
      <c r="G221" s="2">
        <v>45735</v>
      </c>
      <c r="H221" s="2">
        <v>45765</v>
      </c>
      <c r="I221" s="1">
        <v>1391.6</v>
      </c>
      <c r="J221">
        <v>1391.6</v>
      </c>
      <c r="K221" t="s">
        <v>20</v>
      </c>
      <c r="L221">
        <v>0</v>
      </c>
      <c r="M221">
        <v>0</v>
      </c>
    </row>
    <row r="222" spans="1:13">
      <c r="A222" t="s">
        <v>263</v>
      </c>
      <c r="B222" t="s">
        <v>264</v>
      </c>
      <c r="C222" t="s">
        <v>16</v>
      </c>
      <c r="D222" t="s">
        <v>21</v>
      </c>
      <c r="E222" t="s">
        <v>273</v>
      </c>
      <c r="F222" t="s">
        <v>273</v>
      </c>
      <c r="G222" s="2">
        <v>45736</v>
      </c>
      <c r="H222" s="2">
        <v>45766</v>
      </c>
      <c r="I222">
        <v>551.28</v>
      </c>
      <c r="J222">
        <v>551.28</v>
      </c>
      <c r="K222" t="s">
        <v>20</v>
      </c>
      <c r="L222">
        <v>0</v>
      </c>
      <c r="M222">
        <v>0</v>
      </c>
    </row>
    <row r="223" spans="1:13">
      <c r="A223" t="s">
        <v>274</v>
      </c>
      <c r="B223" t="s">
        <v>275</v>
      </c>
      <c r="C223" t="s">
        <v>16</v>
      </c>
      <c r="D223" t="s">
        <v>21</v>
      </c>
      <c r="E223" t="s">
        <v>276</v>
      </c>
      <c r="F223" t="s">
        <v>276</v>
      </c>
      <c r="G223" s="2">
        <v>45722</v>
      </c>
      <c r="H223" s="2">
        <v>45752</v>
      </c>
      <c r="I223" s="1">
        <v>1048.5999999999999</v>
      </c>
      <c r="J223">
        <v>1048.5999999999999</v>
      </c>
      <c r="K223" t="s">
        <v>20</v>
      </c>
      <c r="L223">
        <v>0</v>
      </c>
      <c r="M223">
        <v>0</v>
      </c>
    </row>
    <row r="224" spans="1:13">
      <c r="A224" t="s">
        <v>277</v>
      </c>
      <c r="B224" t="s">
        <v>278</v>
      </c>
      <c r="C224" t="s">
        <v>16</v>
      </c>
      <c r="D224" t="s">
        <v>21</v>
      </c>
      <c r="E224" t="s">
        <v>279</v>
      </c>
      <c r="F224" t="s">
        <v>279</v>
      </c>
      <c r="G224" s="2">
        <v>45323</v>
      </c>
      <c r="H224" s="2">
        <v>45353</v>
      </c>
      <c r="I224">
        <v>240.07</v>
      </c>
      <c r="J224">
        <v>240.07</v>
      </c>
      <c r="K224" t="s">
        <v>20</v>
      </c>
      <c r="L224">
        <v>0</v>
      </c>
      <c r="M224">
        <v>240.07</v>
      </c>
    </row>
    <row r="225" spans="1:13">
      <c r="A225" t="s">
        <v>277</v>
      </c>
      <c r="B225" t="s">
        <v>278</v>
      </c>
      <c r="C225" t="s">
        <v>16</v>
      </c>
      <c r="D225" t="s">
        <v>21</v>
      </c>
      <c r="E225" t="s">
        <v>280</v>
      </c>
      <c r="F225" t="s">
        <v>280</v>
      </c>
      <c r="G225" s="2">
        <v>45358</v>
      </c>
      <c r="H225" s="2">
        <v>45388</v>
      </c>
      <c r="I225">
        <v>39</v>
      </c>
      <c r="J225">
        <v>39</v>
      </c>
      <c r="K225" t="s">
        <v>20</v>
      </c>
      <c r="L225">
        <v>0</v>
      </c>
      <c r="M225">
        <v>39</v>
      </c>
    </row>
    <row r="226" spans="1:13">
      <c r="A226" t="s">
        <v>277</v>
      </c>
      <c r="B226" t="s">
        <v>278</v>
      </c>
      <c r="C226" t="s">
        <v>16</v>
      </c>
      <c r="D226" t="s">
        <v>21</v>
      </c>
      <c r="E226" t="s">
        <v>281</v>
      </c>
      <c r="F226" t="s">
        <v>281</v>
      </c>
      <c r="G226" s="2">
        <v>45358</v>
      </c>
      <c r="H226" s="2">
        <v>45388</v>
      </c>
      <c r="I226">
        <v>99.84</v>
      </c>
      <c r="J226">
        <v>99.84</v>
      </c>
      <c r="K226" t="s">
        <v>20</v>
      </c>
      <c r="L226">
        <v>0</v>
      </c>
      <c r="M226">
        <v>99.84</v>
      </c>
    </row>
    <row r="227" spans="1:13">
      <c r="A227" t="s">
        <v>277</v>
      </c>
      <c r="B227" t="s">
        <v>278</v>
      </c>
      <c r="C227" t="s">
        <v>16</v>
      </c>
      <c r="D227" t="s">
        <v>21</v>
      </c>
      <c r="E227" t="s">
        <v>282</v>
      </c>
      <c r="F227" t="s">
        <v>282</v>
      </c>
      <c r="G227" s="2">
        <v>45362</v>
      </c>
      <c r="H227" s="2">
        <v>45392</v>
      </c>
      <c r="I227">
        <v>10.14</v>
      </c>
      <c r="J227">
        <v>10.14</v>
      </c>
      <c r="K227" t="s">
        <v>20</v>
      </c>
      <c r="L227">
        <v>0</v>
      </c>
      <c r="M227">
        <v>10.14</v>
      </c>
    </row>
    <row r="228" spans="1:13">
      <c r="A228" t="s">
        <v>277</v>
      </c>
      <c r="B228" t="s">
        <v>278</v>
      </c>
      <c r="C228" t="s">
        <v>16</v>
      </c>
      <c r="D228" t="s">
        <v>21</v>
      </c>
      <c r="E228" t="s">
        <v>283</v>
      </c>
      <c r="F228" t="s">
        <v>283</v>
      </c>
      <c r="G228" s="2">
        <v>45362</v>
      </c>
      <c r="H228" s="2">
        <v>45392</v>
      </c>
      <c r="I228">
        <v>167.96</v>
      </c>
      <c r="J228">
        <v>167.96</v>
      </c>
      <c r="K228" t="s">
        <v>20</v>
      </c>
      <c r="L228">
        <v>0</v>
      </c>
      <c r="M228">
        <v>167.96</v>
      </c>
    </row>
    <row r="229" spans="1:13">
      <c r="A229" t="s">
        <v>277</v>
      </c>
      <c r="B229" t="s">
        <v>278</v>
      </c>
      <c r="C229" t="s">
        <v>16</v>
      </c>
      <c r="D229" t="s">
        <v>21</v>
      </c>
      <c r="E229" t="s">
        <v>284</v>
      </c>
      <c r="F229" t="s">
        <v>284</v>
      </c>
      <c r="G229" s="2">
        <v>45383</v>
      </c>
      <c r="H229" s="2">
        <v>45413</v>
      </c>
      <c r="I229">
        <v>41.6</v>
      </c>
      <c r="J229">
        <v>41.6</v>
      </c>
      <c r="K229" t="s">
        <v>20</v>
      </c>
      <c r="L229">
        <v>0</v>
      </c>
      <c r="M229">
        <v>41.6</v>
      </c>
    </row>
    <row r="230" spans="1:13">
      <c r="A230" t="s">
        <v>277</v>
      </c>
      <c r="B230" t="s">
        <v>278</v>
      </c>
      <c r="C230" t="s">
        <v>16</v>
      </c>
      <c r="D230" t="s">
        <v>21</v>
      </c>
      <c r="E230" t="s">
        <v>285</v>
      </c>
      <c r="F230" t="s">
        <v>285</v>
      </c>
      <c r="G230" s="2">
        <v>45392</v>
      </c>
      <c r="H230" s="2">
        <v>45422</v>
      </c>
      <c r="I230">
        <v>206.39</v>
      </c>
      <c r="J230">
        <v>206.39</v>
      </c>
      <c r="K230" t="s">
        <v>20</v>
      </c>
      <c r="L230">
        <v>0</v>
      </c>
      <c r="M230">
        <v>206.39</v>
      </c>
    </row>
    <row r="231" spans="1:13">
      <c r="A231" t="s">
        <v>277</v>
      </c>
      <c r="B231" t="s">
        <v>278</v>
      </c>
      <c r="C231" t="s">
        <v>16</v>
      </c>
      <c r="D231" t="s">
        <v>21</v>
      </c>
      <c r="E231" t="s">
        <v>286</v>
      </c>
      <c r="F231" t="s">
        <v>286</v>
      </c>
      <c r="G231" s="2">
        <v>45400</v>
      </c>
      <c r="H231" s="2">
        <v>45430</v>
      </c>
      <c r="I231">
        <v>149.18</v>
      </c>
      <c r="J231">
        <v>149.18</v>
      </c>
      <c r="K231" t="s">
        <v>20</v>
      </c>
      <c r="L231">
        <v>0</v>
      </c>
      <c r="M231">
        <v>149.18</v>
      </c>
    </row>
    <row r="232" spans="1:13">
      <c r="A232" t="s">
        <v>277</v>
      </c>
      <c r="B232" t="s">
        <v>278</v>
      </c>
      <c r="C232" t="s">
        <v>16</v>
      </c>
      <c r="D232" t="s">
        <v>21</v>
      </c>
      <c r="E232" t="s">
        <v>287</v>
      </c>
      <c r="F232" t="s">
        <v>287</v>
      </c>
      <c r="G232" s="2">
        <v>45400</v>
      </c>
      <c r="H232" s="2">
        <v>45430</v>
      </c>
      <c r="I232">
        <v>55.9</v>
      </c>
      <c r="J232">
        <v>55.9</v>
      </c>
      <c r="K232" t="s">
        <v>20</v>
      </c>
      <c r="L232">
        <v>0</v>
      </c>
      <c r="M232">
        <v>55.9</v>
      </c>
    </row>
    <row r="233" spans="1:13">
      <c r="A233" t="s">
        <v>277</v>
      </c>
      <c r="B233" t="s">
        <v>278</v>
      </c>
      <c r="C233" t="s">
        <v>16</v>
      </c>
      <c r="D233" t="s">
        <v>21</v>
      </c>
      <c r="E233" t="s">
        <v>288</v>
      </c>
      <c r="F233" t="s">
        <v>288</v>
      </c>
      <c r="G233" s="2">
        <v>45400</v>
      </c>
      <c r="H233" s="2">
        <v>45430</v>
      </c>
      <c r="I233">
        <v>262.08</v>
      </c>
      <c r="J233">
        <v>262.08</v>
      </c>
      <c r="K233" t="s">
        <v>20</v>
      </c>
      <c r="L233">
        <v>0</v>
      </c>
      <c r="M233">
        <v>262.08</v>
      </c>
    </row>
    <row r="234" spans="1:13">
      <c r="A234" t="s">
        <v>277</v>
      </c>
      <c r="B234" t="s">
        <v>278</v>
      </c>
      <c r="C234" t="s">
        <v>16</v>
      </c>
      <c r="D234" t="s">
        <v>21</v>
      </c>
      <c r="E234" t="s">
        <v>289</v>
      </c>
      <c r="F234" t="s">
        <v>289</v>
      </c>
      <c r="G234" s="2">
        <v>45443</v>
      </c>
      <c r="H234" s="2">
        <v>45473</v>
      </c>
      <c r="I234">
        <v>59.8</v>
      </c>
      <c r="J234">
        <v>59.8</v>
      </c>
      <c r="K234" t="s">
        <v>20</v>
      </c>
      <c r="L234">
        <v>0</v>
      </c>
      <c r="M234">
        <v>59.8</v>
      </c>
    </row>
    <row r="235" spans="1:13">
      <c r="A235" t="s">
        <v>277</v>
      </c>
      <c r="B235" t="s">
        <v>278</v>
      </c>
      <c r="C235" t="s">
        <v>16</v>
      </c>
      <c r="D235" t="s">
        <v>21</v>
      </c>
      <c r="E235" t="s">
        <v>290</v>
      </c>
      <c r="F235" t="s">
        <v>290</v>
      </c>
      <c r="G235" s="2">
        <v>45450</v>
      </c>
      <c r="H235" s="2">
        <v>45480</v>
      </c>
      <c r="I235">
        <v>22.31</v>
      </c>
      <c r="J235">
        <v>22.31</v>
      </c>
      <c r="K235" t="s">
        <v>20</v>
      </c>
      <c r="L235">
        <v>0</v>
      </c>
      <c r="M235">
        <v>22.31</v>
      </c>
    </row>
    <row r="236" spans="1:13">
      <c r="A236" t="s">
        <v>277</v>
      </c>
      <c r="B236" t="s">
        <v>278</v>
      </c>
      <c r="C236" t="s">
        <v>16</v>
      </c>
      <c r="D236" t="s">
        <v>21</v>
      </c>
      <c r="E236" t="s">
        <v>291</v>
      </c>
      <c r="F236" t="s">
        <v>291</v>
      </c>
      <c r="G236" s="2">
        <v>45512</v>
      </c>
      <c r="H236" s="2">
        <v>45542</v>
      </c>
      <c r="I236">
        <v>715.97</v>
      </c>
      <c r="J236">
        <v>82.37</v>
      </c>
      <c r="K236" t="s">
        <v>20</v>
      </c>
      <c r="L236">
        <v>0</v>
      </c>
      <c r="M236">
        <v>82.37</v>
      </c>
    </row>
    <row r="237" spans="1:13">
      <c r="A237" t="s">
        <v>277</v>
      </c>
      <c r="B237" t="s">
        <v>278</v>
      </c>
      <c r="C237" t="s">
        <v>16</v>
      </c>
      <c r="D237" t="s">
        <v>55</v>
      </c>
      <c r="E237" t="s">
        <v>291</v>
      </c>
      <c r="F237" t="s">
        <v>291</v>
      </c>
      <c r="H237" s="2">
        <v>45560</v>
      </c>
      <c r="I237">
        <v>-633.6</v>
      </c>
      <c r="J237" t="s">
        <v>86</v>
      </c>
      <c r="K237" t="s">
        <v>20</v>
      </c>
      <c r="L237">
        <v>0</v>
      </c>
      <c r="M237" t="s">
        <v>86</v>
      </c>
    </row>
    <row r="238" spans="1:13">
      <c r="A238" t="s">
        <v>277</v>
      </c>
      <c r="B238" t="s">
        <v>278</v>
      </c>
      <c r="C238" t="s">
        <v>16</v>
      </c>
      <c r="D238" t="s">
        <v>21</v>
      </c>
      <c r="E238" t="s">
        <v>292</v>
      </c>
      <c r="F238" t="s">
        <v>292</v>
      </c>
      <c r="G238" s="2">
        <v>45512</v>
      </c>
      <c r="H238" s="2">
        <v>45542</v>
      </c>
      <c r="I238">
        <v>835.3</v>
      </c>
      <c r="J238">
        <v>96.1</v>
      </c>
      <c r="K238" t="s">
        <v>20</v>
      </c>
      <c r="L238">
        <v>0</v>
      </c>
      <c r="M238">
        <v>96.1</v>
      </c>
    </row>
    <row r="239" spans="1:13">
      <c r="A239" t="s">
        <v>277</v>
      </c>
      <c r="B239" t="s">
        <v>278</v>
      </c>
      <c r="C239" t="s">
        <v>16</v>
      </c>
      <c r="D239" t="s">
        <v>55</v>
      </c>
      <c r="E239" t="s">
        <v>292</v>
      </c>
      <c r="F239" t="s">
        <v>292</v>
      </c>
      <c r="H239" s="2">
        <v>45560</v>
      </c>
      <c r="I239">
        <v>-739.2</v>
      </c>
      <c r="J239" t="s">
        <v>86</v>
      </c>
      <c r="K239" t="s">
        <v>20</v>
      </c>
      <c r="L239">
        <v>0</v>
      </c>
      <c r="M239" t="s">
        <v>86</v>
      </c>
    </row>
    <row r="240" spans="1:13">
      <c r="A240" t="s">
        <v>277</v>
      </c>
      <c r="B240" t="s">
        <v>278</v>
      </c>
      <c r="C240" t="s">
        <v>16</v>
      </c>
      <c r="D240" t="s">
        <v>21</v>
      </c>
      <c r="E240" t="s">
        <v>293</v>
      </c>
      <c r="F240" t="s">
        <v>293</v>
      </c>
      <c r="G240" s="2">
        <v>45526</v>
      </c>
      <c r="H240" s="2">
        <v>45556</v>
      </c>
      <c r="I240">
        <v>632.79999999999995</v>
      </c>
      <c r="J240">
        <v>72.8</v>
      </c>
      <c r="K240" t="s">
        <v>20</v>
      </c>
      <c r="L240">
        <v>0</v>
      </c>
      <c r="M240">
        <v>72.8</v>
      </c>
    </row>
    <row r="241" spans="1:13">
      <c r="A241" t="s">
        <v>277</v>
      </c>
      <c r="B241" t="s">
        <v>278</v>
      </c>
      <c r="C241" t="s">
        <v>16</v>
      </c>
      <c r="D241" t="s">
        <v>55</v>
      </c>
      <c r="E241" t="s">
        <v>293</v>
      </c>
      <c r="F241" t="s">
        <v>293</v>
      </c>
      <c r="H241" s="2">
        <v>45560</v>
      </c>
      <c r="I241">
        <v>-560</v>
      </c>
      <c r="J241" t="s">
        <v>86</v>
      </c>
      <c r="K241" t="s">
        <v>20</v>
      </c>
      <c r="L241">
        <v>0</v>
      </c>
      <c r="M241" t="s">
        <v>86</v>
      </c>
    </row>
    <row r="242" spans="1:13">
      <c r="A242" t="s">
        <v>277</v>
      </c>
      <c r="B242" t="s">
        <v>278</v>
      </c>
      <c r="C242" t="s">
        <v>16</v>
      </c>
      <c r="D242" t="s">
        <v>21</v>
      </c>
      <c r="E242" t="s">
        <v>294</v>
      </c>
      <c r="F242" t="s">
        <v>294</v>
      </c>
      <c r="G242" s="2">
        <v>45527</v>
      </c>
      <c r="H242" s="2">
        <v>45557</v>
      </c>
      <c r="I242">
        <v>835.3</v>
      </c>
      <c r="J242">
        <v>96.1</v>
      </c>
      <c r="K242" t="s">
        <v>20</v>
      </c>
      <c r="L242">
        <v>0</v>
      </c>
      <c r="M242">
        <v>96.1</v>
      </c>
    </row>
    <row r="243" spans="1:13">
      <c r="A243" t="s">
        <v>277</v>
      </c>
      <c r="B243" t="s">
        <v>278</v>
      </c>
      <c r="C243" t="s">
        <v>16</v>
      </c>
      <c r="D243" t="s">
        <v>55</v>
      </c>
      <c r="E243" t="s">
        <v>294</v>
      </c>
      <c r="F243" t="s">
        <v>294</v>
      </c>
      <c r="H243" s="2">
        <v>45560</v>
      </c>
      <c r="I243">
        <v>-739.2</v>
      </c>
      <c r="J243" t="s">
        <v>86</v>
      </c>
      <c r="K243" t="s">
        <v>20</v>
      </c>
      <c r="L243">
        <v>0</v>
      </c>
      <c r="M243" t="s">
        <v>86</v>
      </c>
    </row>
    <row r="244" spans="1:13">
      <c r="A244" t="s">
        <v>277</v>
      </c>
      <c r="B244" t="s">
        <v>278</v>
      </c>
      <c r="C244" t="s">
        <v>16</v>
      </c>
      <c r="D244" t="s">
        <v>21</v>
      </c>
      <c r="E244" t="s">
        <v>295</v>
      </c>
      <c r="F244" t="s">
        <v>295</v>
      </c>
      <c r="G244" s="2">
        <v>45532</v>
      </c>
      <c r="H244" s="2">
        <v>45562</v>
      </c>
      <c r="I244">
        <v>452</v>
      </c>
      <c r="J244">
        <v>52</v>
      </c>
      <c r="K244" t="s">
        <v>20</v>
      </c>
      <c r="L244">
        <v>0</v>
      </c>
      <c r="M244">
        <v>52</v>
      </c>
    </row>
    <row r="245" spans="1:13">
      <c r="A245" t="s">
        <v>277</v>
      </c>
      <c r="B245" t="s">
        <v>278</v>
      </c>
      <c r="C245" t="s">
        <v>16</v>
      </c>
      <c r="D245" t="s">
        <v>55</v>
      </c>
      <c r="E245" t="s">
        <v>295</v>
      </c>
      <c r="F245" t="s">
        <v>295</v>
      </c>
      <c r="H245" s="2">
        <v>45560</v>
      </c>
      <c r="I245">
        <v>-400</v>
      </c>
      <c r="J245" t="s">
        <v>86</v>
      </c>
      <c r="K245" t="s">
        <v>20</v>
      </c>
      <c r="L245">
        <v>0</v>
      </c>
      <c r="M245" t="s">
        <v>86</v>
      </c>
    </row>
    <row r="246" spans="1:13">
      <c r="A246" t="s">
        <v>277</v>
      </c>
      <c r="B246" t="s">
        <v>278</v>
      </c>
      <c r="C246" t="s">
        <v>16</v>
      </c>
      <c r="D246" t="s">
        <v>21</v>
      </c>
      <c r="E246" t="s">
        <v>296</v>
      </c>
      <c r="F246" t="s">
        <v>296</v>
      </c>
      <c r="G246" s="2">
        <v>45560</v>
      </c>
      <c r="H246" s="2">
        <v>45590</v>
      </c>
      <c r="I246" s="1">
        <v>5132.42</v>
      </c>
      <c r="J246">
        <v>590.46</v>
      </c>
      <c r="K246" t="s">
        <v>20</v>
      </c>
      <c r="L246">
        <v>0</v>
      </c>
      <c r="M246">
        <v>590.46</v>
      </c>
    </row>
    <row r="247" spans="1:13">
      <c r="A247" t="s">
        <v>277</v>
      </c>
      <c r="B247" t="s">
        <v>278</v>
      </c>
      <c r="C247" t="s">
        <v>16</v>
      </c>
      <c r="D247" t="s">
        <v>55</v>
      </c>
      <c r="E247" t="s">
        <v>296</v>
      </c>
      <c r="F247" t="s">
        <v>296</v>
      </c>
      <c r="H247" s="2">
        <v>45594</v>
      </c>
      <c r="I247" s="1">
        <v>-4541.96</v>
      </c>
      <c r="J247" t="s">
        <v>86</v>
      </c>
      <c r="K247" t="s">
        <v>20</v>
      </c>
      <c r="L247">
        <v>0</v>
      </c>
      <c r="M247" t="s">
        <v>86</v>
      </c>
    </row>
    <row r="248" spans="1:13">
      <c r="A248" t="s">
        <v>277</v>
      </c>
      <c r="B248" t="s">
        <v>278</v>
      </c>
      <c r="C248" t="s">
        <v>16</v>
      </c>
      <c r="D248" t="s">
        <v>21</v>
      </c>
      <c r="E248" t="s">
        <v>297</v>
      </c>
      <c r="F248" t="s">
        <v>297</v>
      </c>
      <c r="G248" s="2">
        <v>45560</v>
      </c>
      <c r="H248" s="2">
        <v>45590</v>
      </c>
      <c r="I248">
        <v>146.9</v>
      </c>
      <c r="J248">
        <v>16.899999999999999</v>
      </c>
      <c r="K248" t="s">
        <v>20</v>
      </c>
      <c r="L248">
        <v>0</v>
      </c>
      <c r="M248">
        <v>16.899999999999999</v>
      </c>
    </row>
    <row r="249" spans="1:13">
      <c r="A249" t="s">
        <v>277</v>
      </c>
      <c r="B249" t="s">
        <v>278</v>
      </c>
      <c r="C249" t="s">
        <v>16</v>
      </c>
      <c r="D249" t="s">
        <v>55</v>
      </c>
      <c r="E249" t="s">
        <v>297</v>
      </c>
      <c r="F249" t="s">
        <v>297</v>
      </c>
      <c r="H249" s="2">
        <v>45594</v>
      </c>
      <c r="I249">
        <v>-130</v>
      </c>
      <c r="J249" t="s">
        <v>86</v>
      </c>
      <c r="K249" t="s">
        <v>20</v>
      </c>
      <c r="L249">
        <v>0</v>
      </c>
      <c r="M249" t="s">
        <v>86</v>
      </c>
    </row>
    <row r="250" spans="1:13">
      <c r="A250" t="s">
        <v>277</v>
      </c>
      <c r="B250" t="s">
        <v>278</v>
      </c>
      <c r="C250" t="s">
        <v>16</v>
      </c>
      <c r="D250" t="s">
        <v>21</v>
      </c>
      <c r="E250" t="s">
        <v>298</v>
      </c>
      <c r="F250" t="s">
        <v>298</v>
      </c>
      <c r="G250" s="2">
        <v>45560</v>
      </c>
      <c r="H250" s="2">
        <v>45590</v>
      </c>
      <c r="I250">
        <v>366.12</v>
      </c>
      <c r="J250">
        <v>42.12</v>
      </c>
      <c r="K250" t="s">
        <v>20</v>
      </c>
      <c r="L250">
        <v>0</v>
      </c>
      <c r="M250">
        <v>42.12</v>
      </c>
    </row>
    <row r="251" spans="1:13">
      <c r="A251" t="s">
        <v>277</v>
      </c>
      <c r="B251" t="s">
        <v>278</v>
      </c>
      <c r="C251" t="s">
        <v>16</v>
      </c>
      <c r="D251" t="s">
        <v>55</v>
      </c>
      <c r="E251" t="s">
        <v>298</v>
      </c>
      <c r="F251" t="s">
        <v>298</v>
      </c>
      <c r="H251" s="2">
        <v>45594</v>
      </c>
      <c r="I251">
        <v>-324</v>
      </c>
      <c r="J251" t="s">
        <v>86</v>
      </c>
      <c r="K251" t="s">
        <v>20</v>
      </c>
      <c r="L251">
        <v>0</v>
      </c>
      <c r="M251" t="s">
        <v>86</v>
      </c>
    </row>
    <row r="252" spans="1:13">
      <c r="A252" t="s">
        <v>277</v>
      </c>
      <c r="B252" t="s">
        <v>278</v>
      </c>
      <c r="C252" t="s">
        <v>16</v>
      </c>
      <c r="D252" t="s">
        <v>21</v>
      </c>
      <c r="E252" t="s">
        <v>299</v>
      </c>
      <c r="F252" t="s">
        <v>299</v>
      </c>
      <c r="G252" s="2">
        <v>45560</v>
      </c>
      <c r="H252" s="2">
        <v>45590</v>
      </c>
      <c r="I252" s="1">
        <v>2194.5</v>
      </c>
      <c r="J252">
        <v>252.46</v>
      </c>
      <c r="K252" t="s">
        <v>20</v>
      </c>
      <c r="L252">
        <v>0</v>
      </c>
      <c r="M252">
        <v>252.46</v>
      </c>
    </row>
    <row r="253" spans="1:13">
      <c r="A253" t="s">
        <v>277</v>
      </c>
      <c r="B253" t="s">
        <v>278</v>
      </c>
      <c r="C253" t="s">
        <v>16</v>
      </c>
      <c r="D253" t="s">
        <v>55</v>
      </c>
      <c r="E253" t="s">
        <v>299</v>
      </c>
      <c r="F253" t="s">
        <v>299</v>
      </c>
      <c r="H253" s="2">
        <v>45594</v>
      </c>
      <c r="I253" s="1">
        <v>-1942.04</v>
      </c>
      <c r="J253" t="s">
        <v>86</v>
      </c>
      <c r="K253" t="s">
        <v>20</v>
      </c>
      <c r="L253">
        <v>0</v>
      </c>
      <c r="M253" t="s">
        <v>86</v>
      </c>
    </row>
    <row r="254" spans="1:13">
      <c r="A254" t="s">
        <v>277</v>
      </c>
      <c r="B254" t="s">
        <v>278</v>
      </c>
      <c r="C254" t="s">
        <v>16</v>
      </c>
      <c r="D254" t="s">
        <v>21</v>
      </c>
      <c r="E254" t="s">
        <v>300</v>
      </c>
      <c r="F254" t="s">
        <v>300</v>
      </c>
      <c r="G254" s="2">
        <v>45560</v>
      </c>
      <c r="H254" s="2">
        <v>45590</v>
      </c>
      <c r="I254">
        <v>327.7</v>
      </c>
      <c r="J254">
        <v>37.700000000000003</v>
      </c>
      <c r="K254" t="s">
        <v>20</v>
      </c>
      <c r="L254">
        <v>0</v>
      </c>
      <c r="M254">
        <v>37.700000000000003</v>
      </c>
    </row>
    <row r="255" spans="1:13">
      <c r="A255" t="s">
        <v>277</v>
      </c>
      <c r="B255" t="s">
        <v>278</v>
      </c>
      <c r="C255" t="s">
        <v>16</v>
      </c>
      <c r="D255" t="s">
        <v>55</v>
      </c>
      <c r="E255" t="s">
        <v>300</v>
      </c>
      <c r="F255" t="s">
        <v>300</v>
      </c>
      <c r="H255" s="2">
        <v>45594</v>
      </c>
      <c r="I255">
        <v>-290</v>
      </c>
      <c r="J255" t="s">
        <v>86</v>
      </c>
      <c r="K255" t="s">
        <v>20</v>
      </c>
      <c r="L255">
        <v>0</v>
      </c>
      <c r="M255" t="s">
        <v>86</v>
      </c>
    </row>
    <row r="256" spans="1:13">
      <c r="A256" t="s">
        <v>277</v>
      </c>
      <c r="B256" t="s">
        <v>278</v>
      </c>
      <c r="C256" t="s">
        <v>16</v>
      </c>
      <c r="D256" t="s">
        <v>55</v>
      </c>
      <c r="E256" t="s">
        <v>19</v>
      </c>
      <c r="F256" t="s">
        <v>19</v>
      </c>
      <c r="H256" s="2">
        <v>45616</v>
      </c>
      <c r="I256">
        <v>777.12</v>
      </c>
      <c r="J256">
        <v>777.12</v>
      </c>
      <c r="K256" t="s">
        <v>20</v>
      </c>
      <c r="L256">
        <v>0</v>
      </c>
      <c r="M256">
        <v>777.12</v>
      </c>
    </row>
    <row r="257" spans="1:13">
      <c r="A257" t="s">
        <v>277</v>
      </c>
      <c r="B257" t="s">
        <v>278</v>
      </c>
      <c r="C257" t="s">
        <v>16</v>
      </c>
      <c r="D257" t="s">
        <v>21</v>
      </c>
      <c r="E257" t="s">
        <v>301</v>
      </c>
      <c r="F257" t="s">
        <v>301</v>
      </c>
      <c r="G257" s="2">
        <v>45588</v>
      </c>
      <c r="H257" s="2">
        <v>45618</v>
      </c>
      <c r="I257" s="1">
        <v>1830.6</v>
      </c>
      <c r="J257">
        <v>210.6</v>
      </c>
      <c r="K257" t="s">
        <v>20</v>
      </c>
      <c r="L257">
        <v>0</v>
      </c>
      <c r="M257">
        <v>210.6</v>
      </c>
    </row>
    <row r="258" spans="1:13">
      <c r="A258" t="s">
        <v>277</v>
      </c>
      <c r="B258" t="s">
        <v>278</v>
      </c>
      <c r="C258" t="s">
        <v>16</v>
      </c>
      <c r="D258" t="s">
        <v>55</v>
      </c>
      <c r="E258" t="s">
        <v>301</v>
      </c>
      <c r="F258" t="s">
        <v>301</v>
      </c>
      <c r="H258" s="2">
        <v>45653</v>
      </c>
      <c r="I258" s="1">
        <v>-1620</v>
      </c>
      <c r="J258" t="s">
        <v>86</v>
      </c>
      <c r="K258" t="s">
        <v>20</v>
      </c>
      <c r="L258">
        <v>0</v>
      </c>
      <c r="M258" t="s">
        <v>86</v>
      </c>
    </row>
    <row r="259" spans="1:13">
      <c r="A259" t="s">
        <v>277</v>
      </c>
      <c r="B259" t="s">
        <v>278</v>
      </c>
      <c r="C259" t="s">
        <v>16</v>
      </c>
      <c r="D259" t="s">
        <v>21</v>
      </c>
      <c r="E259" t="s">
        <v>302</v>
      </c>
      <c r="F259" t="s">
        <v>302</v>
      </c>
      <c r="G259" s="2">
        <v>45588</v>
      </c>
      <c r="H259" s="2">
        <v>45618</v>
      </c>
      <c r="I259">
        <v>886.51</v>
      </c>
      <c r="J259">
        <v>101.99</v>
      </c>
      <c r="K259" t="s">
        <v>20</v>
      </c>
      <c r="L259">
        <v>0</v>
      </c>
      <c r="M259">
        <v>101.99</v>
      </c>
    </row>
    <row r="260" spans="1:13">
      <c r="A260" t="s">
        <v>277</v>
      </c>
      <c r="B260" t="s">
        <v>278</v>
      </c>
      <c r="C260" t="s">
        <v>16</v>
      </c>
      <c r="D260" t="s">
        <v>55</v>
      </c>
      <c r="E260" t="s">
        <v>302</v>
      </c>
      <c r="F260" t="s">
        <v>302</v>
      </c>
      <c r="H260" s="2">
        <v>45653</v>
      </c>
      <c r="I260">
        <v>-784.52</v>
      </c>
      <c r="J260" t="s">
        <v>86</v>
      </c>
      <c r="K260" t="s">
        <v>20</v>
      </c>
      <c r="L260">
        <v>0</v>
      </c>
      <c r="M260" t="s">
        <v>86</v>
      </c>
    </row>
    <row r="261" spans="1:13">
      <c r="A261" t="s">
        <v>277</v>
      </c>
      <c r="B261" t="s">
        <v>278</v>
      </c>
      <c r="C261" t="s">
        <v>16</v>
      </c>
      <c r="D261" t="s">
        <v>21</v>
      </c>
      <c r="E261" t="s">
        <v>303</v>
      </c>
      <c r="F261" t="s">
        <v>303</v>
      </c>
      <c r="G261" s="2">
        <v>45713</v>
      </c>
      <c r="H261" s="2">
        <v>45743</v>
      </c>
      <c r="I261">
        <v>248.6</v>
      </c>
      <c r="J261">
        <v>248.6</v>
      </c>
      <c r="K261" t="s">
        <v>20</v>
      </c>
      <c r="L261">
        <v>13</v>
      </c>
      <c r="M261">
        <v>248.6</v>
      </c>
    </row>
    <row r="262" spans="1:13">
      <c r="A262" t="s">
        <v>277</v>
      </c>
      <c r="B262" t="s">
        <v>278</v>
      </c>
      <c r="C262" t="s">
        <v>16</v>
      </c>
      <c r="D262" t="s">
        <v>21</v>
      </c>
      <c r="E262" t="s">
        <v>304</v>
      </c>
      <c r="F262" t="s">
        <v>304</v>
      </c>
      <c r="G262" s="2">
        <v>45741</v>
      </c>
      <c r="H262" s="2">
        <v>45771</v>
      </c>
      <c r="I262" s="1">
        <v>1107.4000000000001</v>
      </c>
      <c r="J262">
        <v>1107.4000000000001</v>
      </c>
      <c r="K262" t="s">
        <v>20</v>
      </c>
      <c r="L262">
        <v>0</v>
      </c>
      <c r="M262">
        <v>0</v>
      </c>
    </row>
    <row r="263" spans="1:13">
      <c r="A263" t="s">
        <v>277</v>
      </c>
      <c r="B263" t="s">
        <v>278</v>
      </c>
      <c r="C263" t="s">
        <v>16</v>
      </c>
      <c r="D263" t="s">
        <v>21</v>
      </c>
      <c r="E263" t="s">
        <v>305</v>
      </c>
      <c r="F263" t="s">
        <v>305</v>
      </c>
      <c r="G263" s="2">
        <v>45741</v>
      </c>
      <c r="H263" s="2">
        <v>45771</v>
      </c>
      <c r="I263" s="1">
        <v>2515.38</v>
      </c>
      <c r="J263">
        <v>2515.38</v>
      </c>
      <c r="K263" t="s">
        <v>20</v>
      </c>
      <c r="L263">
        <v>0</v>
      </c>
      <c r="M263">
        <v>0</v>
      </c>
    </row>
    <row r="264" spans="1:13">
      <c r="A264" t="s">
        <v>277</v>
      </c>
      <c r="B264" t="s">
        <v>278</v>
      </c>
      <c r="C264" t="s">
        <v>16</v>
      </c>
      <c r="D264" t="s">
        <v>21</v>
      </c>
      <c r="E264" t="s">
        <v>306</v>
      </c>
      <c r="F264" t="s">
        <v>306</v>
      </c>
      <c r="G264" s="2">
        <v>45741</v>
      </c>
      <c r="H264" s="2">
        <v>45771</v>
      </c>
      <c r="I264" s="1">
        <v>4000.2</v>
      </c>
      <c r="J264">
        <v>4000.2</v>
      </c>
      <c r="K264" t="s">
        <v>20</v>
      </c>
      <c r="L264">
        <v>0</v>
      </c>
      <c r="M264">
        <v>0</v>
      </c>
    </row>
    <row r="265" spans="1:13">
      <c r="A265" t="s">
        <v>277</v>
      </c>
      <c r="B265" t="s">
        <v>278</v>
      </c>
      <c r="C265" t="s">
        <v>16</v>
      </c>
      <c r="D265" t="s">
        <v>21</v>
      </c>
      <c r="E265" t="s">
        <v>307</v>
      </c>
      <c r="F265" t="s">
        <v>307</v>
      </c>
      <c r="G265" s="2">
        <v>45741</v>
      </c>
      <c r="H265" s="2">
        <v>45771</v>
      </c>
      <c r="I265">
        <v>326.57</v>
      </c>
      <c r="J265">
        <v>326.57</v>
      </c>
      <c r="K265" t="s">
        <v>20</v>
      </c>
      <c r="L265">
        <v>0</v>
      </c>
      <c r="M265">
        <v>0</v>
      </c>
    </row>
    <row r="266" spans="1:13">
      <c r="A266" t="s">
        <v>308</v>
      </c>
      <c r="B266" t="s">
        <v>309</v>
      </c>
      <c r="C266" t="s">
        <v>213</v>
      </c>
      <c r="D266" t="s">
        <v>21</v>
      </c>
      <c r="E266" t="s">
        <v>310</v>
      </c>
      <c r="F266" t="s">
        <v>310</v>
      </c>
      <c r="G266" s="2">
        <v>45530</v>
      </c>
      <c r="H266" s="2">
        <v>45530</v>
      </c>
      <c r="I266">
        <v>466.2</v>
      </c>
      <c r="J266">
        <v>233.1</v>
      </c>
      <c r="K266" t="s">
        <v>20</v>
      </c>
      <c r="L266">
        <v>0</v>
      </c>
      <c r="M266">
        <v>233.1</v>
      </c>
    </row>
    <row r="267" spans="1:13">
      <c r="A267" t="s">
        <v>308</v>
      </c>
      <c r="B267" t="s">
        <v>309</v>
      </c>
      <c r="C267" t="s">
        <v>213</v>
      </c>
      <c r="D267" t="s">
        <v>17</v>
      </c>
      <c r="E267" t="s">
        <v>311</v>
      </c>
      <c r="F267" t="s">
        <v>310</v>
      </c>
      <c r="H267" s="2">
        <v>45554</v>
      </c>
      <c r="I267">
        <v>-233.1</v>
      </c>
      <c r="J267" t="s">
        <v>86</v>
      </c>
      <c r="K267" t="s">
        <v>20</v>
      </c>
      <c r="L267">
        <v>0</v>
      </c>
      <c r="M267" t="s">
        <v>86</v>
      </c>
    </row>
    <row r="268" spans="1:13">
      <c r="A268" t="s">
        <v>308</v>
      </c>
      <c r="B268" t="s">
        <v>309</v>
      </c>
      <c r="C268" t="s">
        <v>213</v>
      </c>
      <c r="D268" t="s">
        <v>17</v>
      </c>
      <c r="E268" t="s">
        <v>312</v>
      </c>
      <c r="F268" t="s">
        <v>19</v>
      </c>
      <c r="H268" s="2">
        <v>45546</v>
      </c>
      <c r="I268" s="1">
        <v>-2515.36</v>
      </c>
      <c r="J268">
        <v>-2515.36</v>
      </c>
      <c r="K268" t="s">
        <v>20</v>
      </c>
      <c r="L268">
        <v>0</v>
      </c>
      <c r="M268">
        <v>-2515.36</v>
      </c>
    </row>
    <row r="269" spans="1:13">
      <c r="A269" t="s">
        <v>308</v>
      </c>
      <c r="B269" t="s">
        <v>309</v>
      </c>
      <c r="C269" t="s">
        <v>213</v>
      </c>
      <c r="D269" t="s">
        <v>21</v>
      </c>
      <c r="E269" t="s">
        <v>313</v>
      </c>
      <c r="F269" t="s">
        <v>313</v>
      </c>
      <c r="G269" s="2">
        <v>45664</v>
      </c>
      <c r="H269" s="2">
        <v>45664</v>
      </c>
      <c r="I269" s="1">
        <v>2790</v>
      </c>
      <c r="J269">
        <v>2790</v>
      </c>
      <c r="K269" t="s">
        <v>20</v>
      </c>
      <c r="L269">
        <v>0</v>
      </c>
      <c r="M269">
        <v>2790</v>
      </c>
    </row>
    <row r="270" spans="1:13">
      <c r="A270" t="s">
        <v>314</v>
      </c>
      <c r="B270" t="s">
        <v>315</v>
      </c>
      <c r="C270" t="s">
        <v>16</v>
      </c>
      <c r="D270" t="s">
        <v>55</v>
      </c>
      <c r="E270" t="s">
        <v>19</v>
      </c>
      <c r="F270" t="s">
        <v>19</v>
      </c>
      <c r="H270" s="2">
        <v>45394</v>
      </c>
      <c r="I270">
        <v>-93.6</v>
      </c>
      <c r="J270">
        <v>-93.6</v>
      </c>
      <c r="K270" t="s">
        <v>20</v>
      </c>
      <c r="L270">
        <v>0</v>
      </c>
      <c r="M270">
        <v>-93.6</v>
      </c>
    </row>
    <row r="271" spans="1:13">
      <c r="A271" t="s">
        <v>314</v>
      </c>
      <c r="B271" t="s">
        <v>315</v>
      </c>
      <c r="C271" t="s">
        <v>16</v>
      </c>
      <c r="D271" t="s">
        <v>21</v>
      </c>
      <c r="E271" t="s">
        <v>316</v>
      </c>
      <c r="F271" t="s">
        <v>316</v>
      </c>
      <c r="G271" s="2">
        <v>45615</v>
      </c>
      <c r="H271" s="2">
        <v>45645</v>
      </c>
      <c r="I271">
        <v>250.86</v>
      </c>
      <c r="J271">
        <v>250.86</v>
      </c>
      <c r="K271" t="s">
        <v>20</v>
      </c>
      <c r="L271">
        <v>0</v>
      </c>
      <c r="M271">
        <v>250.86</v>
      </c>
    </row>
    <row r="272" spans="1:13">
      <c r="A272" t="s">
        <v>314</v>
      </c>
      <c r="B272" t="s">
        <v>315</v>
      </c>
      <c r="C272" t="s">
        <v>16</v>
      </c>
      <c r="D272" t="s">
        <v>21</v>
      </c>
      <c r="E272" t="s">
        <v>317</v>
      </c>
      <c r="F272" t="s">
        <v>317</v>
      </c>
      <c r="G272" s="2">
        <v>45631</v>
      </c>
      <c r="H272" s="2">
        <v>45661</v>
      </c>
      <c r="I272">
        <v>139.66999999999999</v>
      </c>
      <c r="J272">
        <v>139.66999999999999</v>
      </c>
      <c r="K272" t="s">
        <v>20</v>
      </c>
      <c r="L272">
        <v>0</v>
      </c>
      <c r="M272">
        <v>139.66999999999999</v>
      </c>
    </row>
    <row r="273" spans="1:13">
      <c r="A273" t="s">
        <v>314</v>
      </c>
      <c r="B273" t="s">
        <v>315</v>
      </c>
      <c r="C273" t="s">
        <v>16</v>
      </c>
      <c r="D273" t="s">
        <v>21</v>
      </c>
      <c r="E273" t="s">
        <v>318</v>
      </c>
      <c r="F273" t="s">
        <v>318</v>
      </c>
      <c r="G273" s="2">
        <v>45645</v>
      </c>
      <c r="H273" s="2">
        <v>45675</v>
      </c>
      <c r="I273" s="1">
        <v>2497.16</v>
      </c>
      <c r="J273">
        <v>2497.16</v>
      </c>
      <c r="K273" t="s">
        <v>20</v>
      </c>
      <c r="L273">
        <v>0</v>
      </c>
      <c r="M273">
        <v>2497.16</v>
      </c>
    </row>
    <row r="274" spans="1:13">
      <c r="A274" t="s">
        <v>314</v>
      </c>
      <c r="B274" t="s">
        <v>315</v>
      </c>
      <c r="C274" t="s">
        <v>16</v>
      </c>
      <c r="D274" t="s">
        <v>21</v>
      </c>
      <c r="E274" t="s">
        <v>319</v>
      </c>
      <c r="F274" t="s">
        <v>319</v>
      </c>
      <c r="G274" s="2">
        <v>45649</v>
      </c>
      <c r="H274" s="2">
        <v>45679</v>
      </c>
      <c r="I274" s="1">
        <v>3156.6</v>
      </c>
      <c r="J274">
        <v>3156.6</v>
      </c>
      <c r="K274" t="s">
        <v>20</v>
      </c>
      <c r="L274">
        <v>0</v>
      </c>
      <c r="M274">
        <v>3156.6</v>
      </c>
    </row>
    <row r="275" spans="1:13">
      <c r="A275" t="s">
        <v>320</v>
      </c>
      <c r="B275" t="s">
        <v>321</v>
      </c>
      <c r="C275" t="s">
        <v>16</v>
      </c>
      <c r="D275" t="s">
        <v>55</v>
      </c>
      <c r="E275" t="s">
        <v>19</v>
      </c>
      <c r="F275" t="s">
        <v>19</v>
      </c>
      <c r="H275" s="2">
        <v>45422</v>
      </c>
      <c r="I275">
        <v>-585</v>
      </c>
      <c r="J275">
        <v>-585</v>
      </c>
      <c r="K275" t="s">
        <v>20</v>
      </c>
      <c r="L275">
        <v>0</v>
      </c>
      <c r="M275">
        <v>-585</v>
      </c>
    </row>
    <row r="276" spans="1:13">
      <c r="A276" t="s">
        <v>320</v>
      </c>
      <c r="B276" t="s">
        <v>321</v>
      </c>
      <c r="C276" t="s">
        <v>16</v>
      </c>
      <c r="D276" t="s">
        <v>21</v>
      </c>
      <c r="E276" t="s">
        <v>322</v>
      </c>
      <c r="F276" t="s">
        <v>322</v>
      </c>
      <c r="G276" s="2">
        <v>45554</v>
      </c>
      <c r="H276" s="2">
        <v>45584</v>
      </c>
      <c r="I276">
        <v>499.46</v>
      </c>
      <c r="J276">
        <v>57.46</v>
      </c>
      <c r="K276" t="s">
        <v>20</v>
      </c>
      <c r="L276">
        <v>0</v>
      </c>
      <c r="M276">
        <v>57.46</v>
      </c>
    </row>
    <row r="277" spans="1:13">
      <c r="A277" t="s">
        <v>320</v>
      </c>
      <c r="B277" t="s">
        <v>321</v>
      </c>
      <c r="C277" t="s">
        <v>16</v>
      </c>
      <c r="D277" t="s">
        <v>55</v>
      </c>
      <c r="E277" t="s">
        <v>322</v>
      </c>
      <c r="F277" t="s">
        <v>322</v>
      </c>
      <c r="H277" s="2">
        <v>45665</v>
      </c>
      <c r="I277">
        <v>-442</v>
      </c>
      <c r="J277" t="s">
        <v>86</v>
      </c>
      <c r="K277" t="s">
        <v>20</v>
      </c>
      <c r="L277">
        <v>0</v>
      </c>
      <c r="M277" t="s">
        <v>86</v>
      </c>
    </row>
    <row r="278" spans="1:13">
      <c r="A278" t="s">
        <v>320</v>
      </c>
      <c r="B278" t="s">
        <v>321</v>
      </c>
      <c r="C278" t="s">
        <v>16</v>
      </c>
      <c r="D278" t="s">
        <v>21</v>
      </c>
      <c r="E278" t="s">
        <v>323</v>
      </c>
      <c r="F278" t="s">
        <v>323</v>
      </c>
      <c r="G278" s="2">
        <v>45735</v>
      </c>
      <c r="H278" s="2">
        <v>45765</v>
      </c>
      <c r="I278" s="1">
        <v>6032.57</v>
      </c>
      <c r="J278">
        <v>6032.57</v>
      </c>
      <c r="K278" t="s">
        <v>20</v>
      </c>
      <c r="L278">
        <v>0</v>
      </c>
      <c r="M278">
        <v>0</v>
      </c>
    </row>
    <row r="279" spans="1:13">
      <c r="A279" t="s">
        <v>320</v>
      </c>
      <c r="B279" t="s">
        <v>321</v>
      </c>
      <c r="C279" t="s">
        <v>16</v>
      </c>
      <c r="D279" t="s">
        <v>21</v>
      </c>
      <c r="E279" t="s">
        <v>324</v>
      </c>
      <c r="F279" t="s">
        <v>324</v>
      </c>
      <c r="G279" s="2">
        <v>45737</v>
      </c>
      <c r="H279" s="2">
        <v>45767</v>
      </c>
      <c r="I279" s="1">
        <v>45385.87</v>
      </c>
      <c r="J279">
        <v>45385.87</v>
      </c>
      <c r="K279" t="s">
        <v>20</v>
      </c>
      <c r="L279">
        <v>0</v>
      </c>
      <c r="M279">
        <v>0</v>
      </c>
    </row>
    <row r="280" spans="1:13">
      <c r="A280" t="s">
        <v>325</v>
      </c>
      <c r="B280" t="s">
        <v>326</v>
      </c>
      <c r="C280" t="s">
        <v>16</v>
      </c>
      <c r="D280" t="s">
        <v>21</v>
      </c>
      <c r="E280" t="s">
        <v>327</v>
      </c>
      <c r="F280" t="s">
        <v>327</v>
      </c>
      <c r="G280" s="2">
        <v>45687</v>
      </c>
      <c r="H280" s="2">
        <v>45717</v>
      </c>
      <c r="I280">
        <v>589.86</v>
      </c>
      <c r="J280">
        <v>589.86</v>
      </c>
      <c r="K280" t="s">
        <v>20</v>
      </c>
      <c r="L280">
        <v>10</v>
      </c>
      <c r="M280">
        <v>589.86</v>
      </c>
    </row>
    <row r="281" spans="1:13">
      <c r="A281" t="s">
        <v>328</v>
      </c>
      <c r="B281" t="s">
        <v>329</v>
      </c>
      <c r="C281" t="s">
        <v>16</v>
      </c>
      <c r="D281" t="s">
        <v>21</v>
      </c>
      <c r="E281" t="s">
        <v>330</v>
      </c>
      <c r="F281" t="s">
        <v>330</v>
      </c>
      <c r="G281" s="2">
        <v>45723</v>
      </c>
      <c r="H281" s="2">
        <v>45753</v>
      </c>
      <c r="I281" s="1">
        <v>1932.3</v>
      </c>
      <c r="J281">
        <v>1932.3</v>
      </c>
      <c r="K281" t="s">
        <v>20</v>
      </c>
      <c r="L281">
        <v>0</v>
      </c>
      <c r="M281">
        <v>0</v>
      </c>
    </row>
    <row r="282" spans="1:13">
      <c r="A282" t="s">
        <v>331</v>
      </c>
      <c r="B282" t="s">
        <v>332</v>
      </c>
      <c r="C282" t="s">
        <v>16</v>
      </c>
      <c r="D282" t="s">
        <v>21</v>
      </c>
      <c r="E282" t="s">
        <v>333</v>
      </c>
      <c r="F282" t="s">
        <v>333</v>
      </c>
      <c r="G282" s="2">
        <v>45708</v>
      </c>
      <c r="H282" s="2">
        <v>45738</v>
      </c>
      <c r="I282">
        <v>470.08</v>
      </c>
      <c r="J282">
        <v>470.08</v>
      </c>
      <c r="K282" t="s">
        <v>20</v>
      </c>
      <c r="L282">
        <v>12</v>
      </c>
      <c r="M282">
        <v>470.08</v>
      </c>
    </row>
    <row r="283" spans="1:13">
      <c r="A283" t="s">
        <v>334</v>
      </c>
      <c r="B283" t="s">
        <v>335</v>
      </c>
      <c r="C283" t="s">
        <v>16</v>
      </c>
      <c r="D283" t="s">
        <v>21</v>
      </c>
      <c r="E283" t="s">
        <v>336</v>
      </c>
      <c r="F283" t="s">
        <v>336</v>
      </c>
      <c r="G283" s="2">
        <v>45392</v>
      </c>
      <c r="H283" s="2">
        <v>45422</v>
      </c>
      <c r="I283" s="1">
        <v>36932.959999999999</v>
      </c>
      <c r="J283">
        <v>1090.1500000000001</v>
      </c>
      <c r="K283" t="s">
        <v>20</v>
      </c>
      <c r="L283">
        <v>0</v>
      </c>
      <c r="M283">
        <v>1090.1500000000001</v>
      </c>
    </row>
    <row r="284" spans="1:13">
      <c r="A284" t="s">
        <v>334</v>
      </c>
      <c r="B284" t="s">
        <v>335</v>
      </c>
      <c r="C284" t="s">
        <v>16</v>
      </c>
      <c r="D284" t="s">
        <v>55</v>
      </c>
      <c r="E284" t="s">
        <v>336</v>
      </c>
      <c r="F284" t="s">
        <v>336</v>
      </c>
      <c r="H284" s="2">
        <v>45569</v>
      </c>
      <c r="I284" s="1">
        <v>-35842.81</v>
      </c>
      <c r="J284" t="s">
        <v>86</v>
      </c>
      <c r="K284" t="s">
        <v>20</v>
      </c>
      <c r="L284">
        <v>0</v>
      </c>
      <c r="M284" t="s">
        <v>86</v>
      </c>
    </row>
    <row r="285" spans="1:13">
      <c r="A285" t="s">
        <v>334</v>
      </c>
      <c r="B285" t="s">
        <v>335</v>
      </c>
      <c r="C285" t="s">
        <v>16</v>
      </c>
      <c r="D285" t="s">
        <v>21</v>
      </c>
      <c r="E285" t="s">
        <v>337</v>
      </c>
      <c r="F285" t="s">
        <v>337</v>
      </c>
      <c r="G285" s="2">
        <v>45397</v>
      </c>
      <c r="H285" s="2">
        <v>45427</v>
      </c>
      <c r="I285" s="1">
        <v>3220.5</v>
      </c>
      <c r="J285">
        <v>3220.5</v>
      </c>
      <c r="K285" t="s">
        <v>20</v>
      </c>
      <c r="L285">
        <v>0</v>
      </c>
      <c r="M285">
        <v>3220.5</v>
      </c>
    </row>
    <row r="286" spans="1:13">
      <c r="A286" t="s">
        <v>334</v>
      </c>
      <c r="B286" t="s">
        <v>335</v>
      </c>
      <c r="C286" t="s">
        <v>16</v>
      </c>
      <c r="D286" t="s">
        <v>17</v>
      </c>
      <c r="E286" t="s">
        <v>338</v>
      </c>
      <c r="F286" t="s">
        <v>19</v>
      </c>
      <c r="H286" s="2">
        <v>45443</v>
      </c>
      <c r="I286" s="1">
        <v>-5471.54</v>
      </c>
      <c r="J286">
        <v>-5471.54</v>
      </c>
      <c r="K286" t="s">
        <v>20</v>
      </c>
      <c r="L286">
        <v>0</v>
      </c>
      <c r="M286">
        <v>-5471.54</v>
      </c>
    </row>
    <row r="287" spans="1:13">
      <c r="A287" t="s">
        <v>334</v>
      </c>
      <c r="B287" t="s">
        <v>335</v>
      </c>
      <c r="C287" t="s">
        <v>16</v>
      </c>
      <c r="D287" t="s">
        <v>21</v>
      </c>
      <c r="E287" t="s">
        <v>339</v>
      </c>
      <c r="F287" t="s">
        <v>339</v>
      </c>
      <c r="G287" s="2">
        <v>45488</v>
      </c>
      <c r="H287" s="2">
        <v>45518</v>
      </c>
      <c r="I287" s="1">
        <v>1305.1500000000001</v>
      </c>
      <c r="J287">
        <v>1305.1500000000001</v>
      </c>
      <c r="K287" t="s">
        <v>20</v>
      </c>
      <c r="L287">
        <v>0</v>
      </c>
      <c r="M287">
        <v>1305.1500000000001</v>
      </c>
    </row>
    <row r="288" spans="1:13">
      <c r="A288" t="s">
        <v>334</v>
      </c>
      <c r="B288" t="s">
        <v>335</v>
      </c>
      <c r="C288" t="s">
        <v>16</v>
      </c>
      <c r="D288" t="s">
        <v>21</v>
      </c>
      <c r="E288" t="s">
        <v>340</v>
      </c>
      <c r="F288" t="s">
        <v>340</v>
      </c>
      <c r="G288" s="2">
        <v>45489</v>
      </c>
      <c r="H288" s="2">
        <v>45519</v>
      </c>
      <c r="I288" s="1">
        <v>2178.64</v>
      </c>
      <c r="J288">
        <v>2178.64</v>
      </c>
      <c r="K288" t="s">
        <v>20</v>
      </c>
      <c r="L288">
        <v>0</v>
      </c>
      <c r="M288">
        <v>2178.64</v>
      </c>
    </row>
    <row r="289" spans="1:13">
      <c r="A289" t="s">
        <v>341</v>
      </c>
      <c r="B289" t="s">
        <v>342</v>
      </c>
      <c r="C289" t="s">
        <v>16</v>
      </c>
      <c r="D289" t="s">
        <v>17</v>
      </c>
      <c r="E289" t="s">
        <v>343</v>
      </c>
      <c r="F289" t="s">
        <v>19</v>
      </c>
      <c r="H289" s="2">
        <v>45322</v>
      </c>
      <c r="I289">
        <v>-866.16</v>
      </c>
      <c r="J289">
        <v>-866.16</v>
      </c>
      <c r="K289" t="s">
        <v>20</v>
      </c>
      <c r="L289">
        <v>0</v>
      </c>
      <c r="M289">
        <v>-866.16</v>
      </c>
    </row>
    <row r="290" spans="1:13">
      <c r="A290" t="s">
        <v>341</v>
      </c>
      <c r="B290" t="s">
        <v>342</v>
      </c>
      <c r="C290" t="s">
        <v>16</v>
      </c>
      <c r="D290" t="s">
        <v>17</v>
      </c>
      <c r="E290" t="s">
        <v>344</v>
      </c>
      <c r="F290" t="s">
        <v>19</v>
      </c>
      <c r="H290" s="2">
        <v>45322</v>
      </c>
      <c r="I290">
        <v>-24.84</v>
      </c>
      <c r="J290">
        <v>-24.84</v>
      </c>
      <c r="K290" t="s">
        <v>20</v>
      </c>
      <c r="L290">
        <v>0</v>
      </c>
      <c r="M290">
        <v>-24.84</v>
      </c>
    </row>
    <row r="291" spans="1:13">
      <c r="A291" t="s">
        <v>345</v>
      </c>
      <c r="B291" t="s">
        <v>346</v>
      </c>
      <c r="C291" t="s">
        <v>347</v>
      </c>
      <c r="D291" t="s">
        <v>55</v>
      </c>
      <c r="E291" t="s">
        <v>19</v>
      </c>
      <c r="F291" t="s">
        <v>19</v>
      </c>
      <c r="H291" s="2">
        <v>45646</v>
      </c>
      <c r="I291">
        <v>-147.41999999999999</v>
      </c>
      <c r="J291">
        <v>-147.41999999999999</v>
      </c>
      <c r="K291" t="s">
        <v>20</v>
      </c>
      <c r="L291">
        <v>0</v>
      </c>
      <c r="M291">
        <v>-147.41999999999999</v>
      </c>
    </row>
    <row r="292" spans="1:13">
      <c r="A292" t="s">
        <v>345</v>
      </c>
      <c r="B292" t="s">
        <v>346</v>
      </c>
      <c r="C292" t="s">
        <v>347</v>
      </c>
      <c r="D292" t="s">
        <v>55</v>
      </c>
      <c r="E292" t="s">
        <v>19</v>
      </c>
      <c r="F292" t="s">
        <v>19</v>
      </c>
      <c r="H292" s="2">
        <v>45712</v>
      </c>
      <c r="I292">
        <v>-92.4</v>
      </c>
      <c r="J292">
        <v>-92.4</v>
      </c>
      <c r="K292" t="s">
        <v>20</v>
      </c>
      <c r="L292">
        <v>0</v>
      </c>
      <c r="M292">
        <v>-92.4</v>
      </c>
    </row>
    <row r="293" spans="1:13">
      <c r="A293" t="s">
        <v>348</v>
      </c>
      <c r="B293" t="s">
        <v>349</v>
      </c>
      <c r="C293" t="s">
        <v>213</v>
      </c>
      <c r="D293" t="s">
        <v>17</v>
      </c>
      <c r="E293" t="s">
        <v>350</v>
      </c>
      <c r="F293" t="s">
        <v>19</v>
      </c>
      <c r="H293" s="2">
        <v>45471</v>
      </c>
      <c r="I293">
        <v>-646.09</v>
      </c>
      <c r="J293">
        <v>-646.09</v>
      </c>
      <c r="K293" t="s">
        <v>20</v>
      </c>
      <c r="L293">
        <v>0</v>
      </c>
      <c r="M293">
        <v>-646.09</v>
      </c>
    </row>
    <row r="294" spans="1:13">
      <c r="A294" t="s">
        <v>351</v>
      </c>
      <c r="B294" t="s">
        <v>352</v>
      </c>
      <c r="C294" t="s">
        <v>16</v>
      </c>
      <c r="D294" t="s">
        <v>17</v>
      </c>
      <c r="E294" t="s">
        <v>353</v>
      </c>
      <c r="F294" t="s">
        <v>19</v>
      </c>
      <c r="H294" s="2">
        <v>45377</v>
      </c>
      <c r="I294">
        <v>-42.12</v>
      </c>
      <c r="J294">
        <v>-42.12</v>
      </c>
      <c r="K294" t="s">
        <v>20</v>
      </c>
      <c r="L294">
        <v>0</v>
      </c>
      <c r="M294">
        <v>-42.12</v>
      </c>
    </row>
    <row r="295" spans="1:13">
      <c r="A295" t="s">
        <v>351</v>
      </c>
      <c r="B295" t="s">
        <v>352</v>
      </c>
      <c r="C295" t="s">
        <v>16</v>
      </c>
      <c r="D295" t="s">
        <v>55</v>
      </c>
      <c r="E295" t="s">
        <v>19</v>
      </c>
      <c r="F295" t="s">
        <v>19</v>
      </c>
      <c r="H295" s="2">
        <v>45504</v>
      </c>
      <c r="I295">
        <v>-5.4</v>
      </c>
      <c r="J295">
        <v>-5.4</v>
      </c>
      <c r="K295" t="s">
        <v>20</v>
      </c>
      <c r="L295">
        <v>0</v>
      </c>
      <c r="M295">
        <v>-5.4</v>
      </c>
    </row>
    <row r="296" spans="1:13">
      <c r="A296" t="s">
        <v>351</v>
      </c>
      <c r="B296" t="s">
        <v>352</v>
      </c>
      <c r="C296" t="s">
        <v>16</v>
      </c>
      <c r="D296" t="s">
        <v>17</v>
      </c>
      <c r="E296" t="s">
        <v>354</v>
      </c>
      <c r="F296" t="s">
        <v>19</v>
      </c>
      <c r="H296" s="2">
        <v>45519</v>
      </c>
      <c r="I296">
        <v>-1.0900000000000001</v>
      </c>
      <c r="J296">
        <v>-1.0900000000000001</v>
      </c>
      <c r="K296" t="s">
        <v>20</v>
      </c>
      <c r="L296">
        <v>0</v>
      </c>
      <c r="M296">
        <v>-1.0900000000000001</v>
      </c>
    </row>
    <row r="297" spans="1:13">
      <c r="A297" t="s">
        <v>351</v>
      </c>
      <c r="B297" t="s">
        <v>352</v>
      </c>
      <c r="C297" t="s">
        <v>16</v>
      </c>
      <c r="D297" t="s">
        <v>17</v>
      </c>
      <c r="E297" t="s">
        <v>355</v>
      </c>
      <c r="F297" t="s">
        <v>19</v>
      </c>
      <c r="H297" s="2">
        <v>45519</v>
      </c>
      <c r="I297">
        <v>-1.6</v>
      </c>
      <c r="J297">
        <v>-1.6</v>
      </c>
      <c r="K297" t="s">
        <v>20</v>
      </c>
      <c r="L297">
        <v>0</v>
      </c>
      <c r="M297">
        <v>-1.6</v>
      </c>
    </row>
    <row r="298" spans="1:13">
      <c r="A298" t="s">
        <v>351</v>
      </c>
      <c r="B298" t="s">
        <v>352</v>
      </c>
      <c r="C298" t="s">
        <v>16</v>
      </c>
      <c r="D298" t="s">
        <v>17</v>
      </c>
      <c r="E298" t="s">
        <v>356</v>
      </c>
      <c r="F298" t="s">
        <v>19</v>
      </c>
      <c r="H298" s="2">
        <v>45519</v>
      </c>
      <c r="I298">
        <v>-1.6</v>
      </c>
      <c r="J298">
        <v>-1.6</v>
      </c>
      <c r="K298" t="s">
        <v>20</v>
      </c>
      <c r="L298">
        <v>0</v>
      </c>
      <c r="M298">
        <v>-1.6</v>
      </c>
    </row>
    <row r="299" spans="1:13">
      <c r="A299" t="s">
        <v>351</v>
      </c>
      <c r="B299" t="s">
        <v>352</v>
      </c>
      <c r="C299" t="s">
        <v>16</v>
      </c>
      <c r="D299" t="s">
        <v>17</v>
      </c>
      <c r="E299" t="s">
        <v>357</v>
      </c>
      <c r="F299" t="s">
        <v>19</v>
      </c>
      <c r="H299" s="2">
        <v>45532</v>
      </c>
      <c r="I299">
        <v>-1.97</v>
      </c>
      <c r="J299">
        <v>-1.97</v>
      </c>
      <c r="K299" t="s">
        <v>20</v>
      </c>
      <c r="L299">
        <v>0</v>
      </c>
      <c r="M299">
        <v>-1.97</v>
      </c>
    </row>
    <row r="300" spans="1:13">
      <c r="A300" t="s">
        <v>351</v>
      </c>
      <c r="B300" t="s">
        <v>352</v>
      </c>
      <c r="C300" t="s">
        <v>16</v>
      </c>
      <c r="D300" t="s">
        <v>55</v>
      </c>
      <c r="E300" t="s">
        <v>19</v>
      </c>
      <c r="F300" t="s">
        <v>19</v>
      </c>
      <c r="H300" s="2">
        <v>45534</v>
      </c>
      <c r="I300">
        <v>-28.11</v>
      </c>
      <c r="J300">
        <v>-28.11</v>
      </c>
      <c r="K300" t="s">
        <v>20</v>
      </c>
      <c r="L300">
        <v>0</v>
      </c>
      <c r="M300">
        <v>-28.11</v>
      </c>
    </row>
    <row r="301" spans="1:13">
      <c r="A301" t="s">
        <v>351</v>
      </c>
      <c r="B301" t="s">
        <v>352</v>
      </c>
      <c r="C301" t="s">
        <v>16</v>
      </c>
      <c r="D301" t="s">
        <v>55</v>
      </c>
      <c r="E301" t="s">
        <v>19</v>
      </c>
      <c r="F301" t="s">
        <v>19</v>
      </c>
      <c r="H301" s="2">
        <v>45565</v>
      </c>
      <c r="I301">
        <v>-11.31</v>
      </c>
      <c r="J301">
        <v>-11.31</v>
      </c>
      <c r="K301" t="s">
        <v>20</v>
      </c>
      <c r="L301">
        <v>0</v>
      </c>
      <c r="M301">
        <v>-11.31</v>
      </c>
    </row>
    <row r="302" spans="1:13">
      <c r="A302" t="s">
        <v>351</v>
      </c>
      <c r="B302" t="s">
        <v>352</v>
      </c>
      <c r="C302" t="s">
        <v>16</v>
      </c>
      <c r="D302" t="s">
        <v>21</v>
      </c>
      <c r="E302" t="s">
        <v>358</v>
      </c>
      <c r="F302" t="s">
        <v>358</v>
      </c>
      <c r="G302" s="2">
        <v>45540</v>
      </c>
      <c r="H302" s="2">
        <v>45570</v>
      </c>
      <c r="I302">
        <v>42.48</v>
      </c>
      <c r="J302">
        <v>3.86</v>
      </c>
      <c r="K302" t="s">
        <v>20</v>
      </c>
      <c r="L302">
        <v>0</v>
      </c>
      <c r="M302">
        <v>3.86</v>
      </c>
    </row>
    <row r="303" spans="1:13">
      <c r="A303" t="s">
        <v>351</v>
      </c>
      <c r="B303" t="s">
        <v>352</v>
      </c>
      <c r="C303" t="s">
        <v>16</v>
      </c>
      <c r="D303" t="s">
        <v>55</v>
      </c>
      <c r="E303" t="s">
        <v>358</v>
      </c>
      <c r="F303" t="s">
        <v>358</v>
      </c>
      <c r="H303" s="2">
        <v>45596</v>
      </c>
      <c r="I303">
        <v>-38.619999999999997</v>
      </c>
      <c r="J303" t="s">
        <v>86</v>
      </c>
      <c r="K303" t="s">
        <v>20</v>
      </c>
      <c r="L303">
        <v>0</v>
      </c>
      <c r="M303" t="s">
        <v>86</v>
      </c>
    </row>
    <row r="304" spans="1:13">
      <c r="A304" t="s">
        <v>351</v>
      </c>
      <c r="B304" t="s">
        <v>352</v>
      </c>
      <c r="C304" t="s">
        <v>16</v>
      </c>
      <c r="D304" t="s">
        <v>21</v>
      </c>
      <c r="E304" t="s">
        <v>359</v>
      </c>
      <c r="F304" t="s">
        <v>359</v>
      </c>
      <c r="G304" s="2">
        <v>45541</v>
      </c>
      <c r="H304" s="2">
        <v>45571</v>
      </c>
      <c r="I304">
        <v>126.01</v>
      </c>
      <c r="J304">
        <v>10.01</v>
      </c>
      <c r="K304" t="s">
        <v>20</v>
      </c>
      <c r="L304">
        <v>0</v>
      </c>
      <c r="M304">
        <v>10.01</v>
      </c>
    </row>
    <row r="305" spans="1:13">
      <c r="A305" t="s">
        <v>351</v>
      </c>
      <c r="B305" t="s">
        <v>352</v>
      </c>
      <c r="C305" t="s">
        <v>16</v>
      </c>
      <c r="D305" t="s">
        <v>55</v>
      </c>
      <c r="E305" t="s">
        <v>359</v>
      </c>
      <c r="F305" t="s">
        <v>359</v>
      </c>
      <c r="H305" s="2">
        <v>45596</v>
      </c>
      <c r="I305">
        <v>-116</v>
      </c>
      <c r="J305" t="s">
        <v>86</v>
      </c>
      <c r="K305" t="s">
        <v>20</v>
      </c>
      <c r="L305">
        <v>0</v>
      </c>
      <c r="M305" t="s">
        <v>86</v>
      </c>
    </row>
    <row r="306" spans="1:13">
      <c r="A306" t="s">
        <v>351</v>
      </c>
      <c r="B306" t="s">
        <v>352</v>
      </c>
      <c r="C306" t="s">
        <v>16</v>
      </c>
      <c r="D306" t="s">
        <v>21</v>
      </c>
      <c r="E306" t="s">
        <v>360</v>
      </c>
      <c r="F306" t="s">
        <v>360</v>
      </c>
      <c r="G306" s="2">
        <v>45541</v>
      </c>
      <c r="H306" s="2">
        <v>45571</v>
      </c>
      <c r="I306">
        <v>123.69</v>
      </c>
      <c r="J306">
        <v>7.69</v>
      </c>
      <c r="K306" t="s">
        <v>20</v>
      </c>
      <c r="L306">
        <v>0</v>
      </c>
      <c r="M306">
        <v>7.69</v>
      </c>
    </row>
    <row r="307" spans="1:13">
      <c r="A307" t="s">
        <v>351</v>
      </c>
      <c r="B307" t="s">
        <v>352</v>
      </c>
      <c r="C307" t="s">
        <v>16</v>
      </c>
      <c r="D307" t="s">
        <v>55</v>
      </c>
      <c r="E307" t="s">
        <v>360</v>
      </c>
      <c r="F307" t="s">
        <v>360</v>
      </c>
      <c r="H307" s="2">
        <v>45596</v>
      </c>
      <c r="I307">
        <v>-116</v>
      </c>
      <c r="J307" t="s">
        <v>86</v>
      </c>
      <c r="K307" t="s">
        <v>20</v>
      </c>
      <c r="L307">
        <v>0</v>
      </c>
      <c r="M307" t="s">
        <v>86</v>
      </c>
    </row>
    <row r="308" spans="1:13">
      <c r="A308" t="s">
        <v>351</v>
      </c>
      <c r="B308" t="s">
        <v>352</v>
      </c>
      <c r="C308" t="s">
        <v>16</v>
      </c>
      <c r="D308" t="s">
        <v>21</v>
      </c>
      <c r="E308" t="s">
        <v>361</v>
      </c>
      <c r="F308" t="s">
        <v>361</v>
      </c>
      <c r="G308" s="2">
        <v>45548</v>
      </c>
      <c r="H308" s="2">
        <v>45578</v>
      </c>
      <c r="I308">
        <v>31.35</v>
      </c>
      <c r="J308">
        <v>2.85</v>
      </c>
      <c r="K308" t="s">
        <v>20</v>
      </c>
      <c r="L308">
        <v>0</v>
      </c>
      <c r="M308">
        <v>2.85</v>
      </c>
    </row>
    <row r="309" spans="1:13">
      <c r="A309" t="s">
        <v>351</v>
      </c>
      <c r="B309" t="s">
        <v>352</v>
      </c>
      <c r="C309" t="s">
        <v>16</v>
      </c>
      <c r="D309" t="s">
        <v>55</v>
      </c>
      <c r="E309" t="s">
        <v>361</v>
      </c>
      <c r="F309" t="s">
        <v>361</v>
      </c>
      <c r="H309" s="2">
        <v>45596</v>
      </c>
      <c r="I309">
        <v>-28.5</v>
      </c>
      <c r="J309" t="s">
        <v>86</v>
      </c>
      <c r="K309" t="s">
        <v>20</v>
      </c>
      <c r="L309">
        <v>0</v>
      </c>
      <c r="M309" t="s">
        <v>86</v>
      </c>
    </row>
    <row r="310" spans="1:13">
      <c r="A310" t="s">
        <v>351</v>
      </c>
      <c r="B310" t="s">
        <v>352</v>
      </c>
      <c r="C310" t="s">
        <v>16</v>
      </c>
      <c r="D310" t="s">
        <v>21</v>
      </c>
      <c r="E310" t="s">
        <v>362</v>
      </c>
      <c r="F310" t="s">
        <v>362</v>
      </c>
      <c r="G310" s="2">
        <v>45548</v>
      </c>
      <c r="H310" s="2">
        <v>45578</v>
      </c>
      <c r="I310">
        <v>98.06</v>
      </c>
      <c r="J310">
        <v>7.79</v>
      </c>
      <c r="K310" t="s">
        <v>20</v>
      </c>
      <c r="L310">
        <v>0</v>
      </c>
      <c r="M310">
        <v>7.79</v>
      </c>
    </row>
    <row r="311" spans="1:13">
      <c r="A311" t="s">
        <v>351</v>
      </c>
      <c r="B311" t="s">
        <v>352</v>
      </c>
      <c r="C311" t="s">
        <v>16</v>
      </c>
      <c r="D311" t="s">
        <v>55</v>
      </c>
      <c r="E311" t="s">
        <v>362</v>
      </c>
      <c r="F311" t="s">
        <v>362</v>
      </c>
      <c r="H311" s="2">
        <v>45596</v>
      </c>
      <c r="I311">
        <v>-90.27</v>
      </c>
      <c r="J311" t="s">
        <v>86</v>
      </c>
      <c r="K311" t="s">
        <v>20</v>
      </c>
      <c r="L311">
        <v>0</v>
      </c>
      <c r="M311" t="s">
        <v>86</v>
      </c>
    </row>
    <row r="312" spans="1:13">
      <c r="A312" t="s">
        <v>351</v>
      </c>
      <c r="B312" t="s">
        <v>352</v>
      </c>
      <c r="C312" t="s">
        <v>16</v>
      </c>
      <c r="D312" t="s">
        <v>55</v>
      </c>
      <c r="E312" t="s">
        <v>19</v>
      </c>
      <c r="F312" t="s">
        <v>19</v>
      </c>
      <c r="H312" s="2">
        <v>45596</v>
      </c>
      <c r="I312">
        <v>-6.64</v>
      </c>
      <c r="J312">
        <v>-6.64</v>
      </c>
      <c r="K312" t="s">
        <v>20</v>
      </c>
      <c r="L312">
        <v>0</v>
      </c>
      <c r="M312">
        <v>-6.64</v>
      </c>
    </row>
    <row r="313" spans="1:13">
      <c r="A313" t="s">
        <v>351</v>
      </c>
      <c r="B313" t="s">
        <v>352</v>
      </c>
      <c r="C313" t="s">
        <v>16</v>
      </c>
      <c r="D313" t="s">
        <v>21</v>
      </c>
      <c r="E313" t="s">
        <v>363</v>
      </c>
      <c r="F313" t="s">
        <v>363</v>
      </c>
      <c r="G313" s="2">
        <v>45594</v>
      </c>
      <c r="H313" s="2">
        <v>45624</v>
      </c>
      <c r="I313">
        <v>42.48</v>
      </c>
      <c r="J313">
        <v>3.86</v>
      </c>
      <c r="K313" t="s">
        <v>20</v>
      </c>
      <c r="L313">
        <v>0</v>
      </c>
      <c r="M313">
        <v>3.86</v>
      </c>
    </row>
    <row r="314" spans="1:13">
      <c r="A314" t="s">
        <v>351</v>
      </c>
      <c r="B314" t="s">
        <v>352</v>
      </c>
      <c r="C314" t="s">
        <v>16</v>
      </c>
      <c r="D314" t="s">
        <v>55</v>
      </c>
      <c r="E314" t="s">
        <v>363</v>
      </c>
      <c r="F314" t="s">
        <v>363</v>
      </c>
      <c r="H314" s="2">
        <v>45625</v>
      </c>
      <c r="I314">
        <v>-38.619999999999997</v>
      </c>
      <c r="J314" t="s">
        <v>86</v>
      </c>
      <c r="K314" t="s">
        <v>20</v>
      </c>
      <c r="L314">
        <v>0</v>
      </c>
      <c r="M314" t="s">
        <v>86</v>
      </c>
    </row>
    <row r="315" spans="1:13">
      <c r="A315" t="s">
        <v>351</v>
      </c>
      <c r="B315" t="s">
        <v>352</v>
      </c>
      <c r="C315" t="s">
        <v>16</v>
      </c>
      <c r="D315" t="s">
        <v>55</v>
      </c>
      <c r="E315" t="s">
        <v>19</v>
      </c>
      <c r="F315" t="s">
        <v>19</v>
      </c>
      <c r="H315" s="2">
        <v>45688</v>
      </c>
      <c r="I315">
        <v>-6.64</v>
      </c>
      <c r="J315">
        <v>-6.64</v>
      </c>
      <c r="K315" t="s">
        <v>20</v>
      </c>
      <c r="L315">
        <v>0</v>
      </c>
      <c r="M315">
        <v>-6.64</v>
      </c>
    </row>
    <row r="316" spans="1:13">
      <c r="A316" t="s">
        <v>351</v>
      </c>
      <c r="B316" t="s">
        <v>352</v>
      </c>
      <c r="C316" t="s">
        <v>16</v>
      </c>
      <c r="D316" t="s">
        <v>55</v>
      </c>
      <c r="E316" t="s">
        <v>19</v>
      </c>
      <c r="F316" t="s">
        <v>19</v>
      </c>
      <c r="H316" s="2">
        <v>45716</v>
      </c>
      <c r="I316">
        <v>-18.68</v>
      </c>
      <c r="J316">
        <v>-18.68</v>
      </c>
      <c r="K316" t="s">
        <v>20</v>
      </c>
      <c r="L316">
        <v>0</v>
      </c>
      <c r="M316">
        <v>-18.68</v>
      </c>
    </row>
    <row r="317" spans="1:13">
      <c r="A317" t="s">
        <v>351</v>
      </c>
      <c r="B317" t="s">
        <v>352</v>
      </c>
      <c r="C317" t="s">
        <v>16</v>
      </c>
      <c r="D317" t="s">
        <v>21</v>
      </c>
      <c r="E317" t="s">
        <v>364</v>
      </c>
      <c r="F317" t="s">
        <v>364</v>
      </c>
      <c r="G317" s="2">
        <v>45698</v>
      </c>
      <c r="H317" s="2">
        <v>45728</v>
      </c>
      <c r="I317">
        <v>53</v>
      </c>
      <c r="J317">
        <v>53</v>
      </c>
      <c r="K317" t="s">
        <v>20</v>
      </c>
      <c r="L317">
        <v>11</v>
      </c>
      <c r="M317">
        <v>53</v>
      </c>
    </row>
    <row r="318" spans="1:13">
      <c r="A318" t="s">
        <v>351</v>
      </c>
      <c r="B318" t="s">
        <v>352</v>
      </c>
      <c r="C318" t="s">
        <v>16</v>
      </c>
      <c r="D318" t="s">
        <v>21</v>
      </c>
      <c r="E318" t="s">
        <v>365</v>
      </c>
      <c r="F318" t="s">
        <v>365</v>
      </c>
      <c r="G318" s="2">
        <v>45700</v>
      </c>
      <c r="H318" s="2">
        <v>45730</v>
      </c>
      <c r="I318">
        <v>105.5</v>
      </c>
      <c r="J318">
        <v>105.5</v>
      </c>
      <c r="K318" t="s">
        <v>20</v>
      </c>
      <c r="L318">
        <v>11</v>
      </c>
      <c r="M318">
        <v>105.5</v>
      </c>
    </row>
    <row r="319" spans="1:13">
      <c r="A319" t="s">
        <v>351</v>
      </c>
      <c r="B319" t="s">
        <v>352</v>
      </c>
      <c r="C319" t="s">
        <v>16</v>
      </c>
      <c r="D319" t="s">
        <v>21</v>
      </c>
      <c r="E319" t="s">
        <v>366</v>
      </c>
      <c r="F319" t="s">
        <v>366</v>
      </c>
      <c r="G319" s="2">
        <v>45700</v>
      </c>
      <c r="H319" s="2">
        <v>45730</v>
      </c>
      <c r="I319">
        <v>32.9</v>
      </c>
      <c r="J319">
        <v>32.9</v>
      </c>
      <c r="K319" t="s">
        <v>20</v>
      </c>
      <c r="L319">
        <v>11</v>
      </c>
      <c r="M319">
        <v>32.9</v>
      </c>
    </row>
    <row r="320" spans="1:13">
      <c r="A320" t="s">
        <v>351</v>
      </c>
      <c r="B320" t="s">
        <v>352</v>
      </c>
      <c r="C320" t="s">
        <v>16</v>
      </c>
      <c r="D320" t="s">
        <v>21</v>
      </c>
      <c r="E320" t="s">
        <v>367</v>
      </c>
      <c r="F320" t="s">
        <v>367</v>
      </c>
      <c r="G320" s="2">
        <v>45721</v>
      </c>
      <c r="H320" s="2">
        <v>45751</v>
      </c>
      <c r="I320">
        <v>42.12</v>
      </c>
      <c r="J320">
        <v>42.12</v>
      </c>
      <c r="K320" t="s">
        <v>20</v>
      </c>
      <c r="L320">
        <v>0</v>
      </c>
      <c r="M320">
        <v>0</v>
      </c>
    </row>
    <row r="321" spans="1:13">
      <c r="A321" t="s">
        <v>351</v>
      </c>
      <c r="B321" t="s">
        <v>352</v>
      </c>
      <c r="C321" t="s">
        <v>16</v>
      </c>
      <c r="D321" t="s">
        <v>21</v>
      </c>
      <c r="E321" t="s">
        <v>368</v>
      </c>
      <c r="F321" t="s">
        <v>368</v>
      </c>
      <c r="G321" s="2">
        <v>45721</v>
      </c>
      <c r="H321" s="2">
        <v>45751</v>
      </c>
      <c r="I321">
        <v>53</v>
      </c>
      <c r="J321">
        <v>53</v>
      </c>
      <c r="K321" t="s">
        <v>20</v>
      </c>
      <c r="L321">
        <v>0</v>
      </c>
      <c r="M321">
        <v>0</v>
      </c>
    </row>
    <row r="322" spans="1:13">
      <c r="A322" t="s">
        <v>351</v>
      </c>
      <c r="B322" t="s">
        <v>352</v>
      </c>
      <c r="C322" t="s">
        <v>16</v>
      </c>
      <c r="D322" t="s">
        <v>21</v>
      </c>
      <c r="E322" t="s">
        <v>369</v>
      </c>
      <c r="F322" t="s">
        <v>369</v>
      </c>
      <c r="G322" s="2">
        <v>45721</v>
      </c>
      <c r="H322" s="2">
        <v>45751</v>
      </c>
      <c r="I322">
        <v>90.27</v>
      </c>
      <c r="J322">
        <v>90.27</v>
      </c>
      <c r="K322" t="s">
        <v>20</v>
      </c>
      <c r="L322">
        <v>0</v>
      </c>
      <c r="M322">
        <v>0</v>
      </c>
    </row>
    <row r="323" spans="1:13">
      <c r="A323" t="s">
        <v>351</v>
      </c>
      <c r="B323" t="s">
        <v>352</v>
      </c>
      <c r="C323" t="s">
        <v>16</v>
      </c>
      <c r="D323" t="s">
        <v>21</v>
      </c>
      <c r="E323" t="s">
        <v>370</v>
      </c>
      <c r="F323" t="s">
        <v>370</v>
      </c>
      <c r="G323" s="2">
        <v>45730</v>
      </c>
      <c r="H323" s="2">
        <v>45760</v>
      </c>
      <c r="I323">
        <v>116</v>
      </c>
      <c r="J323">
        <v>116</v>
      </c>
      <c r="K323" t="s">
        <v>20</v>
      </c>
      <c r="L323">
        <v>0</v>
      </c>
      <c r="M323">
        <v>0</v>
      </c>
    </row>
    <row r="324" spans="1:13">
      <c r="A324" t="s">
        <v>351</v>
      </c>
      <c r="B324" t="s">
        <v>352</v>
      </c>
      <c r="C324" t="s">
        <v>16</v>
      </c>
      <c r="D324" t="s">
        <v>21</v>
      </c>
      <c r="E324" t="s">
        <v>371</v>
      </c>
      <c r="F324" t="s">
        <v>371</v>
      </c>
      <c r="G324" s="2">
        <v>45734</v>
      </c>
      <c r="H324" s="2">
        <v>45764</v>
      </c>
      <c r="I324">
        <v>53</v>
      </c>
      <c r="J324">
        <v>53</v>
      </c>
      <c r="K324" t="s">
        <v>20</v>
      </c>
      <c r="L324">
        <v>0</v>
      </c>
      <c r="M324">
        <v>0</v>
      </c>
    </row>
    <row r="325" spans="1:13">
      <c r="A325" t="s">
        <v>351</v>
      </c>
      <c r="B325" t="s">
        <v>352</v>
      </c>
      <c r="C325" t="s">
        <v>16</v>
      </c>
      <c r="D325" t="s">
        <v>21</v>
      </c>
      <c r="E325" t="s">
        <v>372</v>
      </c>
      <c r="F325" t="s">
        <v>372</v>
      </c>
      <c r="G325" s="2">
        <v>45734</v>
      </c>
      <c r="H325" s="2">
        <v>45764</v>
      </c>
      <c r="I325">
        <v>11.5</v>
      </c>
      <c r="J325">
        <v>11.5</v>
      </c>
      <c r="K325" t="s">
        <v>20</v>
      </c>
      <c r="L325">
        <v>0</v>
      </c>
      <c r="M325">
        <v>0</v>
      </c>
    </row>
    <row r="326" spans="1:13">
      <c r="A326" t="s">
        <v>351</v>
      </c>
      <c r="B326" t="s">
        <v>352</v>
      </c>
      <c r="C326" t="s">
        <v>16</v>
      </c>
      <c r="D326" t="s">
        <v>21</v>
      </c>
      <c r="E326" t="s">
        <v>373</v>
      </c>
      <c r="F326" t="s">
        <v>373</v>
      </c>
      <c r="G326" s="2">
        <v>45740</v>
      </c>
      <c r="H326" s="2">
        <v>45770</v>
      </c>
      <c r="I326">
        <v>56.71</v>
      </c>
      <c r="J326">
        <v>56.71</v>
      </c>
      <c r="K326" t="s">
        <v>20</v>
      </c>
      <c r="L326">
        <v>0</v>
      </c>
      <c r="M326">
        <v>0</v>
      </c>
    </row>
    <row r="327" spans="1:13">
      <c r="A327" t="s">
        <v>374</v>
      </c>
      <c r="B327" t="s">
        <v>375</v>
      </c>
      <c r="C327" t="s">
        <v>16</v>
      </c>
      <c r="D327" t="s">
        <v>55</v>
      </c>
      <c r="E327" t="s">
        <v>19</v>
      </c>
      <c r="F327" t="s">
        <v>19</v>
      </c>
      <c r="H327" s="2">
        <v>45547</v>
      </c>
      <c r="I327">
        <v>-3</v>
      </c>
      <c r="J327">
        <v>-3</v>
      </c>
      <c r="K327" t="s">
        <v>20</v>
      </c>
      <c r="L327">
        <v>0</v>
      </c>
      <c r="M327">
        <v>-3</v>
      </c>
    </row>
    <row r="328" spans="1:13">
      <c r="A328" t="s">
        <v>376</v>
      </c>
      <c r="B328" t="s">
        <v>377</v>
      </c>
      <c r="C328" t="s">
        <v>16</v>
      </c>
      <c r="D328" t="s">
        <v>21</v>
      </c>
      <c r="E328" t="s">
        <v>378</v>
      </c>
      <c r="F328" t="s">
        <v>378</v>
      </c>
      <c r="G328" s="2">
        <v>45715</v>
      </c>
      <c r="H328" s="2">
        <v>45745</v>
      </c>
      <c r="I328">
        <v>844</v>
      </c>
      <c r="J328">
        <v>844</v>
      </c>
      <c r="K328" t="s">
        <v>20</v>
      </c>
      <c r="L328">
        <v>13</v>
      </c>
      <c r="M328">
        <v>844</v>
      </c>
    </row>
    <row r="329" spans="1:13">
      <c r="A329" t="s">
        <v>376</v>
      </c>
      <c r="B329" t="s">
        <v>377</v>
      </c>
      <c r="C329" t="s">
        <v>16</v>
      </c>
      <c r="D329" t="s">
        <v>21</v>
      </c>
      <c r="E329" t="s">
        <v>379</v>
      </c>
      <c r="F329" t="s">
        <v>379</v>
      </c>
      <c r="G329" s="2">
        <v>45736</v>
      </c>
      <c r="H329" s="2">
        <v>45766</v>
      </c>
      <c r="I329" s="1">
        <v>1396.32</v>
      </c>
      <c r="J329">
        <v>1396.32</v>
      </c>
      <c r="K329" t="s">
        <v>20</v>
      </c>
      <c r="L329">
        <v>0</v>
      </c>
      <c r="M329">
        <v>0</v>
      </c>
    </row>
    <row r="330" spans="1:13">
      <c r="A330" t="s">
        <v>380</v>
      </c>
      <c r="B330" t="s">
        <v>381</v>
      </c>
      <c r="C330" t="s">
        <v>382</v>
      </c>
      <c r="D330" t="s">
        <v>17</v>
      </c>
      <c r="E330" t="s">
        <v>383</v>
      </c>
      <c r="F330" t="s">
        <v>19</v>
      </c>
      <c r="H330" s="2">
        <v>45247</v>
      </c>
      <c r="I330">
        <v>-345.39</v>
      </c>
      <c r="J330">
        <v>-345.39</v>
      </c>
      <c r="K330" t="s">
        <v>20</v>
      </c>
      <c r="L330">
        <v>0</v>
      </c>
      <c r="M330">
        <v>-345.39</v>
      </c>
    </row>
    <row r="331" spans="1:13">
      <c r="A331" t="s">
        <v>380</v>
      </c>
      <c r="B331" t="s">
        <v>381</v>
      </c>
      <c r="C331" t="s">
        <v>382</v>
      </c>
      <c r="D331" t="s">
        <v>21</v>
      </c>
      <c r="E331" t="s">
        <v>384</v>
      </c>
      <c r="F331" t="s">
        <v>384</v>
      </c>
      <c r="G331" s="2">
        <v>45296</v>
      </c>
      <c r="H331" s="2">
        <v>45356</v>
      </c>
      <c r="I331" s="1">
        <v>7537.2</v>
      </c>
      <c r="J331">
        <v>7537.2</v>
      </c>
      <c r="K331" t="s">
        <v>20</v>
      </c>
      <c r="L331">
        <v>0</v>
      </c>
      <c r="M331">
        <v>7537.2</v>
      </c>
    </row>
    <row r="332" spans="1:13">
      <c r="A332" t="s">
        <v>380</v>
      </c>
      <c r="B332" t="s">
        <v>381</v>
      </c>
      <c r="C332" t="s">
        <v>382</v>
      </c>
      <c r="D332" t="s">
        <v>21</v>
      </c>
      <c r="E332" t="s">
        <v>385</v>
      </c>
      <c r="F332" t="s">
        <v>385</v>
      </c>
      <c r="G332" s="2">
        <v>45296</v>
      </c>
      <c r="H332" s="2">
        <v>45356</v>
      </c>
      <c r="I332" s="1">
        <v>3390.48</v>
      </c>
      <c r="J332">
        <v>3390.48</v>
      </c>
      <c r="K332" t="s">
        <v>20</v>
      </c>
      <c r="L332">
        <v>0</v>
      </c>
      <c r="M332">
        <v>3390.48</v>
      </c>
    </row>
    <row r="333" spans="1:13">
      <c r="A333" t="s">
        <v>380</v>
      </c>
      <c r="B333" t="s">
        <v>381</v>
      </c>
      <c r="C333" t="s">
        <v>382</v>
      </c>
      <c r="D333" t="s">
        <v>21</v>
      </c>
      <c r="E333" t="s">
        <v>386</v>
      </c>
      <c r="F333" t="s">
        <v>386</v>
      </c>
      <c r="G333" s="2">
        <v>45311</v>
      </c>
      <c r="H333" s="2">
        <v>45371</v>
      </c>
      <c r="I333">
        <v>450</v>
      </c>
      <c r="J333">
        <v>450</v>
      </c>
      <c r="K333" t="s">
        <v>20</v>
      </c>
      <c r="L333">
        <v>0</v>
      </c>
      <c r="M333">
        <v>450</v>
      </c>
    </row>
    <row r="334" spans="1:13">
      <c r="A334" t="s">
        <v>380</v>
      </c>
      <c r="B334" t="s">
        <v>381</v>
      </c>
      <c r="C334" t="s">
        <v>382</v>
      </c>
      <c r="D334" t="s">
        <v>55</v>
      </c>
      <c r="E334" t="s">
        <v>19</v>
      </c>
      <c r="F334" t="s">
        <v>19</v>
      </c>
      <c r="H334" s="2">
        <v>45373</v>
      </c>
      <c r="I334" s="1">
        <v>-9127.68</v>
      </c>
      <c r="J334">
        <v>-9127.68</v>
      </c>
      <c r="K334" t="s">
        <v>20</v>
      </c>
      <c r="L334">
        <v>0</v>
      </c>
      <c r="M334">
        <v>-9127.68</v>
      </c>
    </row>
    <row r="335" spans="1:13">
      <c r="A335" t="s">
        <v>380</v>
      </c>
      <c r="B335" t="s">
        <v>381</v>
      </c>
      <c r="C335" t="s">
        <v>382</v>
      </c>
      <c r="D335" t="s">
        <v>21</v>
      </c>
      <c r="E335" t="s">
        <v>387</v>
      </c>
      <c r="F335" t="s">
        <v>387</v>
      </c>
      <c r="G335" s="2">
        <v>45345</v>
      </c>
      <c r="H335" s="2">
        <v>45405</v>
      </c>
      <c r="I335">
        <v>450</v>
      </c>
      <c r="J335">
        <v>450</v>
      </c>
      <c r="K335" t="s">
        <v>20</v>
      </c>
      <c r="L335">
        <v>0</v>
      </c>
      <c r="M335">
        <v>450</v>
      </c>
    </row>
    <row r="336" spans="1:13">
      <c r="A336" t="s">
        <v>380</v>
      </c>
      <c r="B336" t="s">
        <v>381</v>
      </c>
      <c r="C336" t="s">
        <v>382</v>
      </c>
      <c r="D336" t="s">
        <v>21</v>
      </c>
      <c r="E336" t="s">
        <v>388</v>
      </c>
      <c r="F336" t="s">
        <v>388</v>
      </c>
      <c r="G336" s="2">
        <v>45408</v>
      </c>
      <c r="H336" s="2">
        <v>45468</v>
      </c>
      <c r="I336">
        <v>324.08</v>
      </c>
      <c r="J336">
        <v>324.08</v>
      </c>
      <c r="K336" t="s">
        <v>20</v>
      </c>
      <c r="L336">
        <v>0</v>
      </c>
      <c r="M336">
        <v>324.08</v>
      </c>
    </row>
    <row r="337" spans="1:13">
      <c r="A337" t="s">
        <v>380</v>
      </c>
      <c r="B337" t="s">
        <v>381</v>
      </c>
      <c r="C337" t="s">
        <v>382</v>
      </c>
      <c r="D337" t="s">
        <v>21</v>
      </c>
      <c r="E337" t="s">
        <v>389</v>
      </c>
      <c r="F337" t="s">
        <v>389</v>
      </c>
      <c r="G337" s="2">
        <v>45492</v>
      </c>
      <c r="H337" s="2">
        <v>45552</v>
      </c>
      <c r="I337">
        <v>277.66000000000003</v>
      </c>
      <c r="J337">
        <v>49.81</v>
      </c>
      <c r="K337" t="s">
        <v>20</v>
      </c>
      <c r="L337">
        <v>0</v>
      </c>
      <c r="M337">
        <v>49.81</v>
      </c>
    </row>
    <row r="338" spans="1:13">
      <c r="A338" t="s">
        <v>380</v>
      </c>
      <c r="B338" t="s">
        <v>381</v>
      </c>
      <c r="C338" t="s">
        <v>382</v>
      </c>
      <c r="D338" t="s">
        <v>55</v>
      </c>
      <c r="E338" t="s">
        <v>389</v>
      </c>
      <c r="F338" t="s">
        <v>389</v>
      </c>
      <c r="H338" s="2">
        <v>45573</v>
      </c>
      <c r="I338">
        <v>-227.85</v>
      </c>
      <c r="J338" t="s">
        <v>86</v>
      </c>
      <c r="K338" t="s">
        <v>20</v>
      </c>
      <c r="L338">
        <v>0</v>
      </c>
      <c r="M338" t="s">
        <v>86</v>
      </c>
    </row>
    <row r="339" spans="1:13">
      <c r="A339" t="s">
        <v>380</v>
      </c>
      <c r="B339" t="s">
        <v>381</v>
      </c>
      <c r="C339" t="s">
        <v>382</v>
      </c>
      <c r="D339" t="s">
        <v>21</v>
      </c>
      <c r="E339" t="s">
        <v>390</v>
      </c>
      <c r="F339" t="s">
        <v>390</v>
      </c>
      <c r="G339" s="2">
        <v>45517</v>
      </c>
      <c r="H339" s="2">
        <v>45577</v>
      </c>
      <c r="I339" s="1">
        <v>1595.88</v>
      </c>
      <c r="J339">
        <v>31.92</v>
      </c>
      <c r="K339" t="s">
        <v>20</v>
      </c>
      <c r="L339">
        <v>0</v>
      </c>
      <c r="M339">
        <v>31.92</v>
      </c>
    </row>
    <row r="340" spans="1:13">
      <c r="A340" t="s">
        <v>380</v>
      </c>
      <c r="B340" t="s">
        <v>381</v>
      </c>
      <c r="C340" t="s">
        <v>382</v>
      </c>
      <c r="D340" t="s">
        <v>55</v>
      </c>
      <c r="E340" t="s">
        <v>390</v>
      </c>
      <c r="F340" t="s">
        <v>390</v>
      </c>
      <c r="H340" s="2">
        <v>45587</v>
      </c>
      <c r="I340" s="1">
        <v>-1563.96</v>
      </c>
      <c r="J340" t="s">
        <v>86</v>
      </c>
      <c r="K340" t="s">
        <v>20</v>
      </c>
      <c r="L340">
        <v>0</v>
      </c>
      <c r="M340" t="s">
        <v>86</v>
      </c>
    </row>
    <row r="341" spans="1:13">
      <c r="A341" t="s">
        <v>380</v>
      </c>
      <c r="B341" t="s">
        <v>381</v>
      </c>
      <c r="C341" t="s">
        <v>382</v>
      </c>
      <c r="D341" t="s">
        <v>21</v>
      </c>
      <c r="E341" t="s">
        <v>391</v>
      </c>
      <c r="F341" t="s">
        <v>391</v>
      </c>
      <c r="G341" s="2">
        <v>45525</v>
      </c>
      <c r="H341" s="2">
        <v>45585</v>
      </c>
      <c r="I341" s="1">
        <v>5668.8</v>
      </c>
      <c r="J341">
        <v>200</v>
      </c>
      <c r="K341" t="s">
        <v>20</v>
      </c>
      <c r="L341">
        <v>0</v>
      </c>
      <c r="M341">
        <v>200</v>
      </c>
    </row>
    <row r="342" spans="1:13">
      <c r="A342" t="s">
        <v>380</v>
      </c>
      <c r="B342" t="s">
        <v>381</v>
      </c>
      <c r="C342" t="s">
        <v>382</v>
      </c>
      <c r="D342" t="s">
        <v>55</v>
      </c>
      <c r="E342" t="s">
        <v>391</v>
      </c>
      <c r="F342" t="s">
        <v>391</v>
      </c>
      <c r="H342" s="2">
        <v>45594</v>
      </c>
      <c r="I342" s="1">
        <v>-5468.8</v>
      </c>
      <c r="J342" t="s">
        <v>86</v>
      </c>
      <c r="K342" t="s">
        <v>20</v>
      </c>
      <c r="L342">
        <v>0</v>
      </c>
      <c r="M342" t="s">
        <v>86</v>
      </c>
    </row>
    <row r="343" spans="1:13">
      <c r="A343" t="s">
        <v>380</v>
      </c>
      <c r="B343" t="s">
        <v>381</v>
      </c>
      <c r="C343" t="s">
        <v>382</v>
      </c>
      <c r="D343" t="s">
        <v>21</v>
      </c>
      <c r="E343" t="s">
        <v>392</v>
      </c>
      <c r="F343" t="s">
        <v>392</v>
      </c>
      <c r="G343" s="2">
        <v>45553</v>
      </c>
      <c r="H343" s="2">
        <v>45613</v>
      </c>
      <c r="I343" s="1">
        <v>2975.6</v>
      </c>
      <c r="J343">
        <v>55.36</v>
      </c>
      <c r="K343" t="s">
        <v>20</v>
      </c>
      <c r="L343">
        <v>0</v>
      </c>
      <c r="M343">
        <v>55.36</v>
      </c>
    </row>
    <row r="344" spans="1:13">
      <c r="A344" t="s">
        <v>380</v>
      </c>
      <c r="B344" t="s">
        <v>381</v>
      </c>
      <c r="C344" t="s">
        <v>382</v>
      </c>
      <c r="D344" t="s">
        <v>17</v>
      </c>
      <c r="E344" t="s">
        <v>393</v>
      </c>
      <c r="F344" t="s">
        <v>392</v>
      </c>
      <c r="H344" s="2">
        <v>45667</v>
      </c>
      <c r="I344">
        <v>-207.6</v>
      </c>
      <c r="J344" t="s">
        <v>86</v>
      </c>
      <c r="K344" t="s">
        <v>20</v>
      </c>
      <c r="L344">
        <v>0</v>
      </c>
      <c r="M344" t="s">
        <v>86</v>
      </c>
    </row>
    <row r="345" spans="1:13">
      <c r="A345" t="s">
        <v>380</v>
      </c>
      <c r="B345" t="s">
        <v>381</v>
      </c>
      <c r="C345" t="s">
        <v>382</v>
      </c>
      <c r="D345" t="s">
        <v>55</v>
      </c>
      <c r="E345" t="s">
        <v>392</v>
      </c>
      <c r="F345" t="s">
        <v>392</v>
      </c>
      <c r="H345" s="2">
        <v>45587</v>
      </c>
      <c r="I345" s="1">
        <v>-2712.64</v>
      </c>
      <c r="J345" t="s">
        <v>86</v>
      </c>
      <c r="K345" t="s">
        <v>20</v>
      </c>
      <c r="L345">
        <v>0</v>
      </c>
      <c r="M345" t="s">
        <v>86</v>
      </c>
    </row>
    <row r="346" spans="1:13">
      <c r="A346" t="s">
        <v>380</v>
      </c>
      <c r="B346" t="s">
        <v>381</v>
      </c>
      <c r="C346" t="s">
        <v>382</v>
      </c>
      <c r="D346" t="s">
        <v>21</v>
      </c>
      <c r="E346" t="s">
        <v>394</v>
      </c>
      <c r="F346" t="s">
        <v>394</v>
      </c>
      <c r="G346" s="2">
        <v>45565</v>
      </c>
      <c r="H346" s="2">
        <v>45625</v>
      </c>
      <c r="I346" s="1">
        <v>1912.19</v>
      </c>
      <c r="J346">
        <v>241.29</v>
      </c>
      <c r="K346" t="s">
        <v>20</v>
      </c>
      <c r="L346">
        <v>0</v>
      </c>
      <c r="M346">
        <v>241.29</v>
      </c>
    </row>
    <row r="347" spans="1:13">
      <c r="A347" t="s">
        <v>380</v>
      </c>
      <c r="B347" t="s">
        <v>381</v>
      </c>
      <c r="C347" t="s">
        <v>382</v>
      </c>
      <c r="D347" t="s">
        <v>55</v>
      </c>
      <c r="E347" t="s">
        <v>394</v>
      </c>
      <c r="F347" t="s">
        <v>394</v>
      </c>
      <c r="H347" s="2">
        <v>45629</v>
      </c>
      <c r="I347" s="1">
        <v>-1670.9</v>
      </c>
      <c r="J347" t="s">
        <v>86</v>
      </c>
      <c r="K347" t="s">
        <v>20</v>
      </c>
      <c r="L347">
        <v>0</v>
      </c>
      <c r="M347" t="s">
        <v>86</v>
      </c>
    </row>
    <row r="348" spans="1:13">
      <c r="A348" t="s">
        <v>380</v>
      </c>
      <c r="B348" t="s">
        <v>381</v>
      </c>
      <c r="C348" t="s">
        <v>382</v>
      </c>
      <c r="D348" t="s">
        <v>21</v>
      </c>
      <c r="E348" t="s">
        <v>395</v>
      </c>
      <c r="F348" t="s">
        <v>395</v>
      </c>
      <c r="G348" s="2">
        <v>45582</v>
      </c>
      <c r="H348" s="2">
        <v>45642</v>
      </c>
      <c r="I348" s="1">
        <v>4225</v>
      </c>
      <c r="J348">
        <v>600</v>
      </c>
      <c r="K348" t="s">
        <v>20</v>
      </c>
      <c r="L348">
        <v>0</v>
      </c>
      <c r="M348">
        <v>600</v>
      </c>
    </row>
    <row r="349" spans="1:13">
      <c r="A349" t="s">
        <v>380</v>
      </c>
      <c r="B349" t="s">
        <v>381</v>
      </c>
      <c r="C349" t="s">
        <v>382</v>
      </c>
      <c r="D349" t="s">
        <v>55</v>
      </c>
      <c r="E349" t="s">
        <v>395</v>
      </c>
      <c r="F349" t="s">
        <v>395</v>
      </c>
      <c r="H349" s="2">
        <v>45660</v>
      </c>
      <c r="I349" s="1">
        <v>-3625</v>
      </c>
      <c r="J349" t="s">
        <v>86</v>
      </c>
      <c r="K349" t="s">
        <v>20</v>
      </c>
      <c r="L349">
        <v>0</v>
      </c>
      <c r="M349" t="s">
        <v>86</v>
      </c>
    </row>
    <row r="350" spans="1:13">
      <c r="A350" t="s">
        <v>380</v>
      </c>
      <c r="B350" t="s">
        <v>381</v>
      </c>
      <c r="C350" t="s">
        <v>382</v>
      </c>
      <c r="D350" t="s">
        <v>21</v>
      </c>
      <c r="E350" t="s">
        <v>396</v>
      </c>
      <c r="F350" t="s">
        <v>396</v>
      </c>
      <c r="G350" s="2">
        <v>45583</v>
      </c>
      <c r="H350" s="2">
        <v>45643</v>
      </c>
      <c r="I350" s="1">
        <v>2975.6</v>
      </c>
      <c r="J350">
        <v>55.36</v>
      </c>
      <c r="K350" t="s">
        <v>20</v>
      </c>
      <c r="L350">
        <v>0</v>
      </c>
      <c r="M350">
        <v>55.36</v>
      </c>
    </row>
    <row r="351" spans="1:13">
      <c r="A351" t="s">
        <v>380</v>
      </c>
      <c r="B351" t="s">
        <v>381</v>
      </c>
      <c r="C351" t="s">
        <v>382</v>
      </c>
      <c r="D351" t="s">
        <v>17</v>
      </c>
      <c r="E351" t="s">
        <v>397</v>
      </c>
      <c r="F351" t="s">
        <v>396</v>
      </c>
      <c r="H351" s="2">
        <v>45716</v>
      </c>
      <c r="I351">
        <v>-207.6</v>
      </c>
      <c r="J351" t="s">
        <v>86</v>
      </c>
      <c r="K351" t="s">
        <v>20</v>
      </c>
      <c r="L351">
        <v>0</v>
      </c>
      <c r="M351" t="s">
        <v>86</v>
      </c>
    </row>
    <row r="352" spans="1:13">
      <c r="A352" t="s">
        <v>380</v>
      </c>
      <c r="B352" t="s">
        <v>381</v>
      </c>
      <c r="C352" t="s">
        <v>382</v>
      </c>
      <c r="D352" t="s">
        <v>55</v>
      </c>
      <c r="E352" t="s">
        <v>396</v>
      </c>
      <c r="F352" t="s">
        <v>396</v>
      </c>
      <c r="H352" s="2">
        <v>45630</v>
      </c>
      <c r="I352" s="1">
        <v>-2712.64</v>
      </c>
      <c r="J352" t="s">
        <v>86</v>
      </c>
      <c r="K352" t="s">
        <v>20</v>
      </c>
      <c r="L352">
        <v>0</v>
      </c>
      <c r="M352" t="s">
        <v>86</v>
      </c>
    </row>
    <row r="353" spans="1:13">
      <c r="A353" t="s">
        <v>380</v>
      </c>
      <c r="B353" t="s">
        <v>381</v>
      </c>
      <c r="C353" t="s">
        <v>382</v>
      </c>
      <c r="D353" t="s">
        <v>21</v>
      </c>
      <c r="E353" t="s">
        <v>398</v>
      </c>
      <c r="F353" t="s">
        <v>398</v>
      </c>
      <c r="G353" s="2">
        <v>45594</v>
      </c>
      <c r="H353" s="2">
        <v>45654</v>
      </c>
      <c r="I353" s="1">
        <v>3243.14</v>
      </c>
      <c r="J353">
        <v>55.36</v>
      </c>
      <c r="K353" t="s">
        <v>20</v>
      </c>
      <c r="L353">
        <v>0</v>
      </c>
      <c r="M353">
        <v>55.36</v>
      </c>
    </row>
    <row r="354" spans="1:13">
      <c r="A354" t="s">
        <v>380</v>
      </c>
      <c r="B354" t="s">
        <v>381</v>
      </c>
      <c r="C354" t="s">
        <v>382</v>
      </c>
      <c r="D354" t="s">
        <v>17</v>
      </c>
      <c r="E354" t="s">
        <v>399</v>
      </c>
      <c r="F354" t="s">
        <v>398</v>
      </c>
      <c r="H354" s="2">
        <v>45667</v>
      </c>
      <c r="I354">
        <v>-226.26</v>
      </c>
      <c r="J354" t="s">
        <v>86</v>
      </c>
      <c r="K354" t="s">
        <v>20</v>
      </c>
      <c r="L354">
        <v>0</v>
      </c>
      <c r="M354" t="s">
        <v>86</v>
      </c>
    </row>
    <row r="355" spans="1:13">
      <c r="A355" t="s">
        <v>380</v>
      </c>
      <c r="B355" t="s">
        <v>381</v>
      </c>
      <c r="C355" t="s">
        <v>382</v>
      </c>
      <c r="D355" t="s">
        <v>55</v>
      </c>
      <c r="E355" t="s">
        <v>398</v>
      </c>
      <c r="F355" t="s">
        <v>398</v>
      </c>
      <c r="H355" s="2">
        <v>45644</v>
      </c>
      <c r="I355">
        <v>-248.88</v>
      </c>
      <c r="J355" t="s">
        <v>86</v>
      </c>
      <c r="K355" t="s">
        <v>20</v>
      </c>
      <c r="L355">
        <v>0</v>
      </c>
      <c r="M355" t="s">
        <v>86</v>
      </c>
    </row>
    <row r="356" spans="1:13">
      <c r="A356" t="s">
        <v>380</v>
      </c>
      <c r="B356" t="s">
        <v>381</v>
      </c>
      <c r="C356" t="s">
        <v>382</v>
      </c>
      <c r="D356" t="s">
        <v>55</v>
      </c>
      <c r="E356" t="s">
        <v>398</v>
      </c>
      <c r="F356" t="s">
        <v>398</v>
      </c>
      <c r="H356" s="2">
        <v>45622</v>
      </c>
      <c r="I356" s="1">
        <v>-2712.64</v>
      </c>
      <c r="J356" t="s">
        <v>86</v>
      </c>
      <c r="K356" t="s">
        <v>20</v>
      </c>
      <c r="L356">
        <v>0</v>
      </c>
      <c r="M356" t="s">
        <v>86</v>
      </c>
    </row>
    <row r="357" spans="1:13">
      <c r="A357" t="s">
        <v>380</v>
      </c>
      <c r="B357" t="s">
        <v>381</v>
      </c>
      <c r="C357" t="s">
        <v>382</v>
      </c>
      <c r="D357" t="s">
        <v>21</v>
      </c>
      <c r="E357" t="s">
        <v>400</v>
      </c>
      <c r="F357" t="s">
        <v>400</v>
      </c>
      <c r="G357" s="2">
        <v>45596</v>
      </c>
      <c r="H357" s="2">
        <v>45656</v>
      </c>
      <c r="I357" s="1">
        <v>6895</v>
      </c>
      <c r="J357">
        <v>600</v>
      </c>
      <c r="K357" t="s">
        <v>20</v>
      </c>
      <c r="L357">
        <v>0</v>
      </c>
      <c r="M357">
        <v>600</v>
      </c>
    </row>
    <row r="358" spans="1:13">
      <c r="A358" t="s">
        <v>380</v>
      </c>
      <c r="B358" t="s">
        <v>381</v>
      </c>
      <c r="C358" t="s">
        <v>382</v>
      </c>
      <c r="D358" t="s">
        <v>55</v>
      </c>
      <c r="E358" t="s">
        <v>400</v>
      </c>
      <c r="F358" t="s">
        <v>400</v>
      </c>
      <c r="H358" s="2">
        <v>45660</v>
      </c>
      <c r="I358" s="1">
        <v>-6295</v>
      </c>
      <c r="J358" t="s">
        <v>86</v>
      </c>
      <c r="K358" t="s">
        <v>20</v>
      </c>
      <c r="L358">
        <v>0</v>
      </c>
      <c r="M358" t="s">
        <v>86</v>
      </c>
    </row>
    <row r="359" spans="1:13">
      <c r="A359" t="s">
        <v>380</v>
      </c>
      <c r="B359" t="s">
        <v>381</v>
      </c>
      <c r="C359" t="s">
        <v>382</v>
      </c>
      <c r="D359" t="s">
        <v>21</v>
      </c>
      <c r="E359" t="s">
        <v>401</v>
      </c>
      <c r="F359" t="s">
        <v>401</v>
      </c>
      <c r="G359" s="2">
        <v>45597</v>
      </c>
      <c r="H359" s="2">
        <v>45657</v>
      </c>
      <c r="I359">
        <v>267.02999999999997</v>
      </c>
      <c r="J359">
        <v>267.02999999999997</v>
      </c>
      <c r="K359" t="s">
        <v>20</v>
      </c>
      <c r="L359">
        <v>0</v>
      </c>
      <c r="M359">
        <v>267.02999999999997</v>
      </c>
    </row>
    <row r="360" spans="1:13">
      <c r="A360" t="s">
        <v>380</v>
      </c>
      <c r="B360" t="s">
        <v>381</v>
      </c>
      <c r="C360" t="s">
        <v>382</v>
      </c>
      <c r="D360" t="s">
        <v>55</v>
      </c>
      <c r="E360" t="s">
        <v>19</v>
      </c>
      <c r="F360" t="s">
        <v>19</v>
      </c>
      <c r="H360" s="2">
        <v>45660</v>
      </c>
      <c r="I360" s="1">
        <v>-1200</v>
      </c>
      <c r="J360">
        <v>-1200</v>
      </c>
      <c r="K360" t="s">
        <v>20</v>
      </c>
      <c r="L360">
        <v>0</v>
      </c>
      <c r="M360">
        <v>-1200</v>
      </c>
    </row>
    <row r="361" spans="1:13">
      <c r="A361" t="s">
        <v>380</v>
      </c>
      <c r="B361" t="s">
        <v>381</v>
      </c>
      <c r="C361" t="s">
        <v>382</v>
      </c>
      <c r="D361" t="s">
        <v>21</v>
      </c>
      <c r="E361" t="s">
        <v>402</v>
      </c>
      <c r="F361" t="s">
        <v>402</v>
      </c>
      <c r="G361" s="2">
        <v>45610</v>
      </c>
      <c r="H361" s="2">
        <v>45670</v>
      </c>
      <c r="I361">
        <v>724.75</v>
      </c>
      <c r="J361">
        <v>117.15</v>
      </c>
      <c r="K361" t="s">
        <v>20</v>
      </c>
      <c r="L361">
        <v>0</v>
      </c>
      <c r="M361">
        <v>117.15</v>
      </c>
    </row>
    <row r="362" spans="1:13">
      <c r="A362" t="s">
        <v>380</v>
      </c>
      <c r="B362" t="s">
        <v>381</v>
      </c>
      <c r="C362" t="s">
        <v>382</v>
      </c>
      <c r="D362" t="s">
        <v>17</v>
      </c>
      <c r="E362" t="s">
        <v>403</v>
      </c>
      <c r="F362" t="s">
        <v>402</v>
      </c>
      <c r="H362" s="2">
        <v>45630</v>
      </c>
      <c r="I362">
        <v>-120</v>
      </c>
      <c r="J362" t="s">
        <v>86</v>
      </c>
      <c r="K362" t="s">
        <v>20</v>
      </c>
      <c r="L362">
        <v>0</v>
      </c>
      <c r="M362" t="s">
        <v>86</v>
      </c>
    </row>
    <row r="363" spans="1:13">
      <c r="A363" t="s">
        <v>380</v>
      </c>
      <c r="B363" t="s">
        <v>381</v>
      </c>
      <c r="C363" t="s">
        <v>382</v>
      </c>
      <c r="D363" t="s">
        <v>55</v>
      </c>
      <c r="E363" t="s">
        <v>402</v>
      </c>
      <c r="F363" t="s">
        <v>402</v>
      </c>
      <c r="H363" s="2">
        <v>45692</v>
      </c>
      <c r="I363">
        <v>-487.6</v>
      </c>
      <c r="J363" t="s">
        <v>86</v>
      </c>
      <c r="K363" t="s">
        <v>20</v>
      </c>
      <c r="L363">
        <v>0</v>
      </c>
      <c r="M363" t="s">
        <v>86</v>
      </c>
    </row>
    <row r="364" spans="1:13">
      <c r="A364" t="s">
        <v>380</v>
      </c>
      <c r="B364" t="s">
        <v>381</v>
      </c>
      <c r="C364" t="s">
        <v>382</v>
      </c>
      <c r="D364" t="s">
        <v>21</v>
      </c>
      <c r="E364" t="s">
        <v>404</v>
      </c>
      <c r="F364" t="s">
        <v>404</v>
      </c>
      <c r="G364" s="2">
        <v>45628</v>
      </c>
      <c r="H364" s="2">
        <v>45688</v>
      </c>
      <c r="I364" s="1">
        <v>7439</v>
      </c>
      <c r="J364">
        <v>138.4</v>
      </c>
      <c r="K364" t="s">
        <v>20</v>
      </c>
      <c r="L364">
        <v>0</v>
      </c>
      <c r="M364">
        <v>138.4</v>
      </c>
    </row>
    <row r="365" spans="1:13">
      <c r="A365" t="s">
        <v>380</v>
      </c>
      <c r="B365" t="s">
        <v>381</v>
      </c>
      <c r="C365" t="s">
        <v>382</v>
      </c>
      <c r="D365" t="s">
        <v>17</v>
      </c>
      <c r="E365" t="s">
        <v>405</v>
      </c>
      <c r="F365" t="s">
        <v>404</v>
      </c>
      <c r="H365" s="2">
        <v>45667</v>
      </c>
      <c r="I365">
        <v>-519</v>
      </c>
      <c r="J365" t="s">
        <v>86</v>
      </c>
      <c r="K365" t="s">
        <v>20</v>
      </c>
      <c r="L365">
        <v>0</v>
      </c>
      <c r="M365" t="s">
        <v>86</v>
      </c>
    </row>
    <row r="366" spans="1:13">
      <c r="A366" t="s">
        <v>380</v>
      </c>
      <c r="B366" t="s">
        <v>381</v>
      </c>
      <c r="C366" t="s">
        <v>382</v>
      </c>
      <c r="D366" t="s">
        <v>55</v>
      </c>
      <c r="E366" t="s">
        <v>404</v>
      </c>
      <c r="F366" t="s">
        <v>404</v>
      </c>
      <c r="H366" s="2">
        <v>45671</v>
      </c>
      <c r="I366" s="1">
        <v>-6781.6</v>
      </c>
      <c r="J366" t="s">
        <v>86</v>
      </c>
      <c r="K366" t="s">
        <v>20</v>
      </c>
      <c r="L366">
        <v>0</v>
      </c>
      <c r="M366" t="s">
        <v>86</v>
      </c>
    </row>
    <row r="367" spans="1:13">
      <c r="A367" t="s">
        <v>380</v>
      </c>
      <c r="B367" t="s">
        <v>381</v>
      </c>
      <c r="C367" t="s">
        <v>382</v>
      </c>
      <c r="D367" t="s">
        <v>21</v>
      </c>
      <c r="E367" t="s">
        <v>406</v>
      </c>
      <c r="F367" t="s">
        <v>406</v>
      </c>
      <c r="G367" s="2">
        <v>45636</v>
      </c>
      <c r="H367" s="2">
        <v>45696</v>
      </c>
      <c r="I367" s="1">
        <v>9497.06</v>
      </c>
      <c r="J367">
        <v>696.56</v>
      </c>
      <c r="K367" t="s">
        <v>20</v>
      </c>
      <c r="L367">
        <v>0</v>
      </c>
      <c r="M367">
        <v>696.56</v>
      </c>
    </row>
    <row r="368" spans="1:13">
      <c r="A368" t="s">
        <v>380</v>
      </c>
      <c r="B368" t="s">
        <v>381</v>
      </c>
      <c r="C368" t="s">
        <v>382</v>
      </c>
      <c r="D368" t="s">
        <v>17</v>
      </c>
      <c r="E368" t="s">
        <v>407</v>
      </c>
      <c r="F368" t="s">
        <v>406</v>
      </c>
      <c r="H368" s="2">
        <v>45667</v>
      </c>
      <c r="I368">
        <v>-662.58</v>
      </c>
      <c r="J368" t="s">
        <v>86</v>
      </c>
      <c r="K368" t="s">
        <v>20</v>
      </c>
      <c r="L368">
        <v>0</v>
      </c>
      <c r="M368" t="s">
        <v>86</v>
      </c>
    </row>
    <row r="369" spans="1:13">
      <c r="A369" t="s">
        <v>380</v>
      </c>
      <c r="B369" t="s">
        <v>381</v>
      </c>
      <c r="C369" t="s">
        <v>382</v>
      </c>
      <c r="D369" t="s">
        <v>55</v>
      </c>
      <c r="E369" t="s">
        <v>406</v>
      </c>
      <c r="F369" t="s">
        <v>406</v>
      </c>
      <c r="H369" s="2">
        <v>45687</v>
      </c>
      <c r="I369" s="1">
        <v>-8137.92</v>
      </c>
      <c r="J369" t="s">
        <v>86</v>
      </c>
      <c r="K369" t="s">
        <v>20</v>
      </c>
      <c r="L369">
        <v>0</v>
      </c>
      <c r="M369" t="s">
        <v>86</v>
      </c>
    </row>
    <row r="370" spans="1:13">
      <c r="A370" t="s">
        <v>380</v>
      </c>
      <c r="B370" t="s">
        <v>381</v>
      </c>
      <c r="C370" t="s">
        <v>382</v>
      </c>
      <c r="D370" t="s">
        <v>21</v>
      </c>
      <c r="E370" t="s">
        <v>408</v>
      </c>
      <c r="F370" t="s">
        <v>408</v>
      </c>
      <c r="G370" s="2">
        <v>45637</v>
      </c>
      <c r="H370" s="2">
        <v>45697</v>
      </c>
      <c r="I370" s="1">
        <v>2640.96</v>
      </c>
      <c r="J370">
        <v>650</v>
      </c>
      <c r="K370" t="s">
        <v>20</v>
      </c>
      <c r="L370">
        <v>0</v>
      </c>
      <c r="M370">
        <v>650</v>
      </c>
    </row>
    <row r="371" spans="1:13">
      <c r="A371" t="s">
        <v>380</v>
      </c>
      <c r="B371" t="s">
        <v>381</v>
      </c>
      <c r="C371" t="s">
        <v>382</v>
      </c>
      <c r="D371" t="s">
        <v>55</v>
      </c>
      <c r="E371" t="s">
        <v>408</v>
      </c>
      <c r="F371" t="s">
        <v>408</v>
      </c>
      <c r="H371" s="2">
        <v>45706</v>
      </c>
      <c r="I371" s="1">
        <v>-1990.96</v>
      </c>
      <c r="J371" t="s">
        <v>86</v>
      </c>
      <c r="K371" t="s">
        <v>20</v>
      </c>
      <c r="L371">
        <v>0</v>
      </c>
      <c r="M371" t="s">
        <v>86</v>
      </c>
    </row>
    <row r="372" spans="1:13">
      <c r="A372" t="s">
        <v>380</v>
      </c>
      <c r="B372" t="s">
        <v>381</v>
      </c>
      <c r="C372" t="s">
        <v>382</v>
      </c>
      <c r="D372" t="s">
        <v>21</v>
      </c>
      <c r="E372" t="s">
        <v>409</v>
      </c>
      <c r="F372" t="s">
        <v>409</v>
      </c>
      <c r="G372" s="2">
        <v>45642</v>
      </c>
      <c r="H372" s="2">
        <v>45702</v>
      </c>
      <c r="I372" s="1">
        <v>1380.16</v>
      </c>
      <c r="J372">
        <v>240.91</v>
      </c>
      <c r="K372" t="s">
        <v>20</v>
      </c>
      <c r="L372">
        <v>0</v>
      </c>
      <c r="M372">
        <v>240.91</v>
      </c>
    </row>
    <row r="373" spans="1:13">
      <c r="A373" t="s">
        <v>380</v>
      </c>
      <c r="B373" t="s">
        <v>381</v>
      </c>
      <c r="C373" t="s">
        <v>382</v>
      </c>
      <c r="D373" t="s">
        <v>55</v>
      </c>
      <c r="E373" t="s">
        <v>409</v>
      </c>
      <c r="F373" t="s">
        <v>409</v>
      </c>
      <c r="H373" s="2">
        <v>45720</v>
      </c>
      <c r="I373" s="1">
        <v>-1139.25</v>
      </c>
      <c r="J373" t="s">
        <v>86</v>
      </c>
      <c r="K373" t="s">
        <v>20</v>
      </c>
      <c r="L373">
        <v>10</v>
      </c>
      <c r="M373" t="s">
        <v>86</v>
      </c>
    </row>
    <row r="374" spans="1:13">
      <c r="A374" t="s">
        <v>380</v>
      </c>
      <c r="B374" t="s">
        <v>381</v>
      </c>
      <c r="C374" t="s">
        <v>382</v>
      </c>
      <c r="D374" t="s">
        <v>21</v>
      </c>
      <c r="E374" t="s">
        <v>410</v>
      </c>
      <c r="F374" t="s">
        <v>410</v>
      </c>
      <c r="G374" s="2">
        <v>45644</v>
      </c>
      <c r="H374" s="2">
        <v>45704</v>
      </c>
      <c r="I374" s="1">
        <v>1602</v>
      </c>
      <c r="J374">
        <v>1602</v>
      </c>
      <c r="K374" t="s">
        <v>20</v>
      </c>
      <c r="L374">
        <v>0</v>
      </c>
      <c r="M374">
        <v>1602</v>
      </c>
    </row>
    <row r="375" spans="1:13">
      <c r="A375" t="s">
        <v>380</v>
      </c>
      <c r="B375" t="s">
        <v>381</v>
      </c>
      <c r="C375" t="s">
        <v>382</v>
      </c>
      <c r="D375" t="s">
        <v>21</v>
      </c>
      <c r="E375" t="s">
        <v>411</v>
      </c>
      <c r="F375" t="s">
        <v>411</v>
      </c>
      <c r="G375" s="2">
        <v>45649</v>
      </c>
      <c r="H375" s="2">
        <v>45709</v>
      </c>
      <c r="I375" s="1">
        <v>73060</v>
      </c>
      <c r="J375">
        <v>4715</v>
      </c>
      <c r="K375" t="s">
        <v>20</v>
      </c>
      <c r="L375">
        <v>0</v>
      </c>
      <c r="M375">
        <v>4715</v>
      </c>
    </row>
    <row r="376" spans="1:13">
      <c r="A376" t="s">
        <v>380</v>
      </c>
      <c r="B376" t="s">
        <v>381</v>
      </c>
      <c r="C376" t="s">
        <v>382</v>
      </c>
      <c r="D376" t="s">
        <v>55</v>
      </c>
      <c r="E376" t="s">
        <v>411</v>
      </c>
      <c r="F376" t="s">
        <v>411</v>
      </c>
      <c r="H376" s="2">
        <v>45720</v>
      </c>
      <c r="I376" s="1">
        <v>-68345</v>
      </c>
      <c r="J376" t="s">
        <v>86</v>
      </c>
      <c r="K376" t="s">
        <v>20</v>
      </c>
      <c r="L376">
        <v>10</v>
      </c>
      <c r="M376" t="s">
        <v>86</v>
      </c>
    </row>
    <row r="377" spans="1:13">
      <c r="A377" t="s">
        <v>380</v>
      </c>
      <c r="B377" t="s">
        <v>381</v>
      </c>
      <c r="C377" t="s">
        <v>382</v>
      </c>
      <c r="D377" t="s">
        <v>21</v>
      </c>
      <c r="E377" t="s">
        <v>412</v>
      </c>
      <c r="F377" t="s">
        <v>412</v>
      </c>
      <c r="G377" s="2">
        <v>45650</v>
      </c>
      <c r="H377" s="2">
        <v>45710</v>
      </c>
      <c r="I377">
        <v>418</v>
      </c>
      <c r="J377">
        <v>418</v>
      </c>
      <c r="K377" t="s">
        <v>20</v>
      </c>
      <c r="L377">
        <v>0</v>
      </c>
      <c r="M377">
        <v>418</v>
      </c>
    </row>
    <row r="378" spans="1:13">
      <c r="A378" t="s">
        <v>380</v>
      </c>
      <c r="B378" t="s">
        <v>381</v>
      </c>
      <c r="C378" t="s">
        <v>382</v>
      </c>
      <c r="D378" t="s">
        <v>55</v>
      </c>
      <c r="E378" t="s">
        <v>19</v>
      </c>
      <c r="F378" t="s">
        <v>19</v>
      </c>
      <c r="H378" s="2">
        <v>45720</v>
      </c>
      <c r="I378" s="1">
        <v>-1386</v>
      </c>
      <c r="J378">
        <v>-1386</v>
      </c>
      <c r="K378" t="s">
        <v>20</v>
      </c>
      <c r="L378">
        <v>10</v>
      </c>
      <c r="M378">
        <v>-1386</v>
      </c>
    </row>
    <row r="379" spans="1:13">
      <c r="A379" t="s">
        <v>380</v>
      </c>
      <c r="B379" t="s">
        <v>381</v>
      </c>
      <c r="C379" t="s">
        <v>382</v>
      </c>
      <c r="D379" t="s">
        <v>21</v>
      </c>
      <c r="E379" t="s">
        <v>413</v>
      </c>
      <c r="F379" t="s">
        <v>413</v>
      </c>
      <c r="G379" s="2">
        <v>45664</v>
      </c>
      <c r="H379" s="2">
        <v>45724</v>
      </c>
      <c r="I379" s="1">
        <v>5541.4</v>
      </c>
      <c r="J379">
        <v>5541.4</v>
      </c>
      <c r="K379" t="s">
        <v>20</v>
      </c>
      <c r="L379">
        <v>10</v>
      </c>
      <c r="M379">
        <v>5541.4</v>
      </c>
    </row>
    <row r="380" spans="1:13">
      <c r="A380" t="s">
        <v>380</v>
      </c>
      <c r="B380" t="s">
        <v>381</v>
      </c>
      <c r="C380" t="s">
        <v>382</v>
      </c>
      <c r="D380" t="s">
        <v>21</v>
      </c>
      <c r="E380" t="s">
        <v>414</v>
      </c>
      <c r="F380" t="s">
        <v>414</v>
      </c>
      <c r="G380" s="2">
        <v>45664</v>
      </c>
      <c r="H380" s="2">
        <v>45724</v>
      </c>
      <c r="I380" s="1">
        <v>5340</v>
      </c>
      <c r="J380">
        <v>5340</v>
      </c>
      <c r="K380" t="s">
        <v>20</v>
      </c>
      <c r="L380">
        <v>10</v>
      </c>
      <c r="M380">
        <v>5340</v>
      </c>
    </row>
    <row r="381" spans="1:13">
      <c r="A381" t="s">
        <v>380</v>
      </c>
      <c r="B381" t="s">
        <v>381</v>
      </c>
      <c r="C381" t="s">
        <v>382</v>
      </c>
      <c r="D381" t="s">
        <v>21</v>
      </c>
      <c r="E381" t="s">
        <v>415</v>
      </c>
      <c r="F381" t="s">
        <v>415</v>
      </c>
      <c r="G381" s="2">
        <v>45670</v>
      </c>
      <c r="H381" s="2">
        <v>45730</v>
      </c>
      <c r="I381" s="1">
        <v>33717.480000000003</v>
      </c>
      <c r="J381">
        <v>33717.480000000003</v>
      </c>
      <c r="K381" t="s">
        <v>20</v>
      </c>
      <c r="L381">
        <v>11</v>
      </c>
      <c r="M381">
        <v>33717.480000000003</v>
      </c>
    </row>
    <row r="382" spans="1:13">
      <c r="A382" t="s">
        <v>380</v>
      </c>
      <c r="B382" t="s">
        <v>381</v>
      </c>
      <c r="C382" t="s">
        <v>382</v>
      </c>
      <c r="D382" t="s">
        <v>21</v>
      </c>
      <c r="E382" t="s">
        <v>416</v>
      </c>
      <c r="F382" t="s">
        <v>416</v>
      </c>
      <c r="G382" s="2">
        <v>45670</v>
      </c>
      <c r="H382" s="2">
        <v>45730</v>
      </c>
      <c r="I382" s="1">
        <v>8107.5</v>
      </c>
      <c r="J382">
        <v>8107.5</v>
      </c>
      <c r="K382" t="s">
        <v>20</v>
      </c>
      <c r="L382">
        <v>11</v>
      </c>
      <c r="M382">
        <v>8107.5</v>
      </c>
    </row>
    <row r="383" spans="1:13">
      <c r="A383" t="s">
        <v>380</v>
      </c>
      <c r="B383" t="s">
        <v>381</v>
      </c>
      <c r="C383" t="s">
        <v>382</v>
      </c>
      <c r="D383" t="s">
        <v>21</v>
      </c>
      <c r="E383" t="s">
        <v>417</v>
      </c>
      <c r="F383" t="s">
        <v>417</v>
      </c>
      <c r="G383" s="2">
        <v>45672</v>
      </c>
      <c r="H383" s="2">
        <v>45732</v>
      </c>
      <c r="I383" s="1">
        <v>4128.8999999999996</v>
      </c>
      <c r="J383">
        <v>4128.8999999999996</v>
      </c>
      <c r="K383" t="s">
        <v>20</v>
      </c>
      <c r="L383">
        <v>12</v>
      </c>
      <c r="M383">
        <v>4128.8999999999996</v>
      </c>
    </row>
    <row r="384" spans="1:13">
      <c r="A384" t="s">
        <v>380</v>
      </c>
      <c r="B384" t="s">
        <v>381</v>
      </c>
      <c r="C384" t="s">
        <v>382</v>
      </c>
      <c r="D384" t="s">
        <v>21</v>
      </c>
      <c r="E384" t="s">
        <v>418</v>
      </c>
      <c r="F384" t="s">
        <v>418</v>
      </c>
      <c r="G384" s="2">
        <v>45672</v>
      </c>
      <c r="H384" s="2">
        <v>45732</v>
      </c>
      <c r="I384" s="1">
        <v>3625</v>
      </c>
      <c r="J384">
        <v>3625</v>
      </c>
      <c r="K384" t="s">
        <v>20</v>
      </c>
      <c r="L384">
        <v>12</v>
      </c>
      <c r="M384">
        <v>3625</v>
      </c>
    </row>
    <row r="385" spans="1:13">
      <c r="A385" t="s">
        <v>380</v>
      </c>
      <c r="B385" t="s">
        <v>381</v>
      </c>
      <c r="C385" t="s">
        <v>382</v>
      </c>
      <c r="D385" t="s">
        <v>21</v>
      </c>
      <c r="E385" t="s">
        <v>419</v>
      </c>
      <c r="F385" t="s">
        <v>419</v>
      </c>
      <c r="G385" s="2">
        <v>45674</v>
      </c>
      <c r="H385" s="2">
        <v>45734</v>
      </c>
      <c r="I385" s="1">
        <v>9732</v>
      </c>
      <c r="J385">
        <v>9732</v>
      </c>
      <c r="K385" t="s">
        <v>20</v>
      </c>
      <c r="L385">
        <v>12</v>
      </c>
      <c r="M385">
        <v>9732</v>
      </c>
    </row>
    <row r="386" spans="1:13">
      <c r="A386" t="s">
        <v>380</v>
      </c>
      <c r="B386" t="s">
        <v>381</v>
      </c>
      <c r="C386" t="s">
        <v>382</v>
      </c>
      <c r="D386" t="s">
        <v>21</v>
      </c>
      <c r="E386" t="s">
        <v>420</v>
      </c>
      <c r="F386" t="s">
        <v>420</v>
      </c>
      <c r="G386" s="2">
        <v>45674</v>
      </c>
      <c r="H386" s="2">
        <v>45734</v>
      </c>
      <c r="I386" s="1">
        <v>5754.25</v>
      </c>
      <c r="J386">
        <v>5754.25</v>
      </c>
      <c r="K386" t="s">
        <v>20</v>
      </c>
      <c r="L386">
        <v>12</v>
      </c>
      <c r="M386">
        <v>5754.25</v>
      </c>
    </row>
    <row r="387" spans="1:13">
      <c r="A387" t="s">
        <v>380</v>
      </c>
      <c r="B387" t="s">
        <v>381</v>
      </c>
      <c r="C387" t="s">
        <v>382</v>
      </c>
      <c r="D387" t="s">
        <v>21</v>
      </c>
      <c r="E387" t="s">
        <v>421</v>
      </c>
      <c r="F387" t="s">
        <v>421</v>
      </c>
      <c r="G387" s="2">
        <v>45674</v>
      </c>
      <c r="H387" s="2">
        <v>45734</v>
      </c>
      <c r="I387" s="1">
        <v>6213</v>
      </c>
      <c r="J387">
        <v>6213</v>
      </c>
      <c r="K387" t="s">
        <v>20</v>
      </c>
      <c r="L387">
        <v>12</v>
      </c>
      <c r="M387">
        <v>6213</v>
      </c>
    </row>
    <row r="388" spans="1:13">
      <c r="A388" t="s">
        <v>380</v>
      </c>
      <c r="B388" t="s">
        <v>381</v>
      </c>
      <c r="C388" t="s">
        <v>382</v>
      </c>
      <c r="D388" t="s">
        <v>21</v>
      </c>
      <c r="E388" t="s">
        <v>422</v>
      </c>
      <c r="F388" t="s">
        <v>422</v>
      </c>
      <c r="G388" s="2">
        <v>45674</v>
      </c>
      <c r="H388" s="2">
        <v>45734</v>
      </c>
      <c r="I388" s="1">
        <v>1812.5</v>
      </c>
      <c r="J388">
        <v>1812.5</v>
      </c>
      <c r="K388" t="s">
        <v>20</v>
      </c>
      <c r="L388">
        <v>12</v>
      </c>
      <c r="M388">
        <v>1812.5</v>
      </c>
    </row>
    <row r="389" spans="1:13">
      <c r="A389" t="s">
        <v>380</v>
      </c>
      <c r="B389" t="s">
        <v>381</v>
      </c>
      <c r="C389" t="s">
        <v>382</v>
      </c>
      <c r="D389" t="s">
        <v>21</v>
      </c>
      <c r="E389" t="s">
        <v>423</v>
      </c>
      <c r="F389" t="s">
        <v>423</v>
      </c>
      <c r="G389" s="2">
        <v>45678</v>
      </c>
      <c r="H389" s="2">
        <v>45738</v>
      </c>
      <c r="I389" s="1">
        <v>4370.5</v>
      </c>
      <c r="J389">
        <v>4370.5</v>
      </c>
      <c r="K389" t="s">
        <v>20</v>
      </c>
      <c r="L389">
        <v>12</v>
      </c>
      <c r="M389">
        <v>4370.5</v>
      </c>
    </row>
    <row r="390" spans="1:13">
      <c r="A390" t="s">
        <v>380</v>
      </c>
      <c r="B390" t="s">
        <v>381</v>
      </c>
      <c r="C390" t="s">
        <v>382</v>
      </c>
      <c r="D390" t="s">
        <v>21</v>
      </c>
      <c r="E390" t="s">
        <v>424</v>
      </c>
      <c r="F390" t="s">
        <v>424</v>
      </c>
      <c r="G390" s="2">
        <v>45678</v>
      </c>
      <c r="H390" s="2">
        <v>45738</v>
      </c>
      <c r="I390">
        <v>507.5</v>
      </c>
      <c r="J390">
        <v>507.5</v>
      </c>
      <c r="K390" t="s">
        <v>20</v>
      </c>
      <c r="L390">
        <v>12</v>
      </c>
      <c r="M390">
        <v>507.5</v>
      </c>
    </row>
    <row r="391" spans="1:13">
      <c r="A391" t="s">
        <v>380</v>
      </c>
      <c r="B391" t="s">
        <v>381</v>
      </c>
      <c r="C391" t="s">
        <v>382</v>
      </c>
      <c r="D391" t="s">
        <v>21</v>
      </c>
      <c r="E391" t="s">
        <v>425</v>
      </c>
      <c r="F391" t="s">
        <v>425</v>
      </c>
      <c r="G391" s="2">
        <v>45678</v>
      </c>
      <c r="H391" s="2">
        <v>45738</v>
      </c>
      <c r="I391" s="1">
        <v>3625</v>
      </c>
      <c r="J391">
        <v>3625</v>
      </c>
      <c r="K391" t="s">
        <v>20</v>
      </c>
      <c r="L391">
        <v>12</v>
      </c>
      <c r="M391">
        <v>3625</v>
      </c>
    </row>
    <row r="392" spans="1:13">
      <c r="A392" t="s">
        <v>380</v>
      </c>
      <c r="B392" t="s">
        <v>381</v>
      </c>
      <c r="C392" t="s">
        <v>382</v>
      </c>
      <c r="D392" t="s">
        <v>21</v>
      </c>
      <c r="E392" t="s">
        <v>426</v>
      </c>
      <c r="F392" t="s">
        <v>426</v>
      </c>
      <c r="G392" s="2">
        <v>45678</v>
      </c>
      <c r="H392" s="2">
        <v>45738</v>
      </c>
      <c r="I392" s="1">
        <v>1785.88</v>
      </c>
      <c r="J392">
        <v>1785.88</v>
      </c>
      <c r="K392" t="s">
        <v>20</v>
      </c>
      <c r="L392">
        <v>12</v>
      </c>
      <c r="M392">
        <v>1785.88</v>
      </c>
    </row>
    <row r="393" spans="1:13">
      <c r="A393" t="s">
        <v>380</v>
      </c>
      <c r="B393" t="s">
        <v>381</v>
      </c>
      <c r="C393" t="s">
        <v>382</v>
      </c>
      <c r="D393" t="s">
        <v>21</v>
      </c>
      <c r="E393" t="s">
        <v>427</v>
      </c>
      <c r="F393" t="s">
        <v>427</v>
      </c>
      <c r="G393" s="2">
        <v>45679</v>
      </c>
      <c r="H393" s="2">
        <v>45739</v>
      </c>
      <c r="I393">
        <v>634.15</v>
      </c>
      <c r="J393">
        <v>634.15</v>
      </c>
      <c r="K393" t="s">
        <v>20</v>
      </c>
      <c r="L393">
        <v>13</v>
      </c>
      <c r="M393">
        <v>634.15</v>
      </c>
    </row>
    <row r="394" spans="1:13">
      <c r="A394" t="s">
        <v>380</v>
      </c>
      <c r="B394" t="s">
        <v>381</v>
      </c>
      <c r="C394" t="s">
        <v>382</v>
      </c>
      <c r="D394" t="s">
        <v>21</v>
      </c>
      <c r="E394" t="s">
        <v>428</v>
      </c>
      <c r="F394" t="s">
        <v>428</v>
      </c>
      <c r="G394" s="2">
        <v>45680</v>
      </c>
      <c r="H394" s="2">
        <v>45740</v>
      </c>
      <c r="I394" s="1">
        <v>28647.24</v>
      </c>
      <c r="J394">
        <v>28647.24</v>
      </c>
      <c r="K394" t="s">
        <v>20</v>
      </c>
      <c r="L394">
        <v>13</v>
      </c>
      <c r="M394">
        <v>28647.24</v>
      </c>
    </row>
    <row r="395" spans="1:13">
      <c r="A395" t="s">
        <v>380</v>
      </c>
      <c r="B395" t="s">
        <v>381</v>
      </c>
      <c r="C395" t="s">
        <v>382</v>
      </c>
      <c r="D395" t="s">
        <v>21</v>
      </c>
      <c r="E395" t="s">
        <v>429</v>
      </c>
      <c r="F395" t="s">
        <v>429</v>
      </c>
      <c r="G395" s="2">
        <v>45680</v>
      </c>
      <c r="H395" s="2">
        <v>45740</v>
      </c>
      <c r="I395" s="1">
        <v>18538.32</v>
      </c>
      <c r="J395">
        <v>18538.32</v>
      </c>
      <c r="K395" t="s">
        <v>20</v>
      </c>
      <c r="L395">
        <v>13</v>
      </c>
      <c r="M395">
        <v>18538.32</v>
      </c>
    </row>
    <row r="396" spans="1:13">
      <c r="A396" t="s">
        <v>380</v>
      </c>
      <c r="B396" t="s">
        <v>381</v>
      </c>
      <c r="C396" t="s">
        <v>382</v>
      </c>
      <c r="D396" t="s">
        <v>21</v>
      </c>
      <c r="E396" t="s">
        <v>430</v>
      </c>
      <c r="F396" t="s">
        <v>430</v>
      </c>
      <c r="G396" s="2">
        <v>45685</v>
      </c>
      <c r="H396" s="2">
        <v>45745</v>
      </c>
      <c r="I396" s="1">
        <v>3262.5</v>
      </c>
      <c r="J396">
        <v>3262.5</v>
      </c>
      <c r="K396" t="s">
        <v>20</v>
      </c>
      <c r="L396">
        <v>13</v>
      </c>
      <c r="M396">
        <v>3262.5</v>
      </c>
    </row>
    <row r="397" spans="1:13">
      <c r="A397" t="s">
        <v>380</v>
      </c>
      <c r="B397" t="s">
        <v>381</v>
      </c>
      <c r="C397" t="s">
        <v>382</v>
      </c>
      <c r="D397" t="s">
        <v>21</v>
      </c>
      <c r="E397" t="s">
        <v>431</v>
      </c>
      <c r="F397" t="s">
        <v>431</v>
      </c>
      <c r="G397" s="2">
        <v>45687</v>
      </c>
      <c r="H397" s="2">
        <v>45747</v>
      </c>
      <c r="I397" s="1">
        <v>3036.54</v>
      </c>
      <c r="J397">
        <v>3036.54</v>
      </c>
      <c r="K397" t="s">
        <v>20</v>
      </c>
      <c r="L397">
        <v>13</v>
      </c>
      <c r="M397">
        <v>3036.54</v>
      </c>
    </row>
    <row r="398" spans="1:13">
      <c r="A398" t="s">
        <v>380</v>
      </c>
      <c r="B398" t="s">
        <v>381</v>
      </c>
      <c r="C398" t="s">
        <v>382</v>
      </c>
      <c r="D398" t="s">
        <v>21</v>
      </c>
      <c r="E398" t="s">
        <v>432</v>
      </c>
      <c r="F398" t="s">
        <v>432</v>
      </c>
      <c r="G398" s="2">
        <v>45688</v>
      </c>
      <c r="H398" s="2">
        <v>45748</v>
      </c>
      <c r="I398">
        <v>902.44</v>
      </c>
      <c r="J398">
        <v>902.44</v>
      </c>
      <c r="K398" t="s">
        <v>20</v>
      </c>
      <c r="L398">
        <v>0</v>
      </c>
      <c r="M398">
        <v>0</v>
      </c>
    </row>
    <row r="399" spans="1:13">
      <c r="A399" t="s">
        <v>380</v>
      </c>
      <c r="B399" t="s">
        <v>381</v>
      </c>
      <c r="C399" t="s">
        <v>382</v>
      </c>
      <c r="D399" t="s">
        <v>21</v>
      </c>
      <c r="E399" t="s">
        <v>433</v>
      </c>
      <c r="F399" t="s">
        <v>433</v>
      </c>
      <c r="G399" s="2">
        <v>45691</v>
      </c>
      <c r="H399" s="2">
        <v>45751</v>
      </c>
      <c r="I399" s="1">
        <v>6525</v>
      </c>
      <c r="J399">
        <v>6525</v>
      </c>
      <c r="K399" t="s">
        <v>20</v>
      </c>
      <c r="L399">
        <v>0</v>
      </c>
      <c r="M399">
        <v>0</v>
      </c>
    </row>
    <row r="400" spans="1:13">
      <c r="A400" t="s">
        <v>380</v>
      </c>
      <c r="B400" t="s">
        <v>381</v>
      </c>
      <c r="C400" t="s">
        <v>382</v>
      </c>
      <c r="D400" t="s">
        <v>21</v>
      </c>
      <c r="E400" t="s">
        <v>434</v>
      </c>
      <c r="F400" t="s">
        <v>434</v>
      </c>
      <c r="G400" s="2">
        <v>45693</v>
      </c>
      <c r="H400" s="2">
        <v>45753</v>
      </c>
      <c r="I400" s="1">
        <v>1240.31</v>
      </c>
      <c r="J400">
        <v>1240.31</v>
      </c>
      <c r="K400" t="s">
        <v>20</v>
      </c>
      <c r="L400">
        <v>0</v>
      </c>
      <c r="M400">
        <v>0</v>
      </c>
    </row>
    <row r="401" spans="1:13">
      <c r="A401" t="s">
        <v>380</v>
      </c>
      <c r="B401" t="s">
        <v>381</v>
      </c>
      <c r="C401" t="s">
        <v>382</v>
      </c>
      <c r="D401" t="s">
        <v>21</v>
      </c>
      <c r="E401" t="s">
        <v>435</v>
      </c>
      <c r="F401" t="s">
        <v>435</v>
      </c>
      <c r="G401" s="2">
        <v>45699</v>
      </c>
      <c r="H401" s="2">
        <v>45759</v>
      </c>
      <c r="I401" s="1">
        <v>4482.5</v>
      </c>
      <c r="J401">
        <v>4482.5</v>
      </c>
      <c r="K401" t="s">
        <v>20</v>
      </c>
      <c r="L401">
        <v>0</v>
      </c>
      <c r="M401">
        <v>0</v>
      </c>
    </row>
    <row r="402" spans="1:13">
      <c r="A402" t="s">
        <v>380</v>
      </c>
      <c r="B402" t="s">
        <v>381</v>
      </c>
      <c r="C402" t="s">
        <v>382</v>
      </c>
      <c r="D402" t="s">
        <v>21</v>
      </c>
      <c r="E402" t="s">
        <v>436</v>
      </c>
      <c r="F402" t="s">
        <v>436</v>
      </c>
      <c r="G402" s="2">
        <v>45699</v>
      </c>
      <c r="H402" s="2">
        <v>45759</v>
      </c>
      <c r="I402" s="1">
        <v>5518</v>
      </c>
      <c r="J402">
        <v>5518</v>
      </c>
      <c r="K402" t="s">
        <v>20</v>
      </c>
      <c r="L402">
        <v>0</v>
      </c>
      <c r="M402">
        <v>0</v>
      </c>
    </row>
    <row r="403" spans="1:13">
      <c r="A403" t="s">
        <v>380</v>
      </c>
      <c r="B403" t="s">
        <v>381</v>
      </c>
      <c r="C403" t="s">
        <v>382</v>
      </c>
      <c r="D403" t="s">
        <v>21</v>
      </c>
      <c r="E403" t="s">
        <v>437</v>
      </c>
      <c r="F403" t="s">
        <v>437</v>
      </c>
      <c r="G403" s="2">
        <v>45699</v>
      </c>
      <c r="H403" s="2">
        <v>45759</v>
      </c>
      <c r="I403" s="1">
        <v>5340</v>
      </c>
      <c r="J403">
        <v>5340</v>
      </c>
      <c r="K403" t="s">
        <v>20</v>
      </c>
      <c r="L403">
        <v>0</v>
      </c>
      <c r="M403">
        <v>0</v>
      </c>
    </row>
    <row r="404" spans="1:13">
      <c r="A404" t="s">
        <v>380</v>
      </c>
      <c r="B404" t="s">
        <v>381</v>
      </c>
      <c r="C404" t="s">
        <v>382</v>
      </c>
      <c r="D404" t="s">
        <v>21</v>
      </c>
      <c r="E404" t="s">
        <v>438</v>
      </c>
      <c r="F404" t="s">
        <v>438</v>
      </c>
      <c r="G404" s="2">
        <v>45699</v>
      </c>
      <c r="H404" s="2">
        <v>45759</v>
      </c>
      <c r="I404" s="1">
        <v>8928</v>
      </c>
      <c r="J404">
        <v>8928</v>
      </c>
      <c r="K404" t="s">
        <v>20</v>
      </c>
      <c r="L404">
        <v>0</v>
      </c>
      <c r="M404">
        <v>0</v>
      </c>
    </row>
    <row r="405" spans="1:13">
      <c r="A405" t="s">
        <v>380</v>
      </c>
      <c r="B405" t="s">
        <v>381</v>
      </c>
      <c r="C405" t="s">
        <v>382</v>
      </c>
      <c r="D405" t="s">
        <v>21</v>
      </c>
      <c r="E405" t="s">
        <v>439</v>
      </c>
      <c r="F405" t="s">
        <v>439</v>
      </c>
      <c r="G405" s="2">
        <v>45699</v>
      </c>
      <c r="H405" s="2">
        <v>45759</v>
      </c>
      <c r="I405" s="1">
        <v>5340</v>
      </c>
      <c r="J405">
        <v>5340</v>
      </c>
      <c r="K405" t="s">
        <v>20</v>
      </c>
      <c r="L405">
        <v>0</v>
      </c>
      <c r="M405">
        <v>0</v>
      </c>
    </row>
    <row r="406" spans="1:13">
      <c r="A406" t="s">
        <v>380</v>
      </c>
      <c r="B406" t="s">
        <v>381</v>
      </c>
      <c r="C406" t="s">
        <v>382</v>
      </c>
      <c r="D406" t="s">
        <v>21</v>
      </c>
      <c r="E406" t="s">
        <v>440</v>
      </c>
      <c r="F406" t="s">
        <v>440</v>
      </c>
      <c r="G406" s="2">
        <v>45701</v>
      </c>
      <c r="H406" s="2">
        <v>45761</v>
      </c>
      <c r="I406" s="1">
        <v>9167</v>
      </c>
      <c r="J406">
        <v>9167</v>
      </c>
      <c r="K406" t="s">
        <v>20</v>
      </c>
      <c r="L406">
        <v>0</v>
      </c>
      <c r="M406">
        <v>0</v>
      </c>
    </row>
    <row r="407" spans="1:13">
      <c r="A407" t="s">
        <v>380</v>
      </c>
      <c r="B407" t="s">
        <v>381</v>
      </c>
      <c r="C407" t="s">
        <v>382</v>
      </c>
      <c r="D407" t="s">
        <v>21</v>
      </c>
      <c r="E407" t="s">
        <v>441</v>
      </c>
      <c r="F407" t="s">
        <v>441</v>
      </c>
      <c r="G407" s="2">
        <v>45706</v>
      </c>
      <c r="H407" s="2">
        <v>45766</v>
      </c>
      <c r="I407">
        <v>981.4</v>
      </c>
      <c r="J407">
        <v>981.4</v>
      </c>
      <c r="K407" t="s">
        <v>20</v>
      </c>
      <c r="L407">
        <v>0</v>
      </c>
      <c r="M407">
        <v>0</v>
      </c>
    </row>
    <row r="408" spans="1:13">
      <c r="A408" t="s">
        <v>380</v>
      </c>
      <c r="B408" t="s">
        <v>381</v>
      </c>
      <c r="C408" t="s">
        <v>382</v>
      </c>
      <c r="D408" t="s">
        <v>21</v>
      </c>
      <c r="E408" t="s">
        <v>442</v>
      </c>
      <c r="F408" t="s">
        <v>442</v>
      </c>
      <c r="G408" s="2">
        <v>45708</v>
      </c>
      <c r="H408" s="2">
        <v>45768</v>
      </c>
      <c r="I408" s="1">
        <v>5622.5</v>
      </c>
      <c r="J408">
        <v>5622.5</v>
      </c>
      <c r="K408" t="s">
        <v>20</v>
      </c>
      <c r="L408">
        <v>0</v>
      </c>
      <c r="M408">
        <v>0</v>
      </c>
    </row>
    <row r="409" spans="1:13">
      <c r="A409" t="s">
        <v>380</v>
      </c>
      <c r="B409" t="s">
        <v>381</v>
      </c>
      <c r="C409" t="s">
        <v>382</v>
      </c>
      <c r="D409" t="s">
        <v>21</v>
      </c>
      <c r="E409" t="s">
        <v>443</v>
      </c>
      <c r="F409" t="s">
        <v>443</v>
      </c>
      <c r="G409" s="2">
        <v>45716</v>
      </c>
      <c r="H409" s="2">
        <v>45776</v>
      </c>
      <c r="I409" s="1">
        <v>2670</v>
      </c>
      <c r="J409">
        <v>2670</v>
      </c>
      <c r="K409" t="s">
        <v>20</v>
      </c>
      <c r="L409">
        <v>0</v>
      </c>
      <c r="M409">
        <v>0</v>
      </c>
    </row>
    <row r="410" spans="1:13">
      <c r="A410" t="s">
        <v>380</v>
      </c>
      <c r="B410" t="s">
        <v>381</v>
      </c>
      <c r="C410" t="s">
        <v>382</v>
      </c>
      <c r="D410" t="s">
        <v>21</v>
      </c>
      <c r="E410" t="s">
        <v>444</v>
      </c>
      <c r="F410" t="s">
        <v>444</v>
      </c>
      <c r="G410" s="2">
        <v>45716</v>
      </c>
      <c r="H410" s="2">
        <v>45776</v>
      </c>
      <c r="I410" s="1">
        <v>4482.5</v>
      </c>
      <c r="J410">
        <v>4482.5</v>
      </c>
      <c r="K410" t="s">
        <v>20</v>
      </c>
      <c r="L410">
        <v>0</v>
      </c>
      <c r="M410">
        <v>0</v>
      </c>
    </row>
    <row r="411" spans="1:13">
      <c r="A411" t="s">
        <v>380</v>
      </c>
      <c r="B411" t="s">
        <v>381</v>
      </c>
      <c r="C411" t="s">
        <v>382</v>
      </c>
      <c r="D411" t="s">
        <v>21</v>
      </c>
      <c r="E411" t="s">
        <v>445</v>
      </c>
      <c r="F411" t="s">
        <v>445</v>
      </c>
      <c r="G411" s="2">
        <v>45734</v>
      </c>
      <c r="H411" s="2">
        <v>45794</v>
      </c>
      <c r="I411" s="1">
        <v>10413</v>
      </c>
      <c r="J411">
        <v>10413</v>
      </c>
      <c r="K411" t="s">
        <v>20</v>
      </c>
      <c r="L411">
        <v>0</v>
      </c>
      <c r="M411">
        <v>0</v>
      </c>
    </row>
    <row r="412" spans="1:13">
      <c r="A412" t="s">
        <v>380</v>
      </c>
      <c r="B412" t="s">
        <v>381</v>
      </c>
      <c r="C412" t="s">
        <v>382</v>
      </c>
      <c r="D412" t="s">
        <v>21</v>
      </c>
      <c r="E412" t="s">
        <v>446</v>
      </c>
      <c r="F412" t="s">
        <v>446</v>
      </c>
      <c r="G412" s="2">
        <v>45740</v>
      </c>
      <c r="H412" s="2">
        <v>45800</v>
      </c>
      <c r="I412" s="1">
        <v>7065.36</v>
      </c>
      <c r="J412">
        <v>7065.36</v>
      </c>
      <c r="K412" t="s">
        <v>20</v>
      </c>
      <c r="L412">
        <v>0</v>
      </c>
      <c r="M412">
        <v>0</v>
      </c>
    </row>
    <row r="413" spans="1:13">
      <c r="A413" t="s">
        <v>380</v>
      </c>
      <c r="B413" t="s">
        <v>381</v>
      </c>
      <c r="C413" t="s">
        <v>382</v>
      </c>
      <c r="D413" t="s">
        <v>21</v>
      </c>
      <c r="E413" t="s">
        <v>447</v>
      </c>
      <c r="F413" t="s">
        <v>447</v>
      </c>
      <c r="G413" s="2">
        <v>45742</v>
      </c>
      <c r="H413" s="2">
        <v>45802</v>
      </c>
      <c r="I413">
        <v>0</v>
      </c>
      <c r="J413" t="s">
        <v>86</v>
      </c>
      <c r="K413" t="s">
        <v>20</v>
      </c>
      <c r="L413">
        <v>0</v>
      </c>
      <c r="M413">
        <v>0</v>
      </c>
    </row>
    <row r="414" spans="1:13">
      <c r="A414" t="s">
        <v>448</v>
      </c>
      <c r="B414" t="s">
        <v>449</v>
      </c>
      <c r="C414" t="s">
        <v>16</v>
      </c>
      <c r="D414" t="s">
        <v>21</v>
      </c>
      <c r="E414" t="s">
        <v>450</v>
      </c>
      <c r="F414" t="s">
        <v>450</v>
      </c>
      <c r="G414" s="2">
        <v>44943</v>
      </c>
      <c r="H414" s="2">
        <v>44973</v>
      </c>
      <c r="I414">
        <v>474.11</v>
      </c>
      <c r="J414">
        <v>474.11</v>
      </c>
      <c r="K414" t="s">
        <v>20</v>
      </c>
      <c r="L414">
        <v>0</v>
      </c>
      <c r="M414">
        <v>474.11</v>
      </c>
    </row>
    <row r="415" spans="1:13">
      <c r="A415" t="s">
        <v>448</v>
      </c>
      <c r="B415" t="s">
        <v>449</v>
      </c>
      <c r="C415" t="s">
        <v>16</v>
      </c>
      <c r="D415" t="s">
        <v>17</v>
      </c>
      <c r="E415" t="s">
        <v>451</v>
      </c>
      <c r="F415" t="s">
        <v>19</v>
      </c>
      <c r="H415" s="2">
        <v>45519</v>
      </c>
      <c r="I415">
        <v>-50.06</v>
      </c>
      <c r="J415">
        <v>-50.06</v>
      </c>
      <c r="K415" t="s">
        <v>20</v>
      </c>
      <c r="L415">
        <v>0</v>
      </c>
      <c r="M415">
        <v>-50.06</v>
      </c>
    </row>
    <row r="416" spans="1:13">
      <c r="A416" t="s">
        <v>448</v>
      </c>
      <c r="B416" t="s">
        <v>449</v>
      </c>
      <c r="C416" t="s">
        <v>16</v>
      </c>
      <c r="D416" t="s">
        <v>55</v>
      </c>
      <c r="E416" t="s">
        <v>19</v>
      </c>
      <c r="F416" t="s">
        <v>19</v>
      </c>
      <c r="H416" s="2">
        <v>45558</v>
      </c>
      <c r="I416">
        <v>-96.77</v>
      </c>
      <c r="J416">
        <v>-96.77</v>
      </c>
      <c r="K416" t="s">
        <v>20</v>
      </c>
      <c r="L416">
        <v>0</v>
      </c>
      <c r="M416">
        <v>-96.77</v>
      </c>
    </row>
    <row r="417" spans="1:13">
      <c r="A417" t="s">
        <v>452</v>
      </c>
      <c r="B417" t="s">
        <v>453</v>
      </c>
      <c r="C417" t="s">
        <v>213</v>
      </c>
      <c r="D417" t="s">
        <v>55</v>
      </c>
      <c r="E417" t="s">
        <v>19</v>
      </c>
      <c r="F417" t="s">
        <v>19</v>
      </c>
      <c r="H417" s="2">
        <v>45349</v>
      </c>
      <c r="I417">
        <v>-220.24</v>
      </c>
      <c r="J417">
        <v>-220.24</v>
      </c>
      <c r="K417" t="s">
        <v>20</v>
      </c>
      <c r="L417">
        <v>0</v>
      </c>
      <c r="M417">
        <v>-220.24</v>
      </c>
    </row>
    <row r="418" spans="1:13">
      <c r="A418" t="s">
        <v>454</v>
      </c>
      <c r="B418" t="s">
        <v>455</v>
      </c>
      <c r="C418" t="s">
        <v>213</v>
      </c>
      <c r="D418" t="s">
        <v>21</v>
      </c>
      <c r="E418" t="s">
        <v>456</v>
      </c>
      <c r="F418" t="s">
        <v>456</v>
      </c>
      <c r="G418" s="2">
        <v>45672</v>
      </c>
      <c r="H418" s="2">
        <v>45672</v>
      </c>
      <c r="I418">
        <v>212.68</v>
      </c>
      <c r="J418">
        <v>212.68</v>
      </c>
      <c r="K418" t="s">
        <v>20</v>
      </c>
      <c r="L418">
        <v>0</v>
      </c>
      <c r="M418">
        <v>212.68</v>
      </c>
    </row>
    <row r="419" spans="1:13">
      <c r="A419" t="s">
        <v>457</v>
      </c>
      <c r="B419" t="s">
        <v>458</v>
      </c>
      <c r="C419" t="s">
        <v>16</v>
      </c>
      <c r="D419" t="s">
        <v>17</v>
      </c>
      <c r="E419" t="s">
        <v>459</v>
      </c>
      <c r="F419" t="s">
        <v>19</v>
      </c>
      <c r="H419" s="2">
        <v>45217</v>
      </c>
      <c r="I419">
        <v>-94.93</v>
      </c>
      <c r="J419">
        <v>-94.93</v>
      </c>
      <c r="K419" t="s">
        <v>20</v>
      </c>
      <c r="L419">
        <v>0</v>
      </c>
      <c r="M419">
        <v>-94.93</v>
      </c>
    </row>
    <row r="420" spans="1:13">
      <c r="A420" t="s">
        <v>457</v>
      </c>
      <c r="B420" t="s">
        <v>458</v>
      </c>
      <c r="C420" t="s">
        <v>16</v>
      </c>
      <c r="D420" t="s">
        <v>17</v>
      </c>
      <c r="E420" t="s">
        <v>460</v>
      </c>
      <c r="F420" t="s">
        <v>19</v>
      </c>
      <c r="H420" s="2">
        <v>45226</v>
      </c>
      <c r="I420">
        <v>-312</v>
      </c>
      <c r="J420">
        <v>-312</v>
      </c>
      <c r="K420" t="s">
        <v>20</v>
      </c>
      <c r="L420">
        <v>0</v>
      </c>
      <c r="M420">
        <v>-312</v>
      </c>
    </row>
    <row r="421" spans="1:13">
      <c r="A421" t="s">
        <v>457</v>
      </c>
      <c r="B421" t="s">
        <v>458</v>
      </c>
      <c r="C421" t="s">
        <v>16</v>
      </c>
      <c r="D421" t="s">
        <v>55</v>
      </c>
      <c r="E421" t="s">
        <v>19</v>
      </c>
      <c r="F421" t="s">
        <v>19</v>
      </c>
      <c r="H421" s="2">
        <v>45615</v>
      </c>
      <c r="I421">
        <v>-333</v>
      </c>
      <c r="J421">
        <v>-333</v>
      </c>
      <c r="K421" t="s">
        <v>20</v>
      </c>
      <c r="L421">
        <v>0</v>
      </c>
      <c r="M421">
        <v>-333</v>
      </c>
    </row>
    <row r="422" spans="1:13">
      <c r="A422" t="s">
        <v>457</v>
      </c>
      <c r="B422" t="s">
        <v>458</v>
      </c>
      <c r="C422" t="s">
        <v>16</v>
      </c>
      <c r="D422" t="s">
        <v>21</v>
      </c>
      <c r="E422" t="s">
        <v>461</v>
      </c>
      <c r="F422" t="s">
        <v>461</v>
      </c>
      <c r="G422" s="2">
        <v>45664</v>
      </c>
      <c r="H422" s="2">
        <v>45694</v>
      </c>
      <c r="I422" s="1">
        <v>6415</v>
      </c>
      <c r="J422">
        <v>6415</v>
      </c>
      <c r="K422" t="s">
        <v>20</v>
      </c>
      <c r="L422">
        <v>0</v>
      </c>
      <c r="M422">
        <v>6415</v>
      </c>
    </row>
    <row r="423" spans="1:13">
      <c r="A423" t="s">
        <v>457</v>
      </c>
      <c r="B423" t="s">
        <v>458</v>
      </c>
      <c r="C423" t="s">
        <v>16</v>
      </c>
      <c r="D423" t="s">
        <v>21</v>
      </c>
      <c r="E423" t="s">
        <v>462</v>
      </c>
      <c r="F423" t="s">
        <v>462</v>
      </c>
      <c r="G423" s="2">
        <v>45679</v>
      </c>
      <c r="H423" s="2">
        <v>45709</v>
      </c>
      <c r="I423" s="1">
        <v>2720</v>
      </c>
      <c r="J423">
        <v>2720</v>
      </c>
      <c r="K423" t="s">
        <v>20</v>
      </c>
      <c r="L423">
        <v>0</v>
      </c>
      <c r="M423">
        <v>2720</v>
      </c>
    </row>
    <row r="424" spans="1:13">
      <c r="A424" t="s">
        <v>457</v>
      </c>
      <c r="B424" t="s">
        <v>458</v>
      </c>
      <c r="C424" t="s">
        <v>16</v>
      </c>
      <c r="D424" t="s">
        <v>21</v>
      </c>
      <c r="E424" t="s">
        <v>463</v>
      </c>
      <c r="F424" t="s">
        <v>463</v>
      </c>
      <c r="G424" s="2">
        <v>45679</v>
      </c>
      <c r="H424" s="2">
        <v>45709</v>
      </c>
      <c r="I424">
        <v>408</v>
      </c>
      <c r="J424">
        <v>408</v>
      </c>
      <c r="K424" t="s">
        <v>20</v>
      </c>
      <c r="L424">
        <v>0</v>
      </c>
      <c r="M424">
        <v>408</v>
      </c>
    </row>
    <row r="425" spans="1:13">
      <c r="A425" t="s">
        <v>457</v>
      </c>
      <c r="B425" t="s">
        <v>458</v>
      </c>
      <c r="C425" t="s">
        <v>16</v>
      </c>
      <c r="D425" t="s">
        <v>21</v>
      </c>
      <c r="E425" t="s">
        <v>464</v>
      </c>
      <c r="F425" t="s">
        <v>464</v>
      </c>
      <c r="G425" s="2">
        <v>45681</v>
      </c>
      <c r="H425" s="2">
        <v>45711</v>
      </c>
      <c r="I425">
        <v>612</v>
      </c>
      <c r="J425">
        <v>612</v>
      </c>
      <c r="K425" t="s">
        <v>20</v>
      </c>
      <c r="L425">
        <v>0</v>
      </c>
      <c r="M425">
        <v>612</v>
      </c>
    </row>
    <row r="426" spans="1:13">
      <c r="A426" t="s">
        <v>457</v>
      </c>
      <c r="B426" t="s">
        <v>458</v>
      </c>
      <c r="C426" t="s">
        <v>16</v>
      </c>
      <c r="D426" t="s">
        <v>21</v>
      </c>
      <c r="E426" t="s">
        <v>465</v>
      </c>
      <c r="F426" t="s">
        <v>465</v>
      </c>
      <c r="G426" s="2">
        <v>45687</v>
      </c>
      <c r="H426" s="2">
        <v>45717</v>
      </c>
      <c r="I426" s="1">
        <v>5375</v>
      </c>
      <c r="J426">
        <v>5375</v>
      </c>
      <c r="K426" t="s">
        <v>20</v>
      </c>
      <c r="L426">
        <v>10</v>
      </c>
      <c r="M426">
        <v>5375</v>
      </c>
    </row>
    <row r="427" spans="1:13">
      <c r="A427" t="s">
        <v>457</v>
      </c>
      <c r="B427" t="s">
        <v>458</v>
      </c>
      <c r="C427" t="s">
        <v>16</v>
      </c>
      <c r="D427" t="s">
        <v>21</v>
      </c>
      <c r="E427" t="s">
        <v>466</v>
      </c>
      <c r="F427" t="s">
        <v>466</v>
      </c>
      <c r="G427" s="2">
        <v>45688</v>
      </c>
      <c r="H427" s="2">
        <v>45718</v>
      </c>
      <c r="I427" s="1">
        <v>3377.05</v>
      </c>
      <c r="J427">
        <v>3377.05</v>
      </c>
      <c r="K427" t="s">
        <v>20</v>
      </c>
      <c r="L427">
        <v>10</v>
      </c>
      <c r="M427">
        <v>3377.05</v>
      </c>
    </row>
    <row r="428" spans="1:13">
      <c r="A428" t="s">
        <v>457</v>
      </c>
      <c r="B428" t="s">
        <v>458</v>
      </c>
      <c r="C428" t="s">
        <v>16</v>
      </c>
      <c r="D428" t="s">
        <v>21</v>
      </c>
      <c r="E428" t="s">
        <v>467</v>
      </c>
      <c r="F428" t="s">
        <v>467</v>
      </c>
      <c r="G428" s="2">
        <v>45688</v>
      </c>
      <c r="H428" s="2">
        <v>45718</v>
      </c>
      <c r="I428" s="1">
        <v>8928</v>
      </c>
      <c r="J428">
        <v>8928</v>
      </c>
      <c r="K428" t="s">
        <v>20</v>
      </c>
      <c r="L428">
        <v>10</v>
      </c>
      <c r="M428">
        <v>8928</v>
      </c>
    </row>
    <row r="429" spans="1:13">
      <c r="A429" t="s">
        <v>457</v>
      </c>
      <c r="B429" t="s">
        <v>458</v>
      </c>
      <c r="C429" t="s">
        <v>16</v>
      </c>
      <c r="D429" t="s">
        <v>21</v>
      </c>
      <c r="E429" t="s">
        <v>468</v>
      </c>
      <c r="F429" t="s">
        <v>468</v>
      </c>
      <c r="G429" s="2">
        <v>45691</v>
      </c>
      <c r="H429" s="2">
        <v>45721</v>
      </c>
      <c r="I429" s="1">
        <v>4590</v>
      </c>
      <c r="J429">
        <v>4590</v>
      </c>
      <c r="K429" t="s">
        <v>20</v>
      </c>
      <c r="L429">
        <v>10</v>
      </c>
      <c r="M429">
        <v>4590</v>
      </c>
    </row>
    <row r="430" spans="1:13">
      <c r="A430" t="s">
        <v>457</v>
      </c>
      <c r="B430" t="s">
        <v>458</v>
      </c>
      <c r="C430" t="s">
        <v>16</v>
      </c>
      <c r="D430" t="s">
        <v>21</v>
      </c>
      <c r="E430" t="s">
        <v>469</v>
      </c>
      <c r="F430" t="s">
        <v>469</v>
      </c>
      <c r="G430" s="2">
        <v>45691</v>
      </c>
      <c r="H430" s="2">
        <v>45721</v>
      </c>
      <c r="I430" s="1">
        <v>1040</v>
      </c>
      <c r="J430">
        <v>1040</v>
      </c>
      <c r="K430" t="s">
        <v>20</v>
      </c>
      <c r="L430">
        <v>10</v>
      </c>
      <c r="M430">
        <v>1040</v>
      </c>
    </row>
    <row r="431" spans="1:13">
      <c r="A431" t="s">
        <v>457</v>
      </c>
      <c r="B431" t="s">
        <v>458</v>
      </c>
      <c r="C431" t="s">
        <v>16</v>
      </c>
      <c r="D431" t="s">
        <v>55</v>
      </c>
      <c r="E431" t="s">
        <v>19</v>
      </c>
      <c r="F431" t="s">
        <v>19</v>
      </c>
      <c r="H431" s="2">
        <v>45726</v>
      </c>
      <c r="I431" s="1">
        <v>-9721.06</v>
      </c>
      <c r="J431">
        <v>-9721.06</v>
      </c>
      <c r="K431" t="s">
        <v>20</v>
      </c>
      <c r="L431">
        <v>11</v>
      </c>
      <c r="M431">
        <v>-9721.06</v>
      </c>
    </row>
    <row r="432" spans="1:13">
      <c r="A432" t="s">
        <v>457</v>
      </c>
      <c r="B432" t="s">
        <v>458</v>
      </c>
      <c r="C432" t="s">
        <v>16</v>
      </c>
      <c r="D432" t="s">
        <v>21</v>
      </c>
      <c r="E432" t="s">
        <v>470</v>
      </c>
      <c r="F432" t="s">
        <v>470</v>
      </c>
      <c r="G432" s="2">
        <v>45714</v>
      </c>
      <c r="H432" s="2">
        <v>45744</v>
      </c>
      <c r="I432" s="1">
        <v>2040</v>
      </c>
      <c r="J432">
        <v>2040</v>
      </c>
      <c r="K432" t="s">
        <v>20</v>
      </c>
      <c r="L432">
        <v>13</v>
      </c>
      <c r="M432">
        <v>2040</v>
      </c>
    </row>
    <row r="433" spans="1:13">
      <c r="A433" t="s">
        <v>457</v>
      </c>
      <c r="B433" t="s">
        <v>458</v>
      </c>
      <c r="C433" t="s">
        <v>16</v>
      </c>
      <c r="D433" t="s">
        <v>21</v>
      </c>
      <c r="E433" t="s">
        <v>471</v>
      </c>
      <c r="F433" t="s">
        <v>471</v>
      </c>
      <c r="G433" s="2">
        <v>45714</v>
      </c>
      <c r="H433" s="2">
        <v>45744</v>
      </c>
      <c r="I433" s="1">
        <v>2040</v>
      </c>
      <c r="J433">
        <v>2040</v>
      </c>
      <c r="K433" t="s">
        <v>20</v>
      </c>
      <c r="L433">
        <v>13</v>
      </c>
      <c r="M433">
        <v>2040</v>
      </c>
    </row>
    <row r="434" spans="1:13">
      <c r="A434" t="s">
        <v>457</v>
      </c>
      <c r="B434" t="s">
        <v>458</v>
      </c>
      <c r="C434" t="s">
        <v>16</v>
      </c>
      <c r="D434" t="s">
        <v>21</v>
      </c>
      <c r="E434" t="s">
        <v>472</v>
      </c>
      <c r="F434" t="s">
        <v>472</v>
      </c>
      <c r="G434" s="2">
        <v>45719</v>
      </c>
      <c r="H434" s="2">
        <v>45749</v>
      </c>
      <c r="I434" s="1">
        <v>1020</v>
      </c>
      <c r="J434">
        <v>1020</v>
      </c>
      <c r="K434" t="s">
        <v>20</v>
      </c>
      <c r="L434">
        <v>0</v>
      </c>
      <c r="M434">
        <v>0</v>
      </c>
    </row>
    <row r="435" spans="1:13">
      <c r="A435" t="s">
        <v>457</v>
      </c>
      <c r="B435" t="s">
        <v>458</v>
      </c>
      <c r="C435" t="s">
        <v>16</v>
      </c>
      <c r="D435" t="s">
        <v>21</v>
      </c>
      <c r="E435" t="s">
        <v>473</v>
      </c>
      <c r="F435" t="s">
        <v>473</v>
      </c>
      <c r="G435" s="2">
        <v>45721</v>
      </c>
      <c r="H435" s="2">
        <v>45751</v>
      </c>
      <c r="I435">
        <v>522</v>
      </c>
      <c r="J435">
        <v>522</v>
      </c>
      <c r="K435" t="s">
        <v>20</v>
      </c>
      <c r="L435">
        <v>0</v>
      </c>
      <c r="M435">
        <v>0</v>
      </c>
    </row>
    <row r="436" spans="1:13">
      <c r="A436" t="s">
        <v>457</v>
      </c>
      <c r="B436" t="s">
        <v>458</v>
      </c>
      <c r="C436" t="s">
        <v>16</v>
      </c>
      <c r="D436" t="s">
        <v>21</v>
      </c>
      <c r="E436" t="s">
        <v>474</v>
      </c>
      <c r="F436" t="s">
        <v>474</v>
      </c>
      <c r="G436" s="2">
        <v>45723</v>
      </c>
      <c r="H436" s="2">
        <v>45753</v>
      </c>
      <c r="I436" s="1">
        <v>4440</v>
      </c>
      <c r="J436">
        <v>4440</v>
      </c>
      <c r="K436" t="s">
        <v>20</v>
      </c>
      <c r="L436">
        <v>0</v>
      </c>
      <c r="M436">
        <v>0</v>
      </c>
    </row>
    <row r="437" spans="1:13">
      <c r="A437" t="s">
        <v>457</v>
      </c>
      <c r="B437" t="s">
        <v>458</v>
      </c>
      <c r="C437" t="s">
        <v>16</v>
      </c>
      <c r="D437" t="s">
        <v>21</v>
      </c>
      <c r="E437" t="s">
        <v>475</v>
      </c>
      <c r="F437" t="s">
        <v>475</v>
      </c>
      <c r="G437" s="2">
        <v>45726</v>
      </c>
      <c r="H437" s="2">
        <v>45756</v>
      </c>
      <c r="I437">
        <v>950</v>
      </c>
      <c r="J437">
        <v>950</v>
      </c>
      <c r="K437" t="s">
        <v>20</v>
      </c>
      <c r="L437">
        <v>0</v>
      </c>
      <c r="M437">
        <v>0</v>
      </c>
    </row>
    <row r="438" spans="1:13">
      <c r="A438" t="s">
        <v>457</v>
      </c>
      <c r="B438" t="s">
        <v>458</v>
      </c>
      <c r="C438" t="s">
        <v>16</v>
      </c>
      <c r="D438" t="s">
        <v>21</v>
      </c>
      <c r="E438" t="s">
        <v>476</v>
      </c>
      <c r="F438" t="s">
        <v>476</v>
      </c>
      <c r="G438" s="2">
        <v>45728</v>
      </c>
      <c r="H438" s="2">
        <v>45758</v>
      </c>
      <c r="I438" s="1">
        <v>1064</v>
      </c>
      <c r="J438">
        <v>1064</v>
      </c>
      <c r="K438" t="s">
        <v>20</v>
      </c>
      <c r="L438">
        <v>0</v>
      </c>
      <c r="M438">
        <v>0</v>
      </c>
    </row>
    <row r="439" spans="1:13">
      <c r="A439" t="s">
        <v>457</v>
      </c>
      <c r="B439" t="s">
        <v>458</v>
      </c>
      <c r="C439" t="s">
        <v>16</v>
      </c>
      <c r="D439" t="s">
        <v>21</v>
      </c>
      <c r="E439" t="s">
        <v>477</v>
      </c>
      <c r="F439" t="s">
        <v>477</v>
      </c>
      <c r="G439" s="2">
        <v>45735</v>
      </c>
      <c r="H439" s="2">
        <v>45765</v>
      </c>
      <c r="I439" s="1">
        <v>5246</v>
      </c>
      <c r="J439">
        <v>5246</v>
      </c>
      <c r="K439" t="s">
        <v>20</v>
      </c>
      <c r="L439">
        <v>0</v>
      </c>
      <c r="M439">
        <v>0</v>
      </c>
    </row>
    <row r="440" spans="1:13">
      <c r="A440" t="s">
        <v>457</v>
      </c>
      <c r="B440" t="s">
        <v>458</v>
      </c>
      <c r="C440" t="s">
        <v>16</v>
      </c>
      <c r="D440" t="s">
        <v>21</v>
      </c>
      <c r="E440" t="s">
        <v>478</v>
      </c>
      <c r="F440" t="s">
        <v>478</v>
      </c>
      <c r="G440" s="2">
        <v>45740</v>
      </c>
      <c r="H440" s="2">
        <v>45770</v>
      </c>
      <c r="I440" s="1">
        <v>3740</v>
      </c>
      <c r="J440">
        <v>3740</v>
      </c>
      <c r="K440" t="s">
        <v>20</v>
      </c>
      <c r="L440">
        <v>0</v>
      </c>
      <c r="M440">
        <v>0</v>
      </c>
    </row>
    <row r="441" spans="1:13">
      <c r="A441" t="s">
        <v>479</v>
      </c>
      <c r="B441" t="s">
        <v>480</v>
      </c>
      <c r="C441" t="s">
        <v>16</v>
      </c>
      <c r="D441" t="s">
        <v>21</v>
      </c>
      <c r="E441" t="s">
        <v>481</v>
      </c>
      <c r="F441" t="s">
        <v>481</v>
      </c>
      <c r="G441" s="2">
        <v>45656</v>
      </c>
      <c r="H441" s="2">
        <v>45686</v>
      </c>
      <c r="I441">
        <v>999.25</v>
      </c>
      <c r="J441">
        <v>98</v>
      </c>
      <c r="K441" t="s">
        <v>20</v>
      </c>
      <c r="L441">
        <v>0</v>
      </c>
      <c r="M441">
        <v>98</v>
      </c>
    </row>
    <row r="442" spans="1:13">
      <c r="A442" t="s">
        <v>479</v>
      </c>
      <c r="B442" t="s">
        <v>480</v>
      </c>
      <c r="C442" t="s">
        <v>16</v>
      </c>
      <c r="D442" t="s">
        <v>55</v>
      </c>
      <c r="E442" t="s">
        <v>481</v>
      </c>
      <c r="F442" t="s">
        <v>481</v>
      </c>
      <c r="H442" s="2">
        <v>45679</v>
      </c>
      <c r="I442">
        <v>-901.25</v>
      </c>
      <c r="J442" t="s">
        <v>86</v>
      </c>
      <c r="K442" t="s">
        <v>20</v>
      </c>
      <c r="L442">
        <v>0</v>
      </c>
      <c r="M442" t="s">
        <v>86</v>
      </c>
    </row>
    <row r="443" spans="1:13">
      <c r="A443" t="s">
        <v>479</v>
      </c>
      <c r="B443" t="s">
        <v>480</v>
      </c>
      <c r="C443" t="s">
        <v>16</v>
      </c>
      <c r="D443" t="s">
        <v>21</v>
      </c>
      <c r="E443" t="s">
        <v>482</v>
      </c>
      <c r="F443" t="s">
        <v>482</v>
      </c>
      <c r="G443" s="2">
        <v>45659</v>
      </c>
      <c r="H443" s="2">
        <v>45689</v>
      </c>
      <c r="I443" s="1">
        <v>2965</v>
      </c>
      <c r="J443">
        <v>2965</v>
      </c>
      <c r="K443" t="s">
        <v>20</v>
      </c>
      <c r="L443">
        <v>0</v>
      </c>
      <c r="M443">
        <v>2965</v>
      </c>
    </row>
    <row r="444" spans="1:13">
      <c r="A444" t="s">
        <v>479</v>
      </c>
      <c r="B444" t="s">
        <v>480</v>
      </c>
      <c r="C444" t="s">
        <v>16</v>
      </c>
      <c r="D444" t="s">
        <v>21</v>
      </c>
      <c r="E444" t="s">
        <v>483</v>
      </c>
      <c r="F444" t="s">
        <v>483</v>
      </c>
      <c r="G444" s="2">
        <v>45670</v>
      </c>
      <c r="H444" s="2">
        <v>45700</v>
      </c>
      <c r="I444" s="1">
        <v>9650.91</v>
      </c>
      <c r="J444">
        <v>180.91</v>
      </c>
      <c r="K444" t="s">
        <v>20</v>
      </c>
      <c r="L444">
        <v>0</v>
      </c>
      <c r="M444">
        <v>180.91</v>
      </c>
    </row>
    <row r="445" spans="1:13">
      <c r="A445" t="s">
        <v>479</v>
      </c>
      <c r="B445" t="s">
        <v>480</v>
      </c>
      <c r="C445" t="s">
        <v>16</v>
      </c>
      <c r="D445" t="s">
        <v>55</v>
      </c>
      <c r="E445" t="s">
        <v>483</v>
      </c>
      <c r="F445" t="s">
        <v>483</v>
      </c>
      <c r="H445" s="2">
        <v>45695</v>
      </c>
      <c r="I445" s="1">
        <v>-9470</v>
      </c>
      <c r="J445" t="s">
        <v>86</v>
      </c>
      <c r="K445" t="s">
        <v>20</v>
      </c>
      <c r="L445">
        <v>0</v>
      </c>
      <c r="M445" t="s">
        <v>86</v>
      </c>
    </row>
    <row r="446" spans="1:13">
      <c r="A446" t="s">
        <v>479</v>
      </c>
      <c r="B446" t="s">
        <v>480</v>
      </c>
      <c r="C446" t="s">
        <v>16</v>
      </c>
      <c r="D446" t="s">
        <v>21</v>
      </c>
      <c r="E446" t="s">
        <v>484</v>
      </c>
      <c r="F446" t="s">
        <v>484</v>
      </c>
      <c r="G446" s="2">
        <v>45681</v>
      </c>
      <c r="H446" s="2">
        <v>45711</v>
      </c>
      <c r="I446" s="1">
        <v>1800</v>
      </c>
      <c r="J446">
        <v>400</v>
      </c>
      <c r="K446" t="s">
        <v>20</v>
      </c>
      <c r="L446">
        <v>0</v>
      </c>
      <c r="M446">
        <v>400</v>
      </c>
    </row>
    <row r="447" spans="1:13">
      <c r="A447" t="s">
        <v>479</v>
      </c>
      <c r="B447" t="s">
        <v>480</v>
      </c>
      <c r="C447" t="s">
        <v>16</v>
      </c>
      <c r="D447" t="s">
        <v>55</v>
      </c>
      <c r="E447" t="s">
        <v>484</v>
      </c>
      <c r="F447" t="s">
        <v>484</v>
      </c>
      <c r="H447" s="2">
        <v>45712</v>
      </c>
      <c r="I447" s="1">
        <v>-1400</v>
      </c>
      <c r="J447" t="s">
        <v>86</v>
      </c>
      <c r="K447" t="s">
        <v>20</v>
      </c>
      <c r="L447">
        <v>0</v>
      </c>
      <c r="M447" t="s">
        <v>86</v>
      </c>
    </row>
    <row r="448" spans="1:13">
      <c r="A448" t="s">
        <v>479</v>
      </c>
      <c r="B448" t="s">
        <v>480</v>
      </c>
      <c r="C448" t="s">
        <v>16</v>
      </c>
      <c r="D448" t="s">
        <v>21</v>
      </c>
      <c r="E448" t="s">
        <v>485</v>
      </c>
      <c r="F448" t="s">
        <v>485</v>
      </c>
      <c r="G448" s="2">
        <v>45712</v>
      </c>
      <c r="H448" s="2">
        <v>45742</v>
      </c>
      <c r="I448" s="1">
        <v>4721.45</v>
      </c>
      <c r="J448">
        <v>4721.45</v>
      </c>
      <c r="K448" t="s">
        <v>20</v>
      </c>
      <c r="L448">
        <v>13</v>
      </c>
      <c r="M448">
        <v>4721.45</v>
      </c>
    </row>
    <row r="449" spans="1:13">
      <c r="A449" t="s">
        <v>479</v>
      </c>
      <c r="B449" t="s">
        <v>480</v>
      </c>
      <c r="C449" t="s">
        <v>16</v>
      </c>
      <c r="D449" t="s">
        <v>21</v>
      </c>
      <c r="E449" t="s">
        <v>486</v>
      </c>
      <c r="F449" t="s">
        <v>486</v>
      </c>
      <c r="G449" s="2">
        <v>45720</v>
      </c>
      <c r="H449" s="2">
        <v>45750</v>
      </c>
      <c r="I449" s="1">
        <v>3698.34</v>
      </c>
      <c r="J449">
        <v>3698.34</v>
      </c>
      <c r="K449" t="s">
        <v>20</v>
      </c>
      <c r="L449">
        <v>0</v>
      </c>
      <c r="M449">
        <v>0</v>
      </c>
    </row>
    <row r="450" spans="1:13">
      <c r="A450" t="s">
        <v>479</v>
      </c>
      <c r="B450" t="s">
        <v>480</v>
      </c>
      <c r="C450" t="s">
        <v>16</v>
      </c>
      <c r="D450" t="s">
        <v>21</v>
      </c>
      <c r="E450" t="s">
        <v>487</v>
      </c>
      <c r="F450" t="s">
        <v>487</v>
      </c>
      <c r="G450" s="2">
        <v>45733</v>
      </c>
      <c r="H450" s="2">
        <v>45763</v>
      </c>
      <c r="I450" s="1">
        <v>7008</v>
      </c>
      <c r="J450">
        <v>7008</v>
      </c>
      <c r="K450" t="s">
        <v>20</v>
      </c>
      <c r="L450">
        <v>0</v>
      </c>
      <c r="M450">
        <v>0</v>
      </c>
    </row>
    <row r="451" spans="1:13">
      <c r="A451" t="s">
        <v>479</v>
      </c>
      <c r="B451" t="s">
        <v>480</v>
      </c>
      <c r="C451" t="s">
        <v>16</v>
      </c>
      <c r="D451" t="s">
        <v>21</v>
      </c>
      <c r="E451" t="s">
        <v>488</v>
      </c>
      <c r="F451" t="s">
        <v>488</v>
      </c>
      <c r="G451" s="2">
        <v>45733</v>
      </c>
      <c r="H451" s="2">
        <v>45763</v>
      </c>
      <c r="I451" s="1">
        <v>6553.75</v>
      </c>
      <c r="J451">
        <v>6553.75</v>
      </c>
      <c r="K451" t="s">
        <v>20</v>
      </c>
      <c r="L451">
        <v>0</v>
      </c>
      <c r="M451">
        <v>0</v>
      </c>
    </row>
    <row r="452" spans="1:13">
      <c r="A452" t="s">
        <v>489</v>
      </c>
      <c r="B452" t="s">
        <v>490</v>
      </c>
      <c r="C452" t="s">
        <v>16</v>
      </c>
      <c r="D452" t="s">
        <v>21</v>
      </c>
      <c r="E452" t="s">
        <v>491</v>
      </c>
      <c r="F452" t="s">
        <v>491</v>
      </c>
      <c r="G452" s="2">
        <v>45701</v>
      </c>
      <c r="H452" s="2">
        <v>45731</v>
      </c>
      <c r="I452" s="1">
        <v>6645</v>
      </c>
      <c r="J452">
        <v>6645</v>
      </c>
      <c r="K452" t="s">
        <v>20</v>
      </c>
      <c r="L452">
        <v>11</v>
      </c>
      <c r="M452">
        <v>6645</v>
      </c>
    </row>
    <row r="453" spans="1:13">
      <c r="A453" t="s">
        <v>489</v>
      </c>
      <c r="B453" t="s">
        <v>490</v>
      </c>
      <c r="C453" t="s">
        <v>16</v>
      </c>
      <c r="D453" t="s">
        <v>21</v>
      </c>
      <c r="E453" t="s">
        <v>492</v>
      </c>
      <c r="F453" t="s">
        <v>492</v>
      </c>
      <c r="G453" s="2">
        <v>45706</v>
      </c>
      <c r="H453" s="2">
        <v>45736</v>
      </c>
      <c r="I453">
        <v>517</v>
      </c>
      <c r="J453">
        <v>517</v>
      </c>
      <c r="K453" t="s">
        <v>20</v>
      </c>
      <c r="L453">
        <v>12</v>
      </c>
      <c r="M453">
        <v>517</v>
      </c>
    </row>
    <row r="454" spans="1:13">
      <c r="A454" t="s">
        <v>489</v>
      </c>
      <c r="B454" t="s">
        <v>490</v>
      </c>
      <c r="C454" t="s">
        <v>16</v>
      </c>
      <c r="D454" t="s">
        <v>21</v>
      </c>
      <c r="E454" t="s">
        <v>493</v>
      </c>
      <c r="F454" t="s">
        <v>493</v>
      </c>
      <c r="G454" s="2">
        <v>45706</v>
      </c>
      <c r="H454" s="2">
        <v>45736</v>
      </c>
      <c r="I454" s="1">
        <v>3943</v>
      </c>
      <c r="J454">
        <v>3943</v>
      </c>
      <c r="K454" t="s">
        <v>20</v>
      </c>
      <c r="L454">
        <v>12</v>
      </c>
      <c r="M454">
        <v>3943</v>
      </c>
    </row>
    <row r="455" spans="1:13">
      <c r="A455" t="s">
        <v>489</v>
      </c>
      <c r="B455" t="s">
        <v>490</v>
      </c>
      <c r="C455" t="s">
        <v>16</v>
      </c>
      <c r="D455" t="s">
        <v>21</v>
      </c>
      <c r="E455" t="s">
        <v>494</v>
      </c>
      <c r="F455" t="s">
        <v>494</v>
      </c>
      <c r="G455" s="2">
        <v>45707</v>
      </c>
      <c r="H455" s="2">
        <v>45737</v>
      </c>
      <c r="I455" s="1">
        <v>1482</v>
      </c>
      <c r="J455">
        <v>1482</v>
      </c>
      <c r="K455" t="s">
        <v>20</v>
      </c>
      <c r="L455">
        <v>12</v>
      </c>
      <c r="M455">
        <v>1482</v>
      </c>
    </row>
    <row r="456" spans="1:13">
      <c r="A456" t="s">
        <v>489</v>
      </c>
      <c r="B456" t="s">
        <v>490</v>
      </c>
      <c r="C456" t="s">
        <v>16</v>
      </c>
      <c r="D456" t="s">
        <v>21</v>
      </c>
      <c r="E456" t="s">
        <v>495</v>
      </c>
      <c r="F456" t="s">
        <v>495</v>
      </c>
      <c r="G456" s="2">
        <v>45712</v>
      </c>
      <c r="H456" s="2">
        <v>45742</v>
      </c>
      <c r="I456" s="1">
        <v>2746.25</v>
      </c>
      <c r="J456">
        <v>2746.25</v>
      </c>
      <c r="K456" t="s">
        <v>20</v>
      </c>
      <c r="L456">
        <v>13</v>
      </c>
      <c r="M456">
        <v>2746.25</v>
      </c>
    </row>
    <row r="457" spans="1:13">
      <c r="A457" t="s">
        <v>489</v>
      </c>
      <c r="B457" t="s">
        <v>490</v>
      </c>
      <c r="C457" t="s">
        <v>16</v>
      </c>
      <c r="D457" t="s">
        <v>21</v>
      </c>
      <c r="E457" t="s">
        <v>496</v>
      </c>
      <c r="F457" t="s">
        <v>496</v>
      </c>
      <c r="G457" s="2">
        <v>45712</v>
      </c>
      <c r="H457" s="2">
        <v>45742</v>
      </c>
      <c r="I457" s="1">
        <v>34374.9</v>
      </c>
      <c r="J457">
        <v>34374.9</v>
      </c>
      <c r="K457" t="s">
        <v>20</v>
      </c>
      <c r="L457">
        <v>13</v>
      </c>
      <c r="M457">
        <v>34374.9</v>
      </c>
    </row>
    <row r="458" spans="1:13">
      <c r="A458" t="s">
        <v>489</v>
      </c>
      <c r="B458" t="s">
        <v>490</v>
      </c>
      <c r="C458" t="s">
        <v>16</v>
      </c>
      <c r="D458" t="s">
        <v>21</v>
      </c>
      <c r="E458" t="s">
        <v>497</v>
      </c>
      <c r="F458" t="s">
        <v>497</v>
      </c>
      <c r="G458" s="2">
        <v>45713</v>
      </c>
      <c r="H458" s="2">
        <v>45743</v>
      </c>
      <c r="I458" s="1">
        <v>1395</v>
      </c>
      <c r="J458">
        <v>1395</v>
      </c>
      <c r="K458" t="s">
        <v>20</v>
      </c>
      <c r="L458">
        <v>13</v>
      </c>
      <c r="M458">
        <v>1395</v>
      </c>
    </row>
    <row r="459" spans="1:13">
      <c r="A459" t="s">
        <v>489</v>
      </c>
      <c r="B459" t="s">
        <v>490</v>
      </c>
      <c r="C459" t="s">
        <v>16</v>
      </c>
      <c r="D459" t="s">
        <v>21</v>
      </c>
      <c r="E459" t="s">
        <v>498</v>
      </c>
      <c r="F459" t="s">
        <v>498</v>
      </c>
      <c r="G459" s="2">
        <v>45716</v>
      </c>
      <c r="H459" s="2">
        <v>45746</v>
      </c>
      <c r="I459" s="1">
        <v>2767.83</v>
      </c>
      <c r="J459">
        <v>2767.83</v>
      </c>
      <c r="K459" t="s">
        <v>20</v>
      </c>
      <c r="L459">
        <v>13</v>
      </c>
      <c r="M459">
        <v>2767.83</v>
      </c>
    </row>
    <row r="460" spans="1:13">
      <c r="A460" t="s">
        <v>489</v>
      </c>
      <c r="B460" t="s">
        <v>490</v>
      </c>
      <c r="C460" t="s">
        <v>16</v>
      </c>
      <c r="D460" t="s">
        <v>21</v>
      </c>
      <c r="E460" t="s">
        <v>499</v>
      </c>
      <c r="F460" t="s">
        <v>499</v>
      </c>
      <c r="G460" s="2">
        <v>45716</v>
      </c>
      <c r="H460" s="2">
        <v>45746</v>
      </c>
      <c r="I460" s="1">
        <v>2100</v>
      </c>
      <c r="J460">
        <v>2100</v>
      </c>
      <c r="K460" t="s">
        <v>20</v>
      </c>
      <c r="L460">
        <v>13</v>
      </c>
      <c r="M460">
        <v>2100</v>
      </c>
    </row>
    <row r="461" spans="1:13">
      <c r="A461" t="s">
        <v>489</v>
      </c>
      <c r="B461" t="s">
        <v>490</v>
      </c>
      <c r="C461" t="s">
        <v>16</v>
      </c>
      <c r="D461" t="s">
        <v>21</v>
      </c>
      <c r="E461" t="s">
        <v>500</v>
      </c>
      <c r="F461" t="s">
        <v>500</v>
      </c>
      <c r="G461" s="2">
        <v>45716</v>
      </c>
      <c r="H461" s="2">
        <v>45746</v>
      </c>
      <c r="I461" s="1">
        <v>1680</v>
      </c>
      <c r="J461">
        <v>1680</v>
      </c>
      <c r="K461" t="s">
        <v>20</v>
      </c>
      <c r="L461">
        <v>13</v>
      </c>
      <c r="M461">
        <v>1680</v>
      </c>
    </row>
    <row r="462" spans="1:13">
      <c r="A462" t="s">
        <v>489</v>
      </c>
      <c r="B462" t="s">
        <v>490</v>
      </c>
      <c r="C462" t="s">
        <v>16</v>
      </c>
      <c r="D462" t="s">
        <v>21</v>
      </c>
      <c r="E462" t="s">
        <v>501</v>
      </c>
      <c r="F462" t="s">
        <v>501</v>
      </c>
      <c r="G462" s="2">
        <v>45719</v>
      </c>
      <c r="H462" s="2">
        <v>45749</v>
      </c>
      <c r="I462" s="1">
        <v>3192.5</v>
      </c>
      <c r="J462">
        <v>3192.5</v>
      </c>
      <c r="K462" t="s">
        <v>20</v>
      </c>
      <c r="L462">
        <v>0</v>
      </c>
      <c r="M462">
        <v>0</v>
      </c>
    </row>
    <row r="463" spans="1:13">
      <c r="A463" t="s">
        <v>489</v>
      </c>
      <c r="B463" t="s">
        <v>490</v>
      </c>
      <c r="C463" t="s">
        <v>16</v>
      </c>
      <c r="D463" t="s">
        <v>21</v>
      </c>
      <c r="E463" t="s">
        <v>502</v>
      </c>
      <c r="F463" t="s">
        <v>502</v>
      </c>
      <c r="G463" s="2">
        <v>45728</v>
      </c>
      <c r="H463" s="2">
        <v>45758</v>
      </c>
      <c r="I463" s="1">
        <v>25591</v>
      </c>
      <c r="J463">
        <v>25591</v>
      </c>
      <c r="K463" t="s">
        <v>20</v>
      </c>
      <c r="L463">
        <v>0</v>
      </c>
      <c r="M463">
        <v>0</v>
      </c>
    </row>
    <row r="464" spans="1:13">
      <c r="A464" t="s">
        <v>489</v>
      </c>
      <c r="B464" t="s">
        <v>490</v>
      </c>
      <c r="C464" t="s">
        <v>16</v>
      </c>
      <c r="D464" t="s">
        <v>21</v>
      </c>
      <c r="E464" t="s">
        <v>503</v>
      </c>
      <c r="F464" t="s">
        <v>503</v>
      </c>
      <c r="G464" s="2">
        <v>45733</v>
      </c>
      <c r="H464" s="2">
        <v>45763</v>
      </c>
      <c r="I464" s="1">
        <v>2255</v>
      </c>
      <c r="J464">
        <v>2255</v>
      </c>
      <c r="K464" t="s">
        <v>20</v>
      </c>
      <c r="L464">
        <v>0</v>
      </c>
      <c r="M464">
        <v>0</v>
      </c>
    </row>
    <row r="465" spans="1:13">
      <c r="A465" t="s">
        <v>489</v>
      </c>
      <c r="B465" t="s">
        <v>490</v>
      </c>
      <c r="C465" t="s">
        <v>16</v>
      </c>
      <c r="D465" t="s">
        <v>21</v>
      </c>
      <c r="E465" t="s">
        <v>504</v>
      </c>
      <c r="F465" t="s">
        <v>504</v>
      </c>
      <c r="G465" s="2">
        <v>45737</v>
      </c>
      <c r="H465" s="2">
        <v>45767</v>
      </c>
      <c r="I465" s="1">
        <v>5490</v>
      </c>
      <c r="J465">
        <v>5490</v>
      </c>
      <c r="K465" t="s">
        <v>20</v>
      </c>
      <c r="L465">
        <v>0</v>
      </c>
      <c r="M465">
        <v>0</v>
      </c>
    </row>
    <row r="466" spans="1:13">
      <c r="A466" t="s">
        <v>489</v>
      </c>
      <c r="B466" t="s">
        <v>490</v>
      </c>
      <c r="C466" t="s">
        <v>16</v>
      </c>
      <c r="D466" t="s">
        <v>21</v>
      </c>
      <c r="E466" t="s">
        <v>505</v>
      </c>
      <c r="F466" t="s">
        <v>505</v>
      </c>
      <c r="G466" s="2">
        <v>45742</v>
      </c>
      <c r="H466" s="2">
        <v>45772</v>
      </c>
      <c r="I466" s="1">
        <v>27984</v>
      </c>
      <c r="J466">
        <v>27984</v>
      </c>
      <c r="K466" t="s">
        <v>20</v>
      </c>
      <c r="L466">
        <v>0</v>
      </c>
      <c r="M466">
        <v>0</v>
      </c>
    </row>
    <row r="467" spans="1:13">
      <c r="A467" t="s">
        <v>506</v>
      </c>
      <c r="B467" t="s">
        <v>507</v>
      </c>
      <c r="C467" t="s">
        <v>213</v>
      </c>
      <c r="D467" t="s">
        <v>17</v>
      </c>
      <c r="E467" t="s">
        <v>508</v>
      </c>
      <c r="F467" t="s">
        <v>19</v>
      </c>
      <c r="H467" s="2">
        <v>45519</v>
      </c>
      <c r="I467">
        <v>-92.32</v>
      </c>
      <c r="J467">
        <v>-92.32</v>
      </c>
      <c r="K467" t="s">
        <v>20</v>
      </c>
      <c r="L467">
        <v>0</v>
      </c>
      <c r="M467">
        <v>-92.32</v>
      </c>
    </row>
    <row r="468" spans="1:13">
      <c r="A468" t="s">
        <v>506</v>
      </c>
      <c r="B468" t="s">
        <v>507</v>
      </c>
      <c r="C468" t="s">
        <v>213</v>
      </c>
      <c r="D468" t="s">
        <v>21</v>
      </c>
      <c r="E468" t="s">
        <v>509</v>
      </c>
      <c r="F468" t="s">
        <v>509</v>
      </c>
      <c r="G468" s="2">
        <v>45656</v>
      </c>
      <c r="H468" s="2">
        <v>45656</v>
      </c>
      <c r="I468">
        <v>663.05</v>
      </c>
      <c r="J468">
        <v>663.05</v>
      </c>
      <c r="K468" t="s">
        <v>20</v>
      </c>
      <c r="L468">
        <v>0</v>
      </c>
      <c r="M468">
        <v>663.05</v>
      </c>
    </row>
    <row r="469" spans="1:13">
      <c r="A469" t="s">
        <v>510</v>
      </c>
      <c r="B469" t="s">
        <v>511</v>
      </c>
      <c r="C469" t="s">
        <v>16</v>
      </c>
      <c r="D469" t="s">
        <v>21</v>
      </c>
      <c r="E469" t="s">
        <v>512</v>
      </c>
      <c r="F469" t="s">
        <v>512</v>
      </c>
      <c r="G469" s="2">
        <v>45733</v>
      </c>
      <c r="H469" s="2">
        <v>45763</v>
      </c>
      <c r="I469" s="1">
        <v>2023</v>
      </c>
      <c r="J469">
        <v>2023</v>
      </c>
      <c r="K469" t="s">
        <v>20</v>
      </c>
      <c r="L469">
        <v>0</v>
      </c>
      <c r="M469">
        <v>0</v>
      </c>
    </row>
    <row r="470" spans="1:13">
      <c r="A470" t="s">
        <v>513</v>
      </c>
      <c r="B470" t="s">
        <v>514</v>
      </c>
      <c r="C470" t="s">
        <v>16</v>
      </c>
      <c r="D470" t="s">
        <v>21</v>
      </c>
      <c r="E470" t="s">
        <v>515</v>
      </c>
      <c r="F470" t="s">
        <v>515</v>
      </c>
      <c r="G470" s="2">
        <v>45666</v>
      </c>
      <c r="H470" s="2">
        <v>45696</v>
      </c>
      <c r="I470">
        <v>762.92</v>
      </c>
      <c r="J470">
        <v>716.35</v>
      </c>
      <c r="K470" t="s">
        <v>20</v>
      </c>
      <c r="L470">
        <v>0</v>
      </c>
      <c r="M470">
        <v>716.35</v>
      </c>
    </row>
    <row r="471" spans="1:13">
      <c r="A471" t="s">
        <v>513</v>
      </c>
      <c r="B471" t="s">
        <v>514</v>
      </c>
      <c r="C471" t="s">
        <v>16</v>
      </c>
      <c r="D471" t="s">
        <v>17</v>
      </c>
      <c r="E471" t="s">
        <v>516</v>
      </c>
      <c r="F471" t="s">
        <v>515</v>
      </c>
      <c r="H471" s="2">
        <v>45688</v>
      </c>
      <c r="I471">
        <v>-46.57</v>
      </c>
      <c r="J471" t="s">
        <v>86</v>
      </c>
      <c r="K471" t="s">
        <v>20</v>
      </c>
      <c r="L471">
        <v>0</v>
      </c>
      <c r="M471" t="s">
        <v>86</v>
      </c>
    </row>
    <row r="472" spans="1:13">
      <c r="A472" t="s">
        <v>513</v>
      </c>
      <c r="B472" t="s">
        <v>514</v>
      </c>
      <c r="C472" t="s">
        <v>16</v>
      </c>
      <c r="D472" t="s">
        <v>21</v>
      </c>
      <c r="E472" t="s">
        <v>517</v>
      </c>
      <c r="F472" t="s">
        <v>517</v>
      </c>
      <c r="G472" s="2">
        <v>45684</v>
      </c>
      <c r="H472" s="2">
        <v>45714</v>
      </c>
      <c r="I472">
        <v>952.11</v>
      </c>
      <c r="J472">
        <v>894</v>
      </c>
      <c r="K472" t="s">
        <v>20</v>
      </c>
      <c r="L472">
        <v>0</v>
      </c>
      <c r="M472">
        <v>894</v>
      </c>
    </row>
    <row r="473" spans="1:13">
      <c r="A473" t="s">
        <v>513</v>
      </c>
      <c r="B473" t="s">
        <v>514</v>
      </c>
      <c r="C473" t="s">
        <v>16</v>
      </c>
      <c r="D473" t="s">
        <v>17</v>
      </c>
      <c r="E473" t="s">
        <v>518</v>
      </c>
      <c r="F473" t="s">
        <v>517</v>
      </c>
      <c r="H473" s="2">
        <v>45688</v>
      </c>
      <c r="I473">
        <v>-58.11</v>
      </c>
      <c r="J473" t="s">
        <v>86</v>
      </c>
      <c r="K473" t="s">
        <v>20</v>
      </c>
      <c r="L473">
        <v>0</v>
      </c>
      <c r="M473" t="s">
        <v>86</v>
      </c>
    </row>
    <row r="474" spans="1:13">
      <c r="A474" t="s">
        <v>513</v>
      </c>
      <c r="B474" t="s">
        <v>514</v>
      </c>
      <c r="C474" t="s">
        <v>16</v>
      </c>
      <c r="D474" t="s">
        <v>21</v>
      </c>
      <c r="E474" t="s">
        <v>519</v>
      </c>
      <c r="F474" t="s">
        <v>519</v>
      </c>
      <c r="G474" s="2">
        <v>45687</v>
      </c>
      <c r="H474" s="2">
        <v>45717</v>
      </c>
      <c r="I474" s="1">
        <v>10646.89</v>
      </c>
      <c r="J474">
        <v>9997.08</v>
      </c>
      <c r="K474" t="s">
        <v>20</v>
      </c>
      <c r="L474">
        <v>10</v>
      </c>
      <c r="M474">
        <v>9997.08</v>
      </c>
    </row>
    <row r="475" spans="1:13">
      <c r="A475" t="s">
        <v>513</v>
      </c>
      <c r="B475" t="s">
        <v>514</v>
      </c>
      <c r="C475" t="s">
        <v>16</v>
      </c>
      <c r="D475" t="s">
        <v>17</v>
      </c>
      <c r="E475" t="s">
        <v>520</v>
      </c>
      <c r="F475" t="s">
        <v>519</v>
      </c>
      <c r="H475" s="2">
        <v>45688</v>
      </c>
      <c r="I475">
        <v>-649.80999999999995</v>
      </c>
      <c r="J475" t="s">
        <v>86</v>
      </c>
      <c r="K475" t="s">
        <v>20</v>
      </c>
      <c r="L475">
        <v>0</v>
      </c>
      <c r="M475" t="s">
        <v>86</v>
      </c>
    </row>
    <row r="476" spans="1:13">
      <c r="A476" t="s">
        <v>513</v>
      </c>
      <c r="B476" t="s">
        <v>514</v>
      </c>
      <c r="C476" t="s">
        <v>16</v>
      </c>
      <c r="D476" t="s">
        <v>21</v>
      </c>
      <c r="E476" t="s">
        <v>521</v>
      </c>
      <c r="F476" t="s">
        <v>521</v>
      </c>
      <c r="G476" s="2">
        <v>45716</v>
      </c>
      <c r="H476" s="2">
        <v>45746</v>
      </c>
      <c r="I476" s="1">
        <v>2190</v>
      </c>
      <c r="J476">
        <v>2190</v>
      </c>
      <c r="K476" t="s">
        <v>20</v>
      </c>
      <c r="L476">
        <v>13</v>
      </c>
      <c r="M476">
        <v>2190</v>
      </c>
    </row>
    <row r="477" spans="1:13">
      <c r="A477" t="s">
        <v>522</v>
      </c>
      <c r="B477" t="s">
        <v>523</v>
      </c>
      <c r="C477" t="s">
        <v>16</v>
      </c>
      <c r="D477" t="s">
        <v>21</v>
      </c>
      <c r="E477" t="s">
        <v>524</v>
      </c>
      <c r="F477" t="s">
        <v>524</v>
      </c>
      <c r="G477" s="2">
        <v>45684</v>
      </c>
      <c r="H477" s="2">
        <v>45714</v>
      </c>
      <c r="I477" s="1">
        <v>41361.9</v>
      </c>
      <c r="J477">
        <v>41361.9</v>
      </c>
      <c r="K477" t="s">
        <v>20</v>
      </c>
      <c r="L477">
        <v>0</v>
      </c>
      <c r="M477">
        <v>41361.9</v>
      </c>
    </row>
    <row r="478" spans="1:13">
      <c r="A478" t="s">
        <v>522</v>
      </c>
      <c r="B478" t="s">
        <v>523</v>
      </c>
      <c r="C478" t="s">
        <v>16</v>
      </c>
      <c r="D478" t="s">
        <v>21</v>
      </c>
      <c r="E478" t="s">
        <v>525</v>
      </c>
      <c r="F478" t="s">
        <v>525</v>
      </c>
      <c r="G478" s="2">
        <v>45686</v>
      </c>
      <c r="H478" s="2">
        <v>45716</v>
      </c>
      <c r="I478">
        <v>360.32</v>
      </c>
      <c r="J478">
        <v>360.32</v>
      </c>
      <c r="K478" t="s">
        <v>20</v>
      </c>
      <c r="L478">
        <v>0</v>
      </c>
      <c r="M478">
        <v>360.32</v>
      </c>
    </row>
    <row r="479" spans="1:13">
      <c r="A479" t="s">
        <v>526</v>
      </c>
      <c r="B479" t="s">
        <v>527</v>
      </c>
      <c r="C479" t="s">
        <v>16</v>
      </c>
      <c r="D479" t="s">
        <v>21</v>
      </c>
      <c r="E479" t="s">
        <v>528</v>
      </c>
      <c r="F479" t="s">
        <v>528</v>
      </c>
      <c r="G479" s="2">
        <v>45672</v>
      </c>
      <c r="H479" s="2">
        <v>45702</v>
      </c>
      <c r="I479">
        <v>565.91999999999996</v>
      </c>
      <c r="J479">
        <v>565.91999999999996</v>
      </c>
      <c r="K479" t="s">
        <v>20</v>
      </c>
      <c r="L479">
        <v>0</v>
      </c>
      <c r="M479">
        <v>565.91999999999996</v>
      </c>
    </row>
    <row r="480" spans="1:13">
      <c r="A480" t="s">
        <v>526</v>
      </c>
      <c r="B480" t="s">
        <v>527</v>
      </c>
      <c r="C480" t="s">
        <v>16</v>
      </c>
      <c r="D480" t="s">
        <v>55</v>
      </c>
      <c r="E480" t="s">
        <v>19</v>
      </c>
      <c r="F480" t="s">
        <v>19</v>
      </c>
      <c r="H480" s="2">
        <v>45714</v>
      </c>
      <c r="I480">
        <v>-584.30999999999995</v>
      </c>
      <c r="J480">
        <v>-584.30999999999995</v>
      </c>
      <c r="K480" t="s">
        <v>20</v>
      </c>
      <c r="L480">
        <v>0</v>
      </c>
      <c r="M480">
        <v>-584.30999999999995</v>
      </c>
    </row>
    <row r="481" spans="1:13">
      <c r="A481" t="s">
        <v>529</v>
      </c>
      <c r="B481" t="s">
        <v>530</v>
      </c>
      <c r="C481" t="s">
        <v>16</v>
      </c>
      <c r="D481" t="s">
        <v>21</v>
      </c>
      <c r="E481" t="s">
        <v>531</v>
      </c>
      <c r="F481" t="s">
        <v>531</v>
      </c>
      <c r="G481" s="2">
        <v>45687</v>
      </c>
      <c r="H481" s="2">
        <v>45717</v>
      </c>
      <c r="I481" s="1">
        <v>5027.6899999999996</v>
      </c>
      <c r="J481">
        <v>4259.6899999999996</v>
      </c>
      <c r="K481" t="s">
        <v>20</v>
      </c>
      <c r="L481">
        <v>10</v>
      </c>
      <c r="M481">
        <v>4259.6899999999996</v>
      </c>
    </row>
    <row r="482" spans="1:13">
      <c r="A482" t="s">
        <v>529</v>
      </c>
      <c r="B482" t="s">
        <v>530</v>
      </c>
      <c r="C482" t="s">
        <v>16</v>
      </c>
      <c r="D482" t="s">
        <v>17</v>
      </c>
      <c r="E482" t="s">
        <v>532</v>
      </c>
      <c r="F482" t="s">
        <v>531</v>
      </c>
      <c r="H482" s="2">
        <v>45688</v>
      </c>
      <c r="I482">
        <v>-768</v>
      </c>
      <c r="J482" t="s">
        <v>86</v>
      </c>
      <c r="K482" t="s">
        <v>20</v>
      </c>
      <c r="L482">
        <v>0</v>
      </c>
      <c r="M482" t="s">
        <v>86</v>
      </c>
    </row>
    <row r="483" spans="1:13">
      <c r="A483" t="s">
        <v>533</v>
      </c>
      <c r="B483" t="s">
        <v>534</v>
      </c>
      <c r="C483" t="s">
        <v>16</v>
      </c>
      <c r="D483" t="s">
        <v>21</v>
      </c>
      <c r="E483" t="s">
        <v>535</v>
      </c>
      <c r="F483" t="s">
        <v>535</v>
      </c>
      <c r="G483" s="2">
        <v>45618</v>
      </c>
      <c r="H483" s="2">
        <v>45648</v>
      </c>
      <c r="I483">
        <v>145</v>
      </c>
      <c r="J483">
        <v>80</v>
      </c>
      <c r="K483" t="s">
        <v>20</v>
      </c>
      <c r="L483">
        <v>0</v>
      </c>
      <c r="M483">
        <v>80</v>
      </c>
    </row>
    <row r="484" spans="1:13">
      <c r="A484" t="s">
        <v>533</v>
      </c>
      <c r="B484" t="s">
        <v>534</v>
      </c>
      <c r="C484" t="s">
        <v>16</v>
      </c>
      <c r="D484" t="s">
        <v>55</v>
      </c>
      <c r="E484" t="s">
        <v>535</v>
      </c>
      <c r="F484" t="s">
        <v>535</v>
      </c>
      <c r="H484" s="2">
        <v>45646</v>
      </c>
      <c r="I484">
        <v>-65</v>
      </c>
      <c r="J484" t="s">
        <v>86</v>
      </c>
      <c r="K484" t="s">
        <v>20</v>
      </c>
      <c r="L484">
        <v>0</v>
      </c>
      <c r="M484" t="s">
        <v>86</v>
      </c>
    </row>
    <row r="485" spans="1:13">
      <c r="A485" t="s">
        <v>533</v>
      </c>
      <c r="B485" t="s">
        <v>534</v>
      </c>
      <c r="C485" t="s">
        <v>16</v>
      </c>
      <c r="D485" t="s">
        <v>21</v>
      </c>
      <c r="E485" t="s">
        <v>536</v>
      </c>
      <c r="F485" t="s">
        <v>536</v>
      </c>
      <c r="G485" s="2">
        <v>45742</v>
      </c>
      <c r="H485" s="2">
        <v>45772</v>
      </c>
      <c r="I485">
        <v>315</v>
      </c>
      <c r="J485">
        <v>315</v>
      </c>
      <c r="K485" t="s">
        <v>20</v>
      </c>
      <c r="L485">
        <v>0</v>
      </c>
      <c r="M485">
        <v>0</v>
      </c>
    </row>
    <row r="486" spans="1:13">
      <c r="A486" t="s">
        <v>537</v>
      </c>
      <c r="B486" t="s">
        <v>538</v>
      </c>
      <c r="C486" t="s">
        <v>16</v>
      </c>
      <c r="D486" t="s">
        <v>21</v>
      </c>
      <c r="E486" t="s">
        <v>539</v>
      </c>
      <c r="F486" t="s">
        <v>539</v>
      </c>
      <c r="G486" s="2">
        <v>45687</v>
      </c>
      <c r="H486" s="2">
        <v>45717</v>
      </c>
      <c r="I486" s="1">
        <v>1994.8</v>
      </c>
      <c r="J486">
        <v>1994.8</v>
      </c>
      <c r="K486" t="s">
        <v>20</v>
      </c>
      <c r="L486">
        <v>10</v>
      </c>
      <c r="M486">
        <v>1994.8</v>
      </c>
    </row>
    <row r="487" spans="1:13">
      <c r="A487" t="s">
        <v>537</v>
      </c>
      <c r="B487" t="s">
        <v>538</v>
      </c>
      <c r="C487" t="s">
        <v>16</v>
      </c>
      <c r="D487" t="s">
        <v>21</v>
      </c>
      <c r="E487" t="s">
        <v>540</v>
      </c>
      <c r="F487" t="s">
        <v>540</v>
      </c>
      <c r="G487" s="2">
        <v>45726</v>
      </c>
      <c r="H487" s="2">
        <v>45756</v>
      </c>
      <c r="I487" s="1">
        <v>1648</v>
      </c>
      <c r="J487">
        <v>1648</v>
      </c>
      <c r="K487" t="s">
        <v>20</v>
      </c>
      <c r="L487">
        <v>0</v>
      </c>
      <c r="M487">
        <v>0</v>
      </c>
    </row>
    <row r="488" spans="1:13">
      <c r="A488" t="s">
        <v>541</v>
      </c>
      <c r="B488" t="s">
        <v>542</v>
      </c>
      <c r="C488" t="s">
        <v>16</v>
      </c>
      <c r="D488" t="s">
        <v>21</v>
      </c>
      <c r="E488" t="s">
        <v>543</v>
      </c>
      <c r="F488" t="s">
        <v>543</v>
      </c>
      <c r="G488" s="2">
        <v>45719</v>
      </c>
      <c r="H488" s="2">
        <v>45749</v>
      </c>
      <c r="I488" s="1">
        <v>112773.46</v>
      </c>
      <c r="J488">
        <v>112773.46</v>
      </c>
      <c r="K488" t="s">
        <v>20</v>
      </c>
      <c r="L488">
        <v>0</v>
      </c>
      <c r="M488">
        <v>0</v>
      </c>
    </row>
    <row r="489" spans="1:13">
      <c r="A489" t="s">
        <v>544</v>
      </c>
      <c r="B489" t="s">
        <v>545</v>
      </c>
      <c r="C489" t="s">
        <v>16</v>
      </c>
      <c r="D489" t="s">
        <v>21</v>
      </c>
      <c r="E489" t="s">
        <v>546</v>
      </c>
      <c r="F489" t="s">
        <v>546</v>
      </c>
      <c r="G489" s="2">
        <v>45716</v>
      </c>
      <c r="H489" s="2">
        <v>45746</v>
      </c>
      <c r="I489" s="1">
        <v>4716</v>
      </c>
      <c r="J489">
        <v>4716</v>
      </c>
      <c r="K489" t="s">
        <v>20</v>
      </c>
      <c r="L489">
        <v>13</v>
      </c>
      <c r="M489">
        <v>4716</v>
      </c>
    </row>
    <row r="490" spans="1:13">
      <c r="A490" t="s">
        <v>547</v>
      </c>
      <c r="B490" t="s">
        <v>548</v>
      </c>
      <c r="C490" t="s">
        <v>16</v>
      </c>
      <c r="D490" t="s">
        <v>21</v>
      </c>
      <c r="E490" t="s">
        <v>549</v>
      </c>
      <c r="F490" t="s">
        <v>549</v>
      </c>
      <c r="G490" s="2">
        <v>45504</v>
      </c>
      <c r="H490" s="2">
        <v>45534</v>
      </c>
      <c r="I490" s="1">
        <v>15120</v>
      </c>
      <c r="J490">
        <v>-226.8</v>
      </c>
      <c r="K490" t="s">
        <v>20</v>
      </c>
      <c r="L490">
        <v>0</v>
      </c>
      <c r="M490">
        <v>-226.8</v>
      </c>
    </row>
    <row r="491" spans="1:13">
      <c r="A491" t="s">
        <v>547</v>
      </c>
      <c r="B491" t="s">
        <v>548</v>
      </c>
      <c r="C491" t="s">
        <v>16</v>
      </c>
      <c r="D491" t="s">
        <v>17</v>
      </c>
      <c r="E491" t="s">
        <v>550</v>
      </c>
      <c r="F491" t="s">
        <v>549</v>
      </c>
      <c r="H491" s="2">
        <v>45715</v>
      </c>
      <c r="I491">
        <v>-226.8</v>
      </c>
      <c r="J491" t="s">
        <v>86</v>
      </c>
      <c r="K491" t="s">
        <v>20</v>
      </c>
      <c r="L491">
        <v>0</v>
      </c>
      <c r="M491" t="s">
        <v>86</v>
      </c>
    </row>
    <row r="492" spans="1:13">
      <c r="A492" t="s">
        <v>547</v>
      </c>
      <c r="B492" t="s">
        <v>548</v>
      </c>
      <c r="C492" t="s">
        <v>16</v>
      </c>
      <c r="D492" t="s">
        <v>55</v>
      </c>
      <c r="E492" t="s">
        <v>549</v>
      </c>
      <c r="F492" t="s">
        <v>549</v>
      </c>
      <c r="H492" s="2">
        <v>45617</v>
      </c>
      <c r="I492" s="1">
        <v>3265.6</v>
      </c>
      <c r="J492" t="s">
        <v>86</v>
      </c>
      <c r="K492" t="s">
        <v>20</v>
      </c>
      <c r="L492">
        <v>0</v>
      </c>
      <c r="M492" t="s">
        <v>86</v>
      </c>
    </row>
    <row r="493" spans="1:13">
      <c r="A493" t="s">
        <v>547</v>
      </c>
      <c r="B493" t="s">
        <v>548</v>
      </c>
      <c r="C493" t="s">
        <v>16</v>
      </c>
      <c r="D493" t="s">
        <v>55</v>
      </c>
      <c r="E493" t="s">
        <v>549</v>
      </c>
      <c r="F493" t="s">
        <v>549</v>
      </c>
      <c r="H493" s="2">
        <v>45534</v>
      </c>
      <c r="I493" s="1">
        <v>-15120</v>
      </c>
      <c r="J493" t="s">
        <v>86</v>
      </c>
      <c r="K493" t="s">
        <v>20</v>
      </c>
      <c r="L493">
        <v>0</v>
      </c>
      <c r="M493" t="s">
        <v>86</v>
      </c>
    </row>
    <row r="494" spans="1:13">
      <c r="A494" t="s">
        <v>547</v>
      </c>
      <c r="B494" t="s">
        <v>548</v>
      </c>
      <c r="C494" t="s">
        <v>16</v>
      </c>
      <c r="D494" t="s">
        <v>55</v>
      </c>
      <c r="E494" t="s">
        <v>549</v>
      </c>
      <c r="F494" t="s">
        <v>549</v>
      </c>
      <c r="H494" s="2">
        <v>45617</v>
      </c>
      <c r="I494" s="1">
        <v>-3265.6</v>
      </c>
      <c r="J494" t="s">
        <v>86</v>
      </c>
      <c r="K494" t="s">
        <v>20</v>
      </c>
      <c r="L494">
        <v>0</v>
      </c>
      <c r="M494" t="s">
        <v>86</v>
      </c>
    </row>
    <row r="495" spans="1:13">
      <c r="A495" t="s">
        <v>547</v>
      </c>
      <c r="B495" t="s">
        <v>548</v>
      </c>
      <c r="C495" t="s">
        <v>16</v>
      </c>
      <c r="D495" t="s">
        <v>55</v>
      </c>
      <c r="E495" t="s">
        <v>19</v>
      </c>
      <c r="F495" t="s">
        <v>19</v>
      </c>
      <c r="H495" s="2">
        <v>45583</v>
      </c>
      <c r="I495">
        <v>-346.47</v>
      </c>
      <c r="J495">
        <v>-346.47</v>
      </c>
      <c r="K495" t="s">
        <v>20</v>
      </c>
      <c r="L495">
        <v>0</v>
      </c>
      <c r="M495">
        <v>-346.47</v>
      </c>
    </row>
    <row r="496" spans="1:13">
      <c r="A496" t="s">
        <v>547</v>
      </c>
      <c r="B496" t="s">
        <v>548</v>
      </c>
      <c r="C496" t="s">
        <v>16</v>
      </c>
      <c r="D496" t="s">
        <v>21</v>
      </c>
      <c r="E496" t="s">
        <v>551</v>
      </c>
      <c r="F496" t="s">
        <v>551</v>
      </c>
      <c r="G496" s="2">
        <v>45558</v>
      </c>
      <c r="H496" s="2">
        <v>45588</v>
      </c>
      <c r="I496" s="1">
        <v>3085.6</v>
      </c>
      <c r="J496">
        <v>3085.6</v>
      </c>
      <c r="K496" t="s">
        <v>20</v>
      </c>
      <c r="L496">
        <v>0</v>
      </c>
      <c r="M496">
        <v>3085.6</v>
      </c>
    </row>
    <row r="497" spans="1:13">
      <c r="A497" t="s">
        <v>547</v>
      </c>
      <c r="B497" t="s">
        <v>548</v>
      </c>
      <c r="C497" t="s">
        <v>16</v>
      </c>
      <c r="D497" t="s">
        <v>21</v>
      </c>
      <c r="E497" t="s">
        <v>552</v>
      </c>
      <c r="F497" t="s">
        <v>552</v>
      </c>
      <c r="G497" s="2">
        <v>45730</v>
      </c>
      <c r="H497" s="2">
        <v>45760</v>
      </c>
      <c r="I497">
        <v>176</v>
      </c>
      <c r="J497">
        <v>176</v>
      </c>
      <c r="K497" t="s">
        <v>20</v>
      </c>
      <c r="L497">
        <v>0</v>
      </c>
      <c r="M497">
        <v>0</v>
      </c>
    </row>
    <row r="498" spans="1:13">
      <c r="A498" t="s">
        <v>553</v>
      </c>
      <c r="B498" t="s">
        <v>554</v>
      </c>
      <c r="C498" t="s">
        <v>382</v>
      </c>
      <c r="D498" t="s">
        <v>21</v>
      </c>
      <c r="E498" t="s">
        <v>555</v>
      </c>
      <c r="F498" t="s">
        <v>555</v>
      </c>
      <c r="G498" s="2">
        <v>45734</v>
      </c>
      <c r="H498" s="2">
        <v>45794</v>
      </c>
      <c r="I498" s="1">
        <v>8087.85</v>
      </c>
      <c r="J498">
        <v>8087.85</v>
      </c>
      <c r="K498" t="s">
        <v>20</v>
      </c>
      <c r="L498">
        <v>0</v>
      </c>
      <c r="M498">
        <v>0</v>
      </c>
    </row>
    <row r="499" spans="1:13">
      <c r="A499" t="s">
        <v>553</v>
      </c>
      <c r="B499" t="s">
        <v>554</v>
      </c>
      <c r="C499" t="s">
        <v>382</v>
      </c>
      <c r="D499" t="s">
        <v>21</v>
      </c>
      <c r="E499" t="s">
        <v>556</v>
      </c>
      <c r="F499" t="s">
        <v>556</v>
      </c>
      <c r="G499" s="2">
        <v>45740</v>
      </c>
      <c r="H499" s="2">
        <v>45800</v>
      </c>
      <c r="I499" s="1">
        <v>1645</v>
      </c>
      <c r="J499">
        <v>1645</v>
      </c>
      <c r="K499" t="s">
        <v>20</v>
      </c>
      <c r="L499">
        <v>0</v>
      </c>
      <c r="M499">
        <v>0</v>
      </c>
    </row>
    <row r="500" spans="1:13">
      <c r="A500" t="s">
        <v>557</v>
      </c>
      <c r="B500" t="s">
        <v>558</v>
      </c>
      <c r="C500" t="s">
        <v>16</v>
      </c>
      <c r="D500" t="s">
        <v>21</v>
      </c>
      <c r="E500" t="s">
        <v>559</v>
      </c>
      <c r="F500" t="s">
        <v>559</v>
      </c>
      <c r="G500" s="2">
        <v>45673</v>
      </c>
      <c r="H500" s="2">
        <v>45703</v>
      </c>
      <c r="I500">
        <v>257.69</v>
      </c>
      <c r="J500">
        <v>257.69</v>
      </c>
      <c r="K500" t="s">
        <v>20</v>
      </c>
      <c r="L500">
        <v>0</v>
      </c>
      <c r="M500">
        <v>257.69</v>
      </c>
    </row>
    <row r="501" spans="1:13">
      <c r="A501" t="s">
        <v>557</v>
      </c>
      <c r="B501" t="s">
        <v>558</v>
      </c>
      <c r="C501" t="s">
        <v>16</v>
      </c>
      <c r="D501" t="s">
        <v>55</v>
      </c>
      <c r="E501" t="s">
        <v>559</v>
      </c>
      <c r="F501" t="s">
        <v>559</v>
      </c>
      <c r="H501" s="2">
        <v>45691</v>
      </c>
      <c r="I501">
        <v>-257.69</v>
      </c>
      <c r="J501" t="s">
        <v>86</v>
      </c>
      <c r="K501" t="s">
        <v>20</v>
      </c>
      <c r="L501">
        <v>0</v>
      </c>
      <c r="M501" t="s">
        <v>86</v>
      </c>
    </row>
    <row r="502" spans="1:13">
      <c r="A502" t="s">
        <v>557</v>
      </c>
      <c r="B502" t="s">
        <v>558</v>
      </c>
      <c r="C502" t="s">
        <v>16</v>
      </c>
      <c r="D502" t="s">
        <v>55</v>
      </c>
      <c r="E502" t="s">
        <v>559</v>
      </c>
      <c r="F502" t="s">
        <v>559</v>
      </c>
      <c r="H502" s="2">
        <v>45694</v>
      </c>
      <c r="I502">
        <v>257.69</v>
      </c>
      <c r="J502" t="s">
        <v>86</v>
      </c>
      <c r="K502" t="s">
        <v>20</v>
      </c>
      <c r="L502">
        <v>0</v>
      </c>
      <c r="M502" t="s">
        <v>86</v>
      </c>
    </row>
    <row r="503" spans="1:13">
      <c r="A503" t="s">
        <v>560</v>
      </c>
      <c r="B503" t="s">
        <v>561</v>
      </c>
      <c r="C503" t="s">
        <v>16</v>
      </c>
      <c r="D503" t="s">
        <v>55</v>
      </c>
      <c r="E503" t="s">
        <v>19</v>
      </c>
      <c r="F503" t="s">
        <v>19</v>
      </c>
      <c r="H503" s="2">
        <v>45509</v>
      </c>
      <c r="I503">
        <v>-608.84</v>
      </c>
      <c r="J503">
        <v>-608.84</v>
      </c>
      <c r="K503" t="s">
        <v>20</v>
      </c>
      <c r="L503">
        <v>0</v>
      </c>
      <c r="M503">
        <v>-608.84</v>
      </c>
    </row>
    <row r="504" spans="1:13">
      <c r="A504" t="s">
        <v>562</v>
      </c>
      <c r="B504" t="s">
        <v>563</v>
      </c>
      <c r="C504" t="s">
        <v>16</v>
      </c>
      <c r="D504" t="s">
        <v>21</v>
      </c>
      <c r="E504" t="s">
        <v>564</v>
      </c>
      <c r="F504" t="s">
        <v>564</v>
      </c>
      <c r="G504" s="2">
        <v>45169</v>
      </c>
      <c r="H504" s="2">
        <v>45199</v>
      </c>
      <c r="I504">
        <v>90</v>
      </c>
      <c r="J504">
        <v>90</v>
      </c>
      <c r="K504" t="s">
        <v>20</v>
      </c>
      <c r="L504">
        <v>0</v>
      </c>
      <c r="M504">
        <v>90</v>
      </c>
    </row>
    <row r="505" spans="1:13">
      <c r="A505" t="s">
        <v>562</v>
      </c>
      <c r="B505" t="s">
        <v>563</v>
      </c>
      <c r="C505" t="s">
        <v>16</v>
      </c>
      <c r="D505" t="s">
        <v>55</v>
      </c>
      <c r="E505" t="s">
        <v>564</v>
      </c>
      <c r="F505" t="s">
        <v>564</v>
      </c>
      <c r="H505" s="2">
        <v>45596</v>
      </c>
      <c r="I505" s="1">
        <v>16145</v>
      </c>
      <c r="J505" t="s">
        <v>86</v>
      </c>
      <c r="K505" t="s">
        <v>20</v>
      </c>
      <c r="L505">
        <v>0</v>
      </c>
      <c r="M505" t="s">
        <v>86</v>
      </c>
    </row>
    <row r="506" spans="1:13">
      <c r="A506" t="s">
        <v>562</v>
      </c>
      <c r="B506" t="s">
        <v>563</v>
      </c>
      <c r="C506" t="s">
        <v>16</v>
      </c>
      <c r="D506" t="s">
        <v>55</v>
      </c>
      <c r="E506" t="s">
        <v>564</v>
      </c>
      <c r="F506" t="s">
        <v>564</v>
      </c>
      <c r="H506" s="2">
        <v>45559</v>
      </c>
      <c r="I506" s="1">
        <v>-16145</v>
      </c>
      <c r="J506" t="s">
        <v>86</v>
      </c>
      <c r="K506" t="s">
        <v>20</v>
      </c>
      <c r="L506">
        <v>0</v>
      </c>
      <c r="M506" t="s">
        <v>86</v>
      </c>
    </row>
    <row r="507" spans="1:13">
      <c r="A507" t="s">
        <v>562</v>
      </c>
      <c r="B507" t="s">
        <v>563</v>
      </c>
      <c r="C507" t="s">
        <v>16</v>
      </c>
      <c r="D507" t="s">
        <v>55</v>
      </c>
      <c r="E507" t="s">
        <v>564</v>
      </c>
      <c r="F507" t="s">
        <v>564</v>
      </c>
      <c r="H507" s="2">
        <v>45622</v>
      </c>
      <c r="I507">
        <v>-117.2</v>
      </c>
      <c r="J507" t="s">
        <v>86</v>
      </c>
      <c r="K507" t="s">
        <v>20</v>
      </c>
      <c r="L507">
        <v>0</v>
      </c>
      <c r="M507" t="s">
        <v>86</v>
      </c>
    </row>
    <row r="508" spans="1:13">
      <c r="A508" t="s">
        <v>562</v>
      </c>
      <c r="B508" t="s">
        <v>563</v>
      </c>
      <c r="C508" t="s">
        <v>16</v>
      </c>
      <c r="D508" t="s">
        <v>55</v>
      </c>
      <c r="E508" t="s">
        <v>564</v>
      </c>
      <c r="F508" t="s">
        <v>564</v>
      </c>
      <c r="H508" s="2">
        <v>45622</v>
      </c>
      <c r="I508">
        <v>117.2</v>
      </c>
      <c r="J508" t="s">
        <v>86</v>
      </c>
      <c r="K508" t="s">
        <v>20</v>
      </c>
      <c r="L508">
        <v>0</v>
      </c>
      <c r="M508" t="s">
        <v>86</v>
      </c>
    </row>
    <row r="509" spans="1:13">
      <c r="A509" t="s">
        <v>562</v>
      </c>
      <c r="B509" t="s">
        <v>563</v>
      </c>
      <c r="C509" t="s">
        <v>16</v>
      </c>
      <c r="D509" t="s">
        <v>21</v>
      </c>
      <c r="E509" t="s">
        <v>565</v>
      </c>
      <c r="F509" t="s">
        <v>565</v>
      </c>
      <c r="G509" s="2">
        <v>45194</v>
      </c>
      <c r="H509" s="2">
        <v>45224</v>
      </c>
      <c r="I509">
        <v>193.5</v>
      </c>
      <c r="J509">
        <v>193.5</v>
      </c>
      <c r="K509" t="s">
        <v>20</v>
      </c>
      <c r="L509">
        <v>0</v>
      </c>
      <c r="M509">
        <v>193.5</v>
      </c>
    </row>
    <row r="510" spans="1:13">
      <c r="A510" t="s">
        <v>562</v>
      </c>
      <c r="B510" t="s">
        <v>563</v>
      </c>
      <c r="C510" t="s">
        <v>16</v>
      </c>
      <c r="D510" t="s">
        <v>21</v>
      </c>
      <c r="E510" t="s">
        <v>566</v>
      </c>
      <c r="F510" t="s">
        <v>566</v>
      </c>
      <c r="G510" s="2">
        <v>45502</v>
      </c>
      <c r="H510" s="2">
        <v>45532</v>
      </c>
      <c r="I510" s="1">
        <v>1429.1</v>
      </c>
      <c r="J510">
        <v>81.5</v>
      </c>
      <c r="K510" t="s">
        <v>20</v>
      </c>
      <c r="L510">
        <v>0</v>
      </c>
      <c r="M510">
        <v>81.5</v>
      </c>
    </row>
    <row r="511" spans="1:13">
      <c r="A511" t="s">
        <v>562</v>
      </c>
      <c r="B511" t="s">
        <v>563</v>
      </c>
      <c r="C511" t="s">
        <v>16</v>
      </c>
      <c r="D511" t="s">
        <v>55</v>
      </c>
      <c r="E511" t="s">
        <v>566</v>
      </c>
      <c r="F511" t="s">
        <v>566</v>
      </c>
      <c r="H511" s="2">
        <v>45587</v>
      </c>
      <c r="I511" s="1">
        <v>-1347.6</v>
      </c>
      <c r="J511" t="s">
        <v>86</v>
      </c>
      <c r="K511" t="s">
        <v>20</v>
      </c>
      <c r="L511">
        <v>0</v>
      </c>
      <c r="M511" t="s">
        <v>86</v>
      </c>
    </row>
    <row r="512" spans="1:13">
      <c r="A512" t="s">
        <v>562</v>
      </c>
      <c r="B512" t="s">
        <v>563</v>
      </c>
      <c r="C512" t="s">
        <v>16</v>
      </c>
      <c r="D512" t="s">
        <v>21</v>
      </c>
      <c r="E512" t="s">
        <v>567</v>
      </c>
      <c r="F512" t="s">
        <v>567</v>
      </c>
      <c r="G512" s="2">
        <v>45509</v>
      </c>
      <c r="H512" s="2">
        <v>45539</v>
      </c>
      <c r="I512" s="1">
        <v>8149.5</v>
      </c>
      <c r="J512">
        <v>132</v>
      </c>
      <c r="K512" t="s">
        <v>20</v>
      </c>
      <c r="L512">
        <v>0</v>
      </c>
      <c r="M512">
        <v>132</v>
      </c>
    </row>
    <row r="513" spans="1:13">
      <c r="A513" t="s">
        <v>562</v>
      </c>
      <c r="B513" t="s">
        <v>563</v>
      </c>
      <c r="C513" t="s">
        <v>16</v>
      </c>
      <c r="D513" t="s">
        <v>55</v>
      </c>
      <c r="E513" t="s">
        <v>567</v>
      </c>
      <c r="F513" t="s">
        <v>567</v>
      </c>
      <c r="H513" s="2">
        <v>45566</v>
      </c>
      <c r="I513" s="1">
        <v>-8017.5</v>
      </c>
      <c r="J513" t="s">
        <v>86</v>
      </c>
      <c r="K513" t="s">
        <v>20</v>
      </c>
      <c r="L513">
        <v>0</v>
      </c>
      <c r="M513" t="s">
        <v>86</v>
      </c>
    </row>
    <row r="514" spans="1:13">
      <c r="A514" t="s">
        <v>562</v>
      </c>
      <c r="B514" t="s">
        <v>563</v>
      </c>
      <c r="C514" t="s">
        <v>16</v>
      </c>
      <c r="D514" t="s">
        <v>21</v>
      </c>
      <c r="E514" t="s">
        <v>568</v>
      </c>
      <c r="F514" t="s">
        <v>568</v>
      </c>
      <c r="G514" s="2">
        <v>45509</v>
      </c>
      <c r="H514" s="2">
        <v>45539</v>
      </c>
      <c r="I514" s="1">
        <v>11653.5</v>
      </c>
      <c r="J514">
        <v>40.5</v>
      </c>
      <c r="K514" t="s">
        <v>20</v>
      </c>
      <c r="L514">
        <v>0</v>
      </c>
      <c r="M514">
        <v>40.5</v>
      </c>
    </row>
    <row r="515" spans="1:13">
      <c r="A515" t="s">
        <v>562</v>
      </c>
      <c r="B515" t="s">
        <v>563</v>
      </c>
      <c r="C515" t="s">
        <v>16</v>
      </c>
      <c r="D515" t="s">
        <v>55</v>
      </c>
      <c r="E515" t="s">
        <v>568</v>
      </c>
      <c r="F515" t="s">
        <v>568</v>
      </c>
      <c r="H515" s="2">
        <v>45566</v>
      </c>
      <c r="I515" s="1">
        <v>-11613</v>
      </c>
      <c r="J515" t="s">
        <v>86</v>
      </c>
      <c r="K515" t="s">
        <v>20</v>
      </c>
      <c r="L515">
        <v>0</v>
      </c>
      <c r="M515" t="s">
        <v>86</v>
      </c>
    </row>
    <row r="516" spans="1:13">
      <c r="A516" t="s">
        <v>562</v>
      </c>
      <c r="B516" t="s">
        <v>563</v>
      </c>
      <c r="C516" t="s">
        <v>16</v>
      </c>
      <c r="D516" t="s">
        <v>21</v>
      </c>
      <c r="E516" t="s">
        <v>569</v>
      </c>
      <c r="F516" t="s">
        <v>569</v>
      </c>
      <c r="G516" s="2">
        <v>45630</v>
      </c>
      <c r="H516" s="2">
        <v>45660</v>
      </c>
      <c r="I516">
        <v>491.84</v>
      </c>
      <c r="J516">
        <v>36.42</v>
      </c>
      <c r="K516" t="s">
        <v>20</v>
      </c>
      <c r="L516">
        <v>0</v>
      </c>
      <c r="M516">
        <v>36.42</v>
      </c>
    </row>
    <row r="517" spans="1:13">
      <c r="A517" t="s">
        <v>562</v>
      </c>
      <c r="B517" t="s">
        <v>563</v>
      </c>
      <c r="C517" t="s">
        <v>16</v>
      </c>
      <c r="D517" t="s">
        <v>55</v>
      </c>
      <c r="E517" t="s">
        <v>569</v>
      </c>
      <c r="F517" t="s">
        <v>569</v>
      </c>
      <c r="H517" s="2">
        <v>45699</v>
      </c>
      <c r="I517">
        <v>-455.42</v>
      </c>
      <c r="J517" t="s">
        <v>86</v>
      </c>
      <c r="K517" t="s">
        <v>20</v>
      </c>
      <c r="L517">
        <v>0</v>
      </c>
      <c r="M517" t="s">
        <v>86</v>
      </c>
    </row>
    <row r="518" spans="1:13">
      <c r="A518" t="s">
        <v>562</v>
      </c>
      <c r="B518" t="s">
        <v>563</v>
      </c>
      <c r="C518" t="s">
        <v>16</v>
      </c>
      <c r="D518" t="s">
        <v>21</v>
      </c>
      <c r="E518" t="s">
        <v>570</v>
      </c>
      <c r="F518" t="s">
        <v>570</v>
      </c>
      <c r="G518" s="2">
        <v>45673</v>
      </c>
      <c r="H518" s="2">
        <v>45703</v>
      </c>
      <c r="I518" s="1">
        <v>1239</v>
      </c>
      <c r="J518">
        <v>1239</v>
      </c>
      <c r="K518" t="s">
        <v>20</v>
      </c>
      <c r="L518">
        <v>0</v>
      </c>
      <c r="M518">
        <v>1239</v>
      </c>
    </row>
    <row r="519" spans="1:13">
      <c r="A519" t="s">
        <v>562</v>
      </c>
      <c r="B519" t="s">
        <v>563</v>
      </c>
      <c r="C519" t="s">
        <v>16</v>
      </c>
      <c r="D519" t="s">
        <v>21</v>
      </c>
      <c r="E519" t="s">
        <v>571</v>
      </c>
      <c r="F519" t="s">
        <v>571</v>
      </c>
      <c r="G519" s="2">
        <v>45678</v>
      </c>
      <c r="H519" s="2">
        <v>45708</v>
      </c>
      <c r="I519">
        <v>298.95999999999998</v>
      </c>
      <c r="J519">
        <v>298.95999999999998</v>
      </c>
      <c r="K519" t="s">
        <v>20</v>
      </c>
      <c r="L519">
        <v>0</v>
      </c>
      <c r="M519">
        <v>298.95999999999998</v>
      </c>
    </row>
    <row r="520" spans="1:13">
      <c r="A520" t="s">
        <v>562</v>
      </c>
      <c r="B520" t="s">
        <v>563</v>
      </c>
      <c r="C520" t="s">
        <v>16</v>
      </c>
      <c r="D520" t="s">
        <v>21</v>
      </c>
      <c r="E520" t="s">
        <v>572</v>
      </c>
      <c r="F520" t="s">
        <v>572</v>
      </c>
      <c r="G520" s="2">
        <v>45679</v>
      </c>
      <c r="H520" s="2">
        <v>45709</v>
      </c>
      <c r="I520">
        <v>432.41</v>
      </c>
      <c r="J520">
        <v>432.41</v>
      </c>
      <c r="K520" t="s">
        <v>20</v>
      </c>
      <c r="L520">
        <v>0</v>
      </c>
      <c r="M520">
        <v>432.41</v>
      </c>
    </row>
    <row r="521" spans="1:13">
      <c r="A521" t="s">
        <v>562</v>
      </c>
      <c r="B521" t="s">
        <v>563</v>
      </c>
      <c r="C521" t="s">
        <v>16</v>
      </c>
      <c r="D521" t="s">
        <v>21</v>
      </c>
      <c r="E521" t="s">
        <v>573</v>
      </c>
      <c r="F521" t="s">
        <v>573</v>
      </c>
      <c r="G521" s="2">
        <v>45692</v>
      </c>
      <c r="H521" s="2">
        <v>45722</v>
      </c>
      <c r="I521">
        <v>65</v>
      </c>
      <c r="J521">
        <v>65</v>
      </c>
      <c r="K521" t="s">
        <v>20</v>
      </c>
      <c r="L521">
        <v>10</v>
      </c>
      <c r="M521">
        <v>65</v>
      </c>
    </row>
    <row r="522" spans="1:13">
      <c r="A522" t="s">
        <v>562</v>
      </c>
      <c r="B522" t="s">
        <v>563</v>
      </c>
      <c r="C522" t="s">
        <v>16</v>
      </c>
      <c r="D522" t="s">
        <v>21</v>
      </c>
      <c r="E522" t="s">
        <v>574</v>
      </c>
      <c r="F522" t="s">
        <v>574</v>
      </c>
      <c r="G522" s="2">
        <v>45701</v>
      </c>
      <c r="H522" s="2">
        <v>45731</v>
      </c>
      <c r="I522">
        <v>114.12</v>
      </c>
      <c r="J522">
        <v>114.12</v>
      </c>
      <c r="K522" t="s">
        <v>20</v>
      </c>
      <c r="L522">
        <v>11</v>
      </c>
      <c r="M522">
        <v>114.12</v>
      </c>
    </row>
    <row r="523" spans="1:13">
      <c r="A523" t="s">
        <v>562</v>
      </c>
      <c r="B523" t="s">
        <v>563</v>
      </c>
      <c r="C523" t="s">
        <v>16</v>
      </c>
      <c r="D523" t="s">
        <v>21</v>
      </c>
      <c r="E523" t="s">
        <v>575</v>
      </c>
      <c r="F523" t="s">
        <v>575</v>
      </c>
      <c r="G523" s="2">
        <v>45701</v>
      </c>
      <c r="H523" s="2">
        <v>45731</v>
      </c>
      <c r="I523">
        <v>65.36</v>
      </c>
      <c r="J523">
        <v>65.36</v>
      </c>
      <c r="K523" t="s">
        <v>20</v>
      </c>
      <c r="L523">
        <v>11</v>
      </c>
      <c r="M523">
        <v>65.36</v>
      </c>
    </row>
    <row r="524" spans="1:13">
      <c r="A524" t="s">
        <v>562</v>
      </c>
      <c r="B524" t="s">
        <v>563</v>
      </c>
      <c r="C524" t="s">
        <v>16</v>
      </c>
      <c r="D524" t="s">
        <v>21</v>
      </c>
      <c r="E524" t="s">
        <v>576</v>
      </c>
      <c r="F524" t="s">
        <v>576</v>
      </c>
      <c r="G524" s="2">
        <v>45708</v>
      </c>
      <c r="H524" s="2">
        <v>45738</v>
      </c>
      <c r="I524">
        <v>33</v>
      </c>
      <c r="J524">
        <v>33</v>
      </c>
      <c r="K524" t="s">
        <v>20</v>
      </c>
      <c r="L524">
        <v>12</v>
      </c>
      <c r="M524">
        <v>33</v>
      </c>
    </row>
    <row r="525" spans="1:13">
      <c r="A525" t="s">
        <v>562</v>
      </c>
      <c r="B525" t="s">
        <v>563</v>
      </c>
      <c r="C525" t="s">
        <v>16</v>
      </c>
      <c r="D525" t="s">
        <v>21</v>
      </c>
      <c r="E525" t="s">
        <v>577</v>
      </c>
      <c r="F525" t="s">
        <v>577</v>
      </c>
      <c r="G525" s="2">
        <v>45708</v>
      </c>
      <c r="H525" s="2">
        <v>45738</v>
      </c>
      <c r="I525" s="1">
        <v>1800.82</v>
      </c>
      <c r="J525">
        <v>1800.82</v>
      </c>
      <c r="K525" t="s">
        <v>20</v>
      </c>
      <c r="L525">
        <v>12</v>
      </c>
      <c r="M525">
        <v>1800.82</v>
      </c>
    </row>
    <row r="526" spans="1:13">
      <c r="A526" t="s">
        <v>562</v>
      </c>
      <c r="B526" t="s">
        <v>563</v>
      </c>
      <c r="C526" t="s">
        <v>16</v>
      </c>
      <c r="D526" t="s">
        <v>21</v>
      </c>
      <c r="E526" t="s">
        <v>578</v>
      </c>
      <c r="F526" t="s">
        <v>578</v>
      </c>
      <c r="G526" s="2">
        <v>45716</v>
      </c>
      <c r="H526" s="2">
        <v>45746</v>
      </c>
      <c r="I526" s="1">
        <v>1131.8499999999999</v>
      </c>
      <c r="J526">
        <v>1131.8499999999999</v>
      </c>
      <c r="K526" t="s">
        <v>20</v>
      </c>
      <c r="L526">
        <v>13</v>
      </c>
      <c r="M526">
        <v>1131.8499999999999</v>
      </c>
    </row>
    <row r="527" spans="1:13">
      <c r="A527" t="s">
        <v>562</v>
      </c>
      <c r="B527" t="s">
        <v>563</v>
      </c>
      <c r="C527" t="s">
        <v>16</v>
      </c>
      <c r="D527" t="s">
        <v>21</v>
      </c>
      <c r="E527" t="s">
        <v>579</v>
      </c>
      <c r="F527" t="s">
        <v>579</v>
      </c>
      <c r="G527" s="2">
        <v>45722</v>
      </c>
      <c r="H527" s="2">
        <v>45752</v>
      </c>
      <c r="I527">
        <v>338.78</v>
      </c>
      <c r="J527">
        <v>338.78</v>
      </c>
      <c r="K527" t="s">
        <v>20</v>
      </c>
      <c r="L527">
        <v>0</v>
      </c>
      <c r="M527">
        <v>0</v>
      </c>
    </row>
    <row r="528" spans="1:13">
      <c r="A528" t="s">
        <v>562</v>
      </c>
      <c r="B528" t="s">
        <v>563</v>
      </c>
      <c r="C528" t="s">
        <v>16</v>
      </c>
      <c r="D528" t="s">
        <v>21</v>
      </c>
      <c r="E528" t="s">
        <v>580</v>
      </c>
      <c r="F528" t="s">
        <v>580</v>
      </c>
      <c r="G528" s="2">
        <v>45728</v>
      </c>
      <c r="H528" s="2">
        <v>45758</v>
      </c>
      <c r="I528">
        <v>184.61</v>
      </c>
      <c r="J528">
        <v>184.61</v>
      </c>
      <c r="K528" t="s">
        <v>20</v>
      </c>
      <c r="L528">
        <v>0</v>
      </c>
      <c r="M528">
        <v>0</v>
      </c>
    </row>
    <row r="529" spans="1:13">
      <c r="A529" t="s">
        <v>562</v>
      </c>
      <c r="B529" t="s">
        <v>563</v>
      </c>
      <c r="C529" t="s">
        <v>16</v>
      </c>
      <c r="D529" t="s">
        <v>21</v>
      </c>
      <c r="E529" t="s">
        <v>581</v>
      </c>
      <c r="F529" t="s">
        <v>581</v>
      </c>
      <c r="G529" s="2">
        <v>45730</v>
      </c>
      <c r="H529" s="2">
        <v>45760</v>
      </c>
      <c r="I529">
        <v>62.88</v>
      </c>
      <c r="J529">
        <v>62.88</v>
      </c>
      <c r="K529" t="s">
        <v>20</v>
      </c>
      <c r="L529">
        <v>0</v>
      </c>
      <c r="M529">
        <v>0</v>
      </c>
    </row>
    <row r="530" spans="1:13">
      <c r="A530" t="s">
        <v>562</v>
      </c>
      <c r="B530" t="s">
        <v>563</v>
      </c>
      <c r="C530" t="s">
        <v>16</v>
      </c>
      <c r="D530" t="s">
        <v>21</v>
      </c>
      <c r="E530" t="s">
        <v>582</v>
      </c>
      <c r="F530" t="s">
        <v>582</v>
      </c>
      <c r="G530" s="2">
        <v>45736</v>
      </c>
      <c r="H530" s="2">
        <v>45766</v>
      </c>
      <c r="I530" s="1">
        <v>3907.53</v>
      </c>
      <c r="J530">
        <v>3907.53</v>
      </c>
      <c r="K530" t="s">
        <v>20</v>
      </c>
      <c r="L530">
        <v>0</v>
      </c>
      <c r="M530">
        <v>0</v>
      </c>
    </row>
    <row r="531" spans="1:13">
      <c r="A531" t="s">
        <v>583</v>
      </c>
      <c r="B531" t="s">
        <v>584</v>
      </c>
      <c r="C531" t="s">
        <v>213</v>
      </c>
      <c r="D531" t="s">
        <v>55</v>
      </c>
      <c r="E531" t="s">
        <v>19</v>
      </c>
      <c r="F531" t="s">
        <v>19</v>
      </c>
      <c r="H531" s="2">
        <v>45589</v>
      </c>
      <c r="I531">
        <v>-188.56</v>
      </c>
      <c r="J531">
        <v>-188.56</v>
      </c>
      <c r="K531" t="s">
        <v>20</v>
      </c>
      <c r="L531">
        <v>0</v>
      </c>
      <c r="M531">
        <v>-188.56</v>
      </c>
    </row>
    <row r="532" spans="1:13">
      <c r="A532" t="s">
        <v>585</v>
      </c>
      <c r="B532" t="s">
        <v>586</v>
      </c>
      <c r="C532" t="s">
        <v>213</v>
      </c>
      <c r="D532" t="s">
        <v>21</v>
      </c>
      <c r="E532" t="s">
        <v>587</v>
      </c>
      <c r="F532" t="s">
        <v>587</v>
      </c>
      <c r="G532" s="2">
        <v>45671</v>
      </c>
      <c r="H532" s="2">
        <v>45671</v>
      </c>
      <c r="I532" s="1">
        <v>4248</v>
      </c>
      <c r="J532">
        <v>3368</v>
      </c>
      <c r="K532" t="s">
        <v>20</v>
      </c>
      <c r="L532">
        <v>0</v>
      </c>
      <c r="M532">
        <v>3368</v>
      </c>
    </row>
    <row r="533" spans="1:13">
      <c r="A533" t="s">
        <v>585</v>
      </c>
      <c r="B533" t="s">
        <v>586</v>
      </c>
      <c r="C533" t="s">
        <v>213</v>
      </c>
      <c r="D533" t="s">
        <v>17</v>
      </c>
      <c r="E533" t="s">
        <v>588</v>
      </c>
      <c r="F533" t="s">
        <v>587</v>
      </c>
      <c r="H533" s="2">
        <v>45716</v>
      </c>
      <c r="I533">
        <v>-270</v>
      </c>
      <c r="J533" t="s">
        <v>86</v>
      </c>
      <c r="K533" t="s">
        <v>20</v>
      </c>
      <c r="L533">
        <v>0</v>
      </c>
      <c r="M533" t="s">
        <v>86</v>
      </c>
    </row>
    <row r="534" spans="1:13">
      <c r="A534" t="s">
        <v>585</v>
      </c>
      <c r="B534" t="s">
        <v>586</v>
      </c>
      <c r="C534" t="s">
        <v>213</v>
      </c>
      <c r="D534" t="s">
        <v>17</v>
      </c>
      <c r="E534" t="s">
        <v>589</v>
      </c>
      <c r="F534" t="s">
        <v>587</v>
      </c>
      <c r="H534" s="2">
        <v>45728</v>
      </c>
      <c r="I534">
        <v>-610</v>
      </c>
      <c r="J534" t="s">
        <v>86</v>
      </c>
      <c r="K534" t="s">
        <v>20</v>
      </c>
      <c r="L534">
        <v>11</v>
      </c>
      <c r="M534" t="s">
        <v>86</v>
      </c>
    </row>
    <row r="535" spans="1:13">
      <c r="A535" t="s">
        <v>590</v>
      </c>
      <c r="B535" t="s">
        <v>591</v>
      </c>
      <c r="C535" t="s">
        <v>16</v>
      </c>
      <c r="D535" t="s">
        <v>21</v>
      </c>
      <c r="E535" t="s">
        <v>592</v>
      </c>
      <c r="F535" t="s">
        <v>592</v>
      </c>
      <c r="G535" s="2">
        <v>45716</v>
      </c>
      <c r="H535" s="2">
        <v>45746</v>
      </c>
      <c r="I535">
        <v>197</v>
      </c>
      <c r="J535">
        <v>197</v>
      </c>
      <c r="K535" t="s">
        <v>20</v>
      </c>
      <c r="L535">
        <v>13</v>
      </c>
      <c r="M535">
        <v>197</v>
      </c>
    </row>
    <row r="536" spans="1:13">
      <c r="A536" t="s">
        <v>590</v>
      </c>
      <c r="B536" t="s">
        <v>591</v>
      </c>
      <c r="C536" t="s">
        <v>16</v>
      </c>
      <c r="D536" t="s">
        <v>21</v>
      </c>
      <c r="E536" t="s">
        <v>593</v>
      </c>
      <c r="F536" t="s">
        <v>593</v>
      </c>
      <c r="G536" s="2">
        <v>45730</v>
      </c>
      <c r="H536" s="2">
        <v>45760</v>
      </c>
      <c r="I536" s="1">
        <v>2212</v>
      </c>
      <c r="J536">
        <v>2212</v>
      </c>
      <c r="K536" t="s">
        <v>20</v>
      </c>
      <c r="L536">
        <v>0</v>
      </c>
      <c r="M536">
        <v>0</v>
      </c>
    </row>
    <row r="537" spans="1:13">
      <c r="A537" t="s">
        <v>594</v>
      </c>
      <c r="B537" t="s">
        <v>595</v>
      </c>
      <c r="C537" t="s">
        <v>213</v>
      </c>
      <c r="D537" t="s">
        <v>21</v>
      </c>
      <c r="E537" t="s">
        <v>596</v>
      </c>
      <c r="F537" t="s">
        <v>596</v>
      </c>
      <c r="G537" s="2">
        <v>45670</v>
      </c>
      <c r="H537" s="2">
        <v>45670</v>
      </c>
      <c r="I537">
        <v>580.66</v>
      </c>
      <c r="J537">
        <v>580.66</v>
      </c>
      <c r="K537" t="s">
        <v>20</v>
      </c>
      <c r="L537">
        <v>0</v>
      </c>
      <c r="M537">
        <v>580.66</v>
      </c>
    </row>
    <row r="538" spans="1:13">
      <c r="A538" t="s">
        <v>597</v>
      </c>
      <c r="B538" t="s">
        <v>598</v>
      </c>
      <c r="C538" t="s">
        <v>16</v>
      </c>
      <c r="D538" t="s">
        <v>21</v>
      </c>
      <c r="E538" t="s">
        <v>599</v>
      </c>
      <c r="F538" t="s">
        <v>599</v>
      </c>
      <c r="G538" s="2">
        <v>45720</v>
      </c>
      <c r="H538" s="2">
        <v>45750</v>
      </c>
      <c r="I538">
        <v>479</v>
      </c>
      <c r="J538">
        <v>479</v>
      </c>
      <c r="K538" t="s">
        <v>20</v>
      </c>
      <c r="L538">
        <v>0</v>
      </c>
      <c r="M538">
        <v>0</v>
      </c>
    </row>
    <row r="539" spans="1:13">
      <c r="A539" t="s">
        <v>597</v>
      </c>
      <c r="B539" t="s">
        <v>598</v>
      </c>
      <c r="C539" t="s">
        <v>16</v>
      </c>
      <c r="D539" t="s">
        <v>21</v>
      </c>
      <c r="E539" t="s">
        <v>600</v>
      </c>
      <c r="F539" t="s">
        <v>600</v>
      </c>
      <c r="G539" s="2">
        <v>45721</v>
      </c>
      <c r="H539" s="2">
        <v>45751</v>
      </c>
      <c r="I539">
        <v>251</v>
      </c>
      <c r="J539">
        <v>251</v>
      </c>
      <c r="K539" t="s">
        <v>20</v>
      </c>
      <c r="L539">
        <v>0</v>
      </c>
      <c r="M539">
        <v>0</v>
      </c>
    </row>
    <row r="540" spans="1:13">
      <c r="A540" t="s">
        <v>597</v>
      </c>
      <c r="B540" t="s">
        <v>598</v>
      </c>
      <c r="C540" t="s">
        <v>16</v>
      </c>
      <c r="D540" t="s">
        <v>21</v>
      </c>
      <c r="E540" t="s">
        <v>601</v>
      </c>
      <c r="F540" t="s">
        <v>601</v>
      </c>
      <c r="G540" s="2">
        <v>45723</v>
      </c>
      <c r="H540" s="2">
        <v>45753</v>
      </c>
      <c r="I540">
        <v>184</v>
      </c>
      <c r="J540">
        <v>184</v>
      </c>
      <c r="K540" t="s">
        <v>20</v>
      </c>
      <c r="L540">
        <v>0</v>
      </c>
      <c r="M540">
        <v>0</v>
      </c>
    </row>
    <row r="541" spans="1:13">
      <c r="A541" t="s">
        <v>597</v>
      </c>
      <c r="B541" t="s">
        <v>598</v>
      </c>
      <c r="C541" t="s">
        <v>16</v>
      </c>
      <c r="D541" t="s">
        <v>21</v>
      </c>
      <c r="E541" t="s">
        <v>602</v>
      </c>
      <c r="F541" t="s">
        <v>602</v>
      </c>
      <c r="G541" s="2">
        <v>45726</v>
      </c>
      <c r="H541" s="2">
        <v>45756</v>
      </c>
      <c r="I541" s="1">
        <v>1580</v>
      </c>
      <c r="J541">
        <v>1580</v>
      </c>
      <c r="K541" t="s">
        <v>20</v>
      </c>
      <c r="L541">
        <v>0</v>
      </c>
      <c r="M541">
        <v>0</v>
      </c>
    </row>
    <row r="542" spans="1:13">
      <c r="A542" t="s">
        <v>597</v>
      </c>
      <c r="B542" t="s">
        <v>598</v>
      </c>
      <c r="C542" t="s">
        <v>16</v>
      </c>
      <c r="D542" t="s">
        <v>21</v>
      </c>
      <c r="E542" t="s">
        <v>603</v>
      </c>
      <c r="F542" t="s">
        <v>603</v>
      </c>
      <c r="G542" s="2">
        <v>45733</v>
      </c>
      <c r="H542" s="2">
        <v>45763</v>
      </c>
      <c r="I542" s="1">
        <v>12953.28</v>
      </c>
      <c r="J542">
        <v>12953.28</v>
      </c>
      <c r="K542" t="s">
        <v>20</v>
      </c>
      <c r="L542">
        <v>0</v>
      </c>
      <c r="M542">
        <v>0</v>
      </c>
    </row>
    <row r="543" spans="1:13">
      <c r="A543" t="s">
        <v>597</v>
      </c>
      <c r="B543" t="s">
        <v>598</v>
      </c>
      <c r="C543" t="s">
        <v>16</v>
      </c>
      <c r="D543" t="s">
        <v>21</v>
      </c>
      <c r="E543" t="s">
        <v>604</v>
      </c>
      <c r="F543" t="s">
        <v>604</v>
      </c>
      <c r="G543" s="2">
        <v>45733</v>
      </c>
      <c r="H543" s="2">
        <v>45763</v>
      </c>
      <c r="I543">
        <v>926.1</v>
      </c>
      <c r="J543">
        <v>926.1</v>
      </c>
      <c r="K543" t="s">
        <v>20</v>
      </c>
      <c r="L543">
        <v>0</v>
      </c>
      <c r="M543">
        <v>0</v>
      </c>
    </row>
    <row r="544" spans="1:13">
      <c r="A544" t="s">
        <v>597</v>
      </c>
      <c r="B544" t="s">
        <v>598</v>
      </c>
      <c r="C544" t="s">
        <v>16</v>
      </c>
      <c r="D544" t="s">
        <v>21</v>
      </c>
      <c r="E544" t="s">
        <v>605</v>
      </c>
      <c r="F544" t="s">
        <v>605</v>
      </c>
      <c r="G544" s="2">
        <v>45734</v>
      </c>
      <c r="H544" s="2">
        <v>45764</v>
      </c>
      <c r="I544" s="1">
        <v>1580</v>
      </c>
      <c r="J544">
        <v>1580</v>
      </c>
      <c r="K544" t="s">
        <v>20</v>
      </c>
      <c r="L544">
        <v>0</v>
      </c>
      <c r="M544">
        <v>0</v>
      </c>
    </row>
    <row r="545" spans="1:13">
      <c r="A545" t="s">
        <v>597</v>
      </c>
      <c r="B545" t="s">
        <v>598</v>
      </c>
      <c r="C545" t="s">
        <v>16</v>
      </c>
      <c r="D545" t="s">
        <v>21</v>
      </c>
      <c r="E545" t="s">
        <v>606</v>
      </c>
      <c r="F545" t="s">
        <v>606</v>
      </c>
      <c r="G545" s="2">
        <v>45735</v>
      </c>
      <c r="H545" s="2">
        <v>45765</v>
      </c>
      <c r="I545">
        <v>392</v>
      </c>
      <c r="J545">
        <v>392</v>
      </c>
      <c r="K545" t="s">
        <v>20</v>
      </c>
      <c r="L545">
        <v>0</v>
      </c>
      <c r="M545">
        <v>0</v>
      </c>
    </row>
    <row r="546" spans="1:13">
      <c r="A546" t="s">
        <v>597</v>
      </c>
      <c r="B546" t="s">
        <v>598</v>
      </c>
      <c r="C546" t="s">
        <v>16</v>
      </c>
      <c r="D546" t="s">
        <v>21</v>
      </c>
      <c r="E546" t="s">
        <v>607</v>
      </c>
      <c r="F546" t="s">
        <v>607</v>
      </c>
      <c r="G546" s="2">
        <v>45735</v>
      </c>
      <c r="H546" s="2">
        <v>45765</v>
      </c>
      <c r="I546" s="1">
        <v>120584.2</v>
      </c>
      <c r="J546">
        <v>120584.2</v>
      </c>
      <c r="K546" t="s">
        <v>20</v>
      </c>
      <c r="L546">
        <v>0</v>
      </c>
      <c r="M546">
        <v>0</v>
      </c>
    </row>
    <row r="547" spans="1:13">
      <c r="A547" t="s">
        <v>597</v>
      </c>
      <c r="B547" t="s">
        <v>598</v>
      </c>
      <c r="C547" t="s">
        <v>16</v>
      </c>
      <c r="D547" t="s">
        <v>21</v>
      </c>
      <c r="E547" t="s">
        <v>608</v>
      </c>
      <c r="F547" t="s">
        <v>608</v>
      </c>
      <c r="G547" s="2">
        <v>45735</v>
      </c>
      <c r="H547" s="2">
        <v>45765</v>
      </c>
      <c r="I547">
        <v>256</v>
      </c>
      <c r="J547">
        <v>256</v>
      </c>
      <c r="K547" t="s">
        <v>20</v>
      </c>
      <c r="L547">
        <v>0</v>
      </c>
      <c r="M547">
        <v>0</v>
      </c>
    </row>
    <row r="548" spans="1:13">
      <c r="A548" t="s">
        <v>597</v>
      </c>
      <c r="B548" t="s">
        <v>598</v>
      </c>
      <c r="C548" t="s">
        <v>16</v>
      </c>
      <c r="D548" t="s">
        <v>21</v>
      </c>
      <c r="E548" t="s">
        <v>609</v>
      </c>
      <c r="F548" t="s">
        <v>609</v>
      </c>
      <c r="G548" s="2">
        <v>45736</v>
      </c>
      <c r="H548" s="2">
        <v>45766</v>
      </c>
      <c r="I548" s="1">
        <v>21999.599999999999</v>
      </c>
      <c r="J548">
        <v>21999.599999999999</v>
      </c>
      <c r="K548" t="s">
        <v>20</v>
      </c>
      <c r="L548">
        <v>0</v>
      </c>
      <c r="M548">
        <v>0</v>
      </c>
    </row>
    <row r="549" spans="1:13">
      <c r="A549" t="s">
        <v>597</v>
      </c>
      <c r="B549" t="s">
        <v>598</v>
      </c>
      <c r="C549" t="s">
        <v>16</v>
      </c>
      <c r="D549" t="s">
        <v>21</v>
      </c>
      <c r="E549" t="s">
        <v>610</v>
      </c>
      <c r="F549" t="s">
        <v>610</v>
      </c>
      <c r="G549" s="2">
        <v>45740</v>
      </c>
      <c r="H549" s="2">
        <v>45770</v>
      </c>
      <c r="I549" s="1">
        <v>39736.050000000003</v>
      </c>
      <c r="J549">
        <v>39736.050000000003</v>
      </c>
      <c r="K549" t="s">
        <v>20</v>
      </c>
      <c r="L549">
        <v>0</v>
      </c>
      <c r="M549">
        <v>0</v>
      </c>
    </row>
    <row r="550" spans="1:13">
      <c r="A550" t="s">
        <v>611</v>
      </c>
      <c r="B550" t="s">
        <v>612</v>
      </c>
      <c r="C550" t="s">
        <v>16</v>
      </c>
      <c r="D550" t="s">
        <v>21</v>
      </c>
      <c r="E550" t="s">
        <v>613</v>
      </c>
      <c r="F550" t="s">
        <v>613</v>
      </c>
      <c r="G550" s="2">
        <v>45712</v>
      </c>
      <c r="H550" s="2">
        <v>45742</v>
      </c>
      <c r="I550">
        <v>244.72</v>
      </c>
      <c r="J550">
        <v>244.72</v>
      </c>
      <c r="K550" t="s">
        <v>20</v>
      </c>
      <c r="L550">
        <v>13</v>
      </c>
      <c r="M550">
        <v>244.72</v>
      </c>
    </row>
    <row r="551" spans="1:13">
      <c r="A551" t="s">
        <v>614</v>
      </c>
      <c r="B551" t="s">
        <v>615</v>
      </c>
      <c r="C551" t="s">
        <v>16</v>
      </c>
      <c r="D551" t="s">
        <v>21</v>
      </c>
      <c r="E551" t="s">
        <v>616</v>
      </c>
      <c r="F551" t="s">
        <v>616</v>
      </c>
      <c r="G551" s="2">
        <v>45720</v>
      </c>
      <c r="H551" s="2">
        <v>45750</v>
      </c>
      <c r="I551" s="1">
        <v>1560</v>
      </c>
      <c r="J551">
        <v>1560</v>
      </c>
      <c r="K551" t="s">
        <v>20</v>
      </c>
      <c r="L551">
        <v>0</v>
      </c>
      <c r="M551">
        <v>0</v>
      </c>
    </row>
    <row r="552" spans="1:13">
      <c r="A552" t="s">
        <v>614</v>
      </c>
      <c r="B552" t="s">
        <v>615</v>
      </c>
      <c r="C552" t="s">
        <v>16</v>
      </c>
      <c r="D552" t="s">
        <v>21</v>
      </c>
      <c r="E552" t="s">
        <v>617</v>
      </c>
      <c r="F552" t="s">
        <v>617</v>
      </c>
      <c r="G552" s="2">
        <v>45733</v>
      </c>
      <c r="H552" s="2">
        <v>45763</v>
      </c>
      <c r="I552">
        <v>850</v>
      </c>
      <c r="J552">
        <v>850</v>
      </c>
      <c r="K552" t="s">
        <v>20</v>
      </c>
      <c r="L552">
        <v>0</v>
      </c>
      <c r="M552">
        <v>0</v>
      </c>
    </row>
    <row r="553" spans="1:13">
      <c r="A553" t="s">
        <v>618</v>
      </c>
      <c r="B553" t="s">
        <v>619</v>
      </c>
      <c r="C553" t="s">
        <v>16</v>
      </c>
      <c r="D553" t="s">
        <v>55</v>
      </c>
      <c r="E553" t="s">
        <v>19</v>
      </c>
      <c r="F553" t="s">
        <v>19</v>
      </c>
      <c r="H553" s="2">
        <v>45740</v>
      </c>
      <c r="I553">
        <v>-149.30000000000001</v>
      </c>
      <c r="J553">
        <v>-149.30000000000001</v>
      </c>
      <c r="K553" t="s">
        <v>20</v>
      </c>
      <c r="L553">
        <v>13</v>
      </c>
      <c r="M553">
        <v>-149.30000000000001</v>
      </c>
    </row>
    <row r="554" spans="1:13">
      <c r="A554" t="s">
        <v>620</v>
      </c>
      <c r="B554" t="s">
        <v>621</v>
      </c>
      <c r="C554" t="s">
        <v>382</v>
      </c>
      <c r="D554" t="s">
        <v>21</v>
      </c>
      <c r="E554" t="s">
        <v>622</v>
      </c>
      <c r="F554" t="s">
        <v>622</v>
      </c>
      <c r="G554" s="2">
        <v>45649</v>
      </c>
      <c r="H554" s="2">
        <v>45709</v>
      </c>
      <c r="I554" s="1">
        <v>73012.5</v>
      </c>
      <c r="J554">
        <v>4667.5</v>
      </c>
      <c r="K554" t="s">
        <v>20</v>
      </c>
      <c r="L554">
        <v>0</v>
      </c>
      <c r="M554">
        <v>4667.5</v>
      </c>
    </row>
    <row r="555" spans="1:13">
      <c r="A555" t="s">
        <v>620</v>
      </c>
      <c r="B555" t="s">
        <v>621</v>
      </c>
      <c r="C555" t="s">
        <v>382</v>
      </c>
      <c r="D555" t="s">
        <v>55</v>
      </c>
      <c r="E555" t="s">
        <v>622</v>
      </c>
      <c r="F555" t="s">
        <v>622</v>
      </c>
      <c r="H555" s="2">
        <v>45720</v>
      </c>
      <c r="I555" s="1">
        <v>-68345</v>
      </c>
      <c r="J555" t="s">
        <v>86</v>
      </c>
      <c r="K555" t="s">
        <v>20</v>
      </c>
      <c r="L555">
        <v>10</v>
      </c>
      <c r="M555" t="s">
        <v>86</v>
      </c>
    </row>
    <row r="556" spans="1:13">
      <c r="A556" t="s">
        <v>620</v>
      </c>
      <c r="B556" t="s">
        <v>621</v>
      </c>
      <c r="C556" t="s">
        <v>382</v>
      </c>
      <c r="D556" t="s">
        <v>21</v>
      </c>
      <c r="E556" t="s">
        <v>623</v>
      </c>
      <c r="F556" t="s">
        <v>623</v>
      </c>
      <c r="G556" s="2">
        <v>45688</v>
      </c>
      <c r="H556" s="2">
        <v>45748</v>
      </c>
      <c r="I556" s="1">
        <v>14880</v>
      </c>
      <c r="J556">
        <v>297.60000000000002</v>
      </c>
      <c r="K556" t="s">
        <v>20</v>
      </c>
      <c r="L556">
        <v>0</v>
      </c>
      <c r="M556">
        <v>0</v>
      </c>
    </row>
    <row r="557" spans="1:13">
      <c r="A557" t="s">
        <v>620</v>
      </c>
      <c r="B557" t="s">
        <v>621</v>
      </c>
      <c r="C557" t="s">
        <v>382</v>
      </c>
      <c r="D557" t="s">
        <v>55</v>
      </c>
      <c r="E557" t="s">
        <v>623</v>
      </c>
      <c r="F557" t="s">
        <v>623</v>
      </c>
      <c r="H557" s="2">
        <v>45712</v>
      </c>
      <c r="I557" s="1">
        <v>-14582.4</v>
      </c>
      <c r="J557" t="s">
        <v>86</v>
      </c>
      <c r="K557" t="s">
        <v>20</v>
      </c>
      <c r="L557">
        <v>0</v>
      </c>
      <c r="M557" t="s">
        <v>86</v>
      </c>
    </row>
    <row r="558" spans="1:13">
      <c r="A558" t="s">
        <v>620</v>
      </c>
      <c r="B558" t="s">
        <v>621</v>
      </c>
      <c r="C558" t="s">
        <v>382</v>
      </c>
      <c r="D558" t="s">
        <v>21</v>
      </c>
      <c r="E558" t="s">
        <v>624</v>
      </c>
      <c r="F558" t="s">
        <v>624</v>
      </c>
      <c r="G558" s="2">
        <v>45692</v>
      </c>
      <c r="H558" s="2">
        <v>45752</v>
      </c>
      <c r="I558" s="1">
        <v>36960</v>
      </c>
      <c r="J558">
        <v>739.2</v>
      </c>
      <c r="K558" t="s">
        <v>20</v>
      </c>
      <c r="L558">
        <v>0</v>
      </c>
      <c r="M558">
        <v>0</v>
      </c>
    </row>
    <row r="559" spans="1:13">
      <c r="A559" t="s">
        <v>620</v>
      </c>
      <c r="B559" t="s">
        <v>621</v>
      </c>
      <c r="C559" t="s">
        <v>382</v>
      </c>
      <c r="D559" t="s">
        <v>55</v>
      </c>
      <c r="E559" t="s">
        <v>624</v>
      </c>
      <c r="F559" t="s">
        <v>624</v>
      </c>
      <c r="H559" s="2">
        <v>45712</v>
      </c>
      <c r="I559" s="1">
        <v>-36220.800000000003</v>
      </c>
      <c r="J559" t="s">
        <v>86</v>
      </c>
      <c r="K559" t="s">
        <v>20</v>
      </c>
      <c r="L559">
        <v>0</v>
      </c>
      <c r="M559" t="s">
        <v>86</v>
      </c>
    </row>
    <row r="560" spans="1:13">
      <c r="A560" t="s">
        <v>620</v>
      </c>
      <c r="B560" t="s">
        <v>621</v>
      </c>
      <c r="C560" t="s">
        <v>382</v>
      </c>
      <c r="D560" t="s">
        <v>21</v>
      </c>
      <c r="E560" t="s">
        <v>625</v>
      </c>
      <c r="F560" t="s">
        <v>625</v>
      </c>
      <c r="G560" s="2">
        <v>45692</v>
      </c>
      <c r="H560" s="2">
        <v>45752</v>
      </c>
      <c r="I560" s="1">
        <v>13590</v>
      </c>
      <c r="J560">
        <v>13590</v>
      </c>
      <c r="K560" t="s">
        <v>20</v>
      </c>
      <c r="L560">
        <v>0</v>
      </c>
      <c r="M560">
        <v>0</v>
      </c>
    </row>
    <row r="561" spans="1:13">
      <c r="A561" t="s">
        <v>626</v>
      </c>
      <c r="B561" t="s">
        <v>627</v>
      </c>
      <c r="C561" t="s">
        <v>16</v>
      </c>
      <c r="D561" t="s">
        <v>21</v>
      </c>
      <c r="E561" t="s">
        <v>628</v>
      </c>
      <c r="F561" t="s">
        <v>628</v>
      </c>
      <c r="G561" s="2">
        <v>45698</v>
      </c>
      <c r="H561" s="2">
        <v>45728</v>
      </c>
      <c r="I561" s="1">
        <v>35925.919999999998</v>
      </c>
      <c r="J561">
        <v>29464.92</v>
      </c>
      <c r="K561" t="s">
        <v>20</v>
      </c>
      <c r="L561">
        <v>11</v>
      </c>
      <c r="M561">
        <v>29464.92</v>
      </c>
    </row>
    <row r="562" spans="1:13">
      <c r="A562" t="s">
        <v>626</v>
      </c>
      <c r="B562" t="s">
        <v>627</v>
      </c>
      <c r="C562" t="s">
        <v>16</v>
      </c>
      <c r="D562" t="s">
        <v>17</v>
      </c>
      <c r="E562" t="s">
        <v>629</v>
      </c>
      <c r="F562" t="s">
        <v>628</v>
      </c>
      <c r="H562" s="2">
        <v>45727</v>
      </c>
      <c r="I562" s="1">
        <v>-6461</v>
      </c>
      <c r="J562" t="s">
        <v>86</v>
      </c>
      <c r="K562" t="s">
        <v>20</v>
      </c>
      <c r="L562">
        <v>11</v>
      </c>
      <c r="M562" t="s">
        <v>86</v>
      </c>
    </row>
    <row r="563" spans="1:13">
      <c r="A563" t="s">
        <v>626</v>
      </c>
      <c r="B563" t="s">
        <v>627</v>
      </c>
      <c r="C563" t="s">
        <v>16</v>
      </c>
      <c r="D563" t="s">
        <v>21</v>
      </c>
      <c r="E563" t="s">
        <v>630</v>
      </c>
      <c r="F563" t="s">
        <v>630</v>
      </c>
      <c r="G563" s="2">
        <v>45720</v>
      </c>
      <c r="H563" s="2">
        <v>45750</v>
      </c>
      <c r="I563" s="1">
        <v>3245.27</v>
      </c>
      <c r="J563">
        <v>3245.27</v>
      </c>
      <c r="K563" t="s">
        <v>20</v>
      </c>
      <c r="L563">
        <v>0</v>
      </c>
      <c r="M563">
        <v>0</v>
      </c>
    </row>
    <row r="564" spans="1:13">
      <c r="A564" t="s">
        <v>626</v>
      </c>
      <c r="B564" t="s">
        <v>627</v>
      </c>
      <c r="C564" t="s">
        <v>16</v>
      </c>
      <c r="D564" t="s">
        <v>21</v>
      </c>
      <c r="E564" t="s">
        <v>631</v>
      </c>
      <c r="F564" t="s">
        <v>631</v>
      </c>
      <c r="G564" s="2">
        <v>45721</v>
      </c>
      <c r="H564" s="2">
        <v>45751</v>
      </c>
      <c r="I564" s="1">
        <v>3821.13</v>
      </c>
      <c r="J564">
        <v>3821.13</v>
      </c>
      <c r="K564" t="s">
        <v>20</v>
      </c>
      <c r="L564">
        <v>0</v>
      </c>
      <c r="M564">
        <v>0</v>
      </c>
    </row>
    <row r="565" spans="1:13">
      <c r="A565" t="s">
        <v>626</v>
      </c>
      <c r="B565" t="s">
        <v>627</v>
      </c>
      <c r="C565" t="s">
        <v>16</v>
      </c>
      <c r="D565" t="s">
        <v>21</v>
      </c>
      <c r="E565" t="s">
        <v>632</v>
      </c>
      <c r="F565" t="s">
        <v>632</v>
      </c>
      <c r="G565" s="2">
        <v>45721</v>
      </c>
      <c r="H565" s="2">
        <v>45751</v>
      </c>
      <c r="I565">
        <v>38.200000000000003</v>
      </c>
      <c r="J565">
        <v>38.200000000000003</v>
      </c>
      <c r="K565" t="s">
        <v>20</v>
      </c>
      <c r="L565">
        <v>0</v>
      </c>
      <c r="M565">
        <v>0</v>
      </c>
    </row>
    <row r="566" spans="1:13">
      <c r="A566" t="s">
        <v>633</v>
      </c>
      <c r="B566" t="s">
        <v>634</v>
      </c>
      <c r="C566" t="s">
        <v>16</v>
      </c>
      <c r="D566" t="s">
        <v>17</v>
      </c>
      <c r="E566" t="s">
        <v>635</v>
      </c>
      <c r="F566" t="s">
        <v>19</v>
      </c>
      <c r="H566" s="2">
        <v>45289</v>
      </c>
      <c r="I566">
        <v>-6.23</v>
      </c>
      <c r="J566">
        <v>-6.23</v>
      </c>
      <c r="K566" t="s">
        <v>20</v>
      </c>
      <c r="L566">
        <v>0</v>
      </c>
      <c r="M566">
        <v>-6.23</v>
      </c>
    </row>
    <row r="567" spans="1:13">
      <c r="A567" t="s">
        <v>633</v>
      </c>
      <c r="B567" t="s">
        <v>634</v>
      </c>
      <c r="C567" t="s">
        <v>16</v>
      </c>
      <c r="D567" t="s">
        <v>17</v>
      </c>
      <c r="E567" t="s">
        <v>636</v>
      </c>
      <c r="F567" t="s">
        <v>19</v>
      </c>
      <c r="H567" s="2">
        <v>45289</v>
      </c>
      <c r="I567">
        <v>-14.02</v>
      </c>
      <c r="J567">
        <v>-14.02</v>
      </c>
      <c r="K567" t="s">
        <v>20</v>
      </c>
      <c r="L567">
        <v>0</v>
      </c>
      <c r="M567">
        <v>-14.02</v>
      </c>
    </row>
    <row r="568" spans="1:13">
      <c r="A568" t="s">
        <v>633</v>
      </c>
      <c r="B568" t="s">
        <v>634</v>
      </c>
      <c r="C568" t="s">
        <v>16</v>
      </c>
      <c r="D568" t="s">
        <v>17</v>
      </c>
      <c r="E568" t="s">
        <v>637</v>
      </c>
      <c r="F568" t="s">
        <v>19</v>
      </c>
      <c r="H568" s="2">
        <v>45289</v>
      </c>
      <c r="I568">
        <v>-61.35</v>
      </c>
      <c r="J568">
        <v>-61.35</v>
      </c>
      <c r="K568" t="s">
        <v>20</v>
      </c>
      <c r="L568">
        <v>0</v>
      </c>
      <c r="M568">
        <v>-61.35</v>
      </c>
    </row>
    <row r="569" spans="1:13">
      <c r="A569" t="s">
        <v>633</v>
      </c>
      <c r="B569" t="s">
        <v>634</v>
      </c>
      <c r="C569" t="s">
        <v>16</v>
      </c>
      <c r="D569" t="s">
        <v>21</v>
      </c>
      <c r="E569" t="s">
        <v>638</v>
      </c>
      <c r="F569" t="s">
        <v>638</v>
      </c>
      <c r="G569" s="2">
        <v>45572</v>
      </c>
      <c r="H569" s="2">
        <v>45602</v>
      </c>
      <c r="I569" s="1">
        <v>1921.54</v>
      </c>
      <c r="J569">
        <v>871.47</v>
      </c>
      <c r="K569" t="s">
        <v>20</v>
      </c>
      <c r="L569">
        <v>0</v>
      </c>
      <c r="M569">
        <v>871.47</v>
      </c>
    </row>
    <row r="570" spans="1:13">
      <c r="A570" t="s">
        <v>633</v>
      </c>
      <c r="B570" t="s">
        <v>634</v>
      </c>
      <c r="C570" t="s">
        <v>16</v>
      </c>
      <c r="D570" t="s">
        <v>55</v>
      </c>
      <c r="E570" t="s">
        <v>638</v>
      </c>
      <c r="F570" t="s">
        <v>638</v>
      </c>
      <c r="H570" s="2">
        <v>45618</v>
      </c>
      <c r="I570" s="1">
        <v>-1050.07</v>
      </c>
      <c r="J570" t="s">
        <v>86</v>
      </c>
      <c r="K570" t="s">
        <v>20</v>
      </c>
      <c r="L570">
        <v>0</v>
      </c>
      <c r="M570" t="s">
        <v>86</v>
      </c>
    </row>
    <row r="571" spans="1:13">
      <c r="A571" t="s">
        <v>633</v>
      </c>
      <c r="B571" t="s">
        <v>634</v>
      </c>
      <c r="C571" t="s">
        <v>16</v>
      </c>
      <c r="D571" t="s">
        <v>21</v>
      </c>
      <c r="E571" t="s">
        <v>639</v>
      </c>
      <c r="F571" t="s">
        <v>639</v>
      </c>
      <c r="G571" s="2">
        <v>45581</v>
      </c>
      <c r="H571" s="2">
        <v>45611</v>
      </c>
      <c r="I571" s="1">
        <v>1652.3</v>
      </c>
      <c r="J571">
        <v>146.80000000000001</v>
      </c>
      <c r="K571" t="s">
        <v>20</v>
      </c>
      <c r="L571">
        <v>0</v>
      </c>
      <c r="M571">
        <v>146.80000000000001</v>
      </c>
    </row>
    <row r="572" spans="1:13">
      <c r="A572" t="s">
        <v>633</v>
      </c>
      <c r="B572" t="s">
        <v>634</v>
      </c>
      <c r="C572" t="s">
        <v>16</v>
      </c>
      <c r="D572" t="s">
        <v>55</v>
      </c>
      <c r="E572" t="s">
        <v>639</v>
      </c>
      <c r="F572" t="s">
        <v>639</v>
      </c>
      <c r="H572" s="2">
        <v>45611</v>
      </c>
      <c r="I572" s="1">
        <v>-1505.5</v>
      </c>
      <c r="J572" t="s">
        <v>86</v>
      </c>
      <c r="K572" t="s">
        <v>20</v>
      </c>
      <c r="L572">
        <v>0</v>
      </c>
      <c r="M572" t="s">
        <v>86</v>
      </c>
    </row>
    <row r="573" spans="1:13">
      <c r="A573" t="s">
        <v>633</v>
      </c>
      <c r="B573" t="s">
        <v>634</v>
      </c>
      <c r="C573" t="s">
        <v>16</v>
      </c>
      <c r="D573" t="s">
        <v>21</v>
      </c>
      <c r="E573" t="s">
        <v>640</v>
      </c>
      <c r="F573" t="s">
        <v>640</v>
      </c>
      <c r="G573" s="2">
        <v>45587</v>
      </c>
      <c r="H573" s="2">
        <v>45617</v>
      </c>
      <c r="I573" s="1">
        <v>4183.01</v>
      </c>
      <c r="J573">
        <v>282.79000000000002</v>
      </c>
      <c r="K573" t="s">
        <v>20</v>
      </c>
      <c r="L573">
        <v>0</v>
      </c>
      <c r="M573">
        <v>282.79000000000002</v>
      </c>
    </row>
    <row r="574" spans="1:13">
      <c r="A574" t="s">
        <v>633</v>
      </c>
      <c r="B574" t="s">
        <v>634</v>
      </c>
      <c r="C574" t="s">
        <v>16</v>
      </c>
      <c r="D574" t="s">
        <v>55</v>
      </c>
      <c r="E574" t="s">
        <v>640</v>
      </c>
      <c r="F574" t="s">
        <v>640</v>
      </c>
      <c r="H574" s="2">
        <v>45618</v>
      </c>
      <c r="I574" s="1">
        <v>-3900.22</v>
      </c>
      <c r="J574" t="s">
        <v>86</v>
      </c>
      <c r="K574" t="s">
        <v>20</v>
      </c>
      <c r="L574">
        <v>0</v>
      </c>
      <c r="M574" t="s">
        <v>86</v>
      </c>
    </row>
    <row r="575" spans="1:13">
      <c r="A575" t="s">
        <v>633</v>
      </c>
      <c r="B575" t="s">
        <v>634</v>
      </c>
      <c r="C575" t="s">
        <v>16</v>
      </c>
      <c r="D575" t="s">
        <v>21</v>
      </c>
      <c r="E575" t="s">
        <v>641</v>
      </c>
      <c r="F575" t="s">
        <v>641</v>
      </c>
      <c r="G575" s="2">
        <v>45596</v>
      </c>
      <c r="H575" s="2">
        <v>45626</v>
      </c>
      <c r="I575">
        <v>54.89</v>
      </c>
      <c r="J575">
        <v>4.1900000000000004</v>
      </c>
      <c r="K575" t="s">
        <v>20</v>
      </c>
      <c r="L575">
        <v>0</v>
      </c>
      <c r="M575">
        <v>4.1900000000000004</v>
      </c>
    </row>
    <row r="576" spans="1:13">
      <c r="A576" t="s">
        <v>633</v>
      </c>
      <c r="B576" t="s">
        <v>634</v>
      </c>
      <c r="C576" t="s">
        <v>16</v>
      </c>
      <c r="D576" t="s">
        <v>55</v>
      </c>
      <c r="E576" t="s">
        <v>641</v>
      </c>
      <c r="F576" t="s">
        <v>641</v>
      </c>
      <c r="H576" s="2">
        <v>45625</v>
      </c>
      <c r="I576">
        <v>-50.7</v>
      </c>
      <c r="J576" t="s">
        <v>86</v>
      </c>
      <c r="K576" t="s">
        <v>20</v>
      </c>
      <c r="L576">
        <v>0</v>
      </c>
      <c r="M576" t="s">
        <v>86</v>
      </c>
    </row>
    <row r="577" spans="1:13">
      <c r="A577" t="s">
        <v>633</v>
      </c>
      <c r="B577" t="s">
        <v>634</v>
      </c>
      <c r="C577" t="s">
        <v>16</v>
      </c>
      <c r="D577" t="s">
        <v>21</v>
      </c>
      <c r="E577" t="s">
        <v>642</v>
      </c>
      <c r="F577" t="s">
        <v>642</v>
      </c>
      <c r="G577" s="2">
        <v>45609</v>
      </c>
      <c r="H577" s="2">
        <v>45639</v>
      </c>
      <c r="I577" s="1">
        <v>1171.3699999999999</v>
      </c>
      <c r="J577">
        <v>38</v>
      </c>
      <c r="K577" t="s">
        <v>20</v>
      </c>
      <c r="L577">
        <v>0</v>
      </c>
      <c r="M577">
        <v>38</v>
      </c>
    </row>
    <row r="578" spans="1:13">
      <c r="A578" t="s">
        <v>633</v>
      </c>
      <c r="B578" t="s">
        <v>634</v>
      </c>
      <c r="C578" t="s">
        <v>16</v>
      </c>
      <c r="D578" t="s">
        <v>55</v>
      </c>
      <c r="E578" t="s">
        <v>642</v>
      </c>
      <c r="F578" t="s">
        <v>642</v>
      </c>
      <c r="H578" s="2">
        <v>45639</v>
      </c>
      <c r="I578" s="1">
        <v>-1133.3699999999999</v>
      </c>
      <c r="J578" t="s">
        <v>86</v>
      </c>
      <c r="K578" t="s">
        <v>20</v>
      </c>
      <c r="L578">
        <v>0</v>
      </c>
      <c r="M578" t="s">
        <v>86</v>
      </c>
    </row>
    <row r="579" spans="1:13">
      <c r="A579" t="s">
        <v>633</v>
      </c>
      <c r="B579" t="s">
        <v>634</v>
      </c>
      <c r="C579" t="s">
        <v>16</v>
      </c>
      <c r="D579" t="s">
        <v>21</v>
      </c>
      <c r="E579" t="s">
        <v>643</v>
      </c>
      <c r="F579" t="s">
        <v>643</v>
      </c>
      <c r="G579" s="2">
        <v>45609</v>
      </c>
      <c r="H579" s="2">
        <v>45639</v>
      </c>
      <c r="I579" s="1">
        <v>2050.92</v>
      </c>
      <c r="J579">
        <v>-630</v>
      </c>
      <c r="K579" t="s">
        <v>20</v>
      </c>
      <c r="L579">
        <v>0</v>
      </c>
      <c r="M579">
        <v>-630</v>
      </c>
    </row>
    <row r="580" spans="1:13">
      <c r="A580" t="s">
        <v>633</v>
      </c>
      <c r="B580" t="s">
        <v>634</v>
      </c>
      <c r="C580" t="s">
        <v>16</v>
      </c>
      <c r="D580" t="s">
        <v>17</v>
      </c>
      <c r="E580" t="s">
        <v>644</v>
      </c>
      <c r="F580" t="s">
        <v>643</v>
      </c>
      <c r="H580" s="2">
        <v>45710</v>
      </c>
      <c r="I580">
        <v>-630</v>
      </c>
      <c r="J580" t="s">
        <v>86</v>
      </c>
      <c r="K580" t="s">
        <v>20</v>
      </c>
      <c r="L580">
        <v>0</v>
      </c>
      <c r="M580" t="s">
        <v>86</v>
      </c>
    </row>
    <row r="581" spans="1:13">
      <c r="A581" t="s">
        <v>633</v>
      </c>
      <c r="B581" t="s">
        <v>634</v>
      </c>
      <c r="C581" t="s">
        <v>16</v>
      </c>
      <c r="D581" t="s">
        <v>55</v>
      </c>
      <c r="E581" t="s">
        <v>643</v>
      </c>
      <c r="F581" t="s">
        <v>643</v>
      </c>
      <c r="H581" s="2">
        <v>45639</v>
      </c>
      <c r="I581" s="1">
        <v>-2050.92</v>
      </c>
      <c r="J581" t="s">
        <v>86</v>
      </c>
      <c r="K581" t="s">
        <v>20</v>
      </c>
      <c r="L581">
        <v>0</v>
      </c>
      <c r="M581" t="s">
        <v>86</v>
      </c>
    </row>
    <row r="582" spans="1:13">
      <c r="A582" t="s">
        <v>633</v>
      </c>
      <c r="B582" t="s">
        <v>634</v>
      </c>
      <c r="C582" t="s">
        <v>16</v>
      </c>
      <c r="D582" t="s">
        <v>21</v>
      </c>
      <c r="E582" t="s">
        <v>645</v>
      </c>
      <c r="F582" t="s">
        <v>645</v>
      </c>
      <c r="G582" s="2">
        <v>45701</v>
      </c>
      <c r="H582" s="2">
        <v>45731</v>
      </c>
      <c r="I582">
        <v>60.24</v>
      </c>
      <c r="J582">
        <v>60.24</v>
      </c>
      <c r="K582" t="s">
        <v>20</v>
      </c>
      <c r="L582">
        <v>11</v>
      </c>
      <c r="M582">
        <v>60.24</v>
      </c>
    </row>
    <row r="583" spans="1:13">
      <c r="A583" t="s">
        <v>633</v>
      </c>
      <c r="B583" t="s">
        <v>634</v>
      </c>
      <c r="C583" t="s">
        <v>16</v>
      </c>
      <c r="D583" t="s">
        <v>21</v>
      </c>
      <c r="E583" t="s">
        <v>646</v>
      </c>
      <c r="F583" t="s">
        <v>646</v>
      </c>
      <c r="G583" s="2">
        <v>45702</v>
      </c>
      <c r="H583" s="2">
        <v>45732</v>
      </c>
      <c r="I583">
        <v>55.9</v>
      </c>
      <c r="J583">
        <v>55.9</v>
      </c>
      <c r="K583" t="s">
        <v>20</v>
      </c>
      <c r="L583">
        <v>12</v>
      </c>
      <c r="M583">
        <v>55.9</v>
      </c>
    </row>
    <row r="584" spans="1:13">
      <c r="A584" t="s">
        <v>633</v>
      </c>
      <c r="B584" t="s">
        <v>634</v>
      </c>
      <c r="C584" t="s">
        <v>16</v>
      </c>
      <c r="D584" t="s">
        <v>21</v>
      </c>
      <c r="E584" t="s">
        <v>647</v>
      </c>
      <c r="F584" t="s">
        <v>647</v>
      </c>
      <c r="G584" s="2">
        <v>45715</v>
      </c>
      <c r="H584" s="2">
        <v>45745</v>
      </c>
      <c r="I584">
        <v>60.2</v>
      </c>
      <c r="J584">
        <v>60.2</v>
      </c>
      <c r="K584" t="s">
        <v>20</v>
      </c>
      <c r="L584">
        <v>13</v>
      </c>
      <c r="M584">
        <v>60.2</v>
      </c>
    </row>
    <row r="585" spans="1:13">
      <c r="A585" t="s">
        <v>633</v>
      </c>
      <c r="B585" t="s">
        <v>634</v>
      </c>
      <c r="C585" t="s">
        <v>16</v>
      </c>
      <c r="D585" t="s">
        <v>21</v>
      </c>
      <c r="E585" t="s">
        <v>648</v>
      </c>
      <c r="F585" t="s">
        <v>648</v>
      </c>
      <c r="G585" s="2">
        <v>45716</v>
      </c>
      <c r="H585" s="2">
        <v>45746</v>
      </c>
      <c r="I585">
        <v>491.6</v>
      </c>
      <c r="J585">
        <v>491.6</v>
      </c>
      <c r="K585" t="s">
        <v>20</v>
      </c>
      <c r="L585">
        <v>13</v>
      </c>
      <c r="M585">
        <v>491.6</v>
      </c>
    </row>
    <row r="586" spans="1:13">
      <c r="A586" t="s">
        <v>649</v>
      </c>
      <c r="B586" t="s">
        <v>650</v>
      </c>
      <c r="C586" t="s">
        <v>16</v>
      </c>
      <c r="D586" t="s">
        <v>21</v>
      </c>
      <c r="E586" t="s">
        <v>651</v>
      </c>
      <c r="F586" t="s">
        <v>651</v>
      </c>
      <c r="G586" s="2">
        <v>45509</v>
      </c>
      <c r="H586" s="2">
        <v>45539</v>
      </c>
      <c r="I586" s="1">
        <v>8020</v>
      </c>
      <c r="J586">
        <v>29.44</v>
      </c>
      <c r="K586" t="s">
        <v>20</v>
      </c>
      <c r="L586">
        <v>0</v>
      </c>
      <c r="M586">
        <v>29.44</v>
      </c>
    </row>
    <row r="587" spans="1:13">
      <c r="A587" t="s">
        <v>649</v>
      </c>
      <c r="B587" t="s">
        <v>650</v>
      </c>
      <c r="C587" t="s">
        <v>16</v>
      </c>
      <c r="D587" t="s">
        <v>55</v>
      </c>
      <c r="E587" t="s">
        <v>651</v>
      </c>
      <c r="F587" t="s">
        <v>651</v>
      </c>
      <c r="H587" s="2">
        <v>45574</v>
      </c>
      <c r="I587" s="1">
        <v>-7990.56</v>
      </c>
      <c r="J587" t="s">
        <v>86</v>
      </c>
      <c r="K587" t="s">
        <v>20</v>
      </c>
      <c r="L587">
        <v>0</v>
      </c>
      <c r="M587" t="s">
        <v>86</v>
      </c>
    </row>
    <row r="588" spans="1:13">
      <c r="A588" t="s">
        <v>649</v>
      </c>
      <c r="B588" t="s">
        <v>650</v>
      </c>
      <c r="C588" t="s">
        <v>16</v>
      </c>
      <c r="D588" t="s">
        <v>21</v>
      </c>
      <c r="E588" t="s">
        <v>652</v>
      </c>
      <c r="F588" t="s">
        <v>652</v>
      </c>
      <c r="G588" s="2">
        <v>45656</v>
      </c>
      <c r="H588" s="2">
        <v>45686</v>
      </c>
      <c r="I588" s="1">
        <v>8621.5</v>
      </c>
      <c r="J588">
        <v>25.81</v>
      </c>
      <c r="K588" t="s">
        <v>20</v>
      </c>
      <c r="L588">
        <v>0</v>
      </c>
      <c r="M588">
        <v>25.81</v>
      </c>
    </row>
    <row r="589" spans="1:13">
      <c r="A589" t="s">
        <v>649</v>
      </c>
      <c r="B589" t="s">
        <v>650</v>
      </c>
      <c r="C589" t="s">
        <v>16</v>
      </c>
      <c r="D589" t="s">
        <v>17</v>
      </c>
      <c r="E589" t="s">
        <v>653</v>
      </c>
      <c r="F589" t="s">
        <v>652</v>
      </c>
      <c r="H589" s="2">
        <v>45667</v>
      </c>
      <c r="I589">
        <v>-601.5</v>
      </c>
      <c r="J589" t="s">
        <v>86</v>
      </c>
      <c r="K589" t="s">
        <v>20</v>
      </c>
      <c r="L589">
        <v>0</v>
      </c>
      <c r="M589" t="s">
        <v>86</v>
      </c>
    </row>
    <row r="590" spans="1:13">
      <c r="A590" t="s">
        <v>649</v>
      </c>
      <c r="B590" t="s">
        <v>650</v>
      </c>
      <c r="C590" t="s">
        <v>16</v>
      </c>
      <c r="D590" t="s">
        <v>55</v>
      </c>
      <c r="E590" t="s">
        <v>652</v>
      </c>
      <c r="F590" t="s">
        <v>652</v>
      </c>
      <c r="H590" s="2">
        <v>45706</v>
      </c>
      <c r="I590" s="1">
        <v>-7994.19</v>
      </c>
      <c r="J590" t="s">
        <v>86</v>
      </c>
      <c r="K590" t="s">
        <v>20</v>
      </c>
      <c r="L590">
        <v>0</v>
      </c>
      <c r="M590" t="s">
        <v>86</v>
      </c>
    </row>
    <row r="591" spans="1:13">
      <c r="A591" t="s">
        <v>649</v>
      </c>
      <c r="B591" t="s">
        <v>650</v>
      </c>
      <c r="C591" t="s">
        <v>16</v>
      </c>
      <c r="D591" t="s">
        <v>21</v>
      </c>
      <c r="E591" t="s">
        <v>654</v>
      </c>
      <c r="F591" t="s">
        <v>654</v>
      </c>
      <c r="G591" s="2">
        <v>45712</v>
      </c>
      <c r="H591" s="2">
        <v>45742</v>
      </c>
      <c r="I591" s="1">
        <v>8020</v>
      </c>
      <c r="J591">
        <v>8020</v>
      </c>
      <c r="K591" t="s">
        <v>20</v>
      </c>
      <c r="L591">
        <v>13</v>
      </c>
      <c r="M591">
        <v>8020</v>
      </c>
    </row>
    <row r="592" spans="1:13">
      <c r="A592" t="s">
        <v>655</v>
      </c>
      <c r="B592" t="s">
        <v>656</v>
      </c>
      <c r="C592" t="s">
        <v>16</v>
      </c>
      <c r="D592" t="s">
        <v>17</v>
      </c>
      <c r="E592" t="s">
        <v>657</v>
      </c>
      <c r="F592" t="s">
        <v>19</v>
      </c>
      <c r="H592" s="2">
        <v>45322</v>
      </c>
      <c r="I592">
        <v>-231</v>
      </c>
      <c r="J592">
        <v>-231</v>
      </c>
      <c r="K592" t="s">
        <v>20</v>
      </c>
      <c r="L592">
        <v>0</v>
      </c>
      <c r="M592">
        <v>-231</v>
      </c>
    </row>
    <row r="593" spans="1:13">
      <c r="A593" t="s">
        <v>655</v>
      </c>
      <c r="B593" t="s">
        <v>656</v>
      </c>
      <c r="C593" t="s">
        <v>16</v>
      </c>
      <c r="D593" t="s">
        <v>21</v>
      </c>
      <c r="E593" t="s">
        <v>658</v>
      </c>
      <c r="F593" t="s">
        <v>658</v>
      </c>
      <c r="G593" s="2">
        <v>45573</v>
      </c>
      <c r="H593" s="2">
        <v>45603</v>
      </c>
      <c r="I593">
        <v>99.54</v>
      </c>
      <c r="J593">
        <v>6.51</v>
      </c>
      <c r="K593" t="s">
        <v>20</v>
      </c>
      <c r="L593">
        <v>0</v>
      </c>
      <c r="M593">
        <v>6.51</v>
      </c>
    </row>
    <row r="594" spans="1:13">
      <c r="A594" t="s">
        <v>655</v>
      </c>
      <c r="B594" t="s">
        <v>656</v>
      </c>
      <c r="C594" t="s">
        <v>16</v>
      </c>
      <c r="D594" t="s">
        <v>55</v>
      </c>
      <c r="E594" t="s">
        <v>658</v>
      </c>
      <c r="F594" t="s">
        <v>658</v>
      </c>
      <c r="H594" s="2">
        <v>45587</v>
      </c>
      <c r="I594">
        <v>-93.03</v>
      </c>
      <c r="J594" t="s">
        <v>86</v>
      </c>
      <c r="K594" t="s">
        <v>20</v>
      </c>
      <c r="L594">
        <v>0</v>
      </c>
      <c r="M594" t="s">
        <v>86</v>
      </c>
    </row>
    <row r="595" spans="1:13">
      <c r="A595" t="s">
        <v>659</v>
      </c>
      <c r="B595" t="s">
        <v>660</v>
      </c>
      <c r="C595" t="s">
        <v>16</v>
      </c>
      <c r="D595" t="s">
        <v>21</v>
      </c>
      <c r="E595" t="s">
        <v>661</v>
      </c>
      <c r="F595" t="s">
        <v>661</v>
      </c>
      <c r="G595" s="2">
        <v>45615</v>
      </c>
      <c r="H595" s="2">
        <v>45645</v>
      </c>
      <c r="I595" s="1">
        <v>1233.6300000000001</v>
      </c>
      <c r="J595">
        <v>1233.6300000000001</v>
      </c>
      <c r="K595" t="s">
        <v>20</v>
      </c>
      <c r="L595">
        <v>0</v>
      </c>
      <c r="M595">
        <v>1233.6300000000001</v>
      </c>
    </row>
    <row r="596" spans="1:13">
      <c r="A596" t="s">
        <v>659</v>
      </c>
      <c r="B596" t="s">
        <v>660</v>
      </c>
      <c r="C596" t="s">
        <v>16</v>
      </c>
      <c r="D596" t="s">
        <v>21</v>
      </c>
      <c r="E596" t="s">
        <v>662</v>
      </c>
      <c r="F596" t="s">
        <v>662</v>
      </c>
      <c r="G596" s="2">
        <v>45716</v>
      </c>
      <c r="H596" s="2">
        <v>45746</v>
      </c>
      <c r="I596" s="1">
        <v>1570.98</v>
      </c>
      <c r="J596">
        <v>1570.98</v>
      </c>
      <c r="K596" t="s">
        <v>20</v>
      </c>
      <c r="L596">
        <v>13</v>
      </c>
      <c r="M596">
        <v>1570.98</v>
      </c>
    </row>
    <row r="597" spans="1:13">
      <c r="A597" t="s">
        <v>663</v>
      </c>
      <c r="B597" t="s">
        <v>664</v>
      </c>
      <c r="C597" t="s">
        <v>16</v>
      </c>
      <c r="D597" t="s">
        <v>21</v>
      </c>
      <c r="E597" t="s">
        <v>665</v>
      </c>
      <c r="F597" t="s">
        <v>665</v>
      </c>
      <c r="G597" s="2">
        <v>45677</v>
      </c>
      <c r="H597" s="2">
        <v>45707</v>
      </c>
      <c r="I597" s="1">
        <v>36000</v>
      </c>
      <c r="J597">
        <v>36000</v>
      </c>
      <c r="K597" t="s">
        <v>20</v>
      </c>
      <c r="L597">
        <v>0</v>
      </c>
      <c r="M597">
        <v>36000</v>
      </c>
    </row>
    <row r="598" spans="1:13">
      <c r="A598" t="s">
        <v>666</v>
      </c>
      <c r="B598" t="s">
        <v>667</v>
      </c>
      <c r="C598" t="s">
        <v>16</v>
      </c>
      <c r="D598" t="s">
        <v>17</v>
      </c>
      <c r="E598" t="s">
        <v>668</v>
      </c>
      <c r="F598" t="s">
        <v>19</v>
      </c>
      <c r="H598" s="2">
        <v>45532</v>
      </c>
      <c r="I598">
        <v>-10</v>
      </c>
      <c r="J598">
        <v>-10</v>
      </c>
      <c r="K598" t="s">
        <v>20</v>
      </c>
      <c r="L598">
        <v>0</v>
      </c>
      <c r="M598">
        <v>-10</v>
      </c>
    </row>
    <row r="599" spans="1:13">
      <c r="A599" t="s">
        <v>666</v>
      </c>
      <c r="B599" t="s">
        <v>667</v>
      </c>
      <c r="C599" t="s">
        <v>16</v>
      </c>
      <c r="D599" t="s">
        <v>21</v>
      </c>
      <c r="E599" t="s">
        <v>669</v>
      </c>
      <c r="F599" t="s">
        <v>669</v>
      </c>
      <c r="G599" s="2">
        <v>45562</v>
      </c>
      <c r="H599" s="2">
        <v>45592</v>
      </c>
      <c r="I599" s="1">
        <v>2092.4</v>
      </c>
      <c r="J599">
        <v>2092.4</v>
      </c>
      <c r="K599" t="s">
        <v>20</v>
      </c>
      <c r="L599">
        <v>0</v>
      </c>
      <c r="M599">
        <v>2092.4</v>
      </c>
    </row>
    <row r="600" spans="1:13">
      <c r="A600" t="s">
        <v>670</v>
      </c>
      <c r="B600" t="s">
        <v>671</v>
      </c>
      <c r="C600" t="s">
        <v>16</v>
      </c>
      <c r="D600" t="s">
        <v>21</v>
      </c>
      <c r="E600" t="s">
        <v>672</v>
      </c>
      <c r="F600" t="s">
        <v>672</v>
      </c>
      <c r="G600" s="2">
        <v>45615</v>
      </c>
      <c r="H600" s="2">
        <v>45645</v>
      </c>
      <c r="I600">
        <v>310.64999999999998</v>
      </c>
      <c r="J600">
        <v>310.64999999999998</v>
      </c>
      <c r="K600" t="s">
        <v>20</v>
      </c>
      <c r="L600">
        <v>0</v>
      </c>
      <c r="M600">
        <v>310.64999999999998</v>
      </c>
    </row>
    <row r="601" spans="1:13">
      <c r="A601" t="s">
        <v>673</v>
      </c>
      <c r="B601" t="s">
        <v>674</v>
      </c>
      <c r="C601" t="s">
        <v>16</v>
      </c>
      <c r="D601" t="s">
        <v>21</v>
      </c>
      <c r="E601" t="s">
        <v>675</v>
      </c>
      <c r="F601" t="s">
        <v>675</v>
      </c>
      <c r="G601" s="2">
        <v>45701</v>
      </c>
      <c r="H601" s="2">
        <v>45731</v>
      </c>
      <c r="I601">
        <v>525</v>
      </c>
      <c r="J601">
        <v>525</v>
      </c>
      <c r="K601" t="s">
        <v>20</v>
      </c>
      <c r="L601">
        <v>11</v>
      </c>
      <c r="M601">
        <v>525</v>
      </c>
    </row>
    <row r="602" spans="1:13">
      <c r="A602" t="s">
        <v>676</v>
      </c>
      <c r="B602" t="s">
        <v>677</v>
      </c>
      <c r="C602" t="s">
        <v>16</v>
      </c>
      <c r="D602" t="s">
        <v>21</v>
      </c>
      <c r="E602" t="s">
        <v>678</v>
      </c>
      <c r="F602" t="s">
        <v>678</v>
      </c>
      <c r="G602" s="2">
        <v>45686</v>
      </c>
      <c r="H602" s="2">
        <v>45716</v>
      </c>
      <c r="I602">
        <v>124.88</v>
      </c>
      <c r="J602">
        <v>124.88</v>
      </c>
      <c r="K602" t="s">
        <v>20</v>
      </c>
      <c r="L602">
        <v>0</v>
      </c>
      <c r="M602">
        <v>124.88</v>
      </c>
    </row>
    <row r="603" spans="1:13">
      <c r="A603" t="s">
        <v>679</v>
      </c>
      <c r="B603" t="s">
        <v>680</v>
      </c>
      <c r="C603" t="s">
        <v>16</v>
      </c>
      <c r="D603" t="s">
        <v>21</v>
      </c>
      <c r="E603" t="s">
        <v>681</v>
      </c>
      <c r="F603" t="s">
        <v>681</v>
      </c>
      <c r="G603" s="2">
        <v>45716</v>
      </c>
      <c r="H603" s="2">
        <v>45746</v>
      </c>
      <c r="I603" s="1">
        <v>4030</v>
      </c>
      <c r="J603">
        <v>4030</v>
      </c>
      <c r="K603" t="s">
        <v>20</v>
      </c>
      <c r="L603">
        <v>13</v>
      </c>
      <c r="M603">
        <v>4030</v>
      </c>
    </row>
    <row r="604" spans="1:13">
      <c r="A604" t="s">
        <v>679</v>
      </c>
      <c r="B604" t="s">
        <v>680</v>
      </c>
      <c r="C604" t="s">
        <v>16</v>
      </c>
      <c r="D604" t="s">
        <v>21</v>
      </c>
      <c r="E604" t="s">
        <v>682</v>
      </c>
      <c r="F604" t="s">
        <v>682</v>
      </c>
      <c r="G604" s="2">
        <v>45730</v>
      </c>
      <c r="H604" s="2">
        <v>45760</v>
      </c>
      <c r="I604" s="1">
        <v>1464</v>
      </c>
      <c r="J604">
        <v>1464</v>
      </c>
      <c r="K604" t="s">
        <v>20</v>
      </c>
      <c r="L604">
        <v>0</v>
      </c>
      <c r="M604">
        <v>0</v>
      </c>
    </row>
    <row r="605" spans="1:13">
      <c r="A605" t="s">
        <v>683</v>
      </c>
      <c r="B605" t="s">
        <v>684</v>
      </c>
      <c r="C605" t="s">
        <v>16</v>
      </c>
      <c r="D605" t="s">
        <v>17</v>
      </c>
      <c r="E605" t="s">
        <v>685</v>
      </c>
      <c r="F605" t="s">
        <v>19</v>
      </c>
      <c r="H605" s="2">
        <v>45680</v>
      </c>
      <c r="I605">
        <v>-324</v>
      </c>
      <c r="J605">
        <v>-324</v>
      </c>
      <c r="K605" t="s">
        <v>20</v>
      </c>
      <c r="L605">
        <v>0</v>
      </c>
      <c r="M605">
        <v>-324</v>
      </c>
    </row>
    <row r="606" spans="1:13">
      <c r="A606" t="s">
        <v>683</v>
      </c>
      <c r="B606" t="s">
        <v>684</v>
      </c>
      <c r="C606" t="s">
        <v>16</v>
      </c>
      <c r="D606" t="s">
        <v>17</v>
      </c>
      <c r="E606" t="s">
        <v>686</v>
      </c>
      <c r="F606" t="s">
        <v>19</v>
      </c>
      <c r="H606" s="2">
        <v>45680</v>
      </c>
      <c r="I606">
        <v>-480</v>
      </c>
      <c r="J606">
        <v>-480</v>
      </c>
      <c r="K606" t="s">
        <v>20</v>
      </c>
      <c r="L606">
        <v>0</v>
      </c>
      <c r="M606">
        <v>-480</v>
      </c>
    </row>
    <row r="607" spans="1:13">
      <c r="A607" t="s">
        <v>683</v>
      </c>
      <c r="B607" t="s">
        <v>684</v>
      </c>
      <c r="C607" t="s">
        <v>16</v>
      </c>
      <c r="D607" t="s">
        <v>17</v>
      </c>
      <c r="E607" t="s">
        <v>687</v>
      </c>
      <c r="F607" t="s">
        <v>19</v>
      </c>
      <c r="H607" s="2">
        <v>45680</v>
      </c>
      <c r="I607" s="1">
        <v>-1560</v>
      </c>
      <c r="J607">
        <v>-1560</v>
      </c>
      <c r="K607" t="s">
        <v>20</v>
      </c>
      <c r="L607">
        <v>0</v>
      </c>
      <c r="M607">
        <v>-1560</v>
      </c>
    </row>
    <row r="608" spans="1:13">
      <c r="A608" t="s">
        <v>683</v>
      </c>
      <c r="B608" t="s">
        <v>684</v>
      </c>
      <c r="C608" t="s">
        <v>16</v>
      </c>
      <c r="D608" t="s">
        <v>17</v>
      </c>
      <c r="E608" t="s">
        <v>688</v>
      </c>
      <c r="F608" t="s">
        <v>19</v>
      </c>
      <c r="H608" s="2">
        <v>45680</v>
      </c>
      <c r="I608" s="1">
        <v>-2036.8</v>
      </c>
      <c r="J608">
        <v>-2036.8</v>
      </c>
      <c r="K608" t="s">
        <v>20</v>
      </c>
      <c r="L608">
        <v>0</v>
      </c>
      <c r="M608">
        <v>-2036.8</v>
      </c>
    </row>
    <row r="609" spans="1:13">
      <c r="A609" t="s">
        <v>689</v>
      </c>
      <c r="B609" t="s">
        <v>690</v>
      </c>
      <c r="C609" t="s">
        <v>16</v>
      </c>
      <c r="D609" t="s">
        <v>55</v>
      </c>
      <c r="E609" t="s">
        <v>19</v>
      </c>
      <c r="F609" t="s">
        <v>19</v>
      </c>
      <c r="H609" s="2">
        <v>45614</v>
      </c>
      <c r="I609">
        <v>-630</v>
      </c>
      <c r="J609">
        <v>-630</v>
      </c>
      <c r="K609" t="s">
        <v>20</v>
      </c>
      <c r="L609">
        <v>0</v>
      </c>
      <c r="M609">
        <v>-630</v>
      </c>
    </row>
    <row r="610" spans="1:13">
      <c r="A610" t="s">
        <v>689</v>
      </c>
      <c r="B610" t="s">
        <v>690</v>
      </c>
      <c r="C610" t="s">
        <v>16</v>
      </c>
      <c r="D610" t="s">
        <v>21</v>
      </c>
      <c r="E610" t="s">
        <v>691</v>
      </c>
      <c r="F610" t="s">
        <v>691</v>
      </c>
      <c r="G610" s="2">
        <v>45677</v>
      </c>
      <c r="H610" s="2">
        <v>45707</v>
      </c>
      <c r="I610" s="1">
        <v>9568</v>
      </c>
      <c r="J610">
        <v>2687.59</v>
      </c>
      <c r="K610" t="s">
        <v>20</v>
      </c>
      <c r="L610">
        <v>0</v>
      </c>
      <c r="M610">
        <v>2687.59</v>
      </c>
    </row>
    <row r="611" spans="1:13">
      <c r="A611" t="s">
        <v>689</v>
      </c>
      <c r="B611" t="s">
        <v>690</v>
      </c>
      <c r="C611" t="s">
        <v>16</v>
      </c>
      <c r="D611" t="s">
        <v>55</v>
      </c>
      <c r="E611" t="s">
        <v>691</v>
      </c>
      <c r="F611" t="s">
        <v>691</v>
      </c>
      <c r="H611" s="2">
        <v>45734</v>
      </c>
      <c r="I611" s="1">
        <v>-6880.41</v>
      </c>
      <c r="J611" t="s">
        <v>86</v>
      </c>
      <c r="K611" t="s">
        <v>20</v>
      </c>
      <c r="L611">
        <v>12</v>
      </c>
      <c r="M611" t="s">
        <v>86</v>
      </c>
    </row>
    <row r="612" spans="1:13">
      <c r="A612" t="s">
        <v>689</v>
      </c>
      <c r="B612" t="s">
        <v>690</v>
      </c>
      <c r="C612" t="s">
        <v>16</v>
      </c>
      <c r="D612" t="s">
        <v>21</v>
      </c>
      <c r="E612" t="s">
        <v>692</v>
      </c>
      <c r="F612" t="s">
        <v>692</v>
      </c>
      <c r="G612" s="2">
        <v>45709</v>
      </c>
      <c r="H612" s="2">
        <v>45739</v>
      </c>
      <c r="I612">
        <v>204</v>
      </c>
      <c r="J612">
        <v>204</v>
      </c>
      <c r="K612" t="s">
        <v>20</v>
      </c>
      <c r="L612">
        <v>13</v>
      </c>
      <c r="M612">
        <v>204</v>
      </c>
    </row>
    <row r="613" spans="1:13">
      <c r="A613" t="s">
        <v>689</v>
      </c>
      <c r="B613" t="s">
        <v>690</v>
      </c>
      <c r="C613" t="s">
        <v>16</v>
      </c>
      <c r="D613" t="s">
        <v>21</v>
      </c>
      <c r="E613" t="s">
        <v>693</v>
      </c>
      <c r="F613" t="s">
        <v>693</v>
      </c>
      <c r="G613" s="2">
        <v>45712</v>
      </c>
      <c r="H613" s="2">
        <v>45742</v>
      </c>
      <c r="I613">
        <v>56.88</v>
      </c>
      <c r="J613">
        <v>56.88</v>
      </c>
      <c r="K613" t="s">
        <v>20</v>
      </c>
      <c r="L613">
        <v>13</v>
      </c>
      <c r="M613">
        <v>56.88</v>
      </c>
    </row>
    <row r="614" spans="1:13">
      <c r="A614" t="s">
        <v>689</v>
      </c>
      <c r="B614" t="s">
        <v>690</v>
      </c>
      <c r="C614" t="s">
        <v>16</v>
      </c>
      <c r="D614" t="s">
        <v>21</v>
      </c>
      <c r="E614" t="s">
        <v>694</v>
      </c>
      <c r="F614" t="s">
        <v>694</v>
      </c>
      <c r="G614" s="2">
        <v>45716</v>
      </c>
      <c r="H614" s="2">
        <v>45746</v>
      </c>
      <c r="I614">
        <v>380</v>
      </c>
      <c r="J614">
        <v>380</v>
      </c>
      <c r="K614" t="s">
        <v>20</v>
      </c>
      <c r="L614">
        <v>13</v>
      </c>
      <c r="M614">
        <v>380</v>
      </c>
    </row>
    <row r="615" spans="1:13">
      <c r="A615" t="s">
        <v>689</v>
      </c>
      <c r="B615" t="s">
        <v>690</v>
      </c>
      <c r="C615" t="s">
        <v>16</v>
      </c>
      <c r="D615" t="s">
        <v>21</v>
      </c>
      <c r="E615" t="s">
        <v>695</v>
      </c>
      <c r="F615" t="s">
        <v>695</v>
      </c>
      <c r="G615" s="2">
        <v>45719</v>
      </c>
      <c r="H615" s="2">
        <v>45749</v>
      </c>
      <c r="I615" s="1">
        <v>2460</v>
      </c>
      <c r="J615">
        <v>2460</v>
      </c>
      <c r="K615" t="s">
        <v>20</v>
      </c>
      <c r="L615">
        <v>0</v>
      </c>
      <c r="M615">
        <v>0</v>
      </c>
    </row>
    <row r="616" spans="1:13">
      <c r="A616" t="s">
        <v>689</v>
      </c>
      <c r="B616" t="s">
        <v>690</v>
      </c>
      <c r="C616" t="s">
        <v>16</v>
      </c>
      <c r="D616" t="s">
        <v>21</v>
      </c>
      <c r="E616" t="s">
        <v>696</v>
      </c>
      <c r="F616" t="s">
        <v>696</v>
      </c>
      <c r="G616" s="2">
        <v>45720</v>
      </c>
      <c r="H616" s="2">
        <v>45750</v>
      </c>
      <c r="I616">
        <v>176</v>
      </c>
      <c r="J616">
        <v>176</v>
      </c>
      <c r="K616" t="s">
        <v>20</v>
      </c>
      <c r="L616">
        <v>0</v>
      </c>
      <c r="M616">
        <v>0</v>
      </c>
    </row>
    <row r="617" spans="1:13">
      <c r="A617" t="s">
        <v>689</v>
      </c>
      <c r="B617" t="s">
        <v>690</v>
      </c>
      <c r="C617" t="s">
        <v>16</v>
      </c>
      <c r="D617" t="s">
        <v>21</v>
      </c>
      <c r="E617" t="s">
        <v>697</v>
      </c>
      <c r="F617" t="s">
        <v>697</v>
      </c>
      <c r="G617" s="2">
        <v>45721</v>
      </c>
      <c r="H617" s="2">
        <v>45751</v>
      </c>
      <c r="I617">
        <v>186</v>
      </c>
      <c r="J617">
        <v>186</v>
      </c>
      <c r="K617" t="s">
        <v>20</v>
      </c>
      <c r="L617">
        <v>0</v>
      </c>
      <c r="M617">
        <v>0</v>
      </c>
    </row>
    <row r="618" spans="1:13">
      <c r="A618" t="s">
        <v>689</v>
      </c>
      <c r="B618" t="s">
        <v>690</v>
      </c>
      <c r="C618" t="s">
        <v>16</v>
      </c>
      <c r="D618" t="s">
        <v>21</v>
      </c>
      <c r="E618" t="s">
        <v>698</v>
      </c>
      <c r="F618" t="s">
        <v>698</v>
      </c>
      <c r="G618" s="2">
        <v>45722</v>
      </c>
      <c r="H618" s="2">
        <v>45752</v>
      </c>
      <c r="I618">
        <v>633</v>
      </c>
      <c r="J618">
        <v>633</v>
      </c>
      <c r="K618" t="s">
        <v>20</v>
      </c>
      <c r="L618">
        <v>0</v>
      </c>
      <c r="M618">
        <v>0</v>
      </c>
    </row>
    <row r="619" spans="1:13">
      <c r="A619" t="s">
        <v>689</v>
      </c>
      <c r="B619" t="s">
        <v>690</v>
      </c>
      <c r="C619" t="s">
        <v>16</v>
      </c>
      <c r="D619" t="s">
        <v>21</v>
      </c>
      <c r="E619" t="s">
        <v>699</v>
      </c>
      <c r="F619" t="s">
        <v>699</v>
      </c>
      <c r="G619" s="2">
        <v>45723</v>
      </c>
      <c r="H619" s="2">
        <v>45753</v>
      </c>
      <c r="I619" s="1">
        <v>3870</v>
      </c>
      <c r="J619">
        <v>3870</v>
      </c>
      <c r="K619" t="s">
        <v>20</v>
      </c>
      <c r="L619">
        <v>0</v>
      </c>
      <c r="M619">
        <v>0</v>
      </c>
    </row>
    <row r="620" spans="1:13">
      <c r="A620" t="s">
        <v>689</v>
      </c>
      <c r="B620" t="s">
        <v>690</v>
      </c>
      <c r="C620" t="s">
        <v>16</v>
      </c>
      <c r="D620" t="s">
        <v>21</v>
      </c>
      <c r="E620" t="s">
        <v>700</v>
      </c>
      <c r="F620" t="s">
        <v>700</v>
      </c>
      <c r="G620" s="2">
        <v>45726</v>
      </c>
      <c r="H620" s="2">
        <v>45756</v>
      </c>
      <c r="I620">
        <v>322</v>
      </c>
      <c r="J620">
        <v>322</v>
      </c>
      <c r="K620" t="s">
        <v>20</v>
      </c>
      <c r="L620">
        <v>0</v>
      </c>
      <c r="M620">
        <v>0</v>
      </c>
    </row>
    <row r="621" spans="1:13">
      <c r="A621" t="s">
        <v>689</v>
      </c>
      <c r="B621" t="s">
        <v>690</v>
      </c>
      <c r="C621" t="s">
        <v>16</v>
      </c>
      <c r="D621" t="s">
        <v>21</v>
      </c>
      <c r="E621" t="s">
        <v>701</v>
      </c>
      <c r="F621" t="s">
        <v>701</v>
      </c>
      <c r="G621" s="2">
        <v>45726</v>
      </c>
      <c r="H621" s="2">
        <v>45756</v>
      </c>
      <c r="I621">
        <v>189</v>
      </c>
      <c r="J621">
        <v>189</v>
      </c>
      <c r="K621" t="s">
        <v>20</v>
      </c>
      <c r="L621">
        <v>0</v>
      </c>
      <c r="M621">
        <v>0</v>
      </c>
    </row>
    <row r="622" spans="1:13">
      <c r="A622" t="s">
        <v>689</v>
      </c>
      <c r="B622" t="s">
        <v>690</v>
      </c>
      <c r="C622" t="s">
        <v>16</v>
      </c>
      <c r="D622" t="s">
        <v>21</v>
      </c>
      <c r="E622" t="s">
        <v>702</v>
      </c>
      <c r="F622" t="s">
        <v>702</v>
      </c>
      <c r="G622" s="2">
        <v>45727</v>
      </c>
      <c r="H622" s="2">
        <v>45757</v>
      </c>
      <c r="I622">
        <v>933</v>
      </c>
      <c r="J622">
        <v>933</v>
      </c>
      <c r="K622" t="s">
        <v>20</v>
      </c>
      <c r="L622">
        <v>0</v>
      </c>
      <c r="M622">
        <v>0</v>
      </c>
    </row>
    <row r="623" spans="1:13">
      <c r="A623" t="s">
        <v>689</v>
      </c>
      <c r="B623" t="s">
        <v>690</v>
      </c>
      <c r="C623" t="s">
        <v>16</v>
      </c>
      <c r="D623" t="s">
        <v>21</v>
      </c>
      <c r="E623" t="s">
        <v>703</v>
      </c>
      <c r="F623" t="s">
        <v>703</v>
      </c>
      <c r="G623" s="2">
        <v>45727</v>
      </c>
      <c r="H623" s="2">
        <v>45757</v>
      </c>
      <c r="I623">
        <v>126</v>
      </c>
      <c r="J623">
        <v>126</v>
      </c>
      <c r="K623" t="s">
        <v>20</v>
      </c>
      <c r="L623">
        <v>0</v>
      </c>
      <c r="M623">
        <v>0</v>
      </c>
    </row>
    <row r="624" spans="1:13">
      <c r="A624" t="s">
        <v>689</v>
      </c>
      <c r="B624" t="s">
        <v>690</v>
      </c>
      <c r="C624" t="s">
        <v>16</v>
      </c>
      <c r="D624" t="s">
        <v>21</v>
      </c>
      <c r="E624" t="s">
        <v>704</v>
      </c>
      <c r="F624" t="s">
        <v>704</v>
      </c>
      <c r="G624" s="2">
        <v>45728</v>
      </c>
      <c r="H624" s="2">
        <v>45758</v>
      </c>
      <c r="I624" s="1">
        <v>25174.799999999999</v>
      </c>
      <c r="J624">
        <v>25174.799999999999</v>
      </c>
      <c r="K624" t="s">
        <v>20</v>
      </c>
      <c r="L624">
        <v>0</v>
      </c>
      <c r="M624">
        <v>0</v>
      </c>
    </row>
    <row r="625" spans="1:13">
      <c r="A625" t="s">
        <v>689</v>
      </c>
      <c r="B625" t="s">
        <v>690</v>
      </c>
      <c r="C625" t="s">
        <v>16</v>
      </c>
      <c r="D625" t="s">
        <v>21</v>
      </c>
      <c r="E625" t="s">
        <v>705</v>
      </c>
      <c r="F625" t="s">
        <v>705</v>
      </c>
      <c r="G625" s="2">
        <v>45728</v>
      </c>
      <c r="H625" s="2">
        <v>45758</v>
      </c>
      <c r="I625" s="1">
        <v>1440</v>
      </c>
      <c r="J625">
        <v>1440</v>
      </c>
      <c r="K625" t="s">
        <v>20</v>
      </c>
      <c r="L625">
        <v>0</v>
      </c>
      <c r="M625">
        <v>0</v>
      </c>
    </row>
    <row r="626" spans="1:13">
      <c r="A626" t="s">
        <v>689</v>
      </c>
      <c r="B626" t="s">
        <v>690</v>
      </c>
      <c r="C626" t="s">
        <v>16</v>
      </c>
      <c r="D626" t="s">
        <v>21</v>
      </c>
      <c r="E626" t="s">
        <v>706</v>
      </c>
      <c r="F626" t="s">
        <v>706</v>
      </c>
      <c r="G626" s="2">
        <v>45728</v>
      </c>
      <c r="H626" s="2">
        <v>45758</v>
      </c>
      <c r="I626">
        <v>391</v>
      </c>
      <c r="J626">
        <v>391</v>
      </c>
      <c r="K626" t="s">
        <v>20</v>
      </c>
      <c r="L626">
        <v>0</v>
      </c>
      <c r="M626">
        <v>0</v>
      </c>
    </row>
    <row r="627" spans="1:13">
      <c r="A627" t="s">
        <v>689</v>
      </c>
      <c r="B627" t="s">
        <v>690</v>
      </c>
      <c r="C627" t="s">
        <v>16</v>
      </c>
      <c r="D627" t="s">
        <v>21</v>
      </c>
      <c r="E627" t="s">
        <v>707</v>
      </c>
      <c r="F627" t="s">
        <v>707</v>
      </c>
      <c r="G627" s="2">
        <v>45733</v>
      </c>
      <c r="H627" s="2">
        <v>45763</v>
      </c>
      <c r="I627">
        <v>225</v>
      </c>
      <c r="J627">
        <v>225</v>
      </c>
      <c r="K627" t="s">
        <v>20</v>
      </c>
      <c r="L627">
        <v>0</v>
      </c>
      <c r="M627">
        <v>0</v>
      </c>
    </row>
    <row r="628" spans="1:13">
      <c r="A628" t="s">
        <v>689</v>
      </c>
      <c r="B628" t="s">
        <v>690</v>
      </c>
      <c r="C628" t="s">
        <v>16</v>
      </c>
      <c r="D628" t="s">
        <v>21</v>
      </c>
      <c r="E628" t="s">
        <v>708</v>
      </c>
      <c r="F628" t="s">
        <v>708</v>
      </c>
      <c r="G628" s="2">
        <v>45733</v>
      </c>
      <c r="H628" s="2">
        <v>45763</v>
      </c>
      <c r="I628">
        <v>390</v>
      </c>
      <c r="J628">
        <v>390</v>
      </c>
      <c r="K628" t="s">
        <v>20</v>
      </c>
      <c r="L628">
        <v>0</v>
      </c>
      <c r="M628">
        <v>0</v>
      </c>
    </row>
    <row r="629" spans="1:13">
      <c r="A629" t="s">
        <v>689</v>
      </c>
      <c r="B629" t="s">
        <v>690</v>
      </c>
      <c r="C629" t="s">
        <v>16</v>
      </c>
      <c r="D629" t="s">
        <v>21</v>
      </c>
      <c r="E629" t="s">
        <v>709</v>
      </c>
      <c r="F629" t="s">
        <v>709</v>
      </c>
      <c r="G629" s="2">
        <v>45734</v>
      </c>
      <c r="H629" s="2">
        <v>45764</v>
      </c>
      <c r="I629">
        <v>194.4</v>
      </c>
      <c r="J629">
        <v>194.4</v>
      </c>
      <c r="K629" t="s">
        <v>20</v>
      </c>
      <c r="L629">
        <v>0</v>
      </c>
      <c r="M629">
        <v>0</v>
      </c>
    </row>
    <row r="630" spans="1:13">
      <c r="A630" t="s">
        <v>689</v>
      </c>
      <c r="B630" t="s">
        <v>690</v>
      </c>
      <c r="C630" t="s">
        <v>16</v>
      </c>
      <c r="D630" t="s">
        <v>21</v>
      </c>
      <c r="E630" t="s">
        <v>710</v>
      </c>
      <c r="F630" t="s">
        <v>710</v>
      </c>
      <c r="G630" s="2">
        <v>45734</v>
      </c>
      <c r="H630" s="2">
        <v>45764</v>
      </c>
      <c r="I630">
        <v>869.45</v>
      </c>
      <c r="J630">
        <v>869.45</v>
      </c>
      <c r="K630" t="s">
        <v>20</v>
      </c>
      <c r="L630">
        <v>0</v>
      </c>
      <c r="M630">
        <v>0</v>
      </c>
    </row>
    <row r="631" spans="1:13">
      <c r="A631" t="s">
        <v>689</v>
      </c>
      <c r="B631" t="s">
        <v>690</v>
      </c>
      <c r="C631" t="s">
        <v>16</v>
      </c>
      <c r="D631" t="s">
        <v>21</v>
      </c>
      <c r="E631" t="s">
        <v>711</v>
      </c>
      <c r="F631" t="s">
        <v>711</v>
      </c>
      <c r="G631" s="2">
        <v>45734</v>
      </c>
      <c r="H631" s="2">
        <v>45764</v>
      </c>
      <c r="I631">
        <v>392</v>
      </c>
      <c r="J631">
        <v>392</v>
      </c>
      <c r="K631" t="s">
        <v>20</v>
      </c>
      <c r="L631">
        <v>0</v>
      </c>
      <c r="M631">
        <v>0</v>
      </c>
    </row>
    <row r="632" spans="1:13">
      <c r="A632" t="s">
        <v>689</v>
      </c>
      <c r="B632" t="s">
        <v>690</v>
      </c>
      <c r="C632" t="s">
        <v>16</v>
      </c>
      <c r="D632" t="s">
        <v>21</v>
      </c>
      <c r="E632" t="s">
        <v>712</v>
      </c>
      <c r="F632" t="s">
        <v>712</v>
      </c>
      <c r="G632" s="2">
        <v>45734</v>
      </c>
      <c r="H632" s="2">
        <v>45764</v>
      </c>
      <c r="I632">
        <v>980</v>
      </c>
      <c r="J632">
        <v>980</v>
      </c>
      <c r="K632" t="s">
        <v>20</v>
      </c>
      <c r="L632">
        <v>0</v>
      </c>
      <c r="M632">
        <v>0</v>
      </c>
    </row>
    <row r="633" spans="1:13">
      <c r="A633" t="s">
        <v>689</v>
      </c>
      <c r="B633" t="s">
        <v>690</v>
      </c>
      <c r="C633" t="s">
        <v>16</v>
      </c>
      <c r="D633" t="s">
        <v>21</v>
      </c>
      <c r="E633" t="s">
        <v>713</v>
      </c>
      <c r="F633" t="s">
        <v>713</v>
      </c>
      <c r="G633" s="2">
        <v>45737</v>
      </c>
      <c r="H633" s="2">
        <v>45767</v>
      </c>
      <c r="I633">
        <v>52.2</v>
      </c>
      <c r="J633">
        <v>52.2</v>
      </c>
      <c r="K633" t="s">
        <v>20</v>
      </c>
      <c r="L633">
        <v>0</v>
      </c>
      <c r="M633">
        <v>0</v>
      </c>
    </row>
    <row r="634" spans="1:13">
      <c r="A634" t="s">
        <v>689</v>
      </c>
      <c r="B634" t="s">
        <v>690</v>
      </c>
      <c r="C634" t="s">
        <v>16</v>
      </c>
      <c r="D634" t="s">
        <v>21</v>
      </c>
      <c r="E634" t="s">
        <v>714</v>
      </c>
      <c r="F634" t="s">
        <v>714</v>
      </c>
      <c r="G634" s="2">
        <v>45740</v>
      </c>
      <c r="H634" s="2">
        <v>45770</v>
      </c>
      <c r="I634">
        <v>544</v>
      </c>
      <c r="J634">
        <v>544</v>
      </c>
      <c r="K634" t="s">
        <v>20</v>
      </c>
      <c r="L634">
        <v>0</v>
      </c>
      <c r="M634">
        <v>0</v>
      </c>
    </row>
    <row r="635" spans="1:13">
      <c r="A635" t="s">
        <v>715</v>
      </c>
      <c r="B635" t="s">
        <v>716</v>
      </c>
      <c r="C635" t="s">
        <v>16</v>
      </c>
      <c r="D635" t="s">
        <v>21</v>
      </c>
      <c r="E635" t="s">
        <v>717</v>
      </c>
      <c r="F635" t="s">
        <v>717</v>
      </c>
      <c r="G635" s="2">
        <v>45688</v>
      </c>
      <c r="H635" s="2">
        <v>45718</v>
      </c>
      <c r="I635">
        <v>834.6</v>
      </c>
      <c r="J635">
        <v>834.6</v>
      </c>
      <c r="K635" t="s">
        <v>20</v>
      </c>
      <c r="L635">
        <v>10</v>
      </c>
      <c r="M635">
        <v>834.6</v>
      </c>
    </row>
    <row r="636" spans="1:13">
      <c r="A636" t="s">
        <v>715</v>
      </c>
      <c r="B636" t="s">
        <v>716</v>
      </c>
      <c r="C636" t="s">
        <v>16</v>
      </c>
      <c r="D636" t="s">
        <v>21</v>
      </c>
      <c r="E636" t="s">
        <v>718</v>
      </c>
      <c r="F636" t="s">
        <v>718</v>
      </c>
      <c r="G636" s="2">
        <v>45727</v>
      </c>
      <c r="H636" s="2">
        <v>45757</v>
      </c>
      <c r="I636">
        <v>594.61</v>
      </c>
      <c r="J636">
        <v>594.61</v>
      </c>
      <c r="K636" t="s">
        <v>20</v>
      </c>
      <c r="L636">
        <v>0</v>
      </c>
      <c r="M636">
        <v>0</v>
      </c>
    </row>
    <row r="637" spans="1:13">
      <c r="A637" t="s">
        <v>719</v>
      </c>
      <c r="B637" t="s">
        <v>720</v>
      </c>
      <c r="C637" t="s">
        <v>16</v>
      </c>
      <c r="D637" t="s">
        <v>21</v>
      </c>
      <c r="E637" t="s">
        <v>721</v>
      </c>
      <c r="F637" t="s">
        <v>721</v>
      </c>
      <c r="G637" s="2">
        <v>45716</v>
      </c>
      <c r="H637" s="2">
        <v>45746</v>
      </c>
      <c r="I637">
        <v>145</v>
      </c>
      <c r="J637">
        <v>145</v>
      </c>
      <c r="K637" t="s">
        <v>20</v>
      </c>
      <c r="L637">
        <v>13</v>
      </c>
      <c r="M637">
        <v>145</v>
      </c>
    </row>
    <row r="638" spans="1:13">
      <c r="A638" t="s">
        <v>722</v>
      </c>
      <c r="B638" t="s">
        <v>723</v>
      </c>
      <c r="C638" t="s">
        <v>16</v>
      </c>
      <c r="D638" t="s">
        <v>21</v>
      </c>
      <c r="E638" t="s">
        <v>724</v>
      </c>
      <c r="F638" t="s">
        <v>724</v>
      </c>
      <c r="G638" s="2">
        <v>45530</v>
      </c>
      <c r="H638" s="2">
        <v>45560</v>
      </c>
      <c r="I638" s="1">
        <v>6862</v>
      </c>
      <c r="J638">
        <v>6862</v>
      </c>
      <c r="K638" t="s">
        <v>20</v>
      </c>
      <c r="L638">
        <v>0</v>
      </c>
      <c r="M638">
        <v>6862</v>
      </c>
    </row>
    <row r="639" spans="1:13">
      <c r="A639" t="s">
        <v>722</v>
      </c>
      <c r="B639" t="s">
        <v>723</v>
      </c>
      <c r="C639" t="s">
        <v>16</v>
      </c>
      <c r="D639" t="s">
        <v>21</v>
      </c>
      <c r="E639" t="s">
        <v>725</v>
      </c>
      <c r="F639" t="s">
        <v>725</v>
      </c>
      <c r="G639" s="2">
        <v>45561</v>
      </c>
      <c r="H639" s="2">
        <v>45591</v>
      </c>
      <c r="I639">
        <v>741</v>
      </c>
      <c r="J639">
        <v>741</v>
      </c>
      <c r="K639" t="s">
        <v>20</v>
      </c>
      <c r="L639">
        <v>0</v>
      </c>
      <c r="M639">
        <v>741</v>
      </c>
    </row>
    <row r="640" spans="1:13">
      <c r="A640" t="s">
        <v>722</v>
      </c>
      <c r="B640" t="s">
        <v>723</v>
      </c>
      <c r="C640" t="s">
        <v>16</v>
      </c>
      <c r="D640" t="s">
        <v>21</v>
      </c>
      <c r="E640" t="s">
        <v>726</v>
      </c>
      <c r="F640" t="s">
        <v>726</v>
      </c>
      <c r="G640" s="2">
        <v>45629</v>
      </c>
      <c r="H640" s="2">
        <v>45659</v>
      </c>
      <c r="I640">
        <v>144</v>
      </c>
      <c r="J640">
        <v>144</v>
      </c>
      <c r="K640" t="s">
        <v>20</v>
      </c>
      <c r="L640">
        <v>0</v>
      </c>
      <c r="M640">
        <v>144</v>
      </c>
    </row>
    <row r="641" spans="1:13">
      <c r="A641" t="s">
        <v>722</v>
      </c>
      <c r="B641" t="s">
        <v>723</v>
      </c>
      <c r="C641" t="s">
        <v>16</v>
      </c>
      <c r="D641" t="s">
        <v>21</v>
      </c>
      <c r="E641" t="s">
        <v>727</v>
      </c>
      <c r="F641" t="s">
        <v>727</v>
      </c>
      <c r="G641" s="2">
        <v>45646</v>
      </c>
      <c r="H641" s="2">
        <v>45676</v>
      </c>
      <c r="I641" s="1">
        <v>4381.7</v>
      </c>
      <c r="J641">
        <v>4381.7</v>
      </c>
      <c r="K641" t="s">
        <v>20</v>
      </c>
      <c r="L641">
        <v>0</v>
      </c>
      <c r="M641">
        <v>4381.7</v>
      </c>
    </row>
    <row r="642" spans="1:13">
      <c r="A642" t="s">
        <v>722</v>
      </c>
      <c r="B642" t="s">
        <v>723</v>
      </c>
      <c r="C642" t="s">
        <v>16</v>
      </c>
      <c r="D642" t="s">
        <v>21</v>
      </c>
      <c r="E642" t="s">
        <v>728</v>
      </c>
      <c r="F642" t="s">
        <v>728</v>
      </c>
      <c r="G642" s="2">
        <v>45716</v>
      </c>
      <c r="H642" s="2">
        <v>45746</v>
      </c>
      <c r="I642">
        <v>50</v>
      </c>
      <c r="J642">
        <v>50</v>
      </c>
      <c r="K642" t="s">
        <v>20</v>
      </c>
      <c r="L642">
        <v>13</v>
      </c>
      <c r="M642">
        <v>50</v>
      </c>
    </row>
    <row r="643" spans="1:13">
      <c r="A643" t="s">
        <v>722</v>
      </c>
      <c r="B643" t="s">
        <v>723</v>
      </c>
      <c r="C643" t="s">
        <v>16</v>
      </c>
      <c r="D643" t="s">
        <v>21</v>
      </c>
      <c r="E643" t="s">
        <v>729</v>
      </c>
      <c r="F643" t="s">
        <v>729</v>
      </c>
      <c r="G643" s="2">
        <v>45727</v>
      </c>
      <c r="H643" s="2">
        <v>45757</v>
      </c>
      <c r="I643" s="1">
        <v>10856.6</v>
      </c>
      <c r="J643">
        <v>10856.6</v>
      </c>
      <c r="K643" t="s">
        <v>20</v>
      </c>
      <c r="L643">
        <v>0</v>
      </c>
      <c r="M643">
        <v>0</v>
      </c>
    </row>
    <row r="644" spans="1:13">
      <c r="A644" t="s">
        <v>722</v>
      </c>
      <c r="B644" t="s">
        <v>723</v>
      </c>
      <c r="C644" t="s">
        <v>16</v>
      </c>
      <c r="D644" t="s">
        <v>21</v>
      </c>
      <c r="E644" t="s">
        <v>730</v>
      </c>
      <c r="F644" t="s">
        <v>730</v>
      </c>
      <c r="G644" s="2">
        <v>45740</v>
      </c>
      <c r="H644" s="2">
        <v>45770</v>
      </c>
      <c r="I644">
        <v>303.16000000000003</v>
      </c>
      <c r="J644">
        <v>303.16000000000003</v>
      </c>
      <c r="K644" t="s">
        <v>20</v>
      </c>
      <c r="L644">
        <v>0</v>
      </c>
      <c r="M644">
        <v>0</v>
      </c>
    </row>
    <row r="645" spans="1:13">
      <c r="A645" t="s">
        <v>731</v>
      </c>
      <c r="B645" t="s">
        <v>732</v>
      </c>
      <c r="C645" t="s">
        <v>16</v>
      </c>
      <c r="D645" t="s">
        <v>21</v>
      </c>
      <c r="E645" t="s">
        <v>733</v>
      </c>
      <c r="F645" t="s">
        <v>733</v>
      </c>
      <c r="G645" s="2">
        <v>45630</v>
      </c>
      <c r="H645" s="2">
        <v>45660</v>
      </c>
      <c r="I645">
        <v>982.62</v>
      </c>
      <c r="J645">
        <v>982.62</v>
      </c>
      <c r="K645" t="s">
        <v>20</v>
      </c>
      <c r="L645">
        <v>0</v>
      </c>
      <c r="M645">
        <v>982.62</v>
      </c>
    </row>
    <row r="646" spans="1:13">
      <c r="A646" t="s">
        <v>734</v>
      </c>
      <c r="B646" t="s">
        <v>735</v>
      </c>
      <c r="C646" t="s">
        <v>16</v>
      </c>
      <c r="D646" t="s">
        <v>21</v>
      </c>
      <c r="E646" t="s">
        <v>736</v>
      </c>
      <c r="F646" t="s">
        <v>736</v>
      </c>
      <c r="G646" s="2">
        <v>45653</v>
      </c>
      <c r="H646" s="2">
        <v>45683</v>
      </c>
      <c r="I646">
        <v>832</v>
      </c>
      <c r="J646">
        <v>44.11</v>
      </c>
      <c r="K646" t="s">
        <v>20</v>
      </c>
      <c r="L646">
        <v>0</v>
      </c>
      <c r="M646">
        <v>44.11</v>
      </c>
    </row>
    <row r="647" spans="1:13">
      <c r="A647" t="s">
        <v>734</v>
      </c>
      <c r="B647" t="s">
        <v>735</v>
      </c>
      <c r="C647" t="s">
        <v>16</v>
      </c>
      <c r="D647" t="s">
        <v>17</v>
      </c>
      <c r="E647" t="s">
        <v>737</v>
      </c>
      <c r="F647" t="s">
        <v>736</v>
      </c>
      <c r="H647" s="2">
        <v>45289</v>
      </c>
      <c r="I647">
        <v>-787.89</v>
      </c>
      <c r="J647" t="s">
        <v>86</v>
      </c>
      <c r="K647" t="s">
        <v>20</v>
      </c>
      <c r="L647">
        <v>0</v>
      </c>
      <c r="M647" t="s">
        <v>86</v>
      </c>
    </row>
    <row r="648" spans="1:13">
      <c r="A648" t="s">
        <v>734</v>
      </c>
      <c r="B648" t="s">
        <v>735</v>
      </c>
      <c r="C648" t="s">
        <v>16</v>
      </c>
      <c r="D648" t="s">
        <v>21</v>
      </c>
      <c r="E648" t="s">
        <v>738</v>
      </c>
      <c r="F648" t="s">
        <v>738</v>
      </c>
      <c r="G648" s="2">
        <v>45656</v>
      </c>
      <c r="H648" s="2">
        <v>45686</v>
      </c>
      <c r="I648" s="1">
        <v>1680</v>
      </c>
      <c r="J648">
        <v>787.89</v>
      </c>
      <c r="K648" t="s">
        <v>20</v>
      </c>
      <c r="L648">
        <v>0</v>
      </c>
      <c r="M648">
        <v>787.89</v>
      </c>
    </row>
    <row r="649" spans="1:13">
      <c r="A649" t="s">
        <v>734</v>
      </c>
      <c r="B649" t="s">
        <v>735</v>
      </c>
      <c r="C649" t="s">
        <v>16</v>
      </c>
      <c r="D649" t="s">
        <v>55</v>
      </c>
      <c r="E649" t="s">
        <v>738</v>
      </c>
      <c r="F649" t="s">
        <v>738</v>
      </c>
      <c r="H649" s="2">
        <v>45726</v>
      </c>
      <c r="I649">
        <v>-892.11</v>
      </c>
      <c r="J649" t="s">
        <v>86</v>
      </c>
      <c r="K649" t="s">
        <v>20</v>
      </c>
      <c r="L649">
        <v>11</v>
      </c>
      <c r="M649" t="s">
        <v>86</v>
      </c>
    </row>
    <row r="650" spans="1:13">
      <c r="A650" t="s">
        <v>734</v>
      </c>
      <c r="B650" t="s">
        <v>735</v>
      </c>
      <c r="C650" t="s">
        <v>16</v>
      </c>
      <c r="D650" t="s">
        <v>21</v>
      </c>
      <c r="E650" t="s">
        <v>739</v>
      </c>
      <c r="F650" t="s">
        <v>739</v>
      </c>
      <c r="G650" s="2">
        <v>45670</v>
      </c>
      <c r="H650" s="2">
        <v>45700</v>
      </c>
      <c r="I650" s="1">
        <v>2836.75</v>
      </c>
      <c r="J650">
        <v>2836.75</v>
      </c>
      <c r="K650" t="s">
        <v>20</v>
      </c>
      <c r="L650">
        <v>0</v>
      </c>
      <c r="M650">
        <v>2836.75</v>
      </c>
    </row>
    <row r="651" spans="1:13">
      <c r="A651" t="s">
        <v>734</v>
      </c>
      <c r="B651" t="s">
        <v>735</v>
      </c>
      <c r="C651" t="s">
        <v>16</v>
      </c>
      <c r="D651" t="s">
        <v>21</v>
      </c>
      <c r="E651" t="s">
        <v>740</v>
      </c>
      <c r="F651" t="s">
        <v>740</v>
      </c>
      <c r="G651" s="2">
        <v>45671</v>
      </c>
      <c r="H651" s="2">
        <v>45701</v>
      </c>
      <c r="I651" s="1">
        <v>8100</v>
      </c>
      <c r="J651">
        <v>8100</v>
      </c>
      <c r="K651" t="s">
        <v>20</v>
      </c>
      <c r="L651">
        <v>0</v>
      </c>
      <c r="M651">
        <v>8100</v>
      </c>
    </row>
    <row r="652" spans="1:13">
      <c r="A652" t="s">
        <v>734</v>
      </c>
      <c r="B652" t="s">
        <v>735</v>
      </c>
      <c r="C652" t="s">
        <v>16</v>
      </c>
      <c r="D652" t="s">
        <v>21</v>
      </c>
      <c r="E652" t="s">
        <v>741</v>
      </c>
      <c r="F652" t="s">
        <v>741</v>
      </c>
      <c r="G652" s="2">
        <v>45720</v>
      </c>
      <c r="H652" s="2">
        <v>45750</v>
      </c>
      <c r="I652" s="1">
        <v>16362</v>
      </c>
      <c r="J652">
        <v>16362</v>
      </c>
      <c r="K652" t="s">
        <v>20</v>
      </c>
      <c r="L652">
        <v>0</v>
      </c>
      <c r="M652">
        <v>0</v>
      </c>
    </row>
    <row r="653" spans="1:13">
      <c r="A653" t="s">
        <v>742</v>
      </c>
      <c r="B653" t="s">
        <v>743</v>
      </c>
      <c r="C653" t="s">
        <v>16</v>
      </c>
      <c r="D653" t="s">
        <v>21</v>
      </c>
      <c r="E653" t="s">
        <v>744</v>
      </c>
      <c r="F653" t="s">
        <v>744</v>
      </c>
      <c r="G653" s="2">
        <v>45741</v>
      </c>
      <c r="H653" s="2">
        <v>45771</v>
      </c>
      <c r="I653">
        <v>760.2</v>
      </c>
      <c r="J653">
        <v>760.2</v>
      </c>
      <c r="K653" t="s">
        <v>20</v>
      </c>
      <c r="L653">
        <v>0</v>
      </c>
      <c r="M653">
        <v>0</v>
      </c>
    </row>
    <row r="654" spans="1:13">
      <c r="A654" t="s">
        <v>745</v>
      </c>
      <c r="B654" t="s">
        <v>746</v>
      </c>
      <c r="C654" t="s">
        <v>16</v>
      </c>
      <c r="D654" t="s">
        <v>21</v>
      </c>
      <c r="E654" t="s">
        <v>747</v>
      </c>
      <c r="F654" t="s">
        <v>747</v>
      </c>
      <c r="G654" s="2">
        <v>45680</v>
      </c>
      <c r="H654" s="2">
        <v>45710</v>
      </c>
      <c r="I654" s="1">
        <v>6560</v>
      </c>
      <c r="J654">
        <v>236</v>
      </c>
      <c r="K654" t="s">
        <v>20</v>
      </c>
      <c r="L654">
        <v>0</v>
      </c>
      <c r="M654">
        <v>236</v>
      </c>
    </row>
    <row r="655" spans="1:13">
      <c r="A655" t="s">
        <v>745</v>
      </c>
      <c r="B655" t="s">
        <v>746</v>
      </c>
      <c r="C655" t="s">
        <v>16</v>
      </c>
      <c r="D655" t="s">
        <v>55</v>
      </c>
      <c r="E655" t="s">
        <v>747</v>
      </c>
      <c r="F655" t="s">
        <v>747</v>
      </c>
      <c r="H655" s="2">
        <v>45721</v>
      </c>
      <c r="I655" s="1">
        <v>-6324</v>
      </c>
      <c r="J655" t="s">
        <v>86</v>
      </c>
      <c r="K655" t="s">
        <v>20</v>
      </c>
      <c r="L655">
        <v>10</v>
      </c>
      <c r="M655" t="s">
        <v>86</v>
      </c>
    </row>
    <row r="656" spans="1:13">
      <c r="A656" t="s">
        <v>748</v>
      </c>
      <c r="B656" t="s">
        <v>749</v>
      </c>
      <c r="C656" t="s">
        <v>16</v>
      </c>
      <c r="D656" t="s">
        <v>55</v>
      </c>
      <c r="E656" t="s">
        <v>19</v>
      </c>
      <c r="F656" t="s">
        <v>19</v>
      </c>
      <c r="H656" s="2">
        <v>45602</v>
      </c>
      <c r="I656">
        <v>-784</v>
      </c>
      <c r="J656">
        <v>-784</v>
      </c>
      <c r="K656" t="s">
        <v>20</v>
      </c>
      <c r="L656">
        <v>0</v>
      </c>
      <c r="M656">
        <v>-784</v>
      </c>
    </row>
    <row r="657" spans="1:13">
      <c r="A657" t="s">
        <v>748</v>
      </c>
      <c r="B657" t="s">
        <v>749</v>
      </c>
      <c r="C657" t="s">
        <v>16</v>
      </c>
      <c r="D657" t="s">
        <v>21</v>
      </c>
      <c r="E657" t="s">
        <v>750</v>
      </c>
      <c r="F657" t="s">
        <v>750</v>
      </c>
      <c r="G657" s="2">
        <v>45688</v>
      </c>
      <c r="H657" s="2">
        <v>45718</v>
      </c>
      <c r="I657">
        <v>340</v>
      </c>
      <c r="J657">
        <v>340</v>
      </c>
      <c r="K657" t="s">
        <v>20</v>
      </c>
      <c r="L657">
        <v>10</v>
      </c>
      <c r="M657">
        <v>340</v>
      </c>
    </row>
    <row r="658" spans="1:13">
      <c r="A658" t="s">
        <v>748</v>
      </c>
      <c r="B658" t="s">
        <v>749</v>
      </c>
      <c r="C658" t="s">
        <v>16</v>
      </c>
      <c r="D658" t="s">
        <v>21</v>
      </c>
      <c r="E658" t="s">
        <v>751</v>
      </c>
      <c r="F658" t="s">
        <v>751</v>
      </c>
      <c r="G658" s="2">
        <v>45707</v>
      </c>
      <c r="H658" s="2">
        <v>45737</v>
      </c>
      <c r="I658">
        <v>154</v>
      </c>
      <c r="J658">
        <v>154</v>
      </c>
      <c r="K658" t="s">
        <v>20</v>
      </c>
      <c r="L658">
        <v>12</v>
      </c>
      <c r="M658">
        <v>154</v>
      </c>
    </row>
    <row r="659" spans="1:13">
      <c r="A659" t="s">
        <v>748</v>
      </c>
      <c r="B659" t="s">
        <v>749</v>
      </c>
      <c r="C659" t="s">
        <v>16</v>
      </c>
      <c r="D659" t="s">
        <v>21</v>
      </c>
      <c r="E659" t="s">
        <v>752</v>
      </c>
      <c r="F659" t="s">
        <v>752</v>
      </c>
      <c r="G659" s="2">
        <v>45707</v>
      </c>
      <c r="H659" s="2">
        <v>45737</v>
      </c>
      <c r="I659">
        <v>99</v>
      </c>
      <c r="J659">
        <v>99</v>
      </c>
      <c r="K659" t="s">
        <v>20</v>
      </c>
      <c r="L659">
        <v>12</v>
      </c>
      <c r="M659">
        <v>99</v>
      </c>
    </row>
    <row r="660" spans="1:13">
      <c r="A660" t="s">
        <v>748</v>
      </c>
      <c r="B660" t="s">
        <v>749</v>
      </c>
      <c r="C660" t="s">
        <v>16</v>
      </c>
      <c r="D660" t="s">
        <v>21</v>
      </c>
      <c r="E660" t="s">
        <v>753</v>
      </c>
      <c r="F660" t="s">
        <v>753</v>
      </c>
      <c r="G660" s="2">
        <v>45707</v>
      </c>
      <c r="H660" s="2">
        <v>45737</v>
      </c>
      <c r="I660">
        <v>462</v>
      </c>
      <c r="J660">
        <v>462</v>
      </c>
      <c r="K660" t="s">
        <v>20</v>
      </c>
      <c r="L660">
        <v>12</v>
      </c>
      <c r="M660">
        <v>462</v>
      </c>
    </row>
    <row r="661" spans="1:13">
      <c r="A661" t="s">
        <v>748</v>
      </c>
      <c r="B661" t="s">
        <v>749</v>
      </c>
      <c r="C661" t="s">
        <v>16</v>
      </c>
      <c r="D661" t="s">
        <v>21</v>
      </c>
      <c r="E661" t="s">
        <v>754</v>
      </c>
      <c r="F661" t="s">
        <v>754</v>
      </c>
      <c r="G661" s="2">
        <v>45707</v>
      </c>
      <c r="H661" s="2">
        <v>45737</v>
      </c>
      <c r="I661">
        <v>396</v>
      </c>
      <c r="J661">
        <v>396</v>
      </c>
      <c r="K661" t="s">
        <v>20</v>
      </c>
      <c r="L661">
        <v>12</v>
      </c>
      <c r="M661">
        <v>396</v>
      </c>
    </row>
    <row r="662" spans="1:13">
      <c r="A662" t="s">
        <v>748</v>
      </c>
      <c r="B662" t="s">
        <v>749</v>
      </c>
      <c r="C662" t="s">
        <v>16</v>
      </c>
      <c r="D662" t="s">
        <v>21</v>
      </c>
      <c r="E662" t="s">
        <v>755</v>
      </c>
      <c r="F662" t="s">
        <v>755</v>
      </c>
      <c r="G662" s="2">
        <v>45713</v>
      </c>
      <c r="H662" s="2">
        <v>45743</v>
      </c>
      <c r="I662">
        <v>208</v>
      </c>
      <c r="J662">
        <v>208</v>
      </c>
      <c r="K662" t="s">
        <v>20</v>
      </c>
      <c r="L662">
        <v>13</v>
      </c>
      <c r="M662">
        <v>208</v>
      </c>
    </row>
    <row r="663" spans="1:13">
      <c r="A663" t="s">
        <v>748</v>
      </c>
      <c r="B663" t="s">
        <v>749</v>
      </c>
      <c r="C663" t="s">
        <v>16</v>
      </c>
      <c r="D663" t="s">
        <v>21</v>
      </c>
      <c r="E663" t="s">
        <v>756</v>
      </c>
      <c r="F663" t="s">
        <v>756</v>
      </c>
      <c r="G663" s="2">
        <v>45714</v>
      </c>
      <c r="H663" s="2">
        <v>45744</v>
      </c>
      <c r="I663">
        <v>138</v>
      </c>
      <c r="J663">
        <v>138</v>
      </c>
      <c r="K663" t="s">
        <v>20</v>
      </c>
      <c r="L663">
        <v>13</v>
      </c>
      <c r="M663">
        <v>138</v>
      </c>
    </row>
    <row r="664" spans="1:13">
      <c r="A664" t="s">
        <v>757</v>
      </c>
      <c r="B664" t="s">
        <v>758</v>
      </c>
      <c r="C664" t="s">
        <v>16</v>
      </c>
      <c r="D664" t="s">
        <v>21</v>
      </c>
      <c r="E664" t="s">
        <v>759</v>
      </c>
      <c r="F664" t="s">
        <v>759</v>
      </c>
      <c r="G664" s="2">
        <v>45663</v>
      </c>
      <c r="H664" s="2">
        <v>45693</v>
      </c>
      <c r="I664" s="1">
        <v>19338.75</v>
      </c>
      <c r="J664">
        <v>19338.75</v>
      </c>
      <c r="K664" t="s">
        <v>20</v>
      </c>
      <c r="L664">
        <v>0</v>
      </c>
      <c r="M664">
        <v>19338.75</v>
      </c>
    </row>
    <row r="665" spans="1:13">
      <c r="A665" t="s">
        <v>757</v>
      </c>
      <c r="B665" t="s">
        <v>758</v>
      </c>
      <c r="C665" t="s">
        <v>16</v>
      </c>
      <c r="D665" t="s">
        <v>21</v>
      </c>
      <c r="E665" t="s">
        <v>760</v>
      </c>
      <c r="F665" t="s">
        <v>760</v>
      </c>
      <c r="G665" s="2">
        <v>45681</v>
      </c>
      <c r="H665" s="2">
        <v>45711</v>
      </c>
      <c r="I665" s="1">
        <v>19320</v>
      </c>
      <c r="J665">
        <v>19320</v>
      </c>
      <c r="K665" t="s">
        <v>20</v>
      </c>
      <c r="L665">
        <v>0</v>
      </c>
      <c r="M665">
        <v>19320</v>
      </c>
    </row>
    <row r="666" spans="1:13">
      <c r="A666" t="s">
        <v>757</v>
      </c>
      <c r="B666" t="s">
        <v>758</v>
      </c>
      <c r="C666" t="s">
        <v>16</v>
      </c>
      <c r="D666" t="s">
        <v>21</v>
      </c>
      <c r="E666" t="s">
        <v>761</v>
      </c>
      <c r="F666" t="s">
        <v>761</v>
      </c>
      <c r="G666" s="2">
        <v>45698</v>
      </c>
      <c r="H666" s="2">
        <v>45728</v>
      </c>
      <c r="I666">
        <v>250</v>
      </c>
      <c r="J666">
        <v>250</v>
      </c>
      <c r="K666" t="s">
        <v>20</v>
      </c>
      <c r="L666">
        <v>11</v>
      </c>
      <c r="M666">
        <v>250</v>
      </c>
    </row>
    <row r="667" spans="1:13">
      <c r="A667" t="s">
        <v>757</v>
      </c>
      <c r="B667" t="s">
        <v>758</v>
      </c>
      <c r="C667" t="s">
        <v>16</v>
      </c>
      <c r="D667" t="s">
        <v>21</v>
      </c>
      <c r="E667" t="s">
        <v>762</v>
      </c>
      <c r="F667" t="s">
        <v>762</v>
      </c>
      <c r="G667" s="2">
        <v>45698</v>
      </c>
      <c r="H667" s="2">
        <v>45728</v>
      </c>
      <c r="I667">
        <v>750</v>
      </c>
      <c r="J667">
        <v>750</v>
      </c>
      <c r="K667" t="s">
        <v>20</v>
      </c>
      <c r="L667">
        <v>11</v>
      </c>
      <c r="M667">
        <v>750</v>
      </c>
    </row>
    <row r="668" spans="1:13">
      <c r="A668" t="s">
        <v>757</v>
      </c>
      <c r="B668" t="s">
        <v>758</v>
      </c>
      <c r="C668" t="s">
        <v>16</v>
      </c>
      <c r="D668" t="s">
        <v>21</v>
      </c>
      <c r="E668" t="s">
        <v>763</v>
      </c>
      <c r="F668" t="s">
        <v>763</v>
      </c>
      <c r="G668" s="2">
        <v>45726</v>
      </c>
      <c r="H668" s="2">
        <v>45756</v>
      </c>
      <c r="I668" s="1">
        <v>1024</v>
      </c>
      <c r="J668">
        <v>1024</v>
      </c>
      <c r="K668" t="s">
        <v>20</v>
      </c>
      <c r="L668">
        <v>0</v>
      </c>
      <c r="M668">
        <v>0</v>
      </c>
    </row>
    <row r="669" spans="1:13">
      <c r="A669" t="s">
        <v>757</v>
      </c>
      <c r="B669" t="s">
        <v>758</v>
      </c>
      <c r="C669" t="s">
        <v>16</v>
      </c>
      <c r="D669" t="s">
        <v>21</v>
      </c>
      <c r="E669" t="s">
        <v>764</v>
      </c>
      <c r="F669" t="s">
        <v>764</v>
      </c>
      <c r="G669" s="2">
        <v>45726</v>
      </c>
      <c r="H669" s="2">
        <v>45756</v>
      </c>
      <c r="I669" s="1">
        <v>1500</v>
      </c>
      <c r="J669">
        <v>1500</v>
      </c>
      <c r="K669" t="s">
        <v>20</v>
      </c>
      <c r="L669">
        <v>0</v>
      </c>
      <c r="M669">
        <v>0</v>
      </c>
    </row>
    <row r="670" spans="1:13">
      <c r="A670" t="s">
        <v>757</v>
      </c>
      <c r="B670" t="s">
        <v>758</v>
      </c>
      <c r="C670" t="s">
        <v>16</v>
      </c>
      <c r="D670" t="s">
        <v>21</v>
      </c>
      <c r="E670" t="s">
        <v>765</v>
      </c>
      <c r="F670" t="s">
        <v>765</v>
      </c>
      <c r="G670" s="2">
        <v>45727</v>
      </c>
      <c r="H670" s="2">
        <v>45757</v>
      </c>
      <c r="I670" s="1">
        <v>1190</v>
      </c>
      <c r="J670">
        <v>1190</v>
      </c>
      <c r="K670" t="s">
        <v>20</v>
      </c>
      <c r="L670">
        <v>0</v>
      </c>
      <c r="M670">
        <v>0</v>
      </c>
    </row>
    <row r="671" spans="1:13">
      <c r="A671" t="s">
        <v>757</v>
      </c>
      <c r="B671" t="s">
        <v>758</v>
      </c>
      <c r="C671" t="s">
        <v>16</v>
      </c>
      <c r="D671" t="s">
        <v>21</v>
      </c>
      <c r="E671" t="s">
        <v>766</v>
      </c>
      <c r="F671" t="s">
        <v>766</v>
      </c>
      <c r="G671" s="2">
        <v>45740</v>
      </c>
      <c r="H671" s="2">
        <v>45770</v>
      </c>
      <c r="I671">
        <v>520</v>
      </c>
      <c r="J671">
        <v>520</v>
      </c>
      <c r="K671" t="s">
        <v>20</v>
      </c>
      <c r="L671">
        <v>0</v>
      </c>
      <c r="M671">
        <v>0</v>
      </c>
    </row>
    <row r="672" spans="1:13">
      <c r="A672" t="s">
        <v>767</v>
      </c>
      <c r="B672" t="s">
        <v>768</v>
      </c>
      <c r="C672" t="s">
        <v>16</v>
      </c>
      <c r="D672" t="s">
        <v>21</v>
      </c>
      <c r="E672" t="s">
        <v>769</v>
      </c>
      <c r="F672" t="s">
        <v>769</v>
      </c>
      <c r="G672" s="2">
        <v>45308</v>
      </c>
      <c r="H672" s="2">
        <v>45338</v>
      </c>
      <c r="I672">
        <v>316</v>
      </c>
      <c r="J672">
        <v>316</v>
      </c>
      <c r="K672" t="s">
        <v>20</v>
      </c>
      <c r="L672">
        <v>0</v>
      </c>
      <c r="M672">
        <v>316</v>
      </c>
    </row>
    <row r="673" spans="1:13">
      <c r="A673" t="s">
        <v>770</v>
      </c>
      <c r="B673" t="s">
        <v>771</v>
      </c>
      <c r="C673" t="s">
        <v>16</v>
      </c>
      <c r="D673" t="s">
        <v>17</v>
      </c>
      <c r="E673" t="s">
        <v>772</v>
      </c>
      <c r="F673" t="s">
        <v>19</v>
      </c>
      <c r="H673" s="2">
        <v>45519</v>
      </c>
      <c r="I673">
        <v>-16.100000000000001</v>
      </c>
      <c r="J673">
        <v>-16.100000000000001</v>
      </c>
      <c r="K673" t="s">
        <v>20</v>
      </c>
      <c r="L673">
        <v>0</v>
      </c>
      <c r="M673">
        <v>-16.100000000000001</v>
      </c>
    </row>
    <row r="674" spans="1:13">
      <c r="A674" t="s">
        <v>773</v>
      </c>
      <c r="B674" t="s">
        <v>774</v>
      </c>
      <c r="C674" t="s">
        <v>213</v>
      </c>
      <c r="D674" t="s">
        <v>21</v>
      </c>
      <c r="E674" t="s">
        <v>775</v>
      </c>
      <c r="F674" t="s">
        <v>775</v>
      </c>
      <c r="G674" s="2">
        <v>45687</v>
      </c>
      <c r="H674" s="2">
        <v>45687</v>
      </c>
      <c r="I674" s="1">
        <v>3477.5</v>
      </c>
      <c r="J674">
        <v>3250</v>
      </c>
      <c r="K674" t="s">
        <v>20</v>
      </c>
      <c r="L674">
        <v>0</v>
      </c>
      <c r="M674">
        <v>3250</v>
      </c>
    </row>
    <row r="675" spans="1:13">
      <c r="A675" t="s">
        <v>773</v>
      </c>
      <c r="B675" t="s">
        <v>774</v>
      </c>
      <c r="C675" t="s">
        <v>213</v>
      </c>
      <c r="D675" t="s">
        <v>17</v>
      </c>
      <c r="E675" t="s">
        <v>776</v>
      </c>
      <c r="F675" t="s">
        <v>775</v>
      </c>
      <c r="H675" s="2">
        <v>45688</v>
      </c>
      <c r="I675">
        <v>-227.5</v>
      </c>
      <c r="J675" t="s">
        <v>86</v>
      </c>
      <c r="K675" t="s">
        <v>20</v>
      </c>
      <c r="L675">
        <v>0</v>
      </c>
      <c r="M675" t="s">
        <v>86</v>
      </c>
    </row>
    <row r="676" spans="1:13">
      <c r="A676" t="s">
        <v>773</v>
      </c>
      <c r="B676" t="s">
        <v>774</v>
      </c>
      <c r="C676" t="s">
        <v>213</v>
      </c>
      <c r="D676" t="s">
        <v>17</v>
      </c>
      <c r="E676" t="s">
        <v>777</v>
      </c>
      <c r="F676" t="s">
        <v>19</v>
      </c>
      <c r="H676" s="2">
        <v>45716</v>
      </c>
      <c r="I676">
        <v>-3.71</v>
      </c>
      <c r="J676">
        <v>-3.71</v>
      </c>
      <c r="K676" t="s">
        <v>20</v>
      </c>
      <c r="L676">
        <v>0</v>
      </c>
      <c r="M676">
        <v>-3.71</v>
      </c>
    </row>
    <row r="677" spans="1:13">
      <c r="A677" t="s">
        <v>778</v>
      </c>
      <c r="B677" t="s">
        <v>779</v>
      </c>
      <c r="C677" t="s">
        <v>16</v>
      </c>
      <c r="D677" t="s">
        <v>55</v>
      </c>
      <c r="E677" t="s">
        <v>19</v>
      </c>
      <c r="F677" t="s">
        <v>19</v>
      </c>
      <c r="H677" s="2">
        <v>45085</v>
      </c>
      <c r="I677" s="1">
        <v>-20951.900000000001</v>
      </c>
      <c r="J677">
        <v>-20951.900000000001</v>
      </c>
      <c r="K677" t="s">
        <v>20</v>
      </c>
      <c r="L677">
        <v>0</v>
      </c>
      <c r="M677">
        <v>-20951.900000000001</v>
      </c>
    </row>
    <row r="678" spans="1:13">
      <c r="A678" t="s">
        <v>778</v>
      </c>
      <c r="B678" t="s">
        <v>779</v>
      </c>
      <c r="C678" t="s">
        <v>16</v>
      </c>
      <c r="D678" t="s">
        <v>17</v>
      </c>
      <c r="E678" t="s">
        <v>780</v>
      </c>
      <c r="F678" t="s">
        <v>19</v>
      </c>
      <c r="H678" s="2">
        <v>45107</v>
      </c>
      <c r="I678">
        <v>-36</v>
      </c>
      <c r="J678">
        <v>-36</v>
      </c>
      <c r="K678" t="s">
        <v>20</v>
      </c>
      <c r="L678">
        <v>0</v>
      </c>
      <c r="M678">
        <v>-36</v>
      </c>
    </row>
    <row r="679" spans="1:13">
      <c r="A679" t="s">
        <v>778</v>
      </c>
      <c r="B679" t="s">
        <v>779</v>
      </c>
      <c r="C679" t="s">
        <v>16</v>
      </c>
      <c r="D679" t="s">
        <v>17</v>
      </c>
      <c r="E679" t="s">
        <v>781</v>
      </c>
      <c r="F679" t="s">
        <v>19</v>
      </c>
      <c r="H679" s="2">
        <v>45442</v>
      </c>
      <c r="I679" s="1">
        <v>-1932</v>
      </c>
      <c r="J679">
        <v>-1932</v>
      </c>
      <c r="K679" t="s">
        <v>20</v>
      </c>
      <c r="L679">
        <v>0</v>
      </c>
      <c r="M679">
        <v>-1932</v>
      </c>
    </row>
    <row r="680" spans="1:13">
      <c r="A680" t="s">
        <v>778</v>
      </c>
      <c r="B680" t="s">
        <v>779</v>
      </c>
      <c r="C680" t="s">
        <v>16</v>
      </c>
      <c r="D680" t="s">
        <v>17</v>
      </c>
      <c r="E680" t="s">
        <v>782</v>
      </c>
      <c r="F680" t="s">
        <v>19</v>
      </c>
      <c r="H680" s="2">
        <v>45442</v>
      </c>
      <c r="I680" s="1">
        <v>-2070</v>
      </c>
      <c r="J680">
        <v>-2070</v>
      </c>
      <c r="K680" t="s">
        <v>20</v>
      </c>
      <c r="L680">
        <v>0</v>
      </c>
      <c r="M680">
        <v>-2070</v>
      </c>
    </row>
    <row r="681" spans="1:13">
      <c r="A681" t="s">
        <v>778</v>
      </c>
      <c r="B681" t="s">
        <v>779</v>
      </c>
      <c r="C681" t="s">
        <v>16</v>
      </c>
      <c r="D681" t="s">
        <v>17</v>
      </c>
      <c r="E681" t="s">
        <v>783</v>
      </c>
      <c r="F681" t="s">
        <v>19</v>
      </c>
      <c r="H681" s="2">
        <v>45442</v>
      </c>
      <c r="I681">
        <v>-414</v>
      </c>
      <c r="J681">
        <v>-414</v>
      </c>
      <c r="K681" t="s">
        <v>20</v>
      </c>
      <c r="L681">
        <v>0</v>
      </c>
      <c r="M681">
        <v>-414</v>
      </c>
    </row>
    <row r="682" spans="1:13">
      <c r="A682" t="s">
        <v>778</v>
      </c>
      <c r="B682" t="s">
        <v>779</v>
      </c>
      <c r="C682" t="s">
        <v>16</v>
      </c>
      <c r="D682" t="s">
        <v>17</v>
      </c>
      <c r="E682" t="s">
        <v>784</v>
      </c>
      <c r="F682" t="s">
        <v>19</v>
      </c>
      <c r="H682" s="2">
        <v>45454</v>
      </c>
      <c r="I682" s="1">
        <v>-6486</v>
      </c>
      <c r="J682">
        <v>-6486</v>
      </c>
      <c r="K682" t="s">
        <v>20</v>
      </c>
      <c r="L682">
        <v>0</v>
      </c>
      <c r="M682">
        <v>-6486</v>
      </c>
    </row>
    <row r="683" spans="1:13">
      <c r="A683" t="s">
        <v>778</v>
      </c>
      <c r="B683" t="s">
        <v>779</v>
      </c>
      <c r="C683" t="s">
        <v>16</v>
      </c>
      <c r="D683" t="s">
        <v>21</v>
      </c>
      <c r="E683" t="s">
        <v>785</v>
      </c>
      <c r="F683" t="s">
        <v>785</v>
      </c>
      <c r="G683" s="2">
        <v>45446</v>
      </c>
      <c r="H683" s="2">
        <v>45476</v>
      </c>
      <c r="I683">
        <v>145</v>
      </c>
      <c r="J683">
        <v>145</v>
      </c>
      <c r="K683" t="s">
        <v>20</v>
      </c>
      <c r="L683">
        <v>0</v>
      </c>
      <c r="M683">
        <v>145</v>
      </c>
    </row>
    <row r="684" spans="1:13">
      <c r="A684" t="s">
        <v>778</v>
      </c>
      <c r="B684" t="s">
        <v>779</v>
      </c>
      <c r="C684" t="s">
        <v>16</v>
      </c>
      <c r="D684" t="s">
        <v>21</v>
      </c>
      <c r="E684" t="s">
        <v>786</v>
      </c>
      <c r="F684" t="s">
        <v>786</v>
      </c>
      <c r="G684" s="2">
        <v>45646</v>
      </c>
      <c r="H684" s="2">
        <v>45676</v>
      </c>
      <c r="I684">
        <v>105.93</v>
      </c>
      <c r="J684">
        <v>99</v>
      </c>
      <c r="K684" t="s">
        <v>20</v>
      </c>
      <c r="L684">
        <v>0</v>
      </c>
      <c r="M684">
        <v>99</v>
      </c>
    </row>
    <row r="685" spans="1:13">
      <c r="A685" t="s">
        <v>778</v>
      </c>
      <c r="B685" t="s">
        <v>779</v>
      </c>
      <c r="C685" t="s">
        <v>16</v>
      </c>
      <c r="D685" t="s">
        <v>17</v>
      </c>
      <c r="E685" t="s">
        <v>787</v>
      </c>
      <c r="F685" t="s">
        <v>786</v>
      </c>
      <c r="H685" s="2">
        <v>45684</v>
      </c>
      <c r="I685">
        <v>-6.93</v>
      </c>
      <c r="J685" t="s">
        <v>86</v>
      </c>
      <c r="K685" t="s">
        <v>20</v>
      </c>
      <c r="L685">
        <v>0</v>
      </c>
      <c r="M685" t="s">
        <v>86</v>
      </c>
    </row>
    <row r="686" spans="1:13">
      <c r="A686" t="s">
        <v>778</v>
      </c>
      <c r="B686" t="s">
        <v>779</v>
      </c>
      <c r="C686" t="s">
        <v>16</v>
      </c>
      <c r="D686" t="s">
        <v>21</v>
      </c>
      <c r="E686" t="s">
        <v>788</v>
      </c>
      <c r="F686" t="s">
        <v>788</v>
      </c>
      <c r="G686" s="2">
        <v>45659</v>
      </c>
      <c r="H686" s="2">
        <v>45689</v>
      </c>
      <c r="I686" s="1">
        <v>20995.200000000001</v>
      </c>
      <c r="J686">
        <v>20995.200000000001</v>
      </c>
      <c r="K686" t="s">
        <v>20</v>
      </c>
      <c r="L686">
        <v>0</v>
      </c>
      <c r="M686">
        <v>20995.200000000001</v>
      </c>
    </row>
    <row r="687" spans="1:13">
      <c r="A687" t="s">
        <v>778</v>
      </c>
      <c r="B687" t="s">
        <v>779</v>
      </c>
      <c r="C687" t="s">
        <v>16</v>
      </c>
      <c r="D687" t="s">
        <v>21</v>
      </c>
      <c r="E687" t="s">
        <v>789</v>
      </c>
      <c r="F687" t="s">
        <v>789</v>
      </c>
      <c r="G687" s="2">
        <v>45659</v>
      </c>
      <c r="H687" s="2">
        <v>45689</v>
      </c>
      <c r="I687" s="1">
        <v>20995.200000000001</v>
      </c>
      <c r="J687">
        <v>20995.200000000001</v>
      </c>
      <c r="K687" t="s">
        <v>20</v>
      </c>
      <c r="L687">
        <v>0</v>
      </c>
      <c r="M687">
        <v>20995.200000000001</v>
      </c>
    </row>
    <row r="688" spans="1:13">
      <c r="A688" t="s">
        <v>778</v>
      </c>
      <c r="B688" t="s">
        <v>779</v>
      </c>
      <c r="C688" t="s">
        <v>16</v>
      </c>
      <c r="D688" t="s">
        <v>21</v>
      </c>
      <c r="E688" t="s">
        <v>790</v>
      </c>
      <c r="F688" t="s">
        <v>790</v>
      </c>
      <c r="G688" s="2">
        <v>45659</v>
      </c>
      <c r="H688" s="2">
        <v>45689</v>
      </c>
      <c r="I688" s="1">
        <v>20995.200000000001</v>
      </c>
      <c r="J688">
        <v>20995.200000000001</v>
      </c>
      <c r="K688" t="s">
        <v>20</v>
      </c>
      <c r="L688">
        <v>0</v>
      </c>
      <c r="M688">
        <v>20995.200000000001</v>
      </c>
    </row>
    <row r="689" spans="1:13">
      <c r="A689" t="s">
        <v>778</v>
      </c>
      <c r="B689" t="s">
        <v>779</v>
      </c>
      <c r="C689" t="s">
        <v>16</v>
      </c>
      <c r="D689" t="s">
        <v>21</v>
      </c>
      <c r="E689" t="s">
        <v>791</v>
      </c>
      <c r="F689" t="s">
        <v>791</v>
      </c>
      <c r="G689" s="2">
        <v>45659</v>
      </c>
      <c r="H689" s="2">
        <v>45689</v>
      </c>
      <c r="I689" s="1">
        <v>20995.200000000001</v>
      </c>
      <c r="J689">
        <v>20995.200000000001</v>
      </c>
      <c r="K689" t="s">
        <v>20</v>
      </c>
      <c r="L689">
        <v>0</v>
      </c>
      <c r="M689">
        <v>20995.200000000001</v>
      </c>
    </row>
    <row r="690" spans="1:13">
      <c r="A690" t="s">
        <v>778</v>
      </c>
      <c r="B690" t="s">
        <v>779</v>
      </c>
      <c r="C690" t="s">
        <v>16</v>
      </c>
      <c r="D690" t="s">
        <v>21</v>
      </c>
      <c r="E690" t="s">
        <v>792</v>
      </c>
      <c r="F690" t="s">
        <v>792</v>
      </c>
      <c r="G690" s="2">
        <v>45659</v>
      </c>
      <c r="H690" s="2">
        <v>45689</v>
      </c>
      <c r="I690" s="1">
        <v>20995.200000000001</v>
      </c>
      <c r="J690">
        <v>20995.200000000001</v>
      </c>
      <c r="K690" t="s">
        <v>20</v>
      </c>
      <c r="L690">
        <v>0</v>
      </c>
      <c r="M690">
        <v>20995.200000000001</v>
      </c>
    </row>
    <row r="691" spans="1:13">
      <c r="A691" t="s">
        <v>778</v>
      </c>
      <c r="B691" t="s">
        <v>779</v>
      </c>
      <c r="C691" t="s">
        <v>16</v>
      </c>
      <c r="D691" t="s">
        <v>21</v>
      </c>
      <c r="E691" t="s">
        <v>793</v>
      </c>
      <c r="F691" t="s">
        <v>793</v>
      </c>
      <c r="G691" s="2">
        <v>45659</v>
      </c>
      <c r="H691" s="2">
        <v>45689</v>
      </c>
      <c r="I691" s="1">
        <v>20995.200000000001</v>
      </c>
      <c r="J691">
        <v>20995.200000000001</v>
      </c>
      <c r="K691" t="s">
        <v>20</v>
      </c>
      <c r="L691">
        <v>0</v>
      </c>
      <c r="M691">
        <v>20995.200000000001</v>
      </c>
    </row>
    <row r="692" spans="1:13">
      <c r="A692" t="s">
        <v>778</v>
      </c>
      <c r="B692" t="s">
        <v>779</v>
      </c>
      <c r="C692" t="s">
        <v>16</v>
      </c>
      <c r="D692" t="s">
        <v>21</v>
      </c>
      <c r="E692" t="s">
        <v>794</v>
      </c>
      <c r="F692" t="s">
        <v>794</v>
      </c>
      <c r="G692" s="2">
        <v>45659</v>
      </c>
      <c r="H692" s="2">
        <v>45689</v>
      </c>
      <c r="I692" s="1">
        <v>21772.799999999999</v>
      </c>
      <c r="J692">
        <v>21772.799999999999</v>
      </c>
      <c r="K692" t="s">
        <v>20</v>
      </c>
      <c r="L692">
        <v>0</v>
      </c>
      <c r="M692">
        <v>21772.799999999999</v>
      </c>
    </row>
    <row r="693" spans="1:13">
      <c r="A693" t="s">
        <v>778</v>
      </c>
      <c r="B693" t="s">
        <v>779</v>
      </c>
      <c r="C693" t="s">
        <v>16</v>
      </c>
      <c r="D693" t="s">
        <v>21</v>
      </c>
      <c r="E693" t="s">
        <v>795</v>
      </c>
      <c r="F693" t="s">
        <v>795</v>
      </c>
      <c r="G693" s="2">
        <v>45659</v>
      </c>
      <c r="H693" s="2">
        <v>45689</v>
      </c>
      <c r="I693" s="1">
        <v>21772.799999999999</v>
      </c>
      <c r="J693">
        <v>21772.799999999999</v>
      </c>
      <c r="K693" t="s">
        <v>20</v>
      </c>
      <c r="L693">
        <v>0</v>
      </c>
      <c r="M693">
        <v>21772.799999999999</v>
      </c>
    </row>
    <row r="694" spans="1:13">
      <c r="A694" t="s">
        <v>778</v>
      </c>
      <c r="B694" t="s">
        <v>779</v>
      </c>
      <c r="C694" t="s">
        <v>16</v>
      </c>
      <c r="D694" t="s">
        <v>21</v>
      </c>
      <c r="E694" t="s">
        <v>796</v>
      </c>
      <c r="F694" t="s">
        <v>796</v>
      </c>
      <c r="G694" s="2">
        <v>45660</v>
      </c>
      <c r="H694" s="2">
        <v>45690</v>
      </c>
      <c r="I694" s="1">
        <v>20995.200000000001</v>
      </c>
      <c r="J694">
        <v>20995.200000000001</v>
      </c>
      <c r="K694" t="s">
        <v>20</v>
      </c>
      <c r="L694">
        <v>0</v>
      </c>
      <c r="M694">
        <v>20995.200000000001</v>
      </c>
    </row>
    <row r="695" spans="1:13">
      <c r="A695" t="s">
        <v>778</v>
      </c>
      <c r="B695" t="s">
        <v>779</v>
      </c>
      <c r="C695" t="s">
        <v>16</v>
      </c>
      <c r="D695" t="s">
        <v>21</v>
      </c>
      <c r="E695" t="s">
        <v>797</v>
      </c>
      <c r="F695" t="s">
        <v>797</v>
      </c>
      <c r="G695" s="2">
        <v>45660</v>
      </c>
      <c r="H695" s="2">
        <v>45690</v>
      </c>
      <c r="I695" s="1">
        <v>20995.200000000001</v>
      </c>
      <c r="J695">
        <v>20995.200000000001</v>
      </c>
      <c r="K695" t="s">
        <v>20</v>
      </c>
      <c r="L695">
        <v>0</v>
      </c>
      <c r="M695">
        <v>20995.200000000001</v>
      </c>
    </row>
    <row r="696" spans="1:13">
      <c r="A696" t="s">
        <v>778</v>
      </c>
      <c r="B696" t="s">
        <v>779</v>
      </c>
      <c r="C696" t="s">
        <v>16</v>
      </c>
      <c r="D696" t="s">
        <v>21</v>
      </c>
      <c r="E696" t="s">
        <v>798</v>
      </c>
      <c r="F696" t="s">
        <v>798</v>
      </c>
      <c r="G696" s="2">
        <v>45660</v>
      </c>
      <c r="H696" s="2">
        <v>45690</v>
      </c>
      <c r="I696" s="1">
        <v>21772.799999999999</v>
      </c>
      <c r="J696">
        <v>21772.799999999999</v>
      </c>
      <c r="K696" t="s">
        <v>20</v>
      </c>
      <c r="L696">
        <v>0</v>
      </c>
      <c r="M696">
        <v>21772.799999999999</v>
      </c>
    </row>
    <row r="697" spans="1:13">
      <c r="A697" t="s">
        <v>778</v>
      </c>
      <c r="B697" t="s">
        <v>779</v>
      </c>
      <c r="C697" t="s">
        <v>16</v>
      </c>
      <c r="D697" t="s">
        <v>21</v>
      </c>
      <c r="E697" t="s">
        <v>799</v>
      </c>
      <c r="F697" t="s">
        <v>799</v>
      </c>
      <c r="G697" s="2">
        <v>45660</v>
      </c>
      <c r="H697" s="2">
        <v>45690</v>
      </c>
      <c r="I697" s="1">
        <v>21772.799999999999</v>
      </c>
      <c r="J697">
        <v>21772.799999999999</v>
      </c>
      <c r="K697" t="s">
        <v>20</v>
      </c>
      <c r="L697">
        <v>0</v>
      </c>
      <c r="M697">
        <v>21772.799999999999</v>
      </c>
    </row>
    <row r="698" spans="1:13">
      <c r="A698" t="s">
        <v>778</v>
      </c>
      <c r="B698" t="s">
        <v>779</v>
      </c>
      <c r="C698" t="s">
        <v>16</v>
      </c>
      <c r="D698" t="s">
        <v>21</v>
      </c>
      <c r="E698" t="s">
        <v>800</v>
      </c>
      <c r="F698" t="s">
        <v>800</v>
      </c>
      <c r="G698" s="2">
        <v>45660</v>
      </c>
      <c r="H698" s="2">
        <v>45690</v>
      </c>
      <c r="I698" s="1">
        <v>21772.799999999999</v>
      </c>
      <c r="J698">
        <v>21772.799999999999</v>
      </c>
      <c r="K698" t="s">
        <v>20</v>
      </c>
      <c r="L698">
        <v>0</v>
      </c>
      <c r="M698">
        <v>21772.799999999999</v>
      </c>
    </row>
    <row r="699" spans="1:13">
      <c r="A699" t="s">
        <v>778</v>
      </c>
      <c r="B699" t="s">
        <v>779</v>
      </c>
      <c r="C699" t="s">
        <v>16</v>
      </c>
      <c r="D699" t="s">
        <v>21</v>
      </c>
      <c r="E699" t="s">
        <v>801</v>
      </c>
      <c r="F699" t="s">
        <v>801</v>
      </c>
      <c r="G699" s="2">
        <v>45663</v>
      </c>
      <c r="H699" s="2">
        <v>45693</v>
      </c>
      <c r="I699">
        <v>310.3</v>
      </c>
      <c r="J699">
        <v>290</v>
      </c>
      <c r="K699" t="s">
        <v>20</v>
      </c>
      <c r="L699">
        <v>0</v>
      </c>
      <c r="M699">
        <v>290</v>
      </c>
    </row>
    <row r="700" spans="1:13">
      <c r="A700" t="s">
        <v>778</v>
      </c>
      <c r="B700" t="s">
        <v>779</v>
      </c>
      <c r="C700" t="s">
        <v>16</v>
      </c>
      <c r="D700" t="s">
        <v>17</v>
      </c>
      <c r="E700" t="s">
        <v>802</v>
      </c>
      <c r="F700" t="s">
        <v>801</v>
      </c>
      <c r="H700" s="2">
        <v>45684</v>
      </c>
      <c r="I700">
        <v>-20.3</v>
      </c>
      <c r="J700" t="s">
        <v>86</v>
      </c>
      <c r="K700" t="s">
        <v>20</v>
      </c>
      <c r="L700">
        <v>0</v>
      </c>
      <c r="M700" t="s">
        <v>86</v>
      </c>
    </row>
    <row r="701" spans="1:13">
      <c r="A701" t="s">
        <v>778</v>
      </c>
      <c r="B701" t="s">
        <v>779</v>
      </c>
      <c r="C701" t="s">
        <v>16</v>
      </c>
      <c r="D701" t="s">
        <v>21</v>
      </c>
      <c r="E701" t="s">
        <v>803</v>
      </c>
      <c r="F701" t="s">
        <v>803</v>
      </c>
      <c r="G701" s="2">
        <v>45663</v>
      </c>
      <c r="H701" s="2">
        <v>45693</v>
      </c>
      <c r="I701" s="1">
        <v>20995.200000000001</v>
      </c>
      <c r="J701">
        <v>20995.200000000001</v>
      </c>
      <c r="K701" t="s">
        <v>20</v>
      </c>
      <c r="L701">
        <v>0</v>
      </c>
      <c r="M701">
        <v>20995.200000000001</v>
      </c>
    </row>
    <row r="702" spans="1:13">
      <c r="A702" t="s">
        <v>778</v>
      </c>
      <c r="B702" t="s">
        <v>779</v>
      </c>
      <c r="C702" t="s">
        <v>16</v>
      </c>
      <c r="D702" t="s">
        <v>21</v>
      </c>
      <c r="E702" t="s">
        <v>804</v>
      </c>
      <c r="F702" t="s">
        <v>804</v>
      </c>
      <c r="G702" s="2">
        <v>45663</v>
      </c>
      <c r="H702" s="2">
        <v>45693</v>
      </c>
      <c r="I702" s="1">
        <v>20995.200000000001</v>
      </c>
      <c r="J702">
        <v>20995.200000000001</v>
      </c>
      <c r="K702" t="s">
        <v>20</v>
      </c>
      <c r="L702">
        <v>0</v>
      </c>
      <c r="M702">
        <v>20995.200000000001</v>
      </c>
    </row>
    <row r="703" spans="1:13">
      <c r="A703" t="s">
        <v>778</v>
      </c>
      <c r="B703" t="s">
        <v>779</v>
      </c>
      <c r="C703" t="s">
        <v>16</v>
      </c>
      <c r="D703" t="s">
        <v>21</v>
      </c>
      <c r="E703" t="s">
        <v>805</v>
      </c>
      <c r="F703" t="s">
        <v>805</v>
      </c>
      <c r="G703" s="2">
        <v>45663</v>
      </c>
      <c r="H703" s="2">
        <v>45693</v>
      </c>
      <c r="I703" s="1">
        <v>21772.799999999999</v>
      </c>
      <c r="J703">
        <v>21772.799999999999</v>
      </c>
      <c r="K703" t="s">
        <v>20</v>
      </c>
      <c r="L703">
        <v>0</v>
      </c>
      <c r="M703">
        <v>21772.799999999999</v>
      </c>
    </row>
    <row r="704" spans="1:13">
      <c r="A704" t="s">
        <v>778</v>
      </c>
      <c r="B704" t="s">
        <v>779</v>
      </c>
      <c r="C704" t="s">
        <v>16</v>
      </c>
      <c r="D704" t="s">
        <v>21</v>
      </c>
      <c r="E704" t="s">
        <v>806</v>
      </c>
      <c r="F704" t="s">
        <v>806</v>
      </c>
      <c r="G704" s="2">
        <v>45663</v>
      </c>
      <c r="H704" s="2">
        <v>45693</v>
      </c>
      <c r="I704" s="1">
        <v>21772.799999999999</v>
      </c>
      <c r="J704">
        <v>21772.799999999999</v>
      </c>
      <c r="K704" t="s">
        <v>20</v>
      </c>
      <c r="L704">
        <v>0</v>
      </c>
      <c r="M704">
        <v>21772.799999999999</v>
      </c>
    </row>
    <row r="705" spans="1:13">
      <c r="A705" t="s">
        <v>778</v>
      </c>
      <c r="B705" t="s">
        <v>779</v>
      </c>
      <c r="C705" t="s">
        <v>16</v>
      </c>
      <c r="D705" t="s">
        <v>21</v>
      </c>
      <c r="E705" t="s">
        <v>807</v>
      </c>
      <c r="F705" t="s">
        <v>807</v>
      </c>
      <c r="G705" s="2">
        <v>45663</v>
      </c>
      <c r="H705" s="2">
        <v>45693</v>
      </c>
      <c r="I705" s="1">
        <v>21772.799999999999</v>
      </c>
      <c r="J705">
        <v>21772.799999999999</v>
      </c>
      <c r="K705" t="s">
        <v>20</v>
      </c>
      <c r="L705">
        <v>0</v>
      </c>
      <c r="M705">
        <v>21772.799999999999</v>
      </c>
    </row>
    <row r="706" spans="1:13">
      <c r="A706" t="s">
        <v>778</v>
      </c>
      <c r="B706" t="s">
        <v>779</v>
      </c>
      <c r="C706" t="s">
        <v>16</v>
      </c>
      <c r="D706" t="s">
        <v>21</v>
      </c>
      <c r="E706" t="s">
        <v>808</v>
      </c>
      <c r="F706" t="s">
        <v>808</v>
      </c>
      <c r="G706" s="2">
        <v>45664</v>
      </c>
      <c r="H706" s="2">
        <v>45694</v>
      </c>
      <c r="I706" s="1">
        <v>21772.799999999999</v>
      </c>
      <c r="J706">
        <v>21772.799999999999</v>
      </c>
      <c r="K706" t="s">
        <v>20</v>
      </c>
      <c r="L706">
        <v>0</v>
      </c>
      <c r="M706">
        <v>21772.799999999999</v>
      </c>
    </row>
    <row r="707" spans="1:13">
      <c r="A707" t="s">
        <v>778</v>
      </c>
      <c r="B707" t="s">
        <v>779</v>
      </c>
      <c r="C707" t="s">
        <v>16</v>
      </c>
      <c r="D707" t="s">
        <v>21</v>
      </c>
      <c r="E707" t="s">
        <v>809</v>
      </c>
      <c r="F707" t="s">
        <v>809</v>
      </c>
      <c r="G707" s="2">
        <v>45695</v>
      </c>
      <c r="H707" s="2">
        <v>45695</v>
      </c>
      <c r="I707" s="1">
        <v>21772.799999999999</v>
      </c>
      <c r="J707">
        <v>21772.799999999999</v>
      </c>
      <c r="K707" t="s">
        <v>20</v>
      </c>
      <c r="L707">
        <v>0</v>
      </c>
      <c r="M707">
        <v>21772.799999999999</v>
      </c>
    </row>
    <row r="708" spans="1:13">
      <c r="A708" t="s">
        <v>778</v>
      </c>
      <c r="B708" t="s">
        <v>779</v>
      </c>
      <c r="C708" t="s">
        <v>16</v>
      </c>
      <c r="D708" t="s">
        <v>21</v>
      </c>
      <c r="E708" t="s">
        <v>810</v>
      </c>
      <c r="F708" t="s">
        <v>810</v>
      </c>
      <c r="G708" s="2">
        <v>45695</v>
      </c>
      <c r="H708" s="2">
        <v>45695</v>
      </c>
      <c r="I708" s="1">
        <v>21772.799999999999</v>
      </c>
      <c r="J708">
        <v>21772.799999999999</v>
      </c>
      <c r="K708" t="s">
        <v>20</v>
      </c>
      <c r="L708">
        <v>0</v>
      </c>
      <c r="M708">
        <v>21772.799999999999</v>
      </c>
    </row>
    <row r="709" spans="1:13">
      <c r="A709" t="s">
        <v>778</v>
      </c>
      <c r="B709" t="s">
        <v>779</v>
      </c>
      <c r="C709" t="s">
        <v>16</v>
      </c>
      <c r="D709" t="s">
        <v>21</v>
      </c>
      <c r="E709" t="s">
        <v>811</v>
      </c>
      <c r="F709" t="s">
        <v>811</v>
      </c>
      <c r="G709" s="2">
        <v>45695</v>
      </c>
      <c r="H709" s="2">
        <v>45695</v>
      </c>
      <c r="I709" s="1">
        <v>20995.200000000001</v>
      </c>
      <c r="J709">
        <v>20995.200000000001</v>
      </c>
      <c r="K709" t="s">
        <v>20</v>
      </c>
      <c r="L709">
        <v>0</v>
      </c>
      <c r="M709">
        <v>20995.200000000001</v>
      </c>
    </row>
    <row r="710" spans="1:13">
      <c r="A710" t="s">
        <v>778</v>
      </c>
      <c r="B710" t="s">
        <v>779</v>
      </c>
      <c r="C710" t="s">
        <v>16</v>
      </c>
      <c r="D710" t="s">
        <v>21</v>
      </c>
      <c r="E710" t="s">
        <v>812</v>
      </c>
      <c r="F710" t="s">
        <v>812</v>
      </c>
      <c r="G710" s="2">
        <v>45695</v>
      </c>
      <c r="H710" s="2">
        <v>45695</v>
      </c>
      <c r="I710" s="1">
        <v>21772.799999999999</v>
      </c>
      <c r="J710">
        <v>21772.799999999999</v>
      </c>
      <c r="K710" t="s">
        <v>20</v>
      </c>
      <c r="L710">
        <v>0</v>
      </c>
      <c r="M710">
        <v>21772.799999999999</v>
      </c>
    </row>
    <row r="711" spans="1:13">
      <c r="A711" t="s">
        <v>778</v>
      </c>
      <c r="B711" t="s">
        <v>779</v>
      </c>
      <c r="C711" t="s">
        <v>16</v>
      </c>
      <c r="D711" t="s">
        <v>21</v>
      </c>
      <c r="E711" t="s">
        <v>813</v>
      </c>
      <c r="F711" t="s">
        <v>813</v>
      </c>
      <c r="G711" s="2">
        <v>45671</v>
      </c>
      <c r="H711" s="2">
        <v>45701</v>
      </c>
      <c r="I711" s="1">
        <v>2619.36</v>
      </c>
      <c r="J711">
        <v>2448</v>
      </c>
      <c r="K711" t="s">
        <v>20</v>
      </c>
      <c r="L711">
        <v>0</v>
      </c>
      <c r="M711">
        <v>2448</v>
      </c>
    </row>
    <row r="712" spans="1:13">
      <c r="A712" t="s">
        <v>778</v>
      </c>
      <c r="B712" t="s">
        <v>779</v>
      </c>
      <c r="C712" t="s">
        <v>16</v>
      </c>
      <c r="D712" t="s">
        <v>17</v>
      </c>
      <c r="E712" t="s">
        <v>814</v>
      </c>
      <c r="F712" t="s">
        <v>813</v>
      </c>
      <c r="H712" s="2">
        <v>45684</v>
      </c>
      <c r="I712">
        <v>-171.36</v>
      </c>
      <c r="J712" t="s">
        <v>86</v>
      </c>
      <c r="K712" t="s">
        <v>20</v>
      </c>
      <c r="L712">
        <v>0</v>
      </c>
      <c r="M712" t="s">
        <v>86</v>
      </c>
    </row>
    <row r="713" spans="1:13">
      <c r="A713" t="s">
        <v>778</v>
      </c>
      <c r="B713" t="s">
        <v>779</v>
      </c>
      <c r="C713" t="s">
        <v>16</v>
      </c>
      <c r="D713" t="s">
        <v>21</v>
      </c>
      <c r="E713" t="s">
        <v>815</v>
      </c>
      <c r="F713" t="s">
        <v>815</v>
      </c>
      <c r="G713" s="2">
        <v>45671</v>
      </c>
      <c r="H713" s="2">
        <v>45701</v>
      </c>
      <c r="I713" s="1">
        <v>2889</v>
      </c>
      <c r="J713">
        <v>2700</v>
      </c>
      <c r="K713" t="s">
        <v>20</v>
      </c>
      <c r="L713">
        <v>0</v>
      </c>
      <c r="M713">
        <v>2700</v>
      </c>
    </row>
    <row r="714" spans="1:13">
      <c r="A714" t="s">
        <v>778</v>
      </c>
      <c r="B714" t="s">
        <v>779</v>
      </c>
      <c r="C714" t="s">
        <v>16</v>
      </c>
      <c r="D714" t="s">
        <v>17</v>
      </c>
      <c r="E714" t="s">
        <v>816</v>
      </c>
      <c r="F714" t="s">
        <v>815</v>
      </c>
      <c r="H714" s="2">
        <v>45684</v>
      </c>
      <c r="I714">
        <v>-189</v>
      </c>
      <c r="J714" t="s">
        <v>86</v>
      </c>
      <c r="K714" t="s">
        <v>20</v>
      </c>
      <c r="L714">
        <v>0</v>
      </c>
      <c r="M714" t="s">
        <v>86</v>
      </c>
    </row>
    <row r="715" spans="1:13">
      <c r="A715" t="s">
        <v>778</v>
      </c>
      <c r="B715" t="s">
        <v>779</v>
      </c>
      <c r="C715" t="s">
        <v>16</v>
      </c>
      <c r="D715" t="s">
        <v>21</v>
      </c>
      <c r="E715" t="s">
        <v>817</v>
      </c>
      <c r="F715" t="s">
        <v>817</v>
      </c>
      <c r="G715" s="2">
        <v>45701</v>
      </c>
      <c r="H715" s="2">
        <v>45701</v>
      </c>
      <c r="I715" s="1">
        <v>21772.799999999999</v>
      </c>
      <c r="J715">
        <v>21772.799999999999</v>
      </c>
      <c r="K715" t="s">
        <v>20</v>
      </c>
      <c r="L715">
        <v>0</v>
      </c>
      <c r="M715">
        <v>21772.799999999999</v>
      </c>
    </row>
    <row r="716" spans="1:13">
      <c r="A716" t="s">
        <v>778</v>
      </c>
      <c r="B716" t="s">
        <v>779</v>
      </c>
      <c r="C716" t="s">
        <v>16</v>
      </c>
      <c r="D716" t="s">
        <v>21</v>
      </c>
      <c r="E716" t="s">
        <v>818</v>
      </c>
      <c r="F716" t="s">
        <v>818</v>
      </c>
      <c r="G716" s="2">
        <v>45701</v>
      </c>
      <c r="H716" s="2">
        <v>45701</v>
      </c>
      <c r="I716" s="1">
        <v>21772.799999999999</v>
      </c>
      <c r="J716">
        <v>21772.799999999999</v>
      </c>
      <c r="K716" t="s">
        <v>20</v>
      </c>
      <c r="L716">
        <v>0</v>
      </c>
      <c r="M716">
        <v>21772.799999999999</v>
      </c>
    </row>
    <row r="717" spans="1:13">
      <c r="A717" t="s">
        <v>778</v>
      </c>
      <c r="B717" t="s">
        <v>779</v>
      </c>
      <c r="C717" t="s">
        <v>16</v>
      </c>
      <c r="D717" t="s">
        <v>21</v>
      </c>
      <c r="E717" t="s">
        <v>819</v>
      </c>
      <c r="F717" t="s">
        <v>819</v>
      </c>
      <c r="G717" s="2">
        <v>45701</v>
      </c>
      <c r="H717" s="2">
        <v>45701</v>
      </c>
      <c r="I717" s="1">
        <v>21772.799999999999</v>
      </c>
      <c r="J717">
        <v>21772.799999999999</v>
      </c>
      <c r="K717" t="s">
        <v>20</v>
      </c>
      <c r="L717">
        <v>0</v>
      </c>
      <c r="M717">
        <v>21772.799999999999</v>
      </c>
    </row>
    <row r="718" spans="1:13">
      <c r="A718" t="s">
        <v>778</v>
      </c>
      <c r="B718" t="s">
        <v>779</v>
      </c>
      <c r="C718" t="s">
        <v>16</v>
      </c>
      <c r="D718" t="s">
        <v>21</v>
      </c>
      <c r="E718" t="s">
        <v>820</v>
      </c>
      <c r="F718" t="s">
        <v>820</v>
      </c>
      <c r="G718" s="2">
        <v>45672</v>
      </c>
      <c r="H718" s="2">
        <v>45702</v>
      </c>
      <c r="I718" s="1">
        <v>241200</v>
      </c>
      <c r="J718">
        <v>241200</v>
      </c>
      <c r="K718" t="s">
        <v>20</v>
      </c>
      <c r="L718">
        <v>0</v>
      </c>
      <c r="M718">
        <v>241200</v>
      </c>
    </row>
    <row r="719" spans="1:13">
      <c r="A719" t="s">
        <v>778</v>
      </c>
      <c r="B719" t="s">
        <v>779</v>
      </c>
      <c r="C719" t="s">
        <v>16</v>
      </c>
      <c r="D719" t="s">
        <v>21</v>
      </c>
      <c r="E719" t="s">
        <v>821</v>
      </c>
      <c r="F719" t="s">
        <v>821</v>
      </c>
      <c r="G719" s="2">
        <v>45702</v>
      </c>
      <c r="H719" s="2">
        <v>45702</v>
      </c>
      <c r="I719" s="1">
        <v>20995.200000000001</v>
      </c>
      <c r="J719">
        <v>20995.200000000001</v>
      </c>
      <c r="K719" t="s">
        <v>20</v>
      </c>
      <c r="L719">
        <v>0</v>
      </c>
      <c r="M719">
        <v>20995.200000000001</v>
      </c>
    </row>
    <row r="720" spans="1:13">
      <c r="A720" t="s">
        <v>778</v>
      </c>
      <c r="B720" t="s">
        <v>779</v>
      </c>
      <c r="C720" t="s">
        <v>16</v>
      </c>
      <c r="D720" t="s">
        <v>21</v>
      </c>
      <c r="E720" t="s">
        <v>822</v>
      </c>
      <c r="F720" t="s">
        <v>822</v>
      </c>
      <c r="G720" s="2">
        <v>45674</v>
      </c>
      <c r="H720" s="2">
        <v>45704</v>
      </c>
      <c r="I720" s="1">
        <v>74880</v>
      </c>
      <c r="J720">
        <v>74880</v>
      </c>
      <c r="K720" t="s">
        <v>20</v>
      </c>
      <c r="L720">
        <v>0</v>
      </c>
      <c r="M720">
        <v>74880</v>
      </c>
    </row>
    <row r="721" spans="1:13">
      <c r="A721" t="s">
        <v>778</v>
      </c>
      <c r="B721" t="s">
        <v>779</v>
      </c>
      <c r="C721" t="s">
        <v>16</v>
      </c>
      <c r="D721" t="s">
        <v>21</v>
      </c>
      <c r="E721" t="s">
        <v>823</v>
      </c>
      <c r="F721" t="s">
        <v>823</v>
      </c>
      <c r="G721" s="2">
        <v>45679</v>
      </c>
      <c r="H721" s="2">
        <v>45709</v>
      </c>
      <c r="I721" s="1">
        <v>15141</v>
      </c>
      <c r="J721">
        <v>15141</v>
      </c>
      <c r="K721" t="s">
        <v>20</v>
      </c>
      <c r="L721">
        <v>0</v>
      </c>
      <c r="M721">
        <v>15141</v>
      </c>
    </row>
    <row r="722" spans="1:13">
      <c r="A722" t="s">
        <v>778</v>
      </c>
      <c r="B722" t="s">
        <v>779</v>
      </c>
      <c r="C722" t="s">
        <v>16</v>
      </c>
      <c r="D722" t="s">
        <v>55</v>
      </c>
      <c r="E722" t="s">
        <v>19</v>
      </c>
      <c r="F722" t="s">
        <v>19</v>
      </c>
      <c r="H722" s="2">
        <v>45715</v>
      </c>
      <c r="I722" s="1">
        <v>-904922.99</v>
      </c>
      <c r="J722">
        <v>-904922.99</v>
      </c>
      <c r="K722" t="s">
        <v>20</v>
      </c>
      <c r="L722">
        <v>0</v>
      </c>
      <c r="M722">
        <v>-904922.99</v>
      </c>
    </row>
    <row r="723" spans="1:13">
      <c r="A723" t="s">
        <v>778</v>
      </c>
      <c r="B723" t="s">
        <v>779</v>
      </c>
      <c r="C723" t="s">
        <v>16</v>
      </c>
      <c r="D723" t="s">
        <v>55</v>
      </c>
      <c r="E723" t="s">
        <v>19</v>
      </c>
      <c r="F723" t="s">
        <v>19</v>
      </c>
      <c r="H723" s="2">
        <v>45723</v>
      </c>
      <c r="I723" s="1">
        <v>-23569.06</v>
      </c>
      <c r="J723">
        <v>-23569.06</v>
      </c>
      <c r="K723" t="s">
        <v>20</v>
      </c>
      <c r="L723">
        <v>10</v>
      </c>
      <c r="M723">
        <v>-23569.06</v>
      </c>
    </row>
    <row r="724" spans="1:13">
      <c r="A724" t="s">
        <v>778</v>
      </c>
      <c r="B724" t="s">
        <v>779</v>
      </c>
      <c r="C724" t="s">
        <v>16</v>
      </c>
      <c r="D724" t="s">
        <v>21</v>
      </c>
      <c r="E724" t="s">
        <v>824</v>
      </c>
      <c r="F724" t="s">
        <v>824</v>
      </c>
      <c r="G724" s="2">
        <v>45720</v>
      </c>
      <c r="H724" s="2">
        <v>45750</v>
      </c>
      <c r="I724">
        <v>199</v>
      </c>
      <c r="J724">
        <v>199</v>
      </c>
      <c r="K724" t="s">
        <v>20</v>
      </c>
      <c r="L724">
        <v>0</v>
      </c>
      <c r="M724">
        <v>0</v>
      </c>
    </row>
    <row r="725" spans="1:13">
      <c r="A725" t="s">
        <v>778</v>
      </c>
      <c r="B725" t="s">
        <v>779</v>
      </c>
      <c r="C725" t="s">
        <v>16</v>
      </c>
      <c r="D725" t="s">
        <v>21</v>
      </c>
      <c r="E725" t="s">
        <v>825</v>
      </c>
      <c r="F725" t="s">
        <v>825</v>
      </c>
      <c r="G725" s="2">
        <v>45734</v>
      </c>
      <c r="H725" s="2">
        <v>45764</v>
      </c>
      <c r="I725">
        <v>202</v>
      </c>
      <c r="J725">
        <v>202</v>
      </c>
      <c r="K725" t="s">
        <v>20</v>
      </c>
      <c r="L725">
        <v>0</v>
      </c>
      <c r="M725">
        <v>0</v>
      </c>
    </row>
    <row r="726" spans="1:13">
      <c r="A726" t="s">
        <v>826</v>
      </c>
      <c r="B726" t="s">
        <v>827</v>
      </c>
      <c r="C726" t="s">
        <v>16</v>
      </c>
      <c r="D726" t="s">
        <v>17</v>
      </c>
      <c r="E726" t="s">
        <v>828</v>
      </c>
      <c r="F726" t="s">
        <v>19</v>
      </c>
      <c r="H726" s="2">
        <v>45366</v>
      </c>
      <c r="I726">
        <v>-297.89</v>
      </c>
      <c r="J726">
        <v>-297.89</v>
      </c>
      <c r="K726" t="s">
        <v>20</v>
      </c>
      <c r="L726">
        <v>0</v>
      </c>
      <c r="M726">
        <v>-297.89</v>
      </c>
    </row>
    <row r="727" spans="1:13">
      <c r="A727" t="s">
        <v>826</v>
      </c>
      <c r="B727" t="s">
        <v>827</v>
      </c>
      <c r="C727" t="s">
        <v>16</v>
      </c>
      <c r="D727" t="s">
        <v>21</v>
      </c>
      <c r="E727" t="s">
        <v>829</v>
      </c>
      <c r="F727" t="s">
        <v>829</v>
      </c>
      <c r="G727" s="2">
        <v>45643</v>
      </c>
      <c r="H727" s="2">
        <v>45673</v>
      </c>
      <c r="I727" s="1">
        <v>1137</v>
      </c>
      <c r="J727">
        <v>1137</v>
      </c>
      <c r="K727" t="s">
        <v>20</v>
      </c>
      <c r="L727">
        <v>0</v>
      </c>
      <c r="M727">
        <v>1137</v>
      </c>
    </row>
    <row r="728" spans="1:13">
      <c r="A728" t="s">
        <v>826</v>
      </c>
      <c r="B728" t="s">
        <v>827</v>
      </c>
      <c r="C728" t="s">
        <v>16</v>
      </c>
      <c r="D728" t="s">
        <v>21</v>
      </c>
      <c r="E728" t="s">
        <v>830</v>
      </c>
      <c r="F728" t="s">
        <v>830</v>
      </c>
      <c r="G728" s="2">
        <v>45686</v>
      </c>
      <c r="H728" s="2">
        <v>45716</v>
      </c>
      <c r="I728" s="1">
        <v>4059.78</v>
      </c>
      <c r="J728">
        <v>3812</v>
      </c>
      <c r="K728" t="s">
        <v>20</v>
      </c>
      <c r="L728">
        <v>0</v>
      </c>
      <c r="M728">
        <v>3812</v>
      </c>
    </row>
    <row r="729" spans="1:13">
      <c r="A729" t="s">
        <v>826</v>
      </c>
      <c r="B729" t="s">
        <v>827</v>
      </c>
      <c r="C729" t="s">
        <v>16</v>
      </c>
      <c r="D729" t="s">
        <v>17</v>
      </c>
      <c r="E729" t="s">
        <v>831</v>
      </c>
      <c r="F729" t="s">
        <v>830</v>
      </c>
      <c r="H729" s="2">
        <v>45688</v>
      </c>
      <c r="I729">
        <v>-247.78</v>
      </c>
      <c r="J729" t="s">
        <v>86</v>
      </c>
      <c r="K729" t="s">
        <v>20</v>
      </c>
      <c r="L729">
        <v>0</v>
      </c>
      <c r="M729" t="s">
        <v>86</v>
      </c>
    </row>
    <row r="730" spans="1:13">
      <c r="A730" t="s">
        <v>826</v>
      </c>
      <c r="B730" t="s">
        <v>827</v>
      </c>
      <c r="C730" t="s">
        <v>16</v>
      </c>
      <c r="D730" t="s">
        <v>21</v>
      </c>
      <c r="E730" t="s">
        <v>832</v>
      </c>
      <c r="F730" t="s">
        <v>832</v>
      </c>
      <c r="G730" s="2">
        <v>45687</v>
      </c>
      <c r="H730" s="2">
        <v>45717</v>
      </c>
      <c r="I730" s="1">
        <v>4312</v>
      </c>
      <c r="J730">
        <v>4267</v>
      </c>
      <c r="K730" t="s">
        <v>20</v>
      </c>
      <c r="L730">
        <v>10</v>
      </c>
      <c r="M730">
        <v>4267</v>
      </c>
    </row>
    <row r="731" spans="1:13">
      <c r="A731" t="s">
        <v>826</v>
      </c>
      <c r="B731" t="s">
        <v>827</v>
      </c>
      <c r="C731" t="s">
        <v>16</v>
      </c>
      <c r="D731" t="s">
        <v>17</v>
      </c>
      <c r="E731" t="s">
        <v>833</v>
      </c>
      <c r="F731" t="s">
        <v>832</v>
      </c>
      <c r="H731" s="2">
        <v>45716</v>
      </c>
      <c r="I731">
        <v>-45</v>
      </c>
      <c r="J731" t="s">
        <v>86</v>
      </c>
      <c r="K731" t="s">
        <v>20</v>
      </c>
      <c r="L731">
        <v>0</v>
      </c>
      <c r="M731" t="s">
        <v>86</v>
      </c>
    </row>
    <row r="732" spans="1:13">
      <c r="A732" t="s">
        <v>826</v>
      </c>
      <c r="B732" t="s">
        <v>827</v>
      </c>
      <c r="C732" t="s">
        <v>16</v>
      </c>
      <c r="D732" t="s">
        <v>21</v>
      </c>
      <c r="E732" t="s">
        <v>834</v>
      </c>
      <c r="F732" t="s">
        <v>834</v>
      </c>
      <c r="G732" s="2">
        <v>45692</v>
      </c>
      <c r="H732" s="2">
        <v>45722</v>
      </c>
      <c r="I732" s="1">
        <v>3361.94</v>
      </c>
      <c r="J732">
        <v>3142</v>
      </c>
      <c r="K732" t="s">
        <v>20</v>
      </c>
      <c r="L732">
        <v>10</v>
      </c>
      <c r="M732">
        <v>3142</v>
      </c>
    </row>
    <row r="733" spans="1:13">
      <c r="A733" t="s">
        <v>826</v>
      </c>
      <c r="B733" t="s">
        <v>827</v>
      </c>
      <c r="C733" t="s">
        <v>16</v>
      </c>
      <c r="D733" t="s">
        <v>17</v>
      </c>
      <c r="E733" t="s">
        <v>835</v>
      </c>
      <c r="F733" t="s">
        <v>834</v>
      </c>
      <c r="H733" s="2">
        <v>45716</v>
      </c>
      <c r="I733">
        <v>-219.94</v>
      </c>
      <c r="J733" t="s">
        <v>86</v>
      </c>
      <c r="K733" t="s">
        <v>20</v>
      </c>
      <c r="L733">
        <v>0</v>
      </c>
      <c r="M733" t="s">
        <v>86</v>
      </c>
    </row>
    <row r="734" spans="1:13">
      <c r="A734" t="s">
        <v>826</v>
      </c>
      <c r="B734" t="s">
        <v>827</v>
      </c>
      <c r="C734" t="s">
        <v>16</v>
      </c>
      <c r="D734" t="s">
        <v>21</v>
      </c>
      <c r="E734" t="s">
        <v>836</v>
      </c>
      <c r="F734" t="s">
        <v>836</v>
      </c>
      <c r="G734" s="2">
        <v>45714</v>
      </c>
      <c r="H734" s="2">
        <v>45744</v>
      </c>
      <c r="I734">
        <v>750</v>
      </c>
      <c r="J734">
        <v>750</v>
      </c>
      <c r="K734" t="s">
        <v>20</v>
      </c>
      <c r="L734">
        <v>13</v>
      </c>
      <c r="M734">
        <v>750</v>
      </c>
    </row>
    <row r="735" spans="1:13">
      <c r="A735" t="s">
        <v>837</v>
      </c>
      <c r="B735" t="s">
        <v>838</v>
      </c>
      <c r="C735" t="s">
        <v>16</v>
      </c>
      <c r="D735" t="s">
        <v>21</v>
      </c>
      <c r="E735" t="s">
        <v>839</v>
      </c>
      <c r="F735" t="s">
        <v>839</v>
      </c>
      <c r="G735" s="2">
        <v>45716</v>
      </c>
      <c r="H735" s="2">
        <v>45746</v>
      </c>
      <c r="I735">
        <v>130.97</v>
      </c>
      <c r="J735">
        <v>130.97</v>
      </c>
      <c r="K735" t="s">
        <v>20</v>
      </c>
      <c r="L735">
        <v>13</v>
      </c>
      <c r="M735">
        <v>130.97</v>
      </c>
    </row>
    <row r="736" spans="1:13">
      <c r="A736" t="s">
        <v>840</v>
      </c>
      <c r="B736" t="s">
        <v>841</v>
      </c>
      <c r="C736" t="s">
        <v>16</v>
      </c>
      <c r="D736" t="s">
        <v>17</v>
      </c>
      <c r="E736" t="s">
        <v>842</v>
      </c>
      <c r="F736" t="s">
        <v>19</v>
      </c>
      <c r="H736" s="2">
        <v>45260</v>
      </c>
      <c r="I736">
        <v>-781.38</v>
      </c>
      <c r="J736">
        <v>-781.38</v>
      </c>
      <c r="K736" t="s">
        <v>20</v>
      </c>
      <c r="L736">
        <v>0</v>
      </c>
      <c r="M736">
        <v>-781.38</v>
      </c>
    </row>
    <row r="737" spans="1:13">
      <c r="A737" t="s">
        <v>840</v>
      </c>
      <c r="B737" t="s">
        <v>841</v>
      </c>
      <c r="C737" t="s">
        <v>16</v>
      </c>
      <c r="D737" t="s">
        <v>21</v>
      </c>
      <c r="E737" t="s">
        <v>843</v>
      </c>
      <c r="F737" t="s">
        <v>843</v>
      </c>
      <c r="G737" s="2">
        <v>45742</v>
      </c>
      <c r="H737" s="2">
        <v>45772</v>
      </c>
      <c r="I737">
        <v>149.41999999999999</v>
      </c>
      <c r="J737">
        <v>149.41999999999999</v>
      </c>
      <c r="K737" t="s">
        <v>20</v>
      </c>
      <c r="L737">
        <v>0</v>
      </c>
      <c r="M737">
        <v>0</v>
      </c>
    </row>
    <row r="738" spans="1:13">
      <c r="A738" t="s">
        <v>844</v>
      </c>
      <c r="B738" t="s">
        <v>845</v>
      </c>
      <c r="C738" t="s">
        <v>16</v>
      </c>
      <c r="D738" t="s">
        <v>21</v>
      </c>
      <c r="E738" t="s">
        <v>846</v>
      </c>
      <c r="F738" t="s">
        <v>846</v>
      </c>
      <c r="G738" s="2">
        <v>45674</v>
      </c>
      <c r="H738" s="2">
        <v>45704</v>
      </c>
      <c r="I738" s="1">
        <v>1553.64</v>
      </c>
      <c r="J738">
        <v>1452</v>
      </c>
      <c r="K738" t="s">
        <v>20</v>
      </c>
      <c r="L738">
        <v>0</v>
      </c>
      <c r="M738">
        <v>1452</v>
      </c>
    </row>
    <row r="739" spans="1:13">
      <c r="A739" t="s">
        <v>844</v>
      </c>
      <c r="B739" t="s">
        <v>845</v>
      </c>
      <c r="C739" t="s">
        <v>16</v>
      </c>
      <c r="D739" t="s">
        <v>17</v>
      </c>
      <c r="E739" t="s">
        <v>847</v>
      </c>
      <c r="F739" t="s">
        <v>846</v>
      </c>
      <c r="H739" s="2">
        <v>45688</v>
      </c>
      <c r="I739">
        <v>-101.64</v>
      </c>
      <c r="J739" t="s">
        <v>86</v>
      </c>
      <c r="K739" t="s">
        <v>20</v>
      </c>
      <c r="L739">
        <v>0</v>
      </c>
      <c r="M739" t="s">
        <v>86</v>
      </c>
    </row>
    <row r="740" spans="1:13">
      <c r="A740" t="s">
        <v>844</v>
      </c>
      <c r="B740" t="s">
        <v>845</v>
      </c>
      <c r="C740" t="s">
        <v>16</v>
      </c>
      <c r="D740" t="s">
        <v>21</v>
      </c>
      <c r="E740" t="s">
        <v>848</v>
      </c>
      <c r="F740" t="s">
        <v>848</v>
      </c>
      <c r="G740" s="2">
        <v>45737</v>
      </c>
      <c r="H740" s="2">
        <v>45767</v>
      </c>
      <c r="I740" s="1">
        <v>1210</v>
      </c>
      <c r="J740">
        <v>1210</v>
      </c>
      <c r="K740" t="s">
        <v>20</v>
      </c>
      <c r="L740">
        <v>0</v>
      </c>
      <c r="M740">
        <v>0</v>
      </c>
    </row>
    <row r="741" spans="1:13">
      <c r="A741" t="s">
        <v>849</v>
      </c>
      <c r="B741" t="s">
        <v>850</v>
      </c>
      <c r="C741" t="s">
        <v>16</v>
      </c>
      <c r="D741" t="s">
        <v>21</v>
      </c>
      <c r="E741" t="s">
        <v>851</v>
      </c>
      <c r="F741" t="s">
        <v>851</v>
      </c>
      <c r="G741" s="2">
        <v>45714</v>
      </c>
      <c r="H741" s="2">
        <v>45744</v>
      </c>
      <c r="I741">
        <v>190</v>
      </c>
      <c r="J741">
        <v>190</v>
      </c>
      <c r="K741" t="s">
        <v>20</v>
      </c>
      <c r="L741">
        <v>13</v>
      </c>
      <c r="M741">
        <v>190</v>
      </c>
    </row>
    <row r="742" spans="1:13">
      <c r="A742" t="s">
        <v>849</v>
      </c>
      <c r="B742" t="s">
        <v>850</v>
      </c>
      <c r="C742" t="s">
        <v>16</v>
      </c>
      <c r="D742" t="s">
        <v>21</v>
      </c>
      <c r="E742" t="s">
        <v>852</v>
      </c>
      <c r="F742" t="s">
        <v>852</v>
      </c>
      <c r="G742" s="2">
        <v>45719</v>
      </c>
      <c r="H742" s="2">
        <v>45749</v>
      </c>
      <c r="I742">
        <v>357.5</v>
      </c>
      <c r="J742">
        <v>357.5</v>
      </c>
      <c r="K742" t="s">
        <v>20</v>
      </c>
      <c r="L742">
        <v>0</v>
      </c>
      <c r="M742">
        <v>0</v>
      </c>
    </row>
    <row r="743" spans="1:13">
      <c r="A743" t="s">
        <v>849</v>
      </c>
      <c r="B743" t="s">
        <v>850</v>
      </c>
      <c r="C743" t="s">
        <v>16</v>
      </c>
      <c r="D743" t="s">
        <v>21</v>
      </c>
      <c r="E743" t="s">
        <v>853</v>
      </c>
      <c r="F743" t="s">
        <v>853</v>
      </c>
      <c r="G743" s="2">
        <v>45734</v>
      </c>
      <c r="H743" s="2">
        <v>45764</v>
      </c>
      <c r="I743" s="1">
        <v>2950</v>
      </c>
      <c r="J743">
        <v>2950</v>
      </c>
      <c r="K743" t="s">
        <v>20</v>
      </c>
      <c r="L743">
        <v>0</v>
      </c>
      <c r="M743">
        <v>0</v>
      </c>
    </row>
    <row r="744" spans="1:13">
      <c r="A744" t="s">
        <v>854</v>
      </c>
      <c r="B744" t="s">
        <v>855</v>
      </c>
      <c r="C744" t="s">
        <v>16</v>
      </c>
      <c r="D744" t="s">
        <v>55</v>
      </c>
      <c r="E744" t="s">
        <v>19</v>
      </c>
      <c r="F744" t="s">
        <v>19</v>
      </c>
      <c r="H744" s="2">
        <v>45068</v>
      </c>
      <c r="I744">
        <v>-390</v>
      </c>
      <c r="J744">
        <v>-390</v>
      </c>
      <c r="K744" t="s">
        <v>20</v>
      </c>
      <c r="L744">
        <v>0</v>
      </c>
      <c r="M744">
        <v>-390</v>
      </c>
    </row>
    <row r="745" spans="1:13">
      <c r="A745" t="s">
        <v>854</v>
      </c>
      <c r="B745" t="s">
        <v>855</v>
      </c>
      <c r="C745" t="s">
        <v>16</v>
      </c>
      <c r="D745" t="s">
        <v>55</v>
      </c>
      <c r="E745" t="s">
        <v>19</v>
      </c>
      <c r="F745" t="s">
        <v>19</v>
      </c>
      <c r="H745" s="2">
        <v>45287</v>
      </c>
      <c r="I745">
        <v>-340</v>
      </c>
      <c r="J745">
        <v>-340</v>
      </c>
      <c r="K745" t="s">
        <v>20</v>
      </c>
      <c r="L745">
        <v>0</v>
      </c>
      <c r="M745">
        <v>-340</v>
      </c>
    </row>
    <row r="746" spans="1:13">
      <c r="A746" t="s">
        <v>856</v>
      </c>
      <c r="B746" t="s">
        <v>857</v>
      </c>
      <c r="C746" t="s">
        <v>213</v>
      </c>
      <c r="D746" t="s">
        <v>21</v>
      </c>
      <c r="E746" t="s">
        <v>858</v>
      </c>
      <c r="F746" t="s">
        <v>858</v>
      </c>
      <c r="G746" s="2">
        <v>45674</v>
      </c>
      <c r="H746" s="2">
        <v>45674</v>
      </c>
      <c r="I746">
        <v>435.88</v>
      </c>
      <c r="J746">
        <v>435.88</v>
      </c>
      <c r="K746" t="s">
        <v>20</v>
      </c>
      <c r="L746">
        <v>0</v>
      </c>
      <c r="M746">
        <v>435.88</v>
      </c>
    </row>
    <row r="747" spans="1:13">
      <c r="A747" t="s">
        <v>859</v>
      </c>
      <c r="B747" t="s">
        <v>860</v>
      </c>
      <c r="C747" t="s">
        <v>16</v>
      </c>
      <c r="D747" t="s">
        <v>55</v>
      </c>
      <c r="E747" t="s">
        <v>19</v>
      </c>
      <c r="F747" t="s">
        <v>19</v>
      </c>
      <c r="H747" s="2">
        <v>45632</v>
      </c>
      <c r="I747">
        <v>-44.1</v>
      </c>
      <c r="J747">
        <v>-44.1</v>
      </c>
      <c r="K747" t="s">
        <v>20</v>
      </c>
      <c r="L747">
        <v>0</v>
      </c>
      <c r="M747">
        <v>-44.1</v>
      </c>
    </row>
    <row r="748" spans="1:13">
      <c r="A748" t="s">
        <v>859</v>
      </c>
      <c r="B748" t="s">
        <v>860</v>
      </c>
      <c r="C748" t="s">
        <v>16</v>
      </c>
      <c r="D748" t="s">
        <v>55</v>
      </c>
      <c r="E748" t="s">
        <v>19</v>
      </c>
      <c r="F748" t="s">
        <v>19</v>
      </c>
      <c r="H748" s="2">
        <v>45698</v>
      </c>
      <c r="I748">
        <v>-74.2</v>
      </c>
      <c r="J748">
        <v>-74.2</v>
      </c>
      <c r="K748" t="s">
        <v>20</v>
      </c>
      <c r="L748">
        <v>0</v>
      </c>
      <c r="M748">
        <v>-74.2</v>
      </c>
    </row>
    <row r="749" spans="1:13">
      <c r="A749" t="s">
        <v>859</v>
      </c>
      <c r="B749" t="s">
        <v>860</v>
      </c>
      <c r="C749" t="s">
        <v>16</v>
      </c>
      <c r="D749" t="s">
        <v>21</v>
      </c>
      <c r="E749" t="s">
        <v>861</v>
      </c>
      <c r="F749" t="s">
        <v>861</v>
      </c>
      <c r="G749" s="2">
        <v>45706</v>
      </c>
      <c r="H749" s="2">
        <v>45736</v>
      </c>
      <c r="I749">
        <v>873</v>
      </c>
      <c r="J749">
        <v>873</v>
      </c>
      <c r="K749" t="s">
        <v>20</v>
      </c>
      <c r="L749">
        <v>12</v>
      </c>
      <c r="M749">
        <v>873</v>
      </c>
    </row>
    <row r="750" spans="1:13">
      <c r="A750" t="s">
        <v>859</v>
      </c>
      <c r="B750" t="s">
        <v>860</v>
      </c>
      <c r="C750" t="s">
        <v>16</v>
      </c>
      <c r="D750" t="s">
        <v>21</v>
      </c>
      <c r="E750" t="s">
        <v>862</v>
      </c>
      <c r="F750" t="s">
        <v>862</v>
      </c>
      <c r="G750" s="2">
        <v>45706</v>
      </c>
      <c r="H750" s="2">
        <v>45736</v>
      </c>
      <c r="I750">
        <v>338</v>
      </c>
      <c r="J750">
        <v>338</v>
      </c>
      <c r="K750" t="s">
        <v>20</v>
      </c>
      <c r="L750">
        <v>12</v>
      </c>
      <c r="M750">
        <v>338</v>
      </c>
    </row>
    <row r="751" spans="1:13">
      <c r="A751" t="s">
        <v>859</v>
      </c>
      <c r="B751" t="s">
        <v>860</v>
      </c>
      <c r="C751" t="s">
        <v>16</v>
      </c>
      <c r="D751" t="s">
        <v>21</v>
      </c>
      <c r="E751" t="s">
        <v>863</v>
      </c>
      <c r="F751" t="s">
        <v>863</v>
      </c>
      <c r="G751" s="2">
        <v>45708</v>
      </c>
      <c r="H751" s="2">
        <v>45738</v>
      </c>
      <c r="I751">
        <v>806.4</v>
      </c>
      <c r="J751">
        <v>806.4</v>
      </c>
      <c r="K751" t="s">
        <v>20</v>
      </c>
      <c r="L751">
        <v>12</v>
      </c>
      <c r="M751">
        <v>806.4</v>
      </c>
    </row>
    <row r="752" spans="1:13">
      <c r="A752" t="s">
        <v>859</v>
      </c>
      <c r="B752" t="s">
        <v>860</v>
      </c>
      <c r="C752" t="s">
        <v>16</v>
      </c>
      <c r="D752" t="s">
        <v>21</v>
      </c>
      <c r="E752" t="s">
        <v>864</v>
      </c>
      <c r="F752" t="s">
        <v>864</v>
      </c>
      <c r="G752" s="2">
        <v>45708</v>
      </c>
      <c r="H752" s="2">
        <v>45738</v>
      </c>
      <c r="I752">
        <v>552.96</v>
      </c>
      <c r="J752">
        <v>552.96</v>
      </c>
      <c r="K752" t="s">
        <v>20</v>
      </c>
      <c r="L752">
        <v>12</v>
      </c>
      <c r="M752">
        <v>552.96</v>
      </c>
    </row>
    <row r="753" spans="1:13">
      <c r="A753" t="s">
        <v>859</v>
      </c>
      <c r="B753" t="s">
        <v>860</v>
      </c>
      <c r="C753" t="s">
        <v>16</v>
      </c>
      <c r="D753" t="s">
        <v>21</v>
      </c>
      <c r="E753" t="s">
        <v>865</v>
      </c>
      <c r="F753" t="s">
        <v>865</v>
      </c>
      <c r="G753" s="2">
        <v>45712</v>
      </c>
      <c r="H753" s="2">
        <v>45742</v>
      </c>
      <c r="I753" s="1">
        <v>16686</v>
      </c>
      <c r="J753">
        <v>16686</v>
      </c>
      <c r="K753" t="s">
        <v>20</v>
      </c>
      <c r="L753">
        <v>13</v>
      </c>
      <c r="M753">
        <v>16686</v>
      </c>
    </row>
    <row r="754" spans="1:13">
      <c r="A754" t="s">
        <v>859</v>
      </c>
      <c r="B754" t="s">
        <v>860</v>
      </c>
      <c r="C754" t="s">
        <v>16</v>
      </c>
      <c r="D754" t="s">
        <v>21</v>
      </c>
      <c r="E754" t="s">
        <v>866</v>
      </c>
      <c r="F754" t="s">
        <v>866</v>
      </c>
      <c r="G754" s="2">
        <v>45714</v>
      </c>
      <c r="H754" s="2">
        <v>45744</v>
      </c>
      <c r="I754">
        <v>645.6</v>
      </c>
      <c r="J754">
        <v>645.6</v>
      </c>
      <c r="K754" t="s">
        <v>20</v>
      </c>
      <c r="L754">
        <v>13</v>
      </c>
      <c r="M754">
        <v>645.6</v>
      </c>
    </row>
    <row r="755" spans="1:13">
      <c r="A755" t="s">
        <v>859</v>
      </c>
      <c r="B755" t="s">
        <v>860</v>
      </c>
      <c r="C755" t="s">
        <v>16</v>
      </c>
      <c r="D755" t="s">
        <v>21</v>
      </c>
      <c r="E755" t="s">
        <v>867</v>
      </c>
      <c r="F755" t="s">
        <v>867</v>
      </c>
      <c r="G755" s="2">
        <v>45714</v>
      </c>
      <c r="H755" s="2">
        <v>45744</v>
      </c>
      <c r="I755">
        <v>378</v>
      </c>
      <c r="J755">
        <v>378</v>
      </c>
      <c r="K755" t="s">
        <v>20</v>
      </c>
      <c r="L755">
        <v>13</v>
      </c>
      <c r="M755">
        <v>378</v>
      </c>
    </row>
    <row r="756" spans="1:13">
      <c r="A756" t="s">
        <v>859</v>
      </c>
      <c r="B756" t="s">
        <v>860</v>
      </c>
      <c r="C756" t="s">
        <v>16</v>
      </c>
      <c r="D756" t="s">
        <v>21</v>
      </c>
      <c r="E756" t="s">
        <v>868</v>
      </c>
      <c r="F756" t="s">
        <v>868</v>
      </c>
      <c r="G756" s="2">
        <v>45714</v>
      </c>
      <c r="H756" s="2">
        <v>45744</v>
      </c>
      <c r="I756">
        <v>576</v>
      </c>
      <c r="J756">
        <v>576</v>
      </c>
      <c r="K756" t="s">
        <v>20</v>
      </c>
      <c r="L756">
        <v>13</v>
      </c>
      <c r="M756">
        <v>576</v>
      </c>
    </row>
    <row r="757" spans="1:13">
      <c r="A757" t="s">
        <v>859</v>
      </c>
      <c r="B757" t="s">
        <v>860</v>
      </c>
      <c r="C757" t="s">
        <v>16</v>
      </c>
      <c r="D757" t="s">
        <v>21</v>
      </c>
      <c r="E757" t="s">
        <v>869</v>
      </c>
      <c r="F757" t="s">
        <v>869</v>
      </c>
      <c r="G757" s="2">
        <v>45714</v>
      </c>
      <c r="H757" s="2">
        <v>45744</v>
      </c>
      <c r="I757">
        <v>180</v>
      </c>
      <c r="J757">
        <v>180</v>
      </c>
      <c r="K757" t="s">
        <v>20</v>
      </c>
      <c r="L757">
        <v>13</v>
      </c>
      <c r="M757">
        <v>180</v>
      </c>
    </row>
    <row r="758" spans="1:13">
      <c r="A758" t="s">
        <v>859</v>
      </c>
      <c r="B758" t="s">
        <v>860</v>
      </c>
      <c r="C758" t="s">
        <v>16</v>
      </c>
      <c r="D758" t="s">
        <v>21</v>
      </c>
      <c r="E758" t="s">
        <v>870</v>
      </c>
      <c r="F758" t="s">
        <v>870</v>
      </c>
      <c r="G758" s="2">
        <v>45714</v>
      </c>
      <c r="H758" s="2">
        <v>45744</v>
      </c>
      <c r="I758">
        <v>576</v>
      </c>
      <c r="J758">
        <v>576</v>
      </c>
      <c r="K758" t="s">
        <v>20</v>
      </c>
      <c r="L758">
        <v>13</v>
      </c>
      <c r="M758">
        <v>576</v>
      </c>
    </row>
    <row r="759" spans="1:13">
      <c r="A759" t="s">
        <v>859</v>
      </c>
      <c r="B759" t="s">
        <v>860</v>
      </c>
      <c r="C759" t="s">
        <v>16</v>
      </c>
      <c r="D759" t="s">
        <v>21</v>
      </c>
      <c r="E759" t="s">
        <v>871</v>
      </c>
      <c r="F759" t="s">
        <v>871</v>
      </c>
      <c r="G759" s="2">
        <v>45715</v>
      </c>
      <c r="H759" s="2">
        <v>45745</v>
      </c>
      <c r="I759">
        <v>660</v>
      </c>
      <c r="J759">
        <v>660</v>
      </c>
      <c r="K759" t="s">
        <v>20</v>
      </c>
      <c r="L759">
        <v>13</v>
      </c>
      <c r="M759">
        <v>660</v>
      </c>
    </row>
    <row r="760" spans="1:13">
      <c r="A760" t="s">
        <v>859</v>
      </c>
      <c r="B760" t="s">
        <v>860</v>
      </c>
      <c r="C760" t="s">
        <v>16</v>
      </c>
      <c r="D760" t="s">
        <v>21</v>
      </c>
      <c r="E760" t="s">
        <v>872</v>
      </c>
      <c r="F760" t="s">
        <v>872</v>
      </c>
      <c r="G760" s="2">
        <v>45716</v>
      </c>
      <c r="H760" s="2">
        <v>45746</v>
      </c>
      <c r="I760">
        <v>636</v>
      </c>
      <c r="J760">
        <v>636</v>
      </c>
      <c r="K760" t="s">
        <v>20</v>
      </c>
      <c r="L760">
        <v>13</v>
      </c>
      <c r="M760">
        <v>636</v>
      </c>
    </row>
    <row r="761" spans="1:13">
      <c r="A761" t="s">
        <v>859</v>
      </c>
      <c r="B761" t="s">
        <v>860</v>
      </c>
      <c r="C761" t="s">
        <v>16</v>
      </c>
      <c r="D761" t="s">
        <v>21</v>
      </c>
      <c r="E761" t="s">
        <v>873</v>
      </c>
      <c r="F761" t="s">
        <v>873</v>
      </c>
      <c r="G761" s="2">
        <v>45716</v>
      </c>
      <c r="H761" s="2">
        <v>45746</v>
      </c>
      <c r="I761">
        <v>318</v>
      </c>
      <c r="J761">
        <v>318</v>
      </c>
      <c r="K761" t="s">
        <v>20</v>
      </c>
      <c r="L761">
        <v>13</v>
      </c>
      <c r="M761">
        <v>318</v>
      </c>
    </row>
    <row r="762" spans="1:13">
      <c r="A762" t="s">
        <v>859</v>
      </c>
      <c r="B762" t="s">
        <v>860</v>
      </c>
      <c r="C762" t="s">
        <v>16</v>
      </c>
      <c r="D762" t="s">
        <v>21</v>
      </c>
      <c r="E762" t="s">
        <v>874</v>
      </c>
      <c r="F762" t="s">
        <v>874</v>
      </c>
      <c r="G762" s="2">
        <v>45716</v>
      </c>
      <c r="H762" s="2">
        <v>45746</v>
      </c>
      <c r="I762">
        <v>252</v>
      </c>
      <c r="J762">
        <v>252</v>
      </c>
      <c r="K762" t="s">
        <v>20</v>
      </c>
      <c r="L762">
        <v>13</v>
      </c>
      <c r="M762">
        <v>252</v>
      </c>
    </row>
    <row r="763" spans="1:13">
      <c r="A763" t="s">
        <v>859</v>
      </c>
      <c r="B763" t="s">
        <v>860</v>
      </c>
      <c r="C763" t="s">
        <v>16</v>
      </c>
      <c r="D763" t="s">
        <v>21</v>
      </c>
      <c r="E763" t="s">
        <v>875</v>
      </c>
      <c r="F763" t="s">
        <v>875</v>
      </c>
      <c r="G763" s="2">
        <v>45721</v>
      </c>
      <c r="H763" s="2">
        <v>45751</v>
      </c>
      <c r="I763">
        <v>215.04</v>
      </c>
      <c r="J763">
        <v>215.04</v>
      </c>
      <c r="K763" t="s">
        <v>20</v>
      </c>
      <c r="L763">
        <v>0</v>
      </c>
      <c r="M763">
        <v>0</v>
      </c>
    </row>
    <row r="764" spans="1:13">
      <c r="A764" t="s">
        <v>859</v>
      </c>
      <c r="B764" t="s">
        <v>860</v>
      </c>
      <c r="C764" t="s">
        <v>16</v>
      </c>
      <c r="D764" t="s">
        <v>21</v>
      </c>
      <c r="E764" t="s">
        <v>876</v>
      </c>
      <c r="F764" t="s">
        <v>876</v>
      </c>
      <c r="G764" s="2">
        <v>45723</v>
      </c>
      <c r="H764" s="2">
        <v>45753</v>
      </c>
      <c r="I764">
        <v>595.20000000000005</v>
      </c>
      <c r="J764">
        <v>595.20000000000005</v>
      </c>
      <c r="K764" t="s">
        <v>20</v>
      </c>
      <c r="L764">
        <v>0</v>
      </c>
      <c r="M764">
        <v>0</v>
      </c>
    </row>
    <row r="765" spans="1:13">
      <c r="A765" t="s">
        <v>859</v>
      </c>
      <c r="B765" t="s">
        <v>860</v>
      </c>
      <c r="C765" t="s">
        <v>16</v>
      </c>
      <c r="D765" t="s">
        <v>21</v>
      </c>
      <c r="E765" t="s">
        <v>877</v>
      </c>
      <c r="F765" t="s">
        <v>877</v>
      </c>
      <c r="G765" s="2">
        <v>45723</v>
      </c>
      <c r="H765" s="2">
        <v>45753</v>
      </c>
      <c r="I765">
        <v>424</v>
      </c>
      <c r="J765">
        <v>424</v>
      </c>
      <c r="K765" t="s">
        <v>20</v>
      </c>
      <c r="L765">
        <v>0</v>
      </c>
      <c r="M765">
        <v>0</v>
      </c>
    </row>
    <row r="766" spans="1:13">
      <c r="A766" t="s">
        <v>859</v>
      </c>
      <c r="B766" t="s">
        <v>860</v>
      </c>
      <c r="C766" t="s">
        <v>16</v>
      </c>
      <c r="D766" t="s">
        <v>21</v>
      </c>
      <c r="E766" t="s">
        <v>878</v>
      </c>
      <c r="F766" t="s">
        <v>878</v>
      </c>
      <c r="G766" s="2">
        <v>45723</v>
      </c>
      <c r="H766" s="2">
        <v>45753</v>
      </c>
      <c r="I766">
        <v>440</v>
      </c>
      <c r="J766">
        <v>440</v>
      </c>
      <c r="K766" t="s">
        <v>20</v>
      </c>
      <c r="L766">
        <v>0</v>
      </c>
      <c r="M766">
        <v>0</v>
      </c>
    </row>
    <row r="767" spans="1:13">
      <c r="A767" t="s">
        <v>859</v>
      </c>
      <c r="B767" t="s">
        <v>860</v>
      </c>
      <c r="C767" t="s">
        <v>16</v>
      </c>
      <c r="D767" t="s">
        <v>21</v>
      </c>
      <c r="E767" t="s">
        <v>879</v>
      </c>
      <c r="F767" t="s">
        <v>879</v>
      </c>
      <c r="G767" s="2">
        <v>45727</v>
      </c>
      <c r="H767" s="2">
        <v>45757</v>
      </c>
      <c r="I767">
        <v>212</v>
      </c>
      <c r="J767">
        <v>212</v>
      </c>
      <c r="K767" t="s">
        <v>20</v>
      </c>
      <c r="L767">
        <v>0</v>
      </c>
      <c r="M767">
        <v>0</v>
      </c>
    </row>
    <row r="768" spans="1:13">
      <c r="A768" t="s">
        <v>859</v>
      </c>
      <c r="B768" t="s">
        <v>860</v>
      </c>
      <c r="C768" t="s">
        <v>16</v>
      </c>
      <c r="D768" t="s">
        <v>21</v>
      </c>
      <c r="E768" t="s">
        <v>880</v>
      </c>
      <c r="F768" t="s">
        <v>880</v>
      </c>
      <c r="G768" s="2">
        <v>45727</v>
      </c>
      <c r="H768" s="2">
        <v>45757</v>
      </c>
      <c r="I768">
        <v>636</v>
      </c>
      <c r="J768">
        <v>636</v>
      </c>
      <c r="K768" t="s">
        <v>20</v>
      </c>
      <c r="L768">
        <v>0</v>
      </c>
      <c r="M768">
        <v>0</v>
      </c>
    </row>
    <row r="769" spans="1:13">
      <c r="A769" t="s">
        <v>859</v>
      </c>
      <c r="B769" t="s">
        <v>860</v>
      </c>
      <c r="C769" t="s">
        <v>16</v>
      </c>
      <c r="D769" t="s">
        <v>21</v>
      </c>
      <c r="E769" t="s">
        <v>881</v>
      </c>
      <c r="F769" t="s">
        <v>881</v>
      </c>
      <c r="G769" s="2">
        <v>45728</v>
      </c>
      <c r="H769" s="2">
        <v>45758</v>
      </c>
      <c r="I769" s="1">
        <v>1560.24</v>
      </c>
      <c r="J769">
        <v>1560.24</v>
      </c>
      <c r="K769" t="s">
        <v>20</v>
      </c>
      <c r="L769">
        <v>0</v>
      </c>
      <c r="M769">
        <v>0</v>
      </c>
    </row>
    <row r="770" spans="1:13">
      <c r="A770" t="s">
        <v>859</v>
      </c>
      <c r="B770" t="s">
        <v>860</v>
      </c>
      <c r="C770" t="s">
        <v>16</v>
      </c>
      <c r="D770" t="s">
        <v>21</v>
      </c>
      <c r="E770" t="s">
        <v>882</v>
      </c>
      <c r="F770" t="s">
        <v>882</v>
      </c>
      <c r="G770" s="2">
        <v>45729</v>
      </c>
      <c r="H770" s="2">
        <v>45759</v>
      </c>
      <c r="I770">
        <v>504</v>
      </c>
      <c r="J770">
        <v>504</v>
      </c>
      <c r="K770" t="s">
        <v>20</v>
      </c>
      <c r="L770">
        <v>0</v>
      </c>
      <c r="M770">
        <v>0</v>
      </c>
    </row>
    <row r="771" spans="1:13">
      <c r="A771" t="s">
        <v>859</v>
      </c>
      <c r="B771" t="s">
        <v>860</v>
      </c>
      <c r="C771" t="s">
        <v>16</v>
      </c>
      <c r="D771" t="s">
        <v>21</v>
      </c>
      <c r="E771" t="s">
        <v>883</v>
      </c>
      <c r="F771" t="s">
        <v>883</v>
      </c>
      <c r="G771" s="2">
        <v>45733</v>
      </c>
      <c r="H771" s="2">
        <v>45763</v>
      </c>
      <c r="I771">
        <v>636</v>
      </c>
      <c r="J771">
        <v>636</v>
      </c>
      <c r="K771" t="s">
        <v>20</v>
      </c>
      <c r="L771">
        <v>0</v>
      </c>
      <c r="M771">
        <v>0</v>
      </c>
    </row>
    <row r="772" spans="1:13">
      <c r="A772" t="s">
        <v>859</v>
      </c>
      <c r="B772" t="s">
        <v>860</v>
      </c>
      <c r="C772" t="s">
        <v>16</v>
      </c>
      <c r="D772" t="s">
        <v>21</v>
      </c>
      <c r="E772" t="s">
        <v>884</v>
      </c>
      <c r="F772" t="s">
        <v>884</v>
      </c>
      <c r="G772" s="2">
        <v>45733</v>
      </c>
      <c r="H772" s="2">
        <v>45763</v>
      </c>
      <c r="I772" s="1">
        <v>1106.17</v>
      </c>
      <c r="J772">
        <v>1106.17</v>
      </c>
      <c r="K772" t="s">
        <v>20</v>
      </c>
      <c r="L772">
        <v>0</v>
      </c>
      <c r="M772">
        <v>0</v>
      </c>
    </row>
    <row r="773" spans="1:13">
      <c r="A773" t="s">
        <v>859</v>
      </c>
      <c r="B773" t="s">
        <v>860</v>
      </c>
      <c r="C773" t="s">
        <v>16</v>
      </c>
      <c r="D773" t="s">
        <v>21</v>
      </c>
      <c r="E773" t="s">
        <v>885</v>
      </c>
      <c r="F773" t="s">
        <v>885</v>
      </c>
      <c r="G773" s="2">
        <v>45733</v>
      </c>
      <c r="H773" s="2">
        <v>45763</v>
      </c>
      <c r="I773">
        <v>424</v>
      </c>
      <c r="J773">
        <v>424</v>
      </c>
      <c r="K773" t="s">
        <v>20</v>
      </c>
      <c r="L773">
        <v>0</v>
      </c>
      <c r="M773">
        <v>0</v>
      </c>
    </row>
    <row r="774" spans="1:13">
      <c r="A774" t="s">
        <v>859</v>
      </c>
      <c r="B774" t="s">
        <v>860</v>
      </c>
      <c r="C774" t="s">
        <v>16</v>
      </c>
      <c r="D774" t="s">
        <v>21</v>
      </c>
      <c r="E774" t="s">
        <v>886</v>
      </c>
      <c r="F774" t="s">
        <v>886</v>
      </c>
      <c r="G774" s="2">
        <v>45734</v>
      </c>
      <c r="H774" s="2">
        <v>45764</v>
      </c>
      <c r="I774">
        <v>590.4</v>
      </c>
      <c r="J774">
        <v>590.4</v>
      </c>
      <c r="K774" t="s">
        <v>20</v>
      </c>
      <c r="L774">
        <v>0</v>
      </c>
      <c r="M774">
        <v>0</v>
      </c>
    </row>
    <row r="775" spans="1:13">
      <c r="A775" t="s">
        <v>859</v>
      </c>
      <c r="B775" t="s">
        <v>860</v>
      </c>
      <c r="C775" t="s">
        <v>16</v>
      </c>
      <c r="D775" t="s">
        <v>21</v>
      </c>
      <c r="E775" t="s">
        <v>887</v>
      </c>
      <c r="F775" t="s">
        <v>887</v>
      </c>
      <c r="G775" s="2">
        <v>45735</v>
      </c>
      <c r="H775" s="2">
        <v>45765</v>
      </c>
      <c r="I775">
        <v>720</v>
      </c>
      <c r="J775">
        <v>720</v>
      </c>
      <c r="K775" t="s">
        <v>20</v>
      </c>
      <c r="L775">
        <v>0</v>
      </c>
      <c r="M775">
        <v>0</v>
      </c>
    </row>
    <row r="776" spans="1:13">
      <c r="A776" t="s">
        <v>859</v>
      </c>
      <c r="B776" t="s">
        <v>860</v>
      </c>
      <c r="C776" t="s">
        <v>16</v>
      </c>
      <c r="D776" t="s">
        <v>21</v>
      </c>
      <c r="E776" t="s">
        <v>888</v>
      </c>
      <c r="F776" t="s">
        <v>888</v>
      </c>
      <c r="G776" s="2">
        <v>45735</v>
      </c>
      <c r="H776" s="2">
        <v>45765</v>
      </c>
      <c r="I776">
        <v>216</v>
      </c>
      <c r="J776">
        <v>216</v>
      </c>
      <c r="K776" t="s">
        <v>20</v>
      </c>
      <c r="L776">
        <v>0</v>
      </c>
      <c r="M776">
        <v>0</v>
      </c>
    </row>
    <row r="777" spans="1:13">
      <c r="A777" t="s">
        <v>859</v>
      </c>
      <c r="B777" t="s">
        <v>860</v>
      </c>
      <c r="C777" t="s">
        <v>16</v>
      </c>
      <c r="D777" t="s">
        <v>21</v>
      </c>
      <c r="E777" t="s">
        <v>889</v>
      </c>
      <c r="F777" t="s">
        <v>889</v>
      </c>
      <c r="G777" s="2">
        <v>45735</v>
      </c>
      <c r="H777" s="2">
        <v>45765</v>
      </c>
      <c r="I777">
        <v>684</v>
      </c>
      <c r="J777">
        <v>684</v>
      </c>
      <c r="K777" t="s">
        <v>20</v>
      </c>
      <c r="L777">
        <v>0</v>
      </c>
      <c r="M777">
        <v>0</v>
      </c>
    </row>
    <row r="778" spans="1:13">
      <c r="A778" t="s">
        <v>859</v>
      </c>
      <c r="B778" t="s">
        <v>860</v>
      </c>
      <c r="C778" t="s">
        <v>16</v>
      </c>
      <c r="D778" t="s">
        <v>21</v>
      </c>
      <c r="E778" t="s">
        <v>890</v>
      </c>
      <c r="F778" t="s">
        <v>890</v>
      </c>
      <c r="G778" s="2">
        <v>45735</v>
      </c>
      <c r="H778" s="2">
        <v>45765</v>
      </c>
      <c r="I778">
        <v>486</v>
      </c>
      <c r="J778">
        <v>486</v>
      </c>
      <c r="K778" t="s">
        <v>20</v>
      </c>
      <c r="L778">
        <v>0</v>
      </c>
      <c r="M778">
        <v>0</v>
      </c>
    </row>
    <row r="779" spans="1:13">
      <c r="A779" t="s">
        <v>859</v>
      </c>
      <c r="B779" t="s">
        <v>860</v>
      </c>
      <c r="C779" t="s">
        <v>16</v>
      </c>
      <c r="D779" t="s">
        <v>21</v>
      </c>
      <c r="E779" t="s">
        <v>891</v>
      </c>
      <c r="F779" t="s">
        <v>891</v>
      </c>
      <c r="G779" s="2">
        <v>45735</v>
      </c>
      <c r="H779" s="2">
        <v>45765</v>
      </c>
      <c r="I779">
        <v>702</v>
      </c>
      <c r="J779">
        <v>702</v>
      </c>
      <c r="K779" t="s">
        <v>20</v>
      </c>
      <c r="L779">
        <v>0</v>
      </c>
      <c r="M779">
        <v>0</v>
      </c>
    </row>
    <row r="780" spans="1:13">
      <c r="A780" t="s">
        <v>859</v>
      </c>
      <c r="B780" t="s">
        <v>860</v>
      </c>
      <c r="C780" t="s">
        <v>16</v>
      </c>
      <c r="D780" t="s">
        <v>21</v>
      </c>
      <c r="E780" t="s">
        <v>892</v>
      </c>
      <c r="F780" t="s">
        <v>892</v>
      </c>
      <c r="G780" s="2">
        <v>45741</v>
      </c>
      <c r="H780" s="2">
        <v>45771</v>
      </c>
      <c r="I780">
        <v>636.79999999999995</v>
      </c>
      <c r="J780">
        <v>636.79999999999995</v>
      </c>
      <c r="K780" t="s">
        <v>20</v>
      </c>
      <c r="L780">
        <v>0</v>
      </c>
      <c r="M780">
        <v>0</v>
      </c>
    </row>
    <row r="781" spans="1:13">
      <c r="A781" t="s">
        <v>859</v>
      </c>
      <c r="B781" t="s">
        <v>860</v>
      </c>
      <c r="C781" t="s">
        <v>16</v>
      </c>
      <c r="D781" t="s">
        <v>21</v>
      </c>
      <c r="E781" t="s">
        <v>893</v>
      </c>
      <c r="F781" t="s">
        <v>893</v>
      </c>
      <c r="G781" s="2">
        <v>45741</v>
      </c>
      <c r="H781" s="2">
        <v>45771</v>
      </c>
      <c r="I781" s="1">
        <v>1477.2</v>
      </c>
      <c r="J781">
        <v>1477.2</v>
      </c>
      <c r="K781" t="s">
        <v>20</v>
      </c>
      <c r="L781">
        <v>0</v>
      </c>
      <c r="M781">
        <v>0</v>
      </c>
    </row>
    <row r="782" spans="1:13">
      <c r="A782" t="s">
        <v>894</v>
      </c>
      <c r="B782" t="s">
        <v>895</v>
      </c>
      <c r="C782" t="s">
        <v>16</v>
      </c>
      <c r="D782" t="s">
        <v>21</v>
      </c>
      <c r="E782" t="s">
        <v>896</v>
      </c>
      <c r="F782" t="s">
        <v>896</v>
      </c>
      <c r="G782" s="2">
        <v>45684</v>
      </c>
      <c r="H782" s="2">
        <v>45714</v>
      </c>
      <c r="I782" s="1">
        <v>5178.8</v>
      </c>
      <c r="J782">
        <v>5178.8</v>
      </c>
      <c r="K782" t="s">
        <v>20</v>
      </c>
      <c r="L782">
        <v>0</v>
      </c>
      <c r="M782">
        <v>5178.8</v>
      </c>
    </row>
    <row r="783" spans="1:13">
      <c r="A783" t="s">
        <v>897</v>
      </c>
      <c r="B783" t="s">
        <v>898</v>
      </c>
      <c r="C783" t="s">
        <v>213</v>
      </c>
      <c r="D783" t="s">
        <v>17</v>
      </c>
      <c r="E783" t="s">
        <v>899</v>
      </c>
      <c r="F783" t="s">
        <v>19</v>
      </c>
      <c r="H783" s="2">
        <v>45532</v>
      </c>
      <c r="I783" s="1">
        <v>-1500</v>
      </c>
      <c r="J783">
        <v>-1500</v>
      </c>
      <c r="K783" t="s">
        <v>20</v>
      </c>
      <c r="L783">
        <v>0</v>
      </c>
      <c r="M783">
        <v>-1500</v>
      </c>
    </row>
    <row r="784" spans="1:13">
      <c r="A784" t="s">
        <v>897</v>
      </c>
      <c r="B784" t="s">
        <v>898</v>
      </c>
      <c r="C784" t="s">
        <v>213</v>
      </c>
      <c r="D784" t="s">
        <v>21</v>
      </c>
      <c r="E784" t="s">
        <v>900</v>
      </c>
      <c r="F784" t="s">
        <v>900</v>
      </c>
      <c r="G784" s="2">
        <v>45734</v>
      </c>
      <c r="H784" s="2">
        <v>45734</v>
      </c>
      <c r="I784">
        <v>523.55999999999995</v>
      </c>
      <c r="J784">
        <v>523.55999999999995</v>
      </c>
      <c r="K784" t="s">
        <v>20</v>
      </c>
      <c r="L784">
        <v>12</v>
      </c>
      <c r="M784">
        <v>523.55999999999995</v>
      </c>
    </row>
    <row r="785" spans="1:13">
      <c r="A785" t="s">
        <v>897</v>
      </c>
      <c r="B785" t="s">
        <v>898</v>
      </c>
      <c r="C785" t="s">
        <v>213</v>
      </c>
      <c r="D785" t="s">
        <v>21</v>
      </c>
      <c r="E785" t="s">
        <v>901</v>
      </c>
      <c r="F785" t="s">
        <v>901</v>
      </c>
      <c r="G785" s="2">
        <v>45734</v>
      </c>
      <c r="H785" s="2">
        <v>45734</v>
      </c>
      <c r="I785" s="1">
        <v>1195.2</v>
      </c>
      <c r="J785">
        <v>1195.2</v>
      </c>
      <c r="K785" t="s">
        <v>20</v>
      </c>
      <c r="L785">
        <v>12</v>
      </c>
      <c r="M785">
        <v>1195.2</v>
      </c>
    </row>
    <row r="786" spans="1:13">
      <c r="A786" t="s">
        <v>902</v>
      </c>
      <c r="B786" t="s">
        <v>903</v>
      </c>
      <c r="C786" t="s">
        <v>16</v>
      </c>
      <c r="D786" t="s">
        <v>21</v>
      </c>
      <c r="E786" t="s">
        <v>904</v>
      </c>
      <c r="F786" t="s">
        <v>904</v>
      </c>
      <c r="G786" s="2">
        <v>45735</v>
      </c>
      <c r="H786" s="2">
        <v>45765</v>
      </c>
      <c r="I786" s="1">
        <v>1708.2</v>
      </c>
      <c r="J786">
        <v>1708.2</v>
      </c>
      <c r="K786" t="s">
        <v>20</v>
      </c>
      <c r="L786">
        <v>0</v>
      </c>
      <c r="M786">
        <v>0</v>
      </c>
    </row>
    <row r="787" spans="1:13">
      <c r="A787" t="s">
        <v>905</v>
      </c>
      <c r="B787" t="s">
        <v>906</v>
      </c>
      <c r="C787" t="s">
        <v>16</v>
      </c>
      <c r="D787" t="s">
        <v>55</v>
      </c>
      <c r="E787" t="s">
        <v>19</v>
      </c>
      <c r="F787" t="s">
        <v>19</v>
      </c>
      <c r="H787" s="2">
        <v>45712</v>
      </c>
      <c r="I787">
        <v>-170.53</v>
      </c>
      <c r="J787">
        <v>-170.53</v>
      </c>
      <c r="K787" t="s">
        <v>20</v>
      </c>
      <c r="L787">
        <v>0</v>
      </c>
      <c r="M787">
        <v>-170.53</v>
      </c>
    </row>
    <row r="788" spans="1:13">
      <c r="A788" t="s">
        <v>905</v>
      </c>
      <c r="B788" t="s">
        <v>906</v>
      </c>
      <c r="C788" t="s">
        <v>16</v>
      </c>
      <c r="D788" t="s">
        <v>55</v>
      </c>
      <c r="E788" t="s">
        <v>19</v>
      </c>
      <c r="F788" t="s">
        <v>19</v>
      </c>
      <c r="H788" s="2">
        <v>45722</v>
      </c>
      <c r="I788">
        <v>-353.97</v>
      </c>
      <c r="J788">
        <v>-353.97</v>
      </c>
      <c r="K788" t="s">
        <v>20</v>
      </c>
      <c r="L788">
        <v>10</v>
      </c>
      <c r="M788">
        <v>-353.97</v>
      </c>
    </row>
    <row r="789" spans="1:13">
      <c r="A789" t="s">
        <v>905</v>
      </c>
      <c r="B789" t="s">
        <v>906</v>
      </c>
      <c r="C789" t="s">
        <v>16</v>
      </c>
      <c r="D789" t="s">
        <v>21</v>
      </c>
      <c r="E789" t="s">
        <v>907</v>
      </c>
      <c r="F789" t="s">
        <v>907</v>
      </c>
      <c r="G789" s="2">
        <v>45716</v>
      </c>
      <c r="H789" s="2">
        <v>45746</v>
      </c>
      <c r="I789" s="1">
        <v>1649.82</v>
      </c>
      <c r="J789">
        <v>1649.82</v>
      </c>
      <c r="K789" t="s">
        <v>20</v>
      </c>
      <c r="L789">
        <v>13</v>
      </c>
      <c r="M789">
        <v>1649.82</v>
      </c>
    </row>
    <row r="790" spans="1:13">
      <c r="A790" t="s">
        <v>908</v>
      </c>
      <c r="B790" t="s">
        <v>909</v>
      </c>
      <c r="C790" t="s">
        <v>16</v>
      </c>
      <c r="D790" t="s">
        <v>21</v>
      </c>
      <c r="E790" t="s">
        <v>910</v>
      </c>
      <c r="F790" t="s">
        <v>910</v>
      </c>
      <c r="G790" s="2">
        <v>45610</v>
      </c>
      <c r="H790" s="2">
        <v>45640</v>
      </c>
      <c r="I790" s="1">
        <v>4708</v>
      </c>
      <c r="J790">
        <v>-308</v>
      </c>
      <c r="K790" t="s">
        <v>20</v>
      </c>
      <c r="L790">
        <v>0</v>
      </c>
      <c r="M790">
        <v>-308</v>
      </c>
    </row>
    <row r="791" spans="1:13">
      <c r="A791" t="s">
        <v>908</v>
      </c>
      <c r="B791" t="s">
        <v>909</v>
      </c>
      <c r="C791" t="s">
        <v>16</v>
      </c>
      <c r="D791" t="s">
        <v>17</v>
      </c>
      <c r="E791" t="s">
        <v>911</v>
      </c>
      <c r="F791" t="s">
        <v>910</v>
      </c>
      <c r="H791" s="2">
        <v>45664</v>
      </c>
      <c r="I791" s="1">
        <v>-4708</v>
      </c>
      <c r="J791" t="s">
        <v>86</v>
      </c>
      <c r="K791" t="s">
        <v>20</v>
      </c>
      <c r="L791">
        <v>0</v>
      </c>
      <c r="M791" t="s">
        <v>86</v>
      </c>
    </row>
    <row r="792" spans="1:13">
      <c r="A792" t="s">
        <v>908</v>
      </c>
      <c r="B792" t="s">
        <v>909</v>
      </c>
      <c r="C792" t="s">
        <v>16</v>
      </c>
      <c r="D792" t="s">
        <v>17</v>
      </c>
      <c r="E792" t="s">
        <v>912</v>
      </c>
      <c r="F792" t="s">
        <v>910</v>
      </c>
      <c r="H792" s="2">
        <v>45667</v>
      </c>
      <c r="I792">
        <v>-308</v>
      </c>
      <c r="J792" t="s">
        <v>86</v>
      </c>
      <c r="K792" t="s">
        <v>20</v>
      </c>
      <c r="L792">
        <v>0</v>
      </c>
      <c r="M792" t="s">
        <v>86</v>
      </c>
    </row>
    <row r="793" spans="1:13">
      <c r="A793" t="s">
        <v>908</v>
      </c>
      <c r="B793" t="s">
        <v>909</v>
      </c>
      <c r="C793" t="s">
        <v>16</v>
      </c>
      <c r="D793" t="s">
        <v>21</v>
      </c>
      <c r="E793" t="s">
        <v>913</v>
      </c>
      <c r="F793" t="s">
        <v>913</v>
      </c>
      <c r="G793" s="2">
        <v>45621</v>
      </c>
      <c r="H793" s="2">
        <v>45651</v>
      </c>
      <c r="I793" s="1">
        <v>5704.06</v>
      </c>
      <c r="J793">
        <v>-138.6</v>
      </c>
      <c r="K793" t="s">
        <v>20</v>
      </c>
      <c r="L793">
        <v>0</v>
      </c>
      <c r="M793">
        <v>-138.6</v>
      </c>
    </row>
    <row r="794" spans="1:13">
      <c r="A794" t="s">
        <v>908</v>
      </c>
      <c r="B794" t="s">
        <v>909</v>
      </c>
      <c r="C794" t="s">
        <v>16</v>
      </c>
      <c r="D794" t="s">
        <v>17</v>
      </c>
      <c r="E794" t="s">
        <v>914</v>
      </c>
      <c r="F794" t="s">
        <v>913</v>
      </c>
      <c r="H794" s="2">
        <v>45666</v>
      </c>
      <c r="I794" s="1">
        <v>-2118.6</v>
      </c>
      <c r="J794" t="s">
        <v>86</v>
      </c>
      <c r="K794" t="s">
        <v>20</v>
      </c>
      <c r="L794">
        <v>0</v>
      </c>
      <c r="M794" t="s">
        <v>86</v>
      </c>
    </row>
    <row r="795" spans="1:13">
      <c r="A795" t="s">
        <v>908</v>
      </c>
      <c r="B795" t="s">
        <v>909</v>
      </c>
      <c r="C795" t="s">
        <v>16</v>
      </c>
      <c r="D795" t="s">
        <v>17</v>
      </c>
      <c r="E795" t="s">
        <v>915</v>
      </c>
      <c r="F795" t="s">
        <v>913</v>
      </c>
      <c r="H795" s="2">
        <v>45667</v>
      </c>
      <c r="I795">
        <v>-373.16</v>
      </c>
      <c r="J795" t="s">
        <v>86</v>
      </c>
      <c r="K795" t="s">
        <v>20</v>
      </c>
      <c r="L795">
        <v>0</v>
      </c>
      <c r="M795" t="s">
        <v>86</v>
      </c>
    </row>
    <row r="796" spans="1:13">
      <c r="A796" t="s">
        <v>908</v>
      </c>
      <c r="B796" t="s">
        <v>909</v>
      </c>
      <c r="C796" t="s">
        <v>16</v>
      </c>
      <c r="D796" t="s">
        <v>55</v>
      </c>
      <c r="E796" t="s">
        <v>913</v>
      </c>
      <c r="F796" t="s">
        <v>913</v>
      </c>
      <c r="H796" s="2">
        <v>45653</v>
      </c>
      <c r="I796" s="1">
        <v>-3350.9</v>
      </c>
      <c r="J796" t="s">
        <v>86</v>
      </c>
      <c r="K796" t="s">
        <v>20</v>
      </c>
      <c r="L796">
        <v>0</v>
      </c>
      <c r="M796" t="s">
        <v>86</v>
      </c>
    </row>
    <row r="797" spans="1:13">
      <c r="A797" t="s">
        <v>908</v>
      </c>
      <c r="B797" t="s">
        <v>909</v>
      </c>
      <c r="C797" t="s">
        <v>16</v>
      </c>
      <c r="D797" t="s">
        <v>21</v>
      </c>
      <c r="E797" t="s">
        <v>916</v>
      </c>
      <c r="F797" t="s">
        <v>916</v>
      </c>
      <c r="G797" s="2">
        <v>45628</v>
      </c>
      <c r="H797" s="2">
        <v>45658</v>
      </c>
      <c r="I797" s="1">
        <v>2692.28</v>
      </c>
      <c r="J797">
        <v>176.13</v>
      </c>
      <c r="K797" t="s">
        <v>20</v>
      </c>
      <c r="L797">
        <v>0</v>
      </c>
      <c r="M797">
        <v>176.13</v>
      </c>
    </row>
    <row r="798" spans="1:13">
      <c r="A798" t="s">
        <v>908</v>
      </c>
      <c r="B798" t="s">
        <v>909</v>
      </c>
      <c r="C798" t="s">
        <v>16</v>
      </c>
      <c r="D798" t="s">
        <v>55</v>
      </c>
      <c r="E798" t="s">
        <v>916</v>
      </c>
      <c r="F798" t="s">
        <v>916</v>
      </c>
      <c r="H798" s="2">
        <v>45653</v>
      </c>
      <c r="I798" s="1">
        <v>-2516.15</v>
      </c>
      <c r="J798" t="s">
        <v>86</v>
      </c>
      <c r="K798" t="s">
        <v>20</v>
      </c>
      <c r="L798">
        <v>0</v>
      </c>
      <c r="M798" t="s">
        <v>86</v>
      </c>
    </row>
    <row r="799" spans="1:13">
      <c r="A799" t="s">
        <v>917</v>
      </c>
      <c r="B799" t="s">
        <v>918</v>
      </c>
      <c r="C799" t="s">
        <v>16</v>
      </c>
      <c r="D799" t="s">
        <v>55</v>
      </c>
      <c r="E799" t="s">
        <v>19</v>
      </c>
      <c r="F799" t="s">
        <v>19</v>
      </c>
      <c r="H799" s="2">
        <v>45470</v>
      </c>
      <c r="I799">
        <v>-6.34</v>
      </c>
      <c r="J799">
        <v>-6.34</v>
      </c>
      <c r="K799" t="s">
        <v>20</v>
      </c>
      <c r="L799">
        <v>0</v>
      </c>
      <c r="M799">
        <v>-6.34</v>
      </c>
    </row>
    <row r="800" spans="1:13">
      <c r="A800" t="s">
        <v>919</v>
      </c>
      <c r="B800" t="s">
        <v>920</v>
      </c>
      <c r="C800" t="s">
        <v>16</v>
      </c>
      <c r="D800" t="s">
        <v>17</v>
      </c>
      <c r="E800" t="s">
        <v>921</v>
      </c>
      <c r="F800" t="s">
        <v>19</v>
      </c>
      <c r="H800" s="2">
        <v>45519</v>
      </c>
      <c r="I800">
        <v>-31.9</v>
      </c>
      <c r="J800">
        <v>-31.9</v>
      </c>
      <c r="K800" t="s">
        <v>20</v>
      </c>
      <c r="L800">
        <v>0</v>
      </c>
      <c r="M800">
        <v>-31.9</v>
      </c>
    </row>
    <row r="801" spans="1:13">
      <c r="A801" t="s">
        <v>922</v>
      </c>
      <c r="B801" t="s">
        <v>923</v>
      </c>
      <c r="C801" t="s">
        <v>213</v>
      </c>
      <c r="D801" t="s">
        <v>21</v>
      </c>
      <c r="E801" t="s">
        <v>924</v>
      </c>
      <c r="F801" t="s">
        <v>924</v>
      </c>
      <c r="G801" s="2">
        <v>45408</v>
      </c>
      <c r="H801" s="2">
        <v>45408</v>
      </c>
      <c r="I801">
        <v>39.479999999999997</v>
      </c>
      <c r="J801">
        <v>39.479999999999997</v>
      </c>
      <c r="K801" t="s">
        <v>20</v>
      </c>
      <c r="L801">
        <v>0</v>
      </c>
      <c r="M801">
        <v>39.479999999999997</v>
      </c>
    </row>
    <row r="802" spans="1:13">
      <c r="A802" t="s">
        <v>922</v>
      </c>
      <c r="B802" t="s">
        <v>923</v>
      </c>
      <c r="C802" t="s">
        <v>213</v>
      </c>
      <c r="D802" t="s">
        <v>21</v>
      </c>
      <c r="E802" t="s">
        <v>925</v>
      </c>
      <c r="F802" t="s">
        <v>925</v>
      </c>
      <c r="G802" s="2">
        <v>45419</v>
      </c>
      <c r="H802" s="2">
        <v>45419</v>
      </c>
      <c r="I802">
        <v>25.01</v>
      </c>
      <c r="J802">
        <v>25.01</v>
      </c>
      <c r="K802" t="s">
        <v>20</v>
      </c>
      <c r="L802">
        <v>0</v>
      </c>
      <c r="M802">
        <v>25.01</v>
      </c>
    </row>
    <row r="803" spans="1:13">
      <c r="A803" t="s">
        <v>922</v>
      </c>
      <c r="B803" t="s">
        <v>923</v>
      </c>
      <c r="C803" t="s">
        <v>213</v>
      </c>
      <c r="D803" t="s">
        <v>21</v>
      </c>
      <c r="E803" t="s">
        <v>926</v>
      </c>
      <c r="F803" t="s">
        <v>926</v>
      </c>
      <c r="G803" s="2">
        <v>45678</v>
      </c>
      <c r="H803" s="2">
        <v>45678</v>
      </c>
      <c r="I803" s="1">
        <v>1014.5</v>
      </c>
      <c r="J803">
        <v>991.85</v>
      </c>
      <c r="K803" t="s">
        <v>20</v>
      </c>
      <c r="L803">
        <v>0</v>
      </c>
      <c r="M803">
        <v>991.85</v>
      </c>
    </row>
    <row r="804" spans="1:13">
      <c r="A804" t="s">
        <v>922</v>
      </c>
      <c r="B804" t="s">
        <v>923</v>
      </c>
      <c r="C804" t="s">
        <v>213</v>
      </c>
      <c r="D804" t="s">
        <v>17</v>
      </c>
      <c r="E804" t="s">
        <v>927</v>
      </c>
      <c r="F804" t="s">
        <v>926</v>
      </c>
      <c r="H804" s="2">
        <v>45715</v>
      </c>
      <c r="I804">
        <v>-22.65</v>
      </c>
      <c r="J804" t="s">
        <v>86</v>
      </c>
      <c r="K804" t="s">
        <v>20</v>
      </c>
      <c r="L804">
        <v>0</v>
      </c>
      <c r="M804" t="s">
        <v>86</v>
      </c>
    </row>
    <row r="805" spans="1:13">
      <c r="A805" t="s">
        <v>928</v>
      </c>
      <c r="B805" t="s">
        <v>929</v>
      </c>
      <c r="C805" t="s">
        <v>16</v>
      </c>
      <c r="D805" t="s">
        <v>21</v>
      </c>
      <c r="E805" t="s">
        <v>930</v>
      </c>
      <c r="F805" t="s">
        <v>930</v>
      </c>
      <c r="G805" s="2">
        <v>45553</v>
      </c>
      <c r="H805" s="2">
        <v>45583</v>
      </c>
      <c r="I805" s="1">
        <v>6614.46</v>
      </c>
      <c r="J805">
        <v>143.1</v>
      </c>
      <c r="K805" t="s">
        <v>20</v>
      </c>
      <c r="L805">
        <v>0</v>
      </c>
      <c r="M805">
        <v>143.1</v>
      </c>
    </row>
    <row r="806" spans="1:13">
      <c r="A806" t="s">
        <v>928</v>
      </c>
      <c r="B806" t="s">
        <v>929</v>
      </c>
      <c r="C806" t="s">
        <v>16</v>
      </c>
      <c r="D806" t="s">
        <v>55</v>
      </c>
      <c r="E806" t="s">
        <v>930</v>
      </c>
      <c r="F806" t="s">
        <v>930</v>
      </c>
      <c r="H806" s="2">
        <v>45587</v>
      </c>
      <c r="I806" s="1">
        <v>-6471.36</v>
      </c>
      <c r="J806" t="s">
        <v>86</v>
      </c>
      <c r="K806" t="s">
        <v>20</v>
      </c>
      <c r="L806">
        <v>0</v>
      </c>
      <c r="M806" t="s">
        <v>86</v>
      </c>
    </row>
    <row r="807" spans="1:13">
      <c r="A807" t="s">
        <v>928</v>
      </c>
      <c r="B807" t="s">
        <v>929</v>
      </c>
      <c r="C807" t="s">
        <v>16</v>
      </c>
      <c r="D807" t="s">
        <v>21</v>
      </c>
      <c r="E807" t="s">
        <v>931</v>
      </c>
      <c r="F807" t="s">
        <v>931</v>
      </c>
      <c r="G807" s="2">
        <v>45600</v>
      </c>
      <c r="H807" s="2">
        <v>45630</v>
      </c>
      <c r="I807" s="1">
        <v>1728</v>
      </c>
      <c r="J807">
        <v>898.56</v>
      </c>
      <c r="K807" t="s">
        <v>20</v>
      </c>
      <c r="L807">
        <v>0</v>
      </c>
      <c r="M807">
        <v>898.56</v>
      </c>
    </row>
    <row r="808" spans="1:13">
      <c r="A808" t="s">
        <v>928</v>
      </c>
      <c r="B808" t="s">
        <v>929</v>
      </c>
      <c r="C808" t="s">
        <v>16</v>
      </c>
      <c r="D808" t="s">
        <v>55</v>
      </c>
      <c r="E808" t="s">
        <v>931</v>
      </c>
      <c r="F808" t="s">
        <v>931</v>
      </c>
      <c r="H808" s="2">
        <v>45635</v>
      </c>
      <c r="I808">
        <v>-829.44</v>
      </c>
      <c r="J808" t="s">
        <v>86</v>
      </c>
      <c r="K808" t="s">
        <v>20</v>
      </c>
      <c r="L808">
        <v>0</v>
      </c>
      <c r="M808" t="s">
        <v>86</v>
      </c>
    </row>
    <row r="809" spans="1:13">
      <c r="A809" t="s">
        <v>928</v>
      </c>
      <c r="B809" t="s">
        <v>929</v>
      </c>
      <c r="C809" t="s">
        <v>16</v>
      </c>
      <c r="D809" t="s">
        <v>21</v>
      </c>
      <c r="E809" t="s">
        <v>932</v>
      </c>
      <c r="F809" t="s">
        <v>932</v>
      </c>
      <c r="G809" s="2">
        <v>45715</v>
      </c>
      <c r="H809" s="2">
        <v>45745</v>
      </c>
      <c r="I809" s="1">
        <v>1076.4000000000001</v>
      </c>
      <c r="J809">
        <v>1076.4000000000001</v>
      </c>
      <c r="K809" t="s">
        <v>20</v>
      </c>
      <c r="L809">
        <v>13</v>
      </c>
      <c r="M809">
        <v>1076.4000000000001</v>
      </c>
    </row>
    <row r="810" spans="1:13">
      <c r="A810" t="s">
        <v>928</v>
      </c>
      <c r="B810" t="s">
        <v>929</v>
      </c>
      <c r="C810" t="s">
        <v>16</v>
      </c>
      <c r="D810" t="s">
        <v>21</v>
      </c>
      <c r="E810" t="s">
        <v>933</v>
      </c>
      <c r="F810" t="s">
        <v>933</v>
      </c>
      <c r="G810" s="2">
        <v>45715</v>
      </c>
      <c r="H810" s="2">
        <v>45745</v>
      </c>
      <c r="I810" s="1">
        <v>2742</v>
      </c>
      <c r="J810">
        <v>2742</v>
      </c>
      <c r="K810" t="s">
        <v>20</v>
      </c>
      <c r="L810">
        <v>13</v>
      </c>
      <c r="M810">
        <v>2742</v>
      </c>
    </row>
    <row r="811" spans="1:13">
      <c r="A811" t="s">
        <v>928</v>
      </c>
      <c r="B811" t="s">
        <v>929</v>
      </c>
      <c r="C811" t="s">
        <v>16</v>
      </c>
      <c r="D811" t="s">
        <v>21</v>
      </c>
      <c r="E811" t="s">
        <v>934</v>
      </c>
      <c r="F811" t="s">
        <v>934</v>
      </c>
      <c r="G811" s="2">
        <v>45715</v>
      </c>
      <c r="H811" s="2">
        <v>45745</v>
      </c>
      <c r="I811">
        <v>780</v>
      </c>
      <c r="J811">
        <v>780</v>
      </c>
      <c r="K811" t="s">
        <v>20</v>
      </c>
      <c r="L811">
        <v>13</v>
      </c>
      <c r="M811">
        <v>780</v>
      </c>
    </row>
    <row r="812" spans="1:13">
      <c r="A812" t="s">
        <v>928</v>
      </c>
      <c r="B812" t="s">
        <v>929</v>
      </c>
      <c r="C812" t="s">
        <v>16</v>
      </c>
      <c r="D812" t="s">
        <v>21</v>
      </c>
      <c r="E812" t="s">
        <v>935</v>
      </c>
      <c r="F812" t="s">
        <v>935</v>
      </c>
      <c r="G812" s="2">
        <v>45716</v>
      </c>
      <c r="H812" s="2">
        <v>45746</v>
      </c>
      <c r="I812" s="1">
        <v>3924</v>
      </c>
      <c r="J812">
        <v>3924</v>
      </c>
      <c r="K812" t="s">
        <v>20</v>
      </c>
      <c r="L812">
        <v>13</v>
      </c>
      <c r="M812">
        <v>3924</v>
      </c>
    </row>
    <row r="813" spans="1:13">
      <c r="A813" t="s">
        <v>928</v>
      </c>
      <c r="B813" t="s">
        <v>929</v>
      </c>
      <c r="C813" t="s">
        <v>16</v>
      </c>
      <c r="D813" t="s">
        <v>21</v>
      </c>
      <c r="E813" t="s">
        <v>936</v>
      </c>
      <c r="F813" t="s">
        <v>936</v>
      </c>
      <c r="G813" s="2">
        <v>45716</v>
      </c>
      <c r="H813" s="2">
        <v>45746</v>
      </c>
      <c r="I813" s="1">
        <v>1614.24</v>
      </c>
      <c r="J813">
        <v>1614.24</v>
      </c>
      <c r="K813" t="s">
        <v>20</v>
      </c>
      <c r="L813">
        <v>13</v>
      </c>
      <c r="M813">
        <v>1614.24</v>
      </c>
    </row>
    <row r="814" spans="1:13">
      <c r="A814" t="s">
        <v>928</v>
      </c>
      <c r="B814" t="s">
        <v>929</v>
      </c>
      <c r="C814" t="s">
        <v>16</v>
      </c>
      <c r="D814" t="s">
        <v>21</v>
      </c>
      <c r="E814" t="s">
        <v>937</v>
      </c>
      <c r="F814" t="s">
        <v>937</v>
      </c>
      <c r="G814" s="2">
        <v>45716</v>
      </c>
      <c r="H814" s="2">
        <v>45746</v>
      </c>
      <c r="I814" s="1">
        <v>1621.92</v>
      </c>
      <c r="J814">
        <v>1621.92</v>
      </c>
      <c r="K814" t="s">
        <v>20</v>
      </c>
      <c r="L814">
        <v>13</v>
      </c>
      <c r="M814">
        <v>1621.92</v>
      </c>
    </row>
    <row r="815" spans="1:13">
      <c r="A815" t="s">
        <v>928</v>
      </c>
      <c r="B815" t="s">
        <v>929</v>
      </c>
      <c r="C815" t="s">
        <v>16</v>
      </c>
      <c r="D815" t="s">
        <v>21</v>
      </c>
      <c r="E815" t="s">
        <v>938</v>
      </c>
      <c r="F815" t="s">
        <v>938</v>
      </c>
      <c r="G815" s="2">
        <v>45723</v>
      </c>
      <c r="H815" s="2">
        <v>45753</v>
      </c>
      <c r="I815">
        <v>567</v>
      </c>
      <c r="J815">
        <v>567</v>
      </c>
      <c r="K815" t="s">
        <v>20</v>
      </c>
      <c r="L815">
        <v>0</v>
      </c>
      <c r="M815">
        <v>0</v>
      </c>
    </row>
    <row r="816" spans="1:13">
      <c r="A816" t="s">
        <v>928</v>
      </c>
      <c r="B816" t="s">
        <v>929</v>
      </c>
      <c r="C816" t="s">
        <v>16</v>
      </c>
      <c r="D816" t="s">
        <v>21</v>
      </c>
      <c r="E816" t="s">
        <v>939</v>
      </c>
      <c r="F816" t="s">
        <v>939</v>
      </c>
      <c r="G816" s="2">
        <v>45723</v>
      </c>
      <c r="H816" s="2">
        <v>45753</v>
      </c>
      <c r="I816">
        <v>945</v>
      </c>
      <c r="J816">
        <v>945</v>
      </c>
      <c r="K816" t="s">
        <v>20</v>
      </c>
      <c r="L816">
        <v>0</v>
      </c>
      <c r="M816">
        <v>0</v>
      </c>
    </row>
    <row r="817" spans="1:13">
      <c r="A817" t="s">
        <v>928</v>
      </c>
      <c r="B817" t="s">
        <v>929</v>
      </c>
      <c r="C817" t="s">
        <v>16</v>
      </c>
      <c r="D817" t="s">
        <v>21</v>
      </c>
      <c r="E817" t="s">
        <v>940</v>
      </c>
      <c r="F817" t="s">
        <v>940</v>
      </c>
      <c r="G817" s="2">
        <v>45723</v>
      </c>
      <c r="H817" s="2">
        <v>45753</v>
      </c>
      <c r="I817">
        <v>756</v>
      </c>
      <c r="J817">
        <v>756</v>
      </c>
      <c r="K817" t="s">
        <v>20</v>
      </c>
      <c r="L817">
        <v>0</v>
      </c>
      <c r="M817">
        <v>0</v>
      </c>
    </row>
    <row r="818" spans="1:13">
      <c r="A818" t="s">
        <v>928</v>
      </c>
      <c r="B818" t="s">
        <v>929</v>
      </c>
      <c r="C818" t="s">
        <v>16</v>
      </c>
      <c r="D818" t="s">
        <v>21</v>
      </c>
      <c r="E818" t="s">
        <v>941</v>
      </c>
      <c r="F818" t="s">
        <v>941</v>
      </c>
      <c r="G818" s="2">
        <v>45723</v>
      </c>
      <c r="H818" s="2">
        <v>45753</v>
      </c>
      <c r="I818">
        <v>756</v>
      </c>
      <c r="J818">
        <v>756</v>
      </c>
      <c r="K818" t="s">
        <v>20</v>
      </c>
      <c r="L818">
        <v>0</v>
      </c>
      <c r="M818">
        <v>0</v>
      </c>
    </row>
    <row r="819" spans="1:13">
      <c r="A819" t="s">
        <v>928</v>
      </c>
      <c r="B819" t="s">
        <v>929</v>
      </c>
      <c r="C819" t="s">
        <v>16</v>
      </c>
      <c r="D819" t="s">
        <v>21</v>
      </c>
      <c r="E819" t="s">
        <v>942</v>
      </c>
      <c r="F819" t="s">
        <v>942</v>
      </c>
      <c r="G819" s="2">
        <v>45723</v>
      </c>
      <c r="H819" s="2">
        <v>45753</v>
      </c>
      <c r="I819" s="1">
        <v>4636.8</v>
      </c>
      <c r="J819">
        <v>4636.8</v>
      </c>
      <c r="K819" t="s">
        <v>20</v>
      </c>
      <c r="L819">
        <v>0</v>
      </c>
      <c r="M819">
        <v>0</v>
      </c>
    </row>
    <row r="820" spans="1:13">
      <c r="A820" t="s">
        <v>928</v>
      </c>
      <c r="B820" t="s">
        <v>929</v>
      </c>
      <c r="C820" t="s">
        <v>16</v>
      </c>
      <c r="D820" t="s">
        <v>21</v>
      </c>
      <c r="E820" t="s">
        <v>943</v>
      </c>
      <c r="F820" t="s">
        <v>943</v>
      </c>
      <c r="G820" s="2">
        <v>45723</v>
      </c>
      <c r="H820" s="2">
        <v>45753</v>
      </c>
      <c r="I820" s="1">
        <v>3595.2</v>
      </c>
      <c r="J820">
        <v>3595.2</v>
      </c>
      <c r="K820" t="s">
        <v>20</v>
      </c>
      <c r="L820">
        <v>0</v>
      </c>
      <c r="M820">
        <v>0</v>
      </c>
    </row>
    <row r="821" spans="1:13">
      <c r="A821" t="s">
        <v>928</v>
      </c>
      <c r="B821" t="s">
        <v>929</v>
      </c>
      <c r="C821" t="s">
        <v>16</v>
      </c>
      <c r="D821" t="s">
        <v>21</v>
      </c>
      <c r="E821" t="s">
        <v>944</v>
      </c>
      <c r="F821" t="s">
        <v>944</v>
      </c>
      <c r="G821" s="2">
        <v>45723</v>
      </c>
      <c r="H821" s="2">
        <v>45753</v>
      </c>
      <c r="I821" s="1">
        <v>2592</v>
      </c>
      <c r="J821">
        <v>2592</v>
      </c>
      <c r="K821" t="s">
        <v>20</v>
      </c>
      <c r="L821">
        <v>0</v>
      </c>
      <c r="M821">
        <v>0</v>
      </c>
    </row>
    <row r="822" spans="1:13">
      <c r="A822" t="s">
        <v>928</v>
      </c>
      <c r="B822" t="s">
        <v>929</v>
      </c>
      <c r="C822" t="s">
        <v>16</v>
      </c>
      <c r="D822" t="s">
        <v>21</v>
      </c>
      <c r="E822" t="s">
        <v>945</v>
      </c>
      <c r="F822" t="s">
        <v>945</v>
      </c>
      <c r="G822" s="2">
        <v>45723</v>
      </c>
      <c r="H822" s="2">
        <v>45753</v>
      </c>
      <c r="I822" s="1">
        <v>3600</v>
      </c>
      <c r="J822">
        <v>3600</v>
      </c>
      <c r="K822" t="s">
        <v>20</v>
      </c>
      <c r="L822">
        <v>0</v>
      </c>
      <c r="M822">
        <v>0</v>
      </c>
    </row>
    <row r="823" spans="1:13">
      <c r="A823" t="s">
        <v>928</v>
      </c>
      <c r="B823" t="s">
        <v>929</v>
      </c>
      <c r="C823" t="s">
        <v>16</v>
      </c>
      <c r="D823" t="s">
        <v>21</v>
      </c>
      <c r="E823" t="s">
        <v>946</v>
      </c>
      <c r="F823" t="s">
        <v>946</v>
      </c>
      <c r="G823" s="2">
        <v>45740</v>
      </c>
      <c r="H823" s="2">
        <v>45770</v>
      </c>
      <c r="I823" s="1">
        <v>1866.24</v>
      </c>
      <c r="J823">
        <v>1866.24</v>
      </c>
      <c r="K823" t="s">
        <v>20</v>
      </c>
      <c r="L823">
        <v>0</v>
      </c>
      <c r="M823">
        <v>0</v>
      </c>
    </row>
    <row r="824" spans="1:13">
      <c r="A824" t="s">
        <v>928</v>
      </c>
      <c r="B824" t="s">
        <v>929</v>
      </c>
      <c r="C824" t="s">
        <v>16</v>
      </c>
      <c r="D824" t="s">
        <v>21</v>
      </c>
      <c r="E824" t="s">
        <v>947</v>
      </c>
      <c r="F824" t="s">
        <v>947</v>
      </c>
      <c r="G824" s="2">
        <v>45740</v>
      </c>
      <c r="H824" s="2">
        <v>45770</v>
      </c>
      <c r="I824" s="1">
        <v>1416.96</v>
      </c>
      <c r="J824">
        <v>1416.96</v>
      </c>
      <c r="K824" t="s">
        <v>20</v>
      </c>
      <c r="L824">
        <v>0</v>
      </c>
      <c r="M824">
        <v>0</v>
      </c>
    </row>
    <row r="825" spans="1:13">
      <c r="A825" t="s">
        <v>928</v>
      </c>
      <c r="B825" t="s">
        <v>929</v>
      </c>
      <c r="C825" t="s">
        <v>16</v>
      </c>
      <c r="D825" t="s">
        <v>21</v>
      </c>
      <c r="E825" t="s">
        <v>948</v>
      </c>
      <c r="F825" t="s">
        <v>948</v>
      </c>
      <c r="G825" s="2">
        <v>45740</v>
      </c>
      <c r="H825" s="2">
        <v>45770</v>
      </c>
      <c r="I825">
        <v>967.68</v>
      </c>
      <c r="J825">
        <v>967.68</v>
      </c>
      <c r="K825" t="s">
        <v>20</v>
      </c>
      <c r="L825">
        <v>0</v>
      </c>
      <c r="M825">
        <v>0</v>
      </c>
    </row>
    <row r="826" spans="1:13">
      <c r="A826" t="s">
        <v>928</v>
      </c>
      <c r="B826" t="s">
        <v>929</v>
      </c>
      <c r="C826" t="s">
        <v>16</v>
      </c>
      <c r="D826" t="s">
        <v>21</v>
      </c>
      <c r="E826" t="s">
        <v>949</v>
      </c>
      <c r="F826" t="s">
        <v>949</v>
      </c>
      <c r="G826" s="2">
        <v>45740</v>
      </c>
      <c r="H826" s="2">
        <v>45770</v>
      </c>
      <c r="I826" s="1">
        <v>1209.5999999999999</v>
      </c>
      <c r="J826">
        <v>1209.5999999999999</v>
      </c>
      <c r="K826" t="s">
        <v>20</v>
      </c>
      <c r="L826">
        <v>0</v>
      </c>
      <c r="M826">
        <v>0</v>
      </c>
    </row>
    <row r="827" spans="1:13">
      <c r="A827" t="s">
        <v>928</v>
      </c>
      <c r="B827" t="s">
        <v>929</v>
      </c>
      <c r="C827" t="s">
        <v>16</v>
      </c>
      <c r="D827" t="s">
        <v>21</v>
      </c>
      <c r="E827" t="s">
        <v>950</v>
      </c>
      <c r="F827" t="s">
        <v>950</v>
      </c>
      <c r="G827" s="2">
        <v>45741</v>
      </c>
      <c r="H827" s="2">
        <v>45771</v>
      </c>
      <c r="I827" s="1">
        <v>1198.08</v>
      </c>
      <c r="J827">
        <v>1198.08</v>
      </c>
      <c r="K827" t="s">
        <v>20</v>
      </c>
      <c r="L827">
        <v>0</v>
      </c>
      <c r="M827">
        <v>0</v>
      </c>
    </row>
    <row r="828" spans="1:13">
      <c r="A828" t="s">
        <v>928</v>
      </c>
      <c r="B828" t="s">
        <v>929</v>
      </c>
      <c r="C828" t="s">
        <v>16</v>
      </c>
      <c r="D828" t="s">
        <v>21</v>
      </c>
      <c r="E828" t="s">
        <v>951</v>
      </c>
      <c r="F828" t="s">
        <v>951</v>
      </c>
      <c r="G828" s="2">
        <v>45741</v>
      </c>
      <c r="H828" s="2">
        <v>45771</v>
      </c>
      <c r="I828" s="1">
        <v>1290.24</v>
      </c>
      <c r="J828">
        <v>1290.24</v>
      </c>
      <c r="K828" t="s">
        <v>20</v>
      </c>
      <c r="L828">
        <v>0</v>
      </c>
      <c r="M828">
        <v>0</v>
      </c>
    </row>
    <row r="829" spans="1:13">
      <c r="A829" t="s">
        <v>928</v>
      </c>
      <c r="B829" t="s">
        <v>929</v>
      </c>
      <c r="C829" t="s">
        <v>16</v>
      </c>
      <c r="D829" t="s">
        <v>21</v>
      </c>
      <c r="E829" t="s">
        <v>952</v>
      </c>
      <c r="F829" t="s">
        <v>952</v>
      </c>
      <c r="G829" s="2">
        <v>45741</v>
      </c>
      <c r="H829" s="2">
        <v>45771</v>
      </c>
      <c r="I829">
        <v>579.6</v>
      </c>
      <c r="J829">
        <v>579.6</v>
      </c>
      <c r="K829" t="s">
        <v>20</v>
      </c>
      <c r="L829">
        <v>0</v>
      </c>
      <c r="M829">
        <v>0</v>
      </c>
    </row>
    <row r="830" spans="1:13">
      <c r="A830" t="s">
        <v>928</v>
      </c>
      <c r="B830" t="s">
        <v>929</v>
      </c>
      <c r="C830" t="s">
        <v>16</v>
      </c>
      <c r="D830" t="s">
        <v>21</v>
      </c>
      <c r="E830" t="s">
        <v>953</v>
      </c>
      <c r="F830" t="s">
        <v>953</v>
      </c>
      <c r="G830" s="2">
        <v>45741</v>
      </c>
      <c r="H830" s="2">
        <v>45771</v>
      </c>
      <c r="I830">
        <v>743.4</v>
      </c>
      <c r="J830">
        <v>743.4</v>
      </c>
      <c r="K830" t="s">
        <v>20</v>
      </c>
      <c r="L830">
        <v>0</v>
      </c>
      <c r="M830">
        <v>0</v>
      </c>
    </row>
    <row r="831" spans="1:13">
      <c r="A831" t="s">
        <v>928</v>
      </c>
      <c r="B831" t="s">
        <v>929</v>
      </c>
      <c r="C831" t="s">
        <v>16</v>
      </c>
      <c r="D831" t="s">
        <v>21</v>
      </c>
      <c r="E831" t="s">
        <v>954</v>
      </c>
      <c r="F831" t="s">
        <v>954</v>
      </c>
      <c r="G831" s="2">
        <v>45741</v>
      </c>
      <c r="H831" s="2">
        <v>45771</v>
      </c>
      <c r="I831" s="1">
        <v>2171.52</v>
      </c>
      <c r="J831">
        <v>2171.52</v>
      </c>
      <c r="K831" t="s">
        <v>20</v>
      </c>
      <c r="L831">
        <v>0</v>
      </c>
      <c r="M831">
        <v>0</v>
      </c>
    </row>
    <row r="832" spans="1:13">
      <c r="A832" t="s">
        <v>928</v>
      </c>
      <c r="B832" t="s">
        <v>929</v>
      </c>
      <c r="C832" t="s">
        <v>16</v>
      </c>
      <c r="D832" t="s">
        <v>21</v>
      </c>
      <c r="E832" t="s">
        <v>955</v>
      </c>
      <c r="F832" t="s">
        <v>955</v>
      </c>
      <c r="G832" s="2">
        <v>45741</v>
      </c>
      <c r="H832" s="2">
        <v>45771</v>
      </c>
      <c r="I832" s="1">
        <v>1684.8</v>
      </c>
      <c r="J832">
        <v>1684.8</v>
      </c>
      <c r="K832" t="s">
        <v>20</v>
      </c>
      <c r="L832">
        <v>0</v>
      </c>
      <c r="M832">
        <v>0</v>
      </c>
    </row>
    <row r="833" spans="1:13">
      <c r="A833" t="s">
        <v>928</v>
      </c>
      <c r="B833" t="s">
        <v>929</v>
      </c>
      <c r="C833" t="s">
        <v>16</v>
      </c>
      <c r="D833" t="s">
        <v>21</v>
      </c>
      <c r="E833" t="s">
        <v>956</v>
      </c>
      <c r="F833" t="s">
        <v>956</v>
      </c>
      <c r="G833" s="2">
        <v>45741</v>
      </c>
      <c r="H833" s="2">
        <v>45771</v>
      </c>
      <c r="I833" s="1">
        <v>1684.8</v>
      </c>
      <c r="J833">
        <v>1684.8</v>
      </c>
      <c r="K833" t="s">
        <v>20</v>
      </c>
      <c r="L833">
        <v>0</v>
      </c>
      <c r="M833">
        <v>0</v>
      </c>
    </row>
    <row r="834" spans="1:13">
      <c r="A834" t="s">
        <v>928</v>
      </c>
      <c r="B834" t="s">
        <v>929</v>
      </c>
      <c r="C834" t="s">
        <v>16</v>
      </c>
      <c r="D834" t="s">
        <v>21</v>
      </c>
      <c r="E834" t="s">
        <v>957</v>
      </c>
      <c r="F834" t="s">
        <v>957</v>
      </c>
      <c r="G834" s="2">
        <v>45741</v>
      </c>
      <c r="H834" s="2">
        <v>45771</v>
      </c>
      <c r="I834" s="1">
        <v>1751.04</v>
      </c>
      <c r="J834">
        <v>1751.04</v>
      </c>
      <c r="K834" t="s">
        <v>20</v>
      </c>
      <c r="L834">
        <v>0</v>
      </c>
      <c r="M834">
        <v>0</v>
      </c>
    </row>
    <row r="835" spans="1:13">
      <c r="A835" t="s">
        <v>928</v>
      </c>
      <c r="B835" t="s">
        <v>929</v>
      </c>
      <c r="C835" t="s">
        <v>16</v>
      </c>
      <c r="D835" t="s">
        <v>21</v>
      </c>
      <c r="E835" t="s">
        <v>958</v>
      </c>
      <c r="F835" t="s">
        <v>958</v>
      </c>
      <c r="G835" s="2">
        <v>45741</v>
      </c>
      <c r="H835" s="2">
        <v>45771</v>
      </c>
      <c r="I835" s="1">
        <v>1105.92</v>
      </c>
      <c r="J835">
        <v>1105.92</v>
      </c>
      <c r="K835" t="s">
        <v>20</v>
      </c>
      <c r="L835">
        <v>0</v>
      </c>
      <c r="M835">
        <v>0</v>
      </c>
    </row>
    <row r="836" spans="1:13">
      <c r="A836" t="s">
        <v>928</v>
      </c>
      <c r="B836" t="s">
        <v>929</v>
      </c>
      <c r="C836" t="s">
        <v>16</v>
      </c>
      <c r="D836" t="s">
        <v>21</v>
      </c>
      <c r="E836" t="s">
        <v>959</v>
      </c>
      <c r="F836" t="s">
        <v>959</v>
      </c>
      <c r="G836" s="2">
        <v>45741</v>
      </c>
      <c r="H836" s="2">
        <v>45771</v>
      </c>
      <c r="I836">
        <v>579.6</v>
      </c>
      <c r="J836">
        <v>579.6</v>
      </c>
      <c r="K836" t="s">
        <v>20</v>
      </c>
      <c r="L836">
        <v>0</v>
      </c>
      <c r="M836">
        <v>0</v>
      </c>
    </row>
    <row r="837" spans="1:13">
      <c r="A837" t="s">
        <v>928</v>
      </c>
      <c r="B837" t="s">
        <v>929</v>
      </c>
      <c r="C837" t="s">
        <v>16</v>
      </c>
      <c r="D837" t="s">
        <v>21</v>
      </c>
      <c r="E837" t="s">
        <v>960</v>
      </c>
      <c r="F837" t="s">
        <v>960</v>
      </c>
      <c r="G837" s="2">
        <v>45741</v>
      </c>
      <c r="H837" s="2">
        <v>45771</v>
      </c>
      <c r="I837" s="1">
        <v>1474.56</v>
      </c>
      <c r="J837">
        <v>1474.56</v>
      </c>
      <c r="K837" t="s">
        <v>20</v>
      </c>
      <c r="L837">
        <v>0</v>
      </c>
      <c r="M837">
        <v>0</v>
      </c>
    </row>
    <row r="838" spans="1:13">
      <c r="A838" t="s">
        <v>928</v>
      </c>
      <c r="B838" t="s">
        <v>929</v>
      </c>
      <c r="C838" t="s">
        <v>16</v>
      </c>
      <c r="D838" t="s">
        <v>21</v>
      </c>
      <c r="E838" t="s">
        <v>961</v>
      </c>
      <c r="F838" t="s">
        <v>961</v>
      </c>
      <c r="G838" s="2">
        <v>45741</v>
      </c>
      <c r="H838" s="2">
        <v>45771</v>
      </c>
      <c r="I838">
        <v>415.8</v>
      </c>
      <c r="J838">
        <v>415.8</v>
      </c>
      <c r="K838" t="s">
        <v>20</v>
      </c>
      <c r="L838">
        <v>0</v>
      </c>
      <c r="M838">
        <v>0</v>
      </c>
    </row>
    <row r="839" spans="1:13">
      <c r="A839" t="s">
        <v>962</v>
      </c>
      <c r="B839" t="s">
        <v>963</v>
      </c>
      <c r="C839" t="s">
        <v>213</v>
      </c>
      <c r="D839" t="s">
        <v>21</v>
      </c>
      <c r="E839" t="s">
        <v>964</v>
      </c>
      <c r="F839" t="s">
        <v>964</v>
      </c>
      <c r="G839" s="2">
        <v>45331</v>
      </c>
      <c r="H839" s="2">
        <v>45331</v>
      </c>
      <c r="I839">
        <v>54</v>
      </c>
      <c r="J839">
        <v>54</v>
      </c>
      <c r="K839" t="s">
        <v>20</v>
      </c>
      <c r="L839">
        <v>0</v>
      </c>
      <c r="M839">
        <v>54</v>
      </c>
    </row>
    <row r="840" spans="1:13">
      <c r="A840" t="s">
        <v>962</v>
      </c>
      <c r="B840" t="s">
        <v>963</v>
      </c>
      <c r="C840" t="s">
        <v>213</v>
      </c>
      <c r="D840" t="s">
        <v>21</v>
      </c>
      <c r="E840" t="s">
        <v>965</v>
      </c>
      <c r="F840" t="s">
        <v>965</v>
      </c>
      <c r="G840" s="2">
        <v>45664</v>
      </c>
      <c r="H840" s="2">
        <v>45664</v>
      </c>
      <c r="I840">
        <v>548.54999999999995</v>
      </c>
      <c r="J840">
        <v>517.5</v>
      </c>
      <c r="K840" t="s">
        <v>20</v>
      </c>
      <c r="L840">
        <v>0</v>
      </c>
      <c r="M840">
        <v>517.5</v>
      </c>
    </row>
    <row r="841" spans="1:13">
      <c r="A841" t="s">
        <v>962</v>
      </c>
      <c r="B841" t="s">
        <v>963</v>
      </c>
      <c r="C841" t="s">
        <v>213</v>
      </c>
      <c r="D841" t="s">
        <v>17</v>
      </c>
      <c r="E841" t="s">
        <v>966</v>
      </c>
      <c r="F841" t="s">
        <v>965</v>
      </c>
      <c r="H841" s="2">
        <v>45688</v>
      </c>
      <c r="I841">
        <v>-31.05</v>
      </c>
      <c r="J841" t="s">
        <v>86</v>
      </c>
      <c r="K841" t="s">
        <v>20</v>
      </c>
      <c r="L841">
        <v>0</v>
      </c>
      <c r="M841" t="s">
        <v>86</v>
      </c>
    </row>
    <row r="842" spans="1:13">
      <c r="A842" t="s">
        <v>967</v>
      </c>
      <c r="B842" t="s">
        <v>968</v>
      </c>
      <c r="C842" t="s">
        <v>16</v>
      </c>
      <c r="D842" t="s">
        <v>21</v>
      </c>
      <c r="E842" t="s">
        <v>969</v>
      </c>
      <c r="F842" t="s">
        <v>969</v>
      </c>
      <c r="G842" s="2">
        <v>45531</v>
      </c>
      <c r="H842" s="2">
        <v>45561</v>
      </c>
      <c r="I842">
        <v>842.34</v>
      </c>
      <c r="J842">
        <v>842.34</v>
      </c>
      <c r="K842" t="s">
        <v>20</v>
      </c>
      <c r="L842">
        <v>0</v>
      </c>
      <c r="M842">
        <v>842.34</v>
      </c>
    </row>
    <row r="843" spans="1:13">
      <c r="A843" t="s">
        <v>970</v>
      </c>
      <c r="B843" t="s">
        <v>971</v>
      </c>
      <c r="C843" t="s">
        <v>213</v>
      </c>
      <c r="D843" t="s">
        <v>21</v>
      </c>
      <c r="E843" t="s">
        <v>972</v>
      </c>
      <c r="F843" t="s">
        <v>972</v>
      </c>
      <c r="G843" s="2">
        <v>45664</v>
      </c>
      <c r="H843" s="2">
        <v>45664</v>
      </c>
      <c r="I843">
        <v>44.04</v>
      </c>
      <c r="J843">
        <v>44.04</v>
      </c>
      <c r="K843" t="s">
        <v>20</v>
      </c>
      <c r="L843">
        <v>0</v>
      </c>
      <c r="M843">
        <v>44.04</v>
      </c>
    </row>
    <row r="844" spans="1:13">
      <c r="A844" t="s">
        <v>973</v>
      </c>
      <c r="B844" t="s">
        <v>974</v>
      </c>
      <c r="C844" t="s">
        <v>213</v>
      </c>
      <c r="D844" t="s">
        <v>17</v>
      </c>
      <c r="E844" t="s">
        <v>975</v>
      </c>
      <c r="F844" t="s">
        <v>19</v>
      </c>
      <c r="H844" s="2">
        <v>45244</v>
      </c>
      <c r="I844">
        <v>-680.4</v>
      </c>
      <c r="J844">
        <v>-680.4</v>
      </c>
      <c r="K844" t="s">
        <v>20</v>
      </c>
      <c r="L844">
        <v>0</v>
      </c>
      <c r="M844">
        <v>-680.4</v>
      </c>
    </row>
    <row r="845" spans="1:13">
      <c r="A845" t="s">
        <v>973</v>
      </c>
      <c r="B845" t="s">
        <v>974</v>
      </c>
      <c r="C845" t="s">
        <v>213</v>
      </c>
      <c r="D845" t="s">
        <v>17</v>
      </c>
      <c r="E845" t="s">
        <v>976</v>
      </c>
      <c r="F845" t="s">
        <v>19</v>
      </c>
      <c r="H845" s="2">
        <v>45322</v>
      </c>
      <c r="I845">
        <v>-75.599999999999994</v>
      </c>
      <c r="J845">
        <v>-75.599999999999994</v>
      </c>
      <c r="K845" t="s">
        <v>20</v>
      </c>
      <c r="L845">
        <v>0</v>
      </c>
      <c r="M845">
        <v>-75.599999999999994</v>
      </c>
    </row>
    <row r="846" spans="1:13">
      <c r="A846" t="s">
        <v>973</v>
      </c>
      <c r="B846" t="s">
        <v>974</v>
      </c>
      <c r="C846" t="s">
        <v>213</v>
      </c>
      <c r="D846" t="s">
        <v>17</v>
      </c>
      <c r="E846" t="s">
        <v>977</v>
      </c>
      <c r="F846" t="s">
        <v>19</v>
      </c>
      <c r="H846" s="2">
        <v>45366</v>
      </c>
      <c r="I846">
        <v>-75.599999999999994</v>
      </c>
      <c r="J846">
        <v>-75.599999999999994</v>
      </c>
      <c r="K846" t="s">
        <v>20</v>
      </c>
      <c r="L846">
        <v>0</v>
      </c>
      <c r="M846">
        <v>-75.599999999999994</v>
      </c>
    </row>
    <row r="847" spans="1:13">
      <c r="A847" t="s">
        <v>978</v>
      </c>
      <c r="B847" t="s">
        <v>979</v>
      </c>
      <c r="C847" t="s">
        <v>213</v>
      </c>
      <c r="D847" t="s">
        <v>21</v>
      </c>
      <c r="E847" t="s">
        <v>980</v>
      </c>
      <c r="F847" t="s">
        <v>980</v>
      </c>
      <c r="G847" s="2">
        <v>45665</v>
      </c>
      <c r="H847" s="2">
        <v>45665</v>
      </c>
      <c r="I847">
        <v>267.91000000000003</v>
      </c>
      <c r="J847">
        <v>267.91000000000003</v>
      </c>
      <c r="K847" t="s">
        <v>20</v>
      </c>
      <c r="L847">
        <v>0</v>
      </c>
      <c r="M847">
        <v>267.91000000000003</v>
      </c>
    </row>
    <row r="848" spans="1:13">
      <c r="A848" t="s">
        <v>981</v>
      </c>
      <c r="B848" t="s">
        <v>982</v>
      </c>
      <c r="C848" t="s">
        <v>213</v>
      </c>
      <c r="D848" t="s">
        <v>21</v>
      </c>
      <c r="E848" t="s">
        <v>983</v>
      </c>
      <c r="F848" t="s">
        <v>983</v>
      </c>
      <c r="G848" s="2">
        <v>45670</v>
      </c>
      <c r="H848" s="2">
        <v>45670</v>
      </c>
      <c r="I848">
        <v>302</v>
      </c>
      <c r="J848">
        <v>302</v>
      </c>
      <c r="K848" t="s">
        <v>20</v>
      </c>
      <c r="L848">
        <v>0</v>
      </c>
      <c r="M848">
        <v>302</v>
      </c>
    </row>
    <row r="849" spans="1:13">
      <c r="A849" t="s">
        <v>984</v>
      </c>
      <c r="B849" t="s">
        <v>985</v>
      </c>
      <c r="C849" t="s">
        <v>213</v>
      </c>
      <c r="D849" t="s">
        <v>17</v>
      </c>
      <c r="E849" t="s">
        <v>986</v>
      </c>
      <c r="F849" t="s">
        <v>19</v>
      </c>
      <c r="H849" s="2">
        <v>45631</v>
      </c>
      <c r="I849">
        <v>-258</v>
      </c>
      <c r="J849">
        <v>-258</v>
      </c>
      <c r="K849" t="s">
        <v>20</v>
      </c>
      <c r="L849">
        <v>0</v>
      </c>
      <c r="M849">
        <v>-258</v>
      </c>
    </row>
    <row r="850" spans="1:13">
      <c r="A850" t="s">
        <v>987</v>
      </c>
      <c r="B850" t="s">
        <v>988</v>
      </c>
      <c r="C850" t="s">
        <v>16</v>
      </c>
      <c r="D850" t="s">
        <v>21</v>
      </c>
      <c r="E850" t="s">
        <v>989</v>
      </c>
      <c r="F850" t="s">
        <v>989</v>
      </c>
      <c r="G850" s="2">
        <v>45411</v>
      </c>
      <c r="H850" s="2">
        <v>45441</v>
      </c>
      <c r="I850">
        <v>96.3</v>
      </c>
      <c r="J850">
        <v>96.3</v>
      </c>
      <c r="K850" t="s">
        <v>20</v>
      </c>
      <c r="L850">
        <v>0</v>
      </c>
      <c r="M850">
        <v>96.3</v>
      </c>
    </row>
    <row r="851" spans="1:13">
      <c r="A851" t="s">
        <v>990</v>
      </c>
      <c r="B851" t="s">
        <v>991</v>
      </c>
      <c r="C851" t="s">
        <v>213</v>
      </c>
      <c r="D851" t="s">
        <v>17</v>
      </c>
      <c r="E851" t="s">
        <v>992</v>
      </c>
      <c r="F851" t="s">
        <v>19</v>
      </c>
      <c r="H851" s="2">
        <v>45331</v>
      </c>
      <c r="I851">
        <v>-43.97</v>
      </c>
      <c r="J851">
        <v>-43.97</v>
      </c>
      <c r="K851" t="s">
        <v>20</v>
      </c>
      <c r="L851">
        <v>0</v>
      </c>
      <c r="M851">
        <v>-43.97</v>
      </c>
    </row>
    <row r="852" spans="1:13">
      <c r="A852" t="s">
        <v>993</v>
      </c>
      <c r="B852" t="s">
        <v>994</v>
      </c>
      <c r="C852" t="s">
        <v>213</v>
      </c>
      <c r="D852" t="s">
        <v>21</v>
      </c>
      <c r="E852" t="s">
        <v>995</v>
      </c>
      <c r="F852" t="s">
        <v>995</v>
      </c>
      <c r="G852" s="2">
        <v>45671</v>
      </c>
      <c r="H852" s="2">
        <v>45671</v>
      </c>
      <c r="I852">
        <v>438</v>
      </c>
      <c r="J852">
        <v>438</v>
      </c>
      <c r="K852" t="s">
        <v>20</v>
      </c>
      <c r="L852">
        <v>0</v>
      </c>
      <c r="M852">
        <v>438</v>
      </c>
    </row>
    <row r="853" spans="1:13">
      <c r="A853" t="s">
        <v>996</v>
      </c>
      <c r="B853" t="s">
        <v>997</v>
      </c>
      <c r="C853" t="s">
        <v>16</v>
      </c>
      <c r="D853" t="s">
        <v>21</v>
      </c>
      <c r="E853" t="s">
        <v>998</v>
      </c>
      <c r="F853" t="s">
        <v>998</v>
      </c>
      <c r="G853" s="2">
        <v>45712</v>
      </c>
      <c r="H853" s="2">
        <v>45742</v>
      </c>
      <c r="I853" s="1">
        <v>3036.55</v>
      </c>
      <c r="J853">
        <v>3036.55</v>
      </c>
      <c r="K853" t="s">
        <v>20</v>
      </c>
      <c r="L853">
        <v>13</v>
      </c>
      <c r="M853">
        <v>3036.55</v>
      </c>
    </row>
    <row r="854" spans="1:13">
      <c r="A854" t="s">
        <v>996</v>
      </c>
      <c r="B854" t="s">
        <v>997</v>
      </c>
      <c r="C854" t="s">
        <v>16</v>
      </c>
      <c r="D854" t="s">
        <v>21</v>
      </c>
      <c r="E854" t="s">
        <v>999</v>
      </c>
      <c r="F854" t="s">
        <v>999</v>
      </c>
      <c r="G854" s="2">
        <v>45723</v>
      </c>
      <c r="H854" s="2">
        <v>45753</v>
      </c>
      <c r="I854" s="1">
        <v>2893.28</v>
      </c>
      <c r="J854">
        <v>2893.28</v>
      </c>
      <c r="K854" t="s">
        <v>20</v>
      </c>
      <c r="L854">
        <v>0</v>
      </c>
      <c r="M854">
        <v>0</v>
      </c>
    </row>
    <row r="855" spans="1:13">
      <c r="A855" t="s">
        <v>1000</v>
      </c>
      <c r="B855" t="s">
        <v>1001</v>
      </c>
      <c r="C855" t="s">
        <v>16</v>
      </c>
      <c r="D855" t="s">
        <v>55</v>
      </c>
      <c r="E855" t="s">
        <v>19</v>
      </c>
      <c r="F855" t="s">
        <v>19</v>
      </c>
      <c r="H855" s="2">
        <v>45331</v>
      </c>
      <c r="I855">
        <v>-1.65</v>
      </c>
      <c r="J855">
        <v>-1.65</v>
      </c>
      <c r="K855" t="s">
        <v>20</v>
      </c>
      <c r="L855">
        <v>0</v>
      </c>
      <c r="M855">
        <v>-1.65</v>
      </c>
    </row>
    <row r="856" spans="1:13">
      <c r="A856" t="s">
        <v>1000</v>
      </c>
      <c r="B856" t="s">
        <v>1001</v>
      </c>
      <c r="C856" t="s">
        <v>16</v>
      </c>
      <c r="D856" t="s">
        <v>55</v>
      </c>
      <c r="E856" t="s">
        <v>19</v>
      </c>
      <c r="F856" t="s">
        <v>19</v>
      </c>
      <c r="H856" s="2">
        <v>45338</v>
      </c>
      <c r="I856">
        <v>-4.55</v>
      </c>
      <c r="J856">
        <v>-4.55</v>
      </c>
      <c r="K856" t="s">
        <v>20</v>
      </c>
      <c r="L856">
        <v>0</v>
      </c>
      <c r="M856">
        <v>-4.55</v>
      </c>
    </row>
    <row r="857" spans="1:13">
      <c r="A857" t="s">
        <v>1000</v>
      </c>
      <c r="B857" t="s">
        <v>1001</v>
      </c>
      <c r="C857" t="s">
        <v>16</v>
      </c>
      <c r="D857" t="s">
        <v>55</v>
      </c>
      <c r="E857" t="s">
        <v>19</v>
      </c>
      <c r="F857" t="s">
        <v>19</v>
      </c>
      <c r="H857" s="2">
        <v>45345</v>
      </c>
      <c r="I857">
        <v>-4.1500000000000004</v>
      </c>
      <c r="J857">
        <v>-4.1500000000000004</v>
      </c>
      <c r="K857" t="s">
        <v>20</v>
      </c>
      <c r="L857">
        <v>0</v>
      </c>
      <c r="M857">
        <v>-4.1500000000000004</v>
      </c>
    </row>
    <row r="858" spans="1:13">
      <c r="A858" t="s">
        <v>1000</v>
      </c>
      <c r="B858" t="s">
        <v>1001</v>
      </c>
      <c r="C858" t="s">
        <v>16</v>
      </c>
      <c r="D858" t="s">
        <v>21</v>
      </c>
      <c r="E858" t="s">
        <v>1002</v>
      </c>
      <c r="F858" t="s">
        <v>1002</v>
      </c>
      <c r="G858" s="2">
        <v>45316</v>
      </c>
      <c r="H858" s="2">
        <v>45346</v>
      </c>
      <c r="I858">
        <v>56.45</v>
      </c>
      <c r="J858">
        <v>56.45</v>
      </c>
      <c r="K858" t="s">
        <v>20</v>
      </c>
      <c r="L858">
        <v>0</v>
      </c>
      <c r="M858">
        <v>56.45</v>
      </c>
    </row>
    <row r="859" spans="1:13">
      <c r="A859" t="s">
        <v>1000</v>
      </c>
      <c r="B859" t="s">
        <v>1001</v>
      </c>
      <c r="C859" t="s">
        <v>16</v>
      </c>
      <c r="D859" t="s">
        <v>21</v>
      </c>
      <c r="E859" t="s">
        <v>1003</v>
      </c>
      <c r="F859" t="s">
        <v>1003</v>
      </c>
      <c r="G859" s="2">
        <v>45323</v>
      </c>
      <c r="H859" s="2">
        <v>45353</v>
      </c>
      <c r="I859">
        <v>243.3</v>
      </c>
      <c r="J859">
        <v>243.3</v>
      </c>
      <c r="K859" t="s">
        <v>20</v>
      </c>
      <c r="L859">
        <v>0</v>
      </c>
      <c r="M859">
        <v>243.3</v>
      </c>
    </row>
    <row r="860" spans="1:13">
      <c r="A860" t="s">
        <v>1000</v>
      </c>
      <c r="B860" t="s">
        <v>1001</v>
      </c>
      <c r="C860" t="s">
        <v>16</v>
      </c>
      <c r="D860" t="s">
        <v>55</v>
      </c>
      <c r="E860" t="s">
        <v>19</v>
      </c>
      <c r="F860" t="s">
        <v>19</v>
      </c>
      <c r="H860" s="2">
        <v>45359</v>
      </c>
      <c r="I860">
        <v>-10.7</v>
      </c>
      <c r="J860">
        <v>-10.7</v>
      </c>
      <c r="K860" t="s">
        <v>20</v>
      </c>
      <c r="L860">
        <v>0</v>
      </c>
      <c r="M860">
        <v>-10.7</v>
      </c>
    </row>
    <row r="861" spans="1:13">
      <c r="A861" t="s">
        <v>1000</v>
      </c>
      <c r="B861" t="s">
        <v>1001</v>
      </c>
      <c r="C861" t="s">
        <v>16</v>
      </c>
      <c r="D861" t="s">
        <v>55</v>
      </c>
      <c r="E861" t="s">
        <v>19</v>
      </c>
      <c r="F861" t="s">
        <v>19</v>
      </c>
      <c r="H861" s="2">
        <v>45366</v>
      </c>
      <c r="I861">
        <v>-1.4</v>
      </c>
      <c r="J861">
        <v>-1.4</v>
      </c>
      <c r="K861" t="s">
        <v>20</v>
      </c>
      <c r="L861">
        <v>0</v>
      </c>
      <c r="M861">
        <v>-1.4</v>
      </c>
    </row>
    <row r="862" spans="1:13">
      <c r="A862" t="s">
        <v>1000</v>
      </c>
      <c r="B862" t="s">
        <v>1001</v>
      </c>
      <c r="C862" t="s">
        <v>16</v>
      </c>
      <c r="D862" t="s">
        <v>21</v>
      </c>
      <c r="E862" t="s">
        <v>1004</v>
      </c>
      <c r="F862" t="s">
        <v>1004</v>
      </c>
      <c r="G862" s="2">
        <v>45359</v>
      </c>
      <c r="H862" s="2">
        <v>45389</v>
      </c>
      <c r="I862">
        <v>87.5</v>
      </c>
      <c r="J862">
        <v>87.5</v>
      </c>
      <c r="K862" t="s">
        <v>20</v>
      </c>
      <c r="L862">
        <v>0</v>
      </c>
      <c r="M862">
        <v>87.5</v>
      </c>
    </row>
    <row r="863" spans="1:13">
      <c r="A863" t="s">
        <v>1000</v>
      </c>
      <c r="B863" t="s">
        <v>1001</v>
      </c>
      <c r="C863" t="s">
        <v>16</v>
      </c>
      <c r="D863" t="s">
        <v>55</v>
      </c>
      <c r="E863" t="s">
        <v>19</v>
      </c>
      <c r="F863" t="s">
        <v>19</v>
      </c>
      <c r="H863" s="2">
        <v>45394</v>
      </c>
      <c r="I863">
        <v>-0.5</v>
      </c>
      <c r="J863">
        <v>-0.5</v>
      </c>
      <c r="K863" t="s">
        <v>20</v>
      </c>
      <c r="L863">
        <v>0</v>
      </c>
      <c r="M863">
        <v>-0.5</v>
      </c>
    </row>
    <row r="864" spans="1:13">
      <c r="A864" t="s">
        <v>1000</v>
      </c>
      <c r="B864" t="s">
        <v>1001</v>
      </c>
      <c r="C864" t="s">
        <v>16</v>
      </c>
      <c r="D864" t="s">
        <v>21</v>
      </c>
      <c r="E864" t="s">
        <v>1005</v>
      </c>
      <c r="F864" t="s">
        <v>1005</v>
      </c>
      <c r="G864" s="2">
        <v>45371</v>
      </c>
      <c r="H864" s="2">
        <v>45401</v>
      </c>
      <c r="I864">
        <v>34.799999999999997</v>
      </c>
      <c r="J864">
        <v>34.799999999999997</v>
      </c>
      <c r="K864" t="s">
        <v>20</v>
      </c>
      <c r="L864">
        <v>0</v>
      </c>
      <c r="M864">
        <v>34.799999999999997</v>
      </c>
    </row>
    <row r="865" spans="1:13">
      <c r="A865" t="s">
        <v>1000</v>
      </c>
      <c r="B865" t="s">
        <v>1001</v>
      </c>
      <c r="C865" t="s">
        <v>16</v>
      </c>
      <c r="D865" t="s">
        <v>55</v>
      </c>
      <c r="E865" t="s">
        <v>19</v>
      </c>
      <c r="F865" t="s">
        <v>19</v>
      </c>
      <c r="H865" s="2">
        <v>45408</v>
      </c>
      <c r="I865">
        <v>-0.1</v>
      </c>
      <c r="J865">
        <v>-0.1</v>
      </c>
      <c r="K865" t="s">
        <v>20</v>
      </c>
      <c r="L865">
        <v>0</v>
      </c>
      <c r="M865">
        <v>-0.1</v>
      </c>
    </row>
    <row r="866" spans="1:13">
      <c r="A866" t="s">
        <v>1000</v>
      </c>
      <c r="B866" t="s">
        <v>1001</v>
      </c>
      <c r="C866" t="s">
        <v>16</v>
      </c>
      <c r="D866" t="s">
        <v>55</v>
      </c>
      <c r="E866" t="s">
        <v>19</v>
      </c>
      <c r="F866" t="s">
        <v>19</v>
      </c>
      <c r="H866" s="2">
        <v>45429</v>
      </c>
      <c r="I866">
        <v>-0.2</v>
      </c>
      <c r="J866">
        <v>-0.2</v>
      </c>
      <c r="K866" t="s">
        <v>20</v>
      </c>
      <c r="L866">
        <v>0</v>
      </c>
      <c r="M866">
        <v>-0.2</v>
      </c>
    </row>
    <row r="867" spans="1:13">
      <c r="A867" t="s">
        <v>1000</v>
      </c>
      <c r="B867" t="s">
        <v>1001</v>
      </c>
      <c r="C867" t="s">
        <v>16</v>
      </c>
      <c r="D867" t="s">
        <v>21</v>
      </c>
      <c r="E867" t="s">
        <v>1006</v>
      </c>
      <c r="F867" t="s">
        <v>1006</v>
      </c>
      <c r="G867" s="2">
        <v>45411</v>
      </c>
      <c r="H867" s="2">
        <v>45441</v>
      </c>
      <c r="I867">
        <v>87.5</v>
      </c>
      <c r="J867">
        <v>87.5</v>
      </c>
      <c r="K867" t="s">
        <v>20</v>
      </c>
      <c r="L867">
        <v>0</v>
      </c>
      <c r="M867">
        <v>87.5</v>
      </c>
    </row>
    <row r="868" spans="1:13">
      <c r="A868" t="s">
        <v>1000</v>
      </c>
      <c r="B868" t="s">
        <v>1001</v>
      </c>
      <c r="C868" t="s">
        <v>16</v>
      </c>
      <c r="D868" t="s">
        <v>21</v>
      </c>
      <c r="E868" t="s">
        <v>1007</v>
      </c>
      <c r="F868" t="s">
        <v>1007</v>
      </c>
      <c r="G868" s="2">
        <v>45412</v>
      </c>
      <c r="H868" s="2">
        <v>45442</v>
      </c>
      <c r="I868">
        <v>51</v>
      </c>
      <c r="J868">
        <v>51</v>
      </c>
      <c r="K868" t="s">
        <v>20</v>
      </c>
      <c r="L868">
        <v>0</v>
      </c>
      <c r="M868">
        <v>51</v>
      </c>
    </row>
    <row r="869" spans="1:13">
      <c r="A869" t="s">
        <v>1000</v>
      </c>
      <c r="B869" t="s">
        <v>1001</v>
      </c>
      <c r="C869" t="s">
        <v>16</v>
      </c>
      <c r="D869" t="s">
        <v>55</v>
      </c>
      <c r="E869" t="s">
        <v>19</v>
      </c>
      <c r="F869" t="s">
        <v>19</v>
      </c>
      <c r="H869" s="2">
        <v>45443</v>
      </c>
      <c r="I869">
        <v>-4.4000000000000004</v>
      </c>
      <c r="J869">
        <v>-4.4000000000000004</v>
      </c>
      <c r="K869" t="s">
        <v>20</v>
      </c>
      <c r="L869">
        <v>0</v>
      </c>
      <c r="M869">
        <v>-4.4000000000000004</v>
      </c>
    </row>
    <row r="870" spans="1:13">
      <c r="A870" t="s">
        <v>1000</v>
      </c>
      <c r="B870" t="s">
        <v>1001</v>
      </c>
      <c r="C870" t="s">
        <v>16</v>
      </c>
      <c r="D870" t="s">
        <v>55</v>
      </c>
      <c r="E870" t="s">
        <v>19</v>
      </c>
      <c r="F870" t="s">
        <v>19</v>
      </c>
      <c r="H870" s="2">
        <v>45450</v>
      </c>
      <c r="I870">
        <v>-0.2</v>
      </c>
      <c r="J870">
        <v>-0.2</v>
      </c>
      <c r="K870" t="s">
        <v>20</v>
      </c>
      <c r="L870">
        <v>0</v>
      </c>
      <c r="M870">
        <v>-0.2</v>
      </c>
    </row>
    <row r="871" spans="1:13">
      <c r="A871" t="s">
        <v>1000</v>
      </c>
      <c r="B871" t="s">
        <v>1001</v>
      </c>
      <c r="C871" t="s">
        <v>16</v>
      </c>
      <c r="D871" t="s">
        <v>55</v>
      </c>
      <c r="E871" t="s">
        <v>19</v>
      </c>
      <c r="F871" t="s">
        <v>19</v>
      </c>
      <c r="H871" s="2">
        <v>45471</v>
      </c>
      <c r="I871">
        <v>-0.15</v>
      </c>
      <c r="J871">
        <v>-0.15</v>
      </c>
      <c r="K871" t="s">
        <v>20</v>
      </c>
      <c r="L871">
        <v>0</v>
      </c>
      <c r="M871">
        <v>-0.15</v>
      </c>
    </row>
    <row r="872" spans="1:13">
      <c r="A872" t="s">
        <v>1000</v>
      </c>
      <c r="B872" t="s">
        <v>1001</v>
      </c>
      <c r="C872" t="s">
        <v>16</v>
      </c>
      <c r="D872" t="s">
        <v>55</v>
      </c>
      <c r="E872" t="s">
        <v>19</v>
      </c>
      <c r="F872" t="s">
        <v>19</v>
      </c>
      <c r="H872" s="2">
        <v>45485</v>
      </c>
      <c r="I872">
        <v>-0.05</v>
      </c>
      <c r="J872">
        <v>-0.05</v>
      </c>
      <c r="K872" t="s">
        <v>20</v>
      </c>
      <c r="L872">
        <v>0</v>
      </c>
      <c r="M872">
        <v>-0.05</v>
      </c>
    </row>
    <row r="873" spans="1:13">
      <c r="A873" t="s">
        <v>1008</v>
      </c>
      <c r="B873" t="s">
        <v>1009</v>
      </c>
      <c r="C873" t="s">
        <v>16</v>
      </c>
      <c r="D873" t="s">
        <v>55</v>
      </c>
      <c r="E873" t="s">
        <v>19</v>
      </c>
      <c r="F873" t="s">
        <v>19</v>
      </c>
      <c r="H873" s="2">
        <v>45706</v>
      </c>
      <c r="I873" s="1">
        <v>-1371.16</v>
      </c>
      <c r="J873">
        <v>-1371.16</v>
      </c>
      <c r="K873" t="s">
        <v>20</v>
      </c>
      <c r="L873">
        <v>0</v>
      </c>
      <c r="M873">
        <v>-1371.16</v>
      </c>
    </row>
    <row r="874" spans="1:13">
      <c r="A874" t="s">
        <v>1008</v>
      </c>
      <c r="B874" t="s">
        <v>1009</v>
      </c>
      <c r="C874" t="s">
        <v>16</v>
      </c>
      <c r="D874" t="s">
        <v>55</v>
      </c>
      <c r="E874" t="s">
        <v>19</v>
      </c>
      <c r="F874" t="s">
        <v>19</v>
      </c>
      <c r="H874" s="2">
        <v>45712</v>
      </c>
      <c r="I874">
        <v>-584.85</v>
      </c>
      <c r="J874">
        <v>-584.85</v>
      </c>
      <c r="K874" t="s">
        <v>20</v>
      </c>
      <c r="L874">
        <v>0</v>
      </c>
      <c r="M874">
        <v>-584.85</v>
      </c>
    </row>
    <row r="875" spans="1:13">
      <c r="A875" t="s">
        <v>1008</v>
      </c>
      <c r="B875" t="s">
        <v>1009</v>
      </c>
      <c r="C875" t="s">
        <v>16</v>
      </c>
      <c r="D875" t="s">
        <v>55</v>
      </c>
      <c r="E875" t="s">
        <v>19</v>
      </c>
      <c r="F875" t="s">
        <v>19</v>
      </c>
      <c r="H875" s="2">
        <v>45726</v>
      </c>
      <c r="I875" s="1">
        <v>-3525.45</v>
      </c>
      <c r="J875">
        <v>-3525.45</v>
      </c>
      <c r="K875" t="s">
        <v>20</v>
      </c>
      <c r="L875">
        <v>11</v>
      </c>
      <c r="M875">
        <v>-3525.45</v>
      </c>
    </row>
    <row r="876" spans="1:13">
      <c r="A876" t="s">
        <v>1008</v>
      </c>
      <c r="B876" t="s">
        <v>1009</v>
      </c>
      <c r="C876" t="s">
        <v>16</v>
      </c>
      <c r="D876" t="s">
        <v>21</v>
      </c>
      <c r="E876" t="s">
        <v>1010</v>
      </c>
      <c r="F876" t="s">
        <v>1010</v>
      </c>
      <c r="G876" s="2">
        <v>45712</v>
      </c>
      <c r="H876" s="2">
        <v>45742</v>
      </c>
      <c r="I876">
        <v>204</v>
      </c>
      <c r="J876">
        <v>204</v>
      </c>
      <c r="K876" t="s">
        <v>20</v>
      </c>
      <c r="L876">
        <v>13</v>
      </c>
      <c r="M876">
        <v>204</v>
      </c>
    </row>
    <row r="877" spans="1:13">
      <c r="A877" t="s">
        <v>1008</v>
      </c>
      <c r="B877" t="s">
        <v>1009</v>
      </c>
      <c r="C877" t="s">
        <v>16</v>
      </c>
      <c r="D877" t="s">
        <v>21</v>
      </c>
      <c r="E877" t="s">
        <v>1011</v>
      </c>
      <c r="F877" t="s">
        <v>1011</v>
      </c>
      <c r="G877" s="2">
        <v>45713</v>
      </c>
      <c r="H877" s="2">
        <v>45743</v>
      </c>
      <c r="I877">
        <v>556</v>
      </c>
      <c r="J877">
        <v>556</v>
      </c>
      <c r="K877" t="s">
        <v>20</v>
      </c>
      <c r="L877">
        <v>13</v>
      </c>
      <c r="M877">
        <v>556</v>
      </c>
    </row>
    <row r="878" spans="1:13">
      <c r="A878" t="s">
        <v>1008</v>
      </c>
      <c r="B878" t="s">
        <v>1009</v>
      </c>
      <c r="C878" t="s">
        <v>16</v>
      </c>
      <c r="D878" t="s">
        <v>21</v>
      </c>
      <c r="E878" t="s">
        <v>1012</v>
      </c>
      <c r="F878" t="s">
        <v>1012</v>
      </c>
      <c r="G878" s="2">
        <v>45741</v>
      </c>
      <c r="H878" s="2">
        <v>45771</v>
      </c>
      <c r="I878" s="1">
        <v>7200</v>
      </c>
      <c r="J878">
        <v>7200</v>
      </c>
      <c r="K878" t="s">
        <v>20</v>
      </c>
      <c r="L878">
        <v>0</v>
      </c>
      <c r="M878">
        <v>0</v>
      </c>
    </row>
    <row r="879" spans="1:13">
      <c r="A879" t="s">
        <v>1013</v>
      </c>
      <c r="B879" t="s">
        <v>1014</v>
      </c>
      <c r="C879" t="s">
        <v>16</v>
      </c>
      <c r="D879" t="s">
        <v>21</v>
      </c>
      <c r="E879" t="s">
        <v>1015</v>
      </c>
      <c r="F879" t="s">
        <v>1015</v>
      </c>
      <c r="G879" s="2">
        <v>45742</v>
      </c>
      <c r="H879" s="2">
        <v>45772</v>
      </c>
      <c r="I879">
        <v>466.18</v>
      </c>
      <c r="J879">
        <v>466.18</v>
      </c>
      <c r="K879" t="s">
        <v>20</v>
      </c>
      <c r="L879">
        <v>0</v>
      </c>
      <c r="M879">
        <v>0</v>
      </c>
    </row>
    <row r="880" spans="1:13">
      <c r="A880" t="s">
        <v>1016</v>
      </c>
      <c r="B880" t="s">
        <v>1017</v>
      </c>
      <c r="C880" t="s">
        <v>16</v>
      </c>
      <c r="D880" t="s">
        <v>55</v>
      </c>
      <c r="E880" t="s">
        <v>19</v>
      </c>
      <c r="F880" t="s">
        <v>19</v>
      </c>
      <c r="H880" s="2">
        <v>45343</v>
      </c>
      <c r="I880">
        <v>-117.9</v>
      </c>
      <c r="J880">
        <v>-117.9</v>
      </c>
      <c r="K880" t="s">
        <v>20</v>
      </c>
      <c r="L880">
        <v>0</v>
      </c>
      <c r="M880">
        <v>-117.9</v>
      </c>
    </row>
    <row r="881" spans="1:13">
      <c r="A881" t="s">
        <v>1016</v>
      </c>
      <c r="B881" t="s">
        <v>1017</v>
      </c>
      <c r="C881" t="s">
        <v>16</v>
      </c>
      <c r="D881" t="s">
        <v>21</v>
      </c>
      <c r="E881" t="s">
        <v>1018</v>
      </c>
      <c r="F881" t="s">
        <v>1018</v>
      </c>
      <c r="G881" s="2">
        <v>45686</v>
      </c>
      <c r="H881" s="2">
        <v>45716</v>
      </c>
      <c r="I881">
        <v>392.15</v>
      </c>
      <c r="J881">
        <v>392.15</v>
      </c>
      <c r="K881" t="s">
        <v>20</v>
      </c>
      <c r="L881">
        <v>0</v>
      </c>
      <c r="M881">
        <v>392.15</v>
      </c>
    </row>
    <row r="882" spans="1:13">
      <c r="A882" t="s">
        <v>1019</v>
      </c>
      <c r="B882" t="s">
        <v>1020</v>
      </c>
      <c r="C882" t="s">
        <v>16</v>
      </c>
      <c r="D882" t="s">
        <v>17</v>
      </c>
      <c r="E882" t="s">
        <v>1021</v>
      </c>
      <c r="F882" t="s">
        <v>19</v>
      </c>
      <c r="H882" s="2">
        <v>45519</v>
      </c>
      <c r="I882">
        <v>-142.84</v>
      </c>
      <c r="J882">
        <v>-142.84</v>
      </c>
      <c r="K882" t="s">
        <v>20</v>
      </c>
      <c r="L882">
        <v>0</v>
      </c>
      <c r="M882">
        <v>-142.84</v>
      </c>
    </row>
    <row r="883" spans="1:13">
      <c r="A883" t="s">
        <v>1019</v>
      </c>
      <c r="B883" t="s">
        <v>1020</v>
      </c>
      <c r="C883" t="s">
        <v>16</v>
      </c>
      <c r="D883" t="s">
        <v>21</v>
      </c>
      <c r="E883" t="s">
        <v>1022</v>
      </c>
      <c r="F883" t="s">
        <v>1022</v>
      </c>
      <c r="G883" s="2">
        <v>45590</v>
      </c>
      <c r="H883" s="2">
        <v>45620</v>
      </c>
      <c r="I883" s="1">
        <v>7428.83</v>
      </c>
      <c r="J883">
        <v>500.03</v>
      </c>
      <c r="K883" t="s">
        <v>20</v>
      </c>
      <c r="L883">
        <v>0</v>
      </c>
      <c r="M883">
        <v>500.03</v>
      </c>
    </row>
    <row r="884" spans="1:13">
      <c r="A884" t="s">
        <v>1019</v>
      </c>
      <c r="B884" t="s">
        <v>1020</v>
      </c>
      <c r="C884" t="s">
        <v>16</v>
      </c>
      <c r="D884" t="s">
        <v>17</v>
      </c>
      <c r="E884" t="s">
        <v>1023</v>
      </c>
      <c r="F884" t="s">
        <v>1022</v>
      </c>
      <c r="H884" s="2">
        <v>45636</v>
      </c>
      <c r="I884">
        <v>-750.83</v>
      </c>
      <c r="J884" t="s">
        <v>86</v>
      </c>
      <c r="K884" t="s">
        <v>20</v>
      </c>
      <c r="L884">
        <v>0</v>
      </c>
      <c r="M884" t="s">
        <v>86</v>
      </c>
    </row>
    <row r="885" spans="1:13">
      <c r="A885" t="s">
        <v>1019</v>
      </c>
      <c r="B885" t="s">
        <v>1020</v>
      </c>
      <c r="C885" t="s">
        <v>16</v>
      </c>
      <c r="D885" t="s">
        <v>55</v>
      </c>
      <c r="E885" t="s">
        <v>1022</v>
      </c>
      <c r="F885" t="s">
        <v>1022</v>
      </c>
      <c r="H885" s="2">
        <v>45625</v>
      </c>
      <c r="I885" s="1">
        <v>-6177.97</v>
      </c>
      <c r="J885" t="s">
        <v>86</v>
      </c>
      <c r="K885" t="s">
        <v>20</v>
      </c>
      <c r="L885">
        <v>0</v>
      </c>
      <c r="M885" t="s">
        <v>86</v>
      </c>
    </row>
    <row r="886" spans="1:13">
      <c r="A886" t="s">
        <v>1019</v>
      </c>
      <c r="B886" t="s">
        <v>1020</v>
      </c>
      <c r="C886" t="s">
        <v>16</v>
      </c>
      <c r="D886" t="s">
        <v>21</v>
      </c>
      <c r="E886" t="s">
        <v>1024</v>
      </c>
      <c r="F886" t="s">
        <v>1024</v>
      </c>
      <c r="G886" s="2">
        <v>45653</v>
      </c>
      <c r="H886" s="2">
        <v>45683</v>
      </c>
      <c r="I886" s="1">
        <v>6341.78</v>
      </c>
      <c r="J886">
        <v>202.5</v>
      </c>
      <c r="K886" t="s">
        <v>20</v>
      </c>
      <c r="L886">
        <v>0</v>
      </c>
      <c r="M886">
        <v>202.5</v>
      </c>
    </row>
    <row r="887" spans="1:13">
      <c r="A887" t="s">
        <v>1019</v>
      </c>
      <c r="B887" t="s">
        <v>1020</v>
      </c>
      <c r="C887" t="s">
        <v>16</v>
      </c>
      <c r="D887" t="s">
        <v>17</v>
      </c>
      <c r="E887" t="s">
        <v>1025</v>
      </c>
      <c r="F887" t="s">
        <v>1024</v>
      </c>
      <c r="H887" s="2">
        <v>45559</v>
      </c>
      <c r="I887">
        <v>-0.3</v>
      </c>
      <c r="J887" t="s">
        <v>86</v>
      </c>
      <c r="K887" t="s">
        <v>20</v>
      </c>
      <c r="L887">
        <v>0</v>
      </c>
      <c r="M887" t="s">
        <v>86</v>
      </c>
    </row>
    <row r="888" spans="1:13">
      <c r="A888" t="s">
        <v>1019</v>
      </c>
      <c r="B888" t="s">
        <v>1020</v>
      </c>
      <c r="C888" t="s">
        <v>16</v>
      </c>
      <c r="D888" t="s">
        <v>55</v>
      </c>
      <c r="E888" t="s">
        <v>1024</v>
      </c>
      <c r="F888" t="s">
        <v>1024</v>
      </c>
      <c r="H888" s="2">
        <v>45684</v>
      </c>
      <c r="I888" s="1">
        <v>-6138.98</v>
      </c>
      <c r="J888" t="s">
        <v>86</v>
      </c>
      <c r="K888" t="s">
        <v>20</v>
      </c>
      <c r="L888">
        <v>0</v>
      </c>
      <c r="M888" t="s">
        <v>86</v>
      </c>
    </row>
    <row r="889" spans="1:13">
      <c r="A889" t="s">
        <v>1019</v>
      </c>
      <c r="B889" t="s">
        <v>1020</v>
      </c>
      <c r="C889" t="s">
        <v>16</v>
      </c>
      <c r="D889" t="s">
        <v>21</v>
      </c>
      <c r="E889" t="s">
        <v>1026</v>
      </c>
      <c r="F889" t="s">
        <v>1026</v>
      </c>
      <c r="G889" s="2">
        <v>45680</v>
      </c>
      <c r="H889" s="2">
        <v>45710</v>
      </c>
      <c r="I889" s="1">
        <v>10830.28</v>
      </c>
      <c r="J889">
        <v>1410.28</v>
      </c>
      <c r="K889" t="s">
        <v>20</v>
      </c>
      <c r="L889">
        <v>0</v>
      </c>
      <c r="M889">
        <v>1410.28</v>
      </c>
    </row>
    <row r="890" spans="1:13">
      <c r="A890" t="s">
        <v>1019</v>
      </c>
      <c r="B890" t="s">
        <v>1020</v>
      </c>
      <c r="C890" t="s">
        <v>16</v>
      </c>
      <c r="D890" t="s">
        <v>55</v>
      </c>
      <c r="E890" t="s">
        <v>1026</v>
      </c>
      <c r="F890" t="s">
        <v>1026</v>
      </c>
      <c r="H890" s="2">
        <v>45712</v>
      </c>
      <c r="I890" s="1">
        <v>-9420</v>
      </c>
      <c r="J890" t="s">
        <v>86</v>
      </c>
      <c r="K890" t="s">
        <v>20</v>
      </c>
      <c r="L890">
        <v>0</v>
      </c>
      <c r="M890" t="s">
        <v>86</v>
      </c>
    </row>
    <row r="891" spans="1:13">
      <c r="A891" t="s">
        <v>1027</v>
      </c>
      <c r="B891" t="s">
        <v>1028</v>
      </c>
      <c r="C891" t="s">
        <v>16</v>
      </c>
      <c r="D891" t="s">
        <v>21</v>
      </c>
      <c r="E891" t="s">
        <v>1029</v>
      </c>
      <c r="F891" t="s">
        <v>1029</v>
      </c>
      <c r="G891" s="2">
        <v>45708</v>
      </c>
      <c r="H891" s="2">
        <v>45738</v>
      </c>
      <c r="I891">
        <v>128</v>
      </c>
      <c r="J891">
        <v>128</v>
      </c>
      <c r="K891" t="s">
        <v>20</v>
      </c>
      <c r="L891">
        <v>12</v>
      </c>
      <c r="M891">
        <v>128</v>
      </c>
    </row>
    <row r="892" spans="1:13">
      <c r="A892" t="s">
        <v>1027</v>
      </c>
      <c r="B892" t="s">
        <v>1028</v>
      </c>
      <c r="C892" t="s">
        <v>16</v>
      </c>
      <c r="D892" t="s">
        <v>21</v>
      </c>
      <c r="E892" t="s">
        <v>1030</v>
      </c>
      <c r="F892" t="s">
        <v>1030</v>
      </c>
      <c r="G892" s="2">
        <v>45713</v>
      </c>
      <c r="H892" s="2">
        <v>45743</v>
      </c>
      <c r="I892">
        <v>540</v>
      </c>
      <c r="J892">
        <v>540</v>
      </c>
      <c r="K892" t="s">
        <v>20</v>
      </c>
      <c r="L892">
        <v>13</v>
      </c>
      <c r="M892">
        <v>540</v>
      </c>
    </row>
    <row r="893" spans="1:13">
      <c r="A893" t="s">
        <v>1027</v>
      </c>
      <c r="B893" t="s">
        <v>1028</v>
      </c>
      <c r="C893" t="s">
        <v>16</v>
      </c>
      <c r="D893" t="s">
        <v>21</v>
      </c>
      <c r="E893" t="s">
        <v>1031</v>
      </c>
      <c r="F893" t="s">
        <v>1031</v>
      </c>
      <c r="G893" s="2">
        <v>45728</v>
      </c>
      <c r="H893" s="2">
        <v>45758</v>
      </c>
      <c r="I893">
        <v>98</v>
      </c>
      <c r="J893">
        <v>94.5</v>
      </c>
      <c r="K893" t="s">
        <v>20</v>
      </c>
      <c r="L893">
        <v>0</v>
      </c>
      <c r="M893">
        <v>0</v>
      </c>
    </row>
    <row r="894" spans="1:13">
      <c r="A894" t="s">
        <v>1027</v>
      </c>
      <c r="B894" t="s">
        <v>1028</v>
      </c>
      <c r="C894" t="s">
        <v>16</v>
      </c>
      <c r="D894" t="s">
        <v>17</v>
      </c>
      <c r="E894" t="s">
        <v>1032</v>
      </c>
      <c r="F894" t="s">
        <v>1031</v>
      </c>
      <c r="H894" s="2">
        <v>45741</v>
      </c>
      <c r="I894">
        <v>-3.5</v>
      </c>
      <c r="J894" t="s">
        <v>86</v>
      </c>
      <c r="K894" t="s">
        <v>20</v>
      </c>
      <c r="L894">
        <v>13</v>
      </c>
      <c r="M894" t="s">
        <v>86</v>
      </c>
    </row>
    <row r="895" spans="1:13">
      <c r="A895" t="s">
        <v>1027</v>
      </c>
      <c r="B895" t="s">
        <v>1028</v>
      </c>
      <c r="C895" t="s">
        <v>16</v>
      </c>
      <c r="D895" t="s">
        <v>21</v>
      </c>
      <c r="E895" t="s">
        <v>1033</v>
      </c>
      <c r="F895" t="s">
        <v>1033</v>
      </c>
      <c r="G895" s="2">
        <v>45729</v>
      </c>
      <c r="H895" s="2">
        <v>45759</v>
      </c>
      <c r="I895">
        <v>453.6</v>
      </c>
      <c r="J895">
        <v>453.6</v>
      </c>
      <c r="K895" t="s">
        <v>20</v>
      </c>
      <c r="L895">
        <v>0</v>
      </c>
      <c r="M895">
        <v>0</v>
      </c>
    </row>
    <row r="896" spans="1:13">
      <c r="A896" t="s">
        <v>1027</v>
      </c>
      <c r="B896" t="s">
        <v>1028</v>
      </c>
      <c r="C896" t="s">
        <v>16</v>
      </c>
      <c r="D896" t="s">
        <v>21</v>
      </c>
      <c r="E896" t="s">
        <v>1034</v>
      </c>
      <c r="F896" t="s">
        <v>1034</v>
      </c>
      <c r="G896" s="2">
        <v>45736</v>
      </c>
      <c r="H896" s="2">
        <v>45766</v>
      </c>
      <c r="I896" s="1">
        <v>2220</v>
      </c>
      <c r="J896">
        <v>2220</v>
      </c>
      <c r="K896" t="s">
        <v>20</v>
      </c>
      <c r="L896">
        <v>0</v>
      </c>
      <c r="M896">
        <v>0</v>
      </c>
    </row>
    <row r="897" spans="1:13">
      <c r="A897" t="s">
        <v>1027</v>
      </c>
      <c r="B897" t="s">
        <v>1028</v>
      </c>
      <c r="C897" t="s">
        <v>16</v>
      </c>
      <c r="D897" t="s">
        <v>21</v>
      </c>
      <c r="E897" t="s">
        <v>1035</v>
      </c>
      <c r="F897" t="s">
        <v>1035</v>
      </c>
      <c r="G897" s="2">
        <v>45737</v>
      </c>
      <c r="H897" s="2">
        <v>45767</v>
      </c>
      <c r="I897" s="1">
        <v>1476</v>
      </c>
      <c r="J897">
        <v>1476</v>
      </c>
      <c r="K897" t="s">
        <v>20</v>
      </c>
      <c r="L897">
        <v>0</v>
      </c>
      <c r="M897">
        <v>0</v>
      </c>
    </row>
    <row r="898" spans="1:13">
      <c r="A898" t="s">
        <v>1027</v>
      </c>
      <c r="B898" t="s">
        <v>1028</v>
      </c>
      <c r="C898" t="s">
        <v>16</v>
      </c>
      <c r="D898" t="s">
        <v>21</v>
      </c>
      <c r="E898" t="s">
        <v>1036</v>
      </c>
      <c r="F898" t="s">
        <v>1036</v>
      </c>
      <c r="G898" s="2">
        <v>45741</v>
      </c>
      <c r="H898" s="2">
        <v>45771</v>
      </c>
      <c r="I898">
        <v>164</v>
      </c>
      <c r="J898">
        <v>164</v>
      </c>
      <c r="K898" t="s">
        <v>20</v>
      </c>
      <c r="L898">
        <v>0</v>
      </c>
      <c r="M898">
        <v>0</v>
      </c>
    </row>
    <row r="899" spans="1:13">
      <c r="A899" t="s">
        <v>1037</v>
      </c>
      <c r="B899" t="s">
        <v>1038</v>
      </c>
      <c r="C899" t="s">
        <v>16</v>
      </c>
      <c r="D899" t="s">
        <v>21</v>
      </c>
      <c r="E899" t="s">
        <v>1039</v>
      </c>
      <c r="F899" t="s">
        <v>1039</v>
      </c>
      <c r="G899" s="2">
        <v>45734</v>
      </c>
      <c r="H899" s="2">
        <v>45764</v>
      </c>
      <c r="I899" s="1">
        <v>16218.25</v>
      </c>
      <c r="J899">
        <v>16218.25</v>
      </c>
      <c r="K899" t="s">
        <v>20</v>
      </c>
      <c r="L899">
        <v>0</v>
      </c>
      <c r="M899">
        <v>0</v>
      </c>
    </row>
    <row r="900" spans="1:13">
      <c r="A900" t="s">
        <v>1037</v>
      </c>
      <c r="B900" t="s">
        <v>1038</v>
      </c>
      <c r="C900" t="s">
        <v>16</v>
      </c>
      <c r="D900" t="s">
        <v>21</v>
      </c>
      <c r="E900" t="s">
        <v>1040</v>
      </c>
      <c r="F900" t="s">
        <v>1040</v>
      </c>
      <c r="G900" s="2">
        <v>45740</v>
      </c>
      <c r="H900" s="2">
        <v>45770</v>
      </c>
      <c r="I900" s="1">
        <v>12951</v>
      </c>
      <c r="J900">
        <v>12951</v>
      </c>
      <c r="K900" t="s">
        <v>20</v>
      </c>
      <c r="L900">
        <v>0</v>
      </c>
      <c r="M900">
        <v>0</v>
      </c>
    </row>
    <row r="901" spans="1:13">
      <c r="A901" t="s">
        <v>1041</v>
      </c>
      <c r="B901" t="s">
        <v>1042</v>
      </c>
      <c r="C901" t="s">
        <v>382</v>
      </c>
      <c r="D901" t="s">
        <v>21</v>
      </c>
      <c r="E901" t="s">
        <v>1043</v>
      </c>
      <c r="F901" t="s">
        <v>1043</v>
      </c>
      <c r="G901" s="2">
        <v>45576</v>
      </c>
      <c r="H901" s="2">
        <v>45636</v>
      </c>
      <c r="I901" s="1">
        <v>11450</v>
      </c>
      <c r="J901">
        <v>1000</v>
      </c>
      <c r="K901" t="s">
        <v>20</v>
      </c>
      <c r="L901">
        <v>0</v>
      </c>
      <c r="M901">
        <v>1000</v>
      </c>
    </row>
    <row r="902" spans="1:13">
      <c r="A902" t="s">
        <v>1041</v>
      </c>
      <c r="B902" t="s">
        <v>1042</v>
      </c>
      <c r="C902" t="s">
        <v>382</v>
      </c>
      <c r="D902" t="s">
        <v>55</v>
      </c>
      <c r="E902" t="s">
        <v>1043</v>
      </c>
      <c r="F902" t="s">
        <v>1043</v>
      </c>
      <c r="H902" s="2">
        <v>45611</v>
      </c>
      <c r="I902" s="1">
        <v>-10450</v>
      </c>
      <c r="J902" t="s">
        <v>86</v>
      </c>
      <c r="K902" t="s">
        <v>20</v>
      </c>
      <c r="L902">
        <v>0</v>
      </c>
      <c r="M902" t="s">
        <v>86</v>
      </c>
    </row>
    <row r="903" spans="1:13">
      <c r="A903" t="s">
        <v>1044</v>
      </c>
      <c r="B903" t="s">
        <v>1045</v>
      </c>
      <c r="C903" t="s">
        <v>16</v>
      </c>
      <c r="D903" t="s">
        <v>17</v>
      </c>
      <c r="E903" t="s">
        <v>1046</v>
      </c>
      <c r="F903" t="s">
        <v>19</v>
      </c>
      <c r="H903" s="2">
        <v>45686</v>
      </c>
      <c r="I903" s="1">
        <v>-1040</v>
      </c>
      <c r="J903">
        <v>-1040</v>
      </c>
      <c r="K903" t="s">
        <v>20</v>
      </c>
      <c r="L903">
        <v>0</v>
      </c>
      <c r="M903">
        <v>-1040</v>
      </c>
    </row>
    <row r="904" spans="1:13">
      <c r="A904" t="s">
        <v>1044</v>
      </c>
      <c r="B904" t="s">
        <v>1045</v>
      </c>
      <c r="C904" t="s">
        <v>16</v>
      </c>
      <c r="D904" t="s">
        <v>55</v>
      </c>
      <c r="E904" t="s">
        <v>19</v>
      </c>
      <c r="F904" t="s">
        <v>19</v>
      </c>
      <c r="H904" s="2">
        <v>45713</v>
      </c>
      <c r="I904">
        <v>-72.8</v>
      </c>
      <c r="J904">
        <v>-72.8</v>
      </c>
      <c r="K904" t="s">
        <v>20</v>
      </c>
      <c r="L904">
        <v>0</v>
      </c>
      <c r="M904">
        <v>-72.8</v>
      </c>
    </row>
    <row r="905" spans="1:13">
      <c r="A905" t="s">
        <v>1047</v>
      </c>
      <c r="B905" t="s">
        <v>1048</v>
      </c>
      <c r="C905" t="s">
        <v>16</v>
      </c>
      <c r="D905" t="s">
        <v>55</v>
      </c>
      <c r="E905" t="s">
        <v>19</v>
      </c>
      <c r="F905" t="s">
        <v>19</v>
      </c>
      <c r="H905" s="2">
        <v>45481</v>
      </c>
      <c r="I905" s="1">
        <v>-2280</v>
      </c>
      <c r="J905">
        <v>-2280</v>
      </c>
      <c r="K905" t="s">
        <v>20</v>
      </c>
      <c r="L905">
        <v>0</v>
      </c>
      <c r="M905">
        <v>-2280</v>
      </c>
    </row>
    <row r="906" spans="1:13">
      <c r="A906" t="s">
        <v>1047</v>
      </c>
      <c r="B906" t="s">
        <v>1048</v>
      </c>
      <c r="C906" t="s">
        <v>16</v>
      </c>
      <c r="D906" t="s">
        <v>21</v>
      </c>
      <c r="E906" t="s">
        <v>1049</v>
      </c>
      <c r="F906" t="s">
        <v>1049</v>
      </c>
      <c r="G906" s="2">
        <v>45616</v>
      </c>
      <c r="H906" s="2">
        <v>45646</v>
      </c>
      <c r="I906" s="1">
        <v>3450</v>
      </c>
      <c r="J906">
        <v>3450</v>
      </c>
      <c r="K906" t="s">
        <v>20</v>
      </c>
      <c r="L906">
        <v>0</v>
      </c>
      <c r="M906">
        <v>3450</v>
      </c>
    </row>
    <row r="907" spans="1:13">
      <c r="A907" t="s">
        <v>1047</v>
      </c>
      <c r="B907" t="s">
        <v>1048</v>
      </c>
      <c r="C907" t="s">
        <v>16</v>
      </c>
      <c r="D907" t="s">
        <v>21</v>
      </c>
      <c r="E907" t="s">
        <v>1050</v>
      </c>
      <c r="F907" t="s">
        <v>1050</v>
      </c>
      <c r="G907" s="2">
        <v>45665</v>
      </c>
      <c r="H907" s="2">
        <v>45695</v>
      </c>
      <c r="I907" s="1">
        <v>2415</v>
      </c>
      <c r="J907">
        <v>2415</v>
      </c>
      <c r="K907" t="s">
        <v>20</v>
      </c>
      <c r="L907">
        <v>0</v>
      </c>
      <c r="M907">
        <v>2415</v>
      </c>
    </row>
    <row r="908" spans="1:13">
      <c r="A908" t="s">
        <v>1047</v>
      </c>
      <c r="B908" t="s">
        <v>1048</v>
      </c>
      <c r="C908" t="s">
        <v>16</v>
      </c>
      <c r="D908" t="s">
        <v>21</v>
      </c>
      <c r="E908" t="s">
        <v>1051</v>
      </c>
      <c r="F908" t="s">
        <v>1051</v>
      </c>
      <c r="G908" s="2">
        <v>45680</v>
      </c>
      <c r="H908" s="2">
        <v>45710</v>
      </c>
      <c r="I908" s="1">
        <v>3090</v>
      </c>
      <c r="J908">
        <v>3090</v>
      </c>
      <c r="K908" t="s">
        <v>20</v>
      </c>
      <c r="L908">
        <v>0</v>
      </c>
      <c r="M908">
        <v>3090</v>
      </c>
    </row>
    <row r="909" spans="1:13">
      <c r="A909" t="s">
        <v>1047</v>
      </c>
      <c r="B909" t="s">
        <v>1048</v>
      </c>
      <c r="C909" t="s">
        <v>16</v>
      </c>
      <c r="D909" t="s">
        <v>21</v>
      </c>
      <c r="E909" t="s">
        <v>1052</v>
      </c>
      <c r="F909" t="s">
        <v>1052</v>
      </c>
      <c r="G909" s="2">
        <v>45681</v>
      </c>
      <c r="H909" s="2">
        <v>45711</v>
      </c>
      <c r="I909">
        <v>80</v>
      </c>
      <c r="J909">
        <v>80</v>
      </c>
      <c r="K909" t="s">
        <v>20</v>
      </c>
      <c r="L909">
        <v>0</v>
      </c>
      <c r="M909">
        <v>80</v>
      </c>
    </row>
    <row r="910" spans="1:13">
      <c r="A910" t="s">
        <v>1047</v>
      </c>
      <c r="B910" t="s">
        <v>1048</v>
      </c>
      <c r="C910" t="s">
        <v>16</v>
      </c>
      <c r="D910" t="s">
        <v>21</v>
      </c>
      <c r="E910" t="s">
        <v>1053</v>
      </c>
      <c r="F910" t="s">
        <v>1053</v>
      </c>
      <c r="G910" s="2">
        <v>45691</v>
      </c>
      <c r="H910" s="2">
        <v>45721</v>
      </c>
      <c r="I910" s="1">
        <v>3090</v>
      </c>
      <c r="J910">
        <v>3090</v>
      </c>
      <c r="K910" t="s">
        <v>20</v>
      </c>
      <c r="L910">
        <v>10</v>
      </c>
      <c r="M910">
        <v>3090</v>
      </c>
    </row>
    <row r="911" spans="1:13">
      <c r="A911" t="s">
        <v>1047</v>
      </c>
      <c r="B911" t="s">
        <v>1048</v>
      </c>
      <c r="C911" t="s">
        <v>16</v>
      </c>
      <c r="D911" t="s">
        <v>21</v>
      </c>
      <c r="E911" t="s">
        <v>1054</v>
      </c>
      <c r="F911" t="s">
        <v>1054</v>
      </c>
      <c r="G911" s="2">
        <v>45734</v>
      </c>
      <c r="H911" s="2">
        <v>45764</v>
      </c>
      <c r="I911" s="1">
        <v>3090</v>
      </c>
      <c r="J911">
        <v>3090</v>
      </c>
      <c r="K911" t="s">
        <v>20</v>
      </c>
      <c r="L911">
        <v>0</v>
      </c>
      <c r="M911">
        <v>0</v>
      </c>
    </row>
    <row r="912" spans="1:13">
      <c r="A912" t="s">
        <v>1055</v>
      </c>
      <c r="B912" t="s">
        <v>1056</v>
      </c>
      <c r="C912" t="s">
        <v>16</v>
      </c>
      <c r="D912" t="s">
        <v>17</v>
      </c>
      <c r="E912" t="s">
        <v>1057</v>
      </c>
      <c r="F912" t="s">
        <v>19</v>
      </c>
      <c r="H912" s="2">
        <v>45314</v>
      </c>
      <c r="I912">
        <v>-56</v>
      </c>
      <c r="J912">
        <v>-56</v>
      </c>
      <c r="K912" t="s">
        <v>20</v>
      </c>
      <c r="L912">
        <v>0</v>
      </c>
      <c r="M912">
        <v>-56</v>
      </c>
    </row>
    <row r="913" spans="1:13">
      <c r="A913" t="s">
        <v>1055</v>
      </c>
      <c r="B913" t="s">
        <v>1056</v>
      </c>
      <c r="C913" t="s">
        <v>16</v>
      </c>
      <c r="D913" t="s">
        <v>17</v>
      </c>
      <c r="E913" t="s">
        <v>1058</v>
      </c>
      <c r="F913" t="s">
        <v>19</v>
      </c>
      <c r="H913" s="2">
        <v>45341</v>
      </c>
      <c r="I913">
        <v>-247.5</v>
      </c>
      <c r="J913">
        <v>-247.5</v>
      </c>
      <c r="K913" t="s">
        <v>20</v>
      </c>
      <c r="L913">
        <v>0</v>
      </c>
      <c r="M913">
        <v>-247.5</v>
      </c>
    </row>
    <row r="914" spans="1:13">
      <c r="A914" t="s">
        <v>1055</v>
      </c>
      <c r="B914" t="s">
        <v>1056</v>
      </c>
      <c r="C914" t="s">
        <v>16</v>
      </c>
      <c r="D914" t="s">
        <v>21</v>
      </c>
      <c r="E914" t="s">
        <v>1059</v>
      </c>
      <c r="F914" t="s">
        <v>1059</v>
      </c>
      <c r="G914" s="2">
        <v>45713</v>
      </c>
      <c r="H914" s="2">
        <v>45743</v>
      </c>
      <c r="I914" s="1">
        <v>1995</v>
      </c>
      <c r="J914">
        <v>1995</v>
      </c>
      <c r="K914" t="s">
        <v>20</v>
      </c>
      <c r="L914">
        <v>13</v>
      </c>
      <c r="M914">
        <v>1995</v>
      </c>
    </row>
    <row r="915" spans="1:13">
      <c r="A915" t="s">
        <v>1055</v>
      </c>
      <c r="B915" t="s">
        <v>1056</v>
      </c>
      <c r="C915" t="s">
        <v>16</v>
      </c>
      <c r="D915" t="s">
        <v>21</v>
      </c>
      <c r="E915" t="s">
        <v>1060</v>
      </c>
      <c r="F915" t="s">
        <v>1060</v>
      </c>
      <c r="G915" s="2">
        <v>45727</v>
      </c>
      <c r="H915" s="2">
        <v>45757</v>
      </c>
      <c r="I915" s="1">
        <v>15201.8</v>
      </c>
      <c r="J915">
        <v>15201.8</v>
      </c>
      <c r="K915" t="s">
        <v>20</v>
      </c>
      <c r="L915">
        <v>0</v>
      </c>
      <c r="M915">
        <v>0</v>
      </c>
    </row>
    <row r="916" spans="1:13">
      <c r="A916" t="s">
        <v>1061</v>
      </c>
      <c r="B916" t="s">
        <v>1062</v>
      </c>
      <c r="C916" t="s">
        <v>16</v>
      </c>
      <c r="D916" t="s">
        <v>21</v>
      </c>
      <c r="E916" t="s">
        <v>1063</v>
      </c>
      <c r="F916" t="s">
        <v>1063</v>
      </c>
      <c r="G916" s="2">
        <v>45604</v>
      </c>
      <c r="H916" s="2">
        <v>45634</v>
      </c>
      <c r="I916">
        <v>471.11</v>
      </c>
      <c r="J916">
        <v>471.11</v>
      </c>
      <c r="K916" t="s">
        <v>20</v>
      </c>
      <c r="L916">
        <v>0</v>
      </c>
      <c r="M916">
        <v>471.11</v>
      </c>
    </row>
    <row r="917" spans="1:13">
      <c r="A917" t="s">
        <v>1064</v>
      </c>
      <c r="B917" t="s">
        <v>1065</v>
      </c>
      <c r="C917" t="s">
        <v>16</v>
      </c>
      <c r="D917" t="s">
        <v>21</v>
      </c>
      <c r="E917" t="s">
        <v>1066</v>
      </c>
      <c r="F917" t="s">
        <v>1066</v>
      </c>
      <c r="G917" s="2">
        <v>45741</v>
      </c>
      <c r="H917" s="2">
        <v>45771</v>
      </c>
      <c r="I917">
        <v>644.42999999999995</v>
      </c>
      <c r="J917">
        <v>644.42999999999995</v>
      </c>
      <c r="K917" t="s">
        <v>20</v>
      </c>
      <c r="L917">
        <v>0</v>
      </c>
      <c r="M917">
        <v>0</v>
      </c>
    </row>
    <row r="918" spans="1:13">
      <c r="A918" t="s">
        <v>1067</v>
      </c>
      <c r="B918" t="s">
        <v>1068</v>
      </c>
      <c r="C918" t="s">
        <v>213</v>
      </c>
      <c r="D918" t="s">
        <v>17</v>
      </c>
      <c r="E918" t="s">
        <v>1069</v>
      </c>
      <c r="F918" t="s">
        <v>19</v>
      </c>
      <c r="H918" s="2">
        <v>45380</v>
      </c>
      <c r="I918">
        <v>-8.93</v>
      </c>
      <c r="J918">
        <v>-8.93</v>
      </c>
      <c r="K918" t="s">
        <v>20</v>
      </c>
      <c r="L918">
        <v>0</v>
      </c>
      <c r="M918">
        <v>-8.93</v>
      </c>
    </row>
    <row r="919" spans="1:13">
      <c r="A919" t="s">
        <v>1070</v>
      </c>
      <c r="B919" t="s">
        <v>1071</v>
      </c>
      <c r="C919" t="s">
        <v>213</v>
      </c>
      <c r="D919" t="s">
        <v>21</v>
      </c>
      <c r="E919" t="s">
        <v>1072</v>
      </c>
      <c r="F919" t="s">
        <v>1072</v>
      </c>
      <c r="G919" s="2">
        <v>45666</v>
      </c>
      <c r="H919" s="2">
        <v>45666</v>
      </c>
      <c r="I919" s="1">
        <v>2225.6</v>
      </c>
      <c r="J919">
        <v>2225.6</v>
      </c>
      <c r="K919" t="s">
        <v>20</v>
      </c>
      <c r="L919">
        <v>0</v>
      </c>
      <c r="M919">
        <v>2225.6</v>
      </c>
    </row>
    <row r="920" spans="1:13">
      <c r="A920" t="s">
        <v>1073</v>
      </c>
      <c r="B920" t="s">
        <v>1074</v>
      </c>
      <c r="C920" t="s">
        <v>16</v>
      </c>
      <c r="D920" t="s">
        <v>21</v>
      </c>
      <c r="E920" t="s">
        <v>1075</v>
      </c>
      <c r="F920" t="s">
        <v>1075</v>
      </c>
      <c r="G920" s="2">
        <v>45371</v>
      </c>
      <c r="H920" s="2">
        <v>45401</v>
      </c>
      <c r="I920">
        <v>354.79</v>
      </c>
      <c r="J920">
        <v>354.79</v>
      </c>
      <c r="K920" t="s">
        <v>20</v>
      </c>
      <c r="L920">
        <v>0</v>
      </c>
      <c r="M920">
        <v>354.79</v>
      </c>
    </row>
    <row r="921" spans="1:13">
      <c r="A921" t="s">
        <v>1073</v>
      </c>
      <c r="B921" t="s">
        <v>1074</v>
      </c>
      <c r="C921" t="s">
        <v>16</v>
      </c>
      <c r="D921" t="s">
        <v>21</v>
      </c>
      <c r="E921" t="s">
        <v>1076</v>
      </c>
      <c r="F921" t="s">
        <v>1076</v>
      </c>
      <c r="G921" s="2">
        <v>45609</v>
      </c>
      <c r="H921" s="2">
        <v>45639</v>
      </c>
      <c r="I921" s="1">
        <v>22201.3</v>
      </c>
      <c r="J921">
        <v>2896.3</v>
      </c>
      <c r="K921" t="s">
        <v>20</v>
      </c>
      <c r="L921">
        <v>0</v>
      </c>
      <c r="M921">
        <v>2896.3</v>
      </c>
    </row>
    <row r="922" spans="1:13">
      <c r="A922" t="s">
        <v>1073</v>
      </c>
      <c r="B922" t="s">
        <v>1074</v>
      </c>
      <c r="C922" t="s">
        <v>16</v>
      </c>
      <c r="D922" t="s">
        <v>55</v>
      </c>
      <c r="E922" t="s">
        <v>1076</v>
      </c>
      <c r="F922" t="s">
        <v>1076</v>
      </c>
      <c r="H922" s="2">
        <v>45618</v>
      </c>
      <c r="I922" s="1">
        <v>-19305</v>
      </c>
      <c r="J922" t="s">
        <v>86</v>
      </c>
      <c r="K922" t="s">
        <v>20</v>
      </c>
      <c r="L922">
        <v>0</v>
      </c>
      <c r="M922" t="s">
        <v>86</v>
      </c>
    </row>
    <row r="923" spans="1:13">
      <c r="A923" t="s">
        <v>1073</v>
      </c>
      <c r="B923" t="s">
        <v>1074</v>
      </c>
      <c r="C923" t="s">
        <v>16</v>
      </c>
      <c r="D923" t="s">
        <v>21</v>
      </c>
      <c r="E923" t="s">
        <v>1077</v>
      </c>
      <c r="F923" t="s">
        <v>1077</v>
      </c>
      <c r="G923" s="2">
        <v>45723</v>
      </c>
      <c r="H923" s="2">
        <v>45753</v>
      </c>
      <c r="I923" s="1">
        <v>24772.25</v>
      </c>
      <c r="J923">
        <v>231</v>
      </c>
      <c r="K923" t="s">
        <v>20</v>
      </c>
      <c r="L923">
        <v>0</v>
      </c>
      <c r="M923">
        <v>0</v>
      </c>
    </row>
    <row r="924" spans="1:13">
      <c r="A924" t="s">
        <v>1073</v>
      </c>
      <c r="B924" t="s">
        <v>1074</v>
      </c>
      <c r="C924" t="s">
        <v>16</v>
      </c>
      <c r="D924" t="s">
        <v>55</v>
      </c>
      <c r="E924" t="s">
        <v>1077</v>
      </c>
      <c r="F924" t="s">
        <v>1077</v>
      </c>
      <c r="H924" s="2">
        <v>45729</v>
      </c>
      <c r="I924" s="1">
        <v>-24541.25</v>
      </c>
      <c r="J924" t="s">
        <v>86</v>
      </c>
      <c r="K924" t="s">
        <v>20</v>
      </c>
      <c r="L924">
        <v>11</v>
      </c>
      <c r="M924" t="s">
        <v>86</v>
      </c>
    </row>
    <row r="925" spans="1:13">
      <c r="A925" t="s">
        <v>1078</v>
      </c>
      <c r="B925" t="s">
        <v>1079</v>
      </c>
      <c r="C925" t="s">
        <v>16</v>
      </c>
      <c r="D925" t="s">
        <v>21</v>
      </c>
      <c r="E925" t="s">
        <v>1080</v>
      </c>
      <c r="F925" t="s">
        <v>1080</v>
      </c>
      <c r="G925" s="2">
        <v>45362</v>
      </c>
      <c r="H925" s="2">
        <v>45392</v>
      </c>
      <c r="I925">
        <v>276.62</v>
      </c>
      <c r="J925">
        <v>276.62</v>
      </c>
      <c r="K925" t="s">
        <v>20</v>
      </c>
      <c r="L925">
        <v>0</v>
      </c>
      <c r="M925">
        <v>276.62</v>
      </c>
    </row>
    <row r="926" spans="1:13">
      <c r="A926" t="s">
        <v>1078</v>
      </c>
      <c r="B926" t="s">
        <v>1079</v>
      </c>
      <c r="C926" t="s">
        <v>16</v>
      </c>
      <c r="D926" t="s">
        <v>21</v>
      </c>
      <c r="E926" t="s">
        <v>1081</v>
      </c>
      <c r="F926" t="s">
        <v>1081</v>
      </c>
      <c r="G926" s="2">
        <v>45378</v>
      </c>
      <c r="H926" s="2">
        <v>45408</v>
      </c>
      <c r="I926">
        <v>32.159999999999997</v>
      </c>
      <c r="J926">
        <v>32.159999999999997</v>
      </c>
      <c r="K926" t="s">
        <v>20</v>
      </c>
      <c r="L926">
        <v>0</v>
      </c>
      <c r="M926">
        <v>32.159999999999997</v>
      </c>
    </row>
    <row r="927" spans="1:13">
      <c r="A927" t="s">
        <v>1078</v>
      </c>
      <c r="B927" t="s">
        <v>1079</v>
      </c>
      <c r="C927" t="s">
        <v>16</v>
      </c>
      <c r="D927" t="s">
        <v>21</v>
      </c>
      <c r="E927" t="s">
        <v>1082</v>
      </c>
      <c r="F927" t="s">
        <v>1082</v>
      </c>
      <c r="G927" s="2">
        <v>45378</v>
      </c>
      <c r="H927" s="2">
        <v>45408</v>
      </c>
      <c r="I927">
        <v>27.5</v>
      </c>
      <c r="J927">
        <v>27.5</v>
      </c>
      <c r="K927" t="s">
        <v>20</v>
      </c>
      <c r="L927">
        <v>0</v>
      </c>
      <c r="M927">
        <v>27.5</v>
      </c>
    </row>
    <row r="928" spans="1:13">
      <c r="A928" t="s">
        <v>1078</v>
      </c>
      <c r="B928" t="s">
        <v>1079</v>
      </c>
      <c r="C928" t="s">
        <v>16</v>
      </c>
      <c r="D928" t="s">
        <v>21</v>
      </c>
      <c r="E928" t="s">
        <v>1083</v>
      </c>
      <c r="F928" t="s">
        <v>1083</v>
      </c>
      <c r="G928" s="2">
        <v>45630</v>
      </c>
      <c r="H928" s="2">
        <v>45660</v>
      </c>
      <c r="I928" s="1">
        <v>95496</v>
      </c>
      <c r="J928">
        <v>198.29</v>
      </c>
      <c r="K928" t="s">
        <v>20</v>
      </c>
      <c r="L928">
        <v>0</v>
      </c>
      <c r="M928">
        <v>198.29</v>
      </c>
    </row>
    <row r="929" spans="1:13">
      <c r="A929" t="s">
        <v>1078</v>
      </c>
      <c r="B929" t="s">
        <v>1079</v>
      </c>
      <c r="C929" t="s">
        <v>16</v>
      </c>
      <c r="D929" t="s">
        <v>55</v>
      </c>
      <c r="E929" t="s">
        <v>1083</v>
      </c>
      <c r="F929" t="s">
        <v>1083</v>
      </c>
      <c r="H929" s="2">
        <v>45664</v>
      </c>
      <c r="I929" s="1">
        <v>-94105.68</v>
      </c>
      <c r="J929" t="s">
        <v>86</v>
      </c>
      <c r="K929" t="s">
        <v>20</v>
      </c>
      <c r="L929">
        <v>0</v>
      </c>
      <c r="M929" t="s">
        <v>86</v>
      </c>
    </row>
    <row r="930" spans="1:13">
      <c r="A930" t="s">
        <v>1078</v>
      </c>
      <c r="B930" t="s">
        <v>1079</v>
      </c>
      <c r="C930" t="s">
        <v>16</v>
      </c>
      <c r="D930" t="s">
        <v>55</v>
      </c>
      <c r="E930" t="s">
        <v>1083</v>
      </c>
      <c r="F930" t="s">
        <v>1083</v>
      </c>
      <c r="H930" s="2">
        <v>45666</v>
      </c>
      <c r="I930" s="1">
        <v>-1192.03</v>
      </c>
      <c r="J930" t="s">
        <v>86</v>
      </c>
      <c r="K930" t="s">
        <v>20</v>
      </c>
      <c r="L930">
        <v>0</v>
      </c>
      <c r="M930" t="s">
        <v>86</v>
      </c>
    </row>
    <row r="931" spans="1:13">
      <c r="A931" t="s">
        <v>1078</v>
      </c>
      <c r="B931" t="s">
        <v>1079</v>
      </c>
      <c r="C931" t="s">
        <v>16</v>
      </c>
      <c r="D931" t="s">
        <v>21</v>
      </c>
      <c r="E931" t="s">
        <v>1084</v>
      </c>
      <c r="F931" t="s">
        <v>1084</v>
      </c>
      <c r="G931" s="2">
        <v>45646</v>
      </c>
      <c r="H931" s="2">
        <v>45676</v>
      </c>
      <c r="I931" s="1">
        <v>60147.5</v>
      </c>
      <c r="J931">
        <v>20.9</v>
      </c>
      <c r="K931" t="s">
        <v>20</v>
      </c>
      <c r="L931">
        <v>0</v>
      </c>
      <c r="M931">
        <v>20.9</v>
      </c>
    </row>
    <row r="932" spans="1:13">
      <c r="A932" t="s">
        <v>1078</v>
      </c>
      <c r="B932" t="s">
        <v>1079</v>
      </c>
      <c r="C932" t="s">
        <v>16</v>
      </c>
      <c r="D932" t="s">
        <v>55</v>
      </c>
      <c r="E932" t="s">
        <v>1084</v>
      </c>
      <c r="F932" t="s">
        <v>1084</v>
      </c>
      <c r="H932" s="2">
        <v>45680</v>
      </c>
      <c r="I932" s="1">
        <v>-60126.6</v>
      </c>
      <c r="J932" t="s">
        <v>86</v>
      </c>
      <c r="K932" t="s">
        <v>20</v>
      </c>
      <c r="L932">
        <v>0</v>
      </c>
      <c r="M932" t="s">
        <v>86</v>
      </c>
    </row>
    <row r="933" spans="1:13">
      <c r="A933" t="s">
        <v>1078</v>
      </c>
      <c r="B933" t="s">
        <v>1079</v>
      </c>
      <c r="C933" t="s">
        <v>16</v>
      </c>
      <c r="D933" t="s">
        <v>21</v>
      </c>
      <c r="E933" t="s">
        <v>1085</v>
      </c>
      <c r="F933" t="s">
        <v>1085</v>
      </c>
      <c r="G933" s="2">
        <v>45650</v>
      </c>
      <c r="H933" s="2">
        <v>45680</v>
      </c>
      <c r="I933" s="1">
        <v>14565</v>
      </c>
      <c r="J933">
        <v>144</v>
      </c>
      <c r="K933" t="s">
        <v>20</v>
      </c>
      <c r="L933">
        <v>0</v>
      </c>
      <c r="M933">
        <v>144</v>
      </c>
    </row>
    <row r="934" spans="1:13">
      <c r="A934" t="s">
        <v>1078</v>
      </c>
      <c r="B934" t="s">
        <v>1079</v>
      </c>
      <c r="C934" t="s">
        <v>16</v>
      </c>
      <c r="D934" t="s">
        <v>55</v>
      </c>
      <c r="E934" t="s">
        <v>1085</v>
      </c>
      <c r="F934" t="s">
        <v>1085</v>
      </c>
      <c r="H934" s="2">
        <v>45698</v>
      </c>
      <c r="I934" s="1">
        <v>-14421</v>
      </c>
      <c r="J934" t="s">
        <v>86</v>
      </c>
      <c r="K934" t="s">
        <v>20</v>
      </c>
      <c r="L934">
        <v>0</v>
      </c>
      <c r="M934" t="s">
        <v>86</v>
      </c>
    </row>
    <row r="935" spans="1:13">
      <c r="A935" t="s">
        <v>1078</v>
      </c>
      <c r="B935" t="s">
        <v>1079</v>
      </c>
      <c r="C935" t="s">
        <v>16</v>
      </c>
      <c r="D935" t="s">
        <v>21</v>
      </c>
      <c r="E935" t="s">
        <v>1086</v>
      </c>
      <c r="F935" t="s">
        <v>1086</v>
      </c>
      <c r="G935" s="2">
        <v>45663</v>
      </c>
      <c r="H935" s="2">
        <v>45693</v>
      </c>
      <c r="I935" s="1">
        <v>47111.8</v>
      </c>
      <c r="J935">
        <v>73.8</v>
      </c>
      <c r="K935" t="s">
        <v>20</v>
      </c>
      <c r="L935">
        <v>0</v>
      </c>
      <c r="M935">
        <v>73.8</v>
      </c>
    </row>
    <row r="936" spans="1:13">
      <c r="A936" t="s">
        <v>1078</v>
      </c>
      <c r="B936" t="s">
        <v>1079</v>
      </c>
      <c r="C936" t="s">
        <v>16</v>
      </c>
      <c r="D936" t="s">
        <v>55</v>
      </c>
      <c r="E936" t="s">
        <v>1086</v>
      </c>
      <c r="F936" t="s">
        <v>1086</v>
      </c>
      <c r="H936" s="2">
        <v>45687</v>
      </c>
      <c r="I936" s="1">
        <v>-47038</v>
      </c>
      <c r="J936" t="s">
        <v>86</v>
      </c>
      <c r="K936" t="s">
        <v>20</v>
      </c>
      <c r="L936">
        <v>0</v>
      </c>
      <c r="M936" t="s">
        <v>86</v>
      </c>
    </row>
    <row r="937" spans="1:13">
      <c r="A937" t="s">
        <v>1078</v>
      </c>
      <c r="B937" t="s">
        <v>1079</v>
      </c>
      <c r="C937" t="s">
        <v>16</v>
      </c>
      <c r="D937" t="s">
        <v>21</v>
      </c>
      <c r="E937" t="s">
        <v>1087</v>
      </c>
      <c r="F937" t="s">
        <v>1087</v>
      </c>
      <c r="G937" s="2">
        <v>45714</v>
      </c>
      <c r="H937" s="2">
        <v>45744</v>
      </c>
      <c r="I937" s="1">
        <v>23670</v>
      </c>
      <c r="J937">
        <v>23670</v>
      </c>
      <c r="K937" t="s">
        <v>20</v>
      </c>
      <c r="L937">
        <v>13</v>
      </c>
      <c r="M937">
        <v>23670</v>
      </c>
    </row>
    <row r="938" spans="1:13">
      <c r="A938" t="s">
        <v>1078</v>
      </c>
      <c r="B938" t="s">
        <v>1079</v>
      </c>
      <c r="C938" t="s">
        <v>16</v>
      </c>
      <c r="D938" t="s">
        <v>21</v>
      </c>
      <c r="E938" t="s">
        <v>1088</v>
      </c>
      <c r="F938" t="s">
        <v>1088</v>
      </c>
      <c r="G938" s="2">
        <v>45735</v>
      </c>
      <c r="H938" s="2">
        <v>45765</v>
      </c>
      <c r="I938" s="1">
        <v>77551.600000000006</v>
      </c>
      <c r="J938">
        <v>77551.600000000006</v>
      </c>
      <c r="K938" t="s">
        <v>20</v>
      </c>
      <c r="L938">
        <v>0</v>
      </c>
      <c r="M938">
        <v>0</v>
      </c>
    </row>
    <row r="939" spans="1:13">
      <c r="A939" t="s">
        <v>1078</v>
      </c>
      <c r="B939" t="s">
        <v>1079</v>
      </c>
      <c r="C939" t="s">
        <v>16</v>
      </c>
      <c r="D939" t="s">
        <v>21</v>
      </c>
      <c r="E939" t="s">
        <v>1089</v>
      </c>
      <c r="F939" t="s">
        <v>1089</v>
      </c>
      <c r="G939" s="2">
        <v>45735</v>
      </c>
      <c r="H939" s="2">
        <v>45765</v>
      </c>
      <c r="I939" s="1">
        <v>85274</v>
      </c>
      <c r="J939">
        <v>85274</v>
      </c>
      <c r="K939" t="s">
        <v>20</v>
      </c>
      <c r="L939">
        <v>0</v>
      </c>
      <c r="M939">
        <v>0</v>
      </c>
    </row>
    <row r="940" spans="1:13">
      <c r="A940" t="s">
        <v>1090</v>
      </c>
      <c r="B940" t="s">
        <v>1091</v>
      </c>
      <c r="C940" t="s">
        <v>16</v>
      </c>
      <c r="D940" t="s">
        <v>21</v>
      </c>
      <c r="E940" t="s">
        <v>1092</v>
      </c>
      <c r="F940" t="s">
        <v>1092</v>
      </c>
      <c r="G940" s="2">
        <v>45665</v>
      </c>
      <c r="H940" s="2">
        <v>45695</v>
      </c>
      <c r="I940" s="1">
        <v>1869.03</v>
      </c>
      <c r="J940">
        <v>1869.03</v>
      </c>
      <c r="K940" t="s">
        <v>20</v>
      </c>
      <c r="L940">
        <v>0</v>
      </c>
      <c r="M940">
        <v>1869.03</v>
      </c>
    </row>
    <row r="941" spans="1:13">
      <c r="A941" t="s">
        <v>1093</v>
      </c>
      <c r="B941" t="s">
        <v>1094</v>
      </c>
      <c r="C941" t="s">
        <v>16</v>
      </c>
      <c r="D941" t="s">
        <v>21</v>
      </c>
      <c r="E941" t="s">
        <v>1095</v>
      </c>
      <c r="F941" t="s">
        <v>1095</v>
      </c>
      <c r="G941" s="2">
        <v>45667</v>
      </c>
      <c r="H941" s="2">
        <v>45697</v>
      </c>
      <c r="I941" s="1">
        <v>3836.25</v>
      </c>
      <c r="J941">
        <v>3836.25</v>
      </c>
      <c r="K941" t="s">
        <v>20</v>
      </c>
      <c r="L941">
        <v>0</v>
      </c>
      <c r="M941">
        <v>3836.25</v>
      </c>
    </row>
    <row r="942" spans="1:13">
      <c r="A942" t="s">
        <v>1093</v>
      </c>
      <c r="B942" t="s">
        <v>1094</v>
      </c>
      <c r="C942" t="s">
        <v>16</v>
      </c>
      <c r="D942" t="s">
        <v>21</v>
      </c>
      <c r="E942" t="s">
        <v>1096</v>
      </c>
      <c r="F942" t="s">
        <v>1096</v>
      </c>
      <c r="G942" s="2">
        <v>45716</v>
      </c>
      <c r="H942" s="2">
        <v>45746</v>
      </c>
      <c r="I942" s="1">
        <v>10874.2</v>
      </c>
      <c r="J942">
        <v>10874.2</v>
      </c>
      <c r="K942" t="s">
        <v>20</v>
      </c>
      <c r="L942">
        <v>13</v>
      </c>
      <c r="M942">
        <v>10874.2</v>
      </c>
    </row>
    <row r="943" spans="1:13">
      <c r="A943" t="s">
        <v>1093</v>
      </c>
      <c r="B943" t="s">
        <v>1094</v>
      </c>
      <c r="C943" t="s">
        <v>16</v>
      </c>
      <c r="D943" t="s">
        <v>21</v>
      </c>
      <c r="E943" t="s">
        <v>1097</v>
      </c>
      <c r="F943" t="s">
        <v>1097</v>
      </c>
      <c r="G943" s="2">
        <v>45716</v>
      </c>
      <c r="H943" s="2">
        <v>45746</v>
      </c>
      <c r="I943">
        <v>422.5</v>
      </c>
      <c r="J943">
        <v>422.5</v>
      </c>
      <c r="K943" t="s">
        <v>20</v>
      </c>
      <c r="L943">
        <v>13</v>
      </c>
      <c r="M943">
        <v>422.5</v>
      </c>
    </row>
    <row r="944" spans="1:13">
      <c r="A944" t="s">
        <v>1093</v>
      </c>
      <c r="B944" t="s">
        <v>1094</v>
      </c>
      <c r="C944" t="s">
        <v>16</v>
      </c>
      <c r="D944" t="s">
        <v>21</v>
      </c>
      <c r="E944" t="s">
        <v>1098</v>
      </c>
      <c r="F944" t="s">
        <v>1098</v>
      </c>
      <c r="G944" s="2">
        <v>45716</v>
      </c>
      <c r="H944" s="2">
        <v>45746</v>
      </c>
      <c r="I944" s="1">
        <v>2142</v>
      </c>
      <c r="J944">
        <v>2142</v>
      </c>
      <c r="K944" t="s">
        <v>20</v>
      </c>
      <c r="L944">
        <v>13</v>
      </c>
      <c r="M944">
        <v>2142</v>
      </c>
    </row>
    <row r="945" spans="1:13">
      <c r="A945" t="s">
        <v>1099</v>
      </c>
      <c r="B945" t="s">
        <v>1100</v>
      </c>
      <c r="C945" t="s">
        <v>16</v>
      </c>
      <c r="D945" t="s">
        <v>21</v>
      </c>
      <c r="E945" t="s">
        <v>1101</v>
      </c>
      <c r="F945" t="s">
        <v>1101</v>
      </c>
      <c r="G945" s="2">
        <v>45716</v>
      </c>
      <c r="H945" s="2">
        <v>45746</v>
      </c>
      <c r="I945" s="1">
        <v>1975.2</v>
      </c>
      <c r="J945">
        <v>1975.2</v>
      </c>
      <c r="K945" t="s">
        <v>20</v>
      </c>
      <c r="L945">
        <v>13</v>
      </c>
      <c r="M945">
        <v>1975.2</v>
      </c>
    </row>
    <row r="946" spans="1:13">
      <c r="A946" t="s">
        <v>1099</v>
      </c>
      <c r="B946" t="s">
        <v>1100</v>
      </c>
      <c r="C946" t="s">
        <v>16</v>
      </c>
      <c r="D946" t="s">
        <v>21</v>
      </c>
      <c r="E946" t="s">
        <v>1102</v>
      </c>
      <c r="F946" t="s">
        <v>1102</v>
      </c>
      <c r="G946" s="2">
        <v>45728</v>
      </c>
      <c r="H946" s="2">
        <v>45758</v>
      </c>
      <c r="I946" s="1">
        <v>6578</v>
      </c>
      <c r="J946">
        <v>6578</v>
      </c>
      <c r="K946" t="s">
        <v>20</v>
      </c>
      <c r="L946">
        <v>0</v>
      </c>
      <c r="M946">
        <v>0</v>
      </c>
    </row>
    <row r="947" spans="1:13">
      <c r="A947" t="s">
        <v>1103</v>
      </c>
      <c r="B947" t="s">
        <v>1104</v>
      </c>
      <c r="C947" t="s">
        <v>213</v>
      </c>
      <c r="D947" t="s">
        <v>21</v>
      </c>
      <c r="E947" t="s">
        <v>1105</v>
      </c>
      <c r="F947" t="s">
        <v>1105</v>
      </c>
      <c r="G947" s="2">
        <v>45716</v>
      </c>
      <c r="H947" s="2">
        <v>45716</v>
      </c>
      <c r="I947">
        <v>974.87</v>
      </c>
      <c r="J947">
        <v>238.28</v>
      </c>
      <c r="K947" t="s">
        <v>20</v>
      </c>
      <c r="L947">
        <v>0</v>
      </c>
      <c r="M947">
        <v>238.28</v>
      </c>
    </row>
    <row r="948" spans="1:13">
      <c r="A948" t="s">
        <v>1103</v>
      </c>
      <c r="B948" t="s">
        <v>1104</v>
      </c>
      <c r="C948" t="s">
        <v>213</v>
      </c>
      <c r="D948" t="s">
        <v>17</v>
      </c>
      <c r="E948" t="s">
        <v>1106</v>
      </c>
      <c r="F948" t="s">
        <v>1105</v>
      </c>
      <c r="H948" s="2">
        <v>45289</v>
      </c>
      <c r="I948">
        <v>-5.25</v>
      </c>
      <c r="J948" t="s">
        <v>86</v>
      </c>
      <c r="K948" t="s">
        <v>20</v>
      </c>
      <c r="L948">
        <v>0</v>
      </c>
      <c r="M948" t="s">
        <v>86</v>
      </c>
    </row>
    <row r="949" spans="1:13">
      <c r="A949" t="s">
        <v>1103</v>
      </c>
      <c r="B949" t="s">
        <v>1104</v>
      </c>
      <c r="C949" t="s">
        <v>213</v>
      </c>
      <c r="D949" t="s">
        <v>17</v>
      </c>
      <c r="E949" t="s">
        <v>1107</v>
      </c>
      <c r="F949" t="s">
        <v>1105</v>
      </c>
      <c r="H949" s="2">
        <v>45289</v>
      </c>
      <c r="I949">
        <v>-17.95</v>
      </c>
      <c r="J949" t="s">
        <v>86</v>
      </c>
      <c r="K949" t="s">
        <v>20</v>
      </c>
      <c r="L949">
        <v>0</v>
      </c>
      <c r="M949" t="s">
        <v>86</v>
      </c>
    </row>
    <row r="950" spans="1:13">
      <c r="A950" t="s">
        <v>1103</v>
      </c>
      <c r="B950" t="s">
        <v>1104</v>
      </c>
      <c r="C950" t="s">
        <v>213</v>
      </c>
      <c r="D950" t="s">
        <v>17</v>
      </c>
      <c r="E950" t="s">
        <v>1108</v>
      </c>
      <c r="F950" t="s">
        <v>1105</v>
      </c>
      <c r="H950" s="2">
        <v>45289</v>
      </c>
      <c r="I950">
        <v>-19.09</v>
      </c>
      <c r="J950" t="s">
        <v>86</v>
      </c>
      <c r="K950" t="s">
        <v>20</v>
      </c>
      <c r="L950">
        <v>0</v>
      </c>
      <c r="M950" t="s">
        <v>86</v>
      </c>
    </row>
    <row r="951" spans="1:13">
      <c r="A951" t="s">
        <v>1103</v>
      </c>
      <c r="B951" t="s">
        <v>1104</v>
      </c>
      <c r="C951" t="s">
        <v>213</v>
      </c>
      <c r="D951" t="s">
        <v>17</v>
      </c>
      <c r="E951" t="s">
        <v>1109</v>
      </c>
      <c r="F951" t="s">
        <v>1105</v>
      </c>
      <c r="H951" s="2">
        <v>45289</v>
      </c>
      <c r="I951">
        <v>-5.5</v>
      </c>
      <c r="J951" t="s">
        <v>86</v>
      </c>
      <c r="K951" t="s">
        <v>20</v>
      </c>
      <c r="L951">
        <v>0</v>
      </c>
      <c r="M951" t="s">
        <v>86</v>
      </c>
    </row>
    <row r="952" spans="1:13">
      <c r="A952" t="s">
        <v>1103</v>
      </c>
      <c r="B952" t="s">
        <v>1104</v>
      </c>
      <c r="C952" t="s">
        <v>213</v>
      </c>
      <c r="D952" t="s">
        <v>17</v>
      </c>
      <c r="E952" t="s">
        <v>1110</v>
      </c>
      <c r="F952" t="s">
        <v>1105</v>
      </c>
      <c r="H952" s="2">
        <v>45321</v>
      </c>
      <c r="I952">
        <v>-229.15</v>
      </c>
      <c r="J952" t="s">
        <v>86</v>
      </c>
      <c r="K952" t="s">
        <v>20</v>
      </c>
      <c r="L952">
        <v>0</v>
      </c>
      <c r="M952" t="s">
        <v>86</v>
      </c>
    </row>
    <row r="953" spans="1:13">
      <c r="A953" t="s">
        <v>1103</v>
      </c>
      <c r="B953" t="s">
        <v>1104</v>
      </c>
      <c r="C953" t="s">
        <v>213</v>
      </c>
      <c r="D953" t="s">
        <v>17</v>
      </c>
      <c r="E953" t="s">
        <v>1111</v>
      </c>
      <c r="F953" t="s">
        <v>1105</v>
      </c>
      <c r="H953" s="2">
        <v>45322</v>
      </c>
      <c r="I953">
        <v>-7.5</v>
      </c>
      <c r="J953" t="s">
        <v>86</v>
      </c>
      <c r="K953" t="s">
        <v>20</v>
      </c>
      <c r="L953">
        <v>0</v>
      </c>
      <c r="M953" t="s">
        <v>86</v>
      </c>
    </row>
    <row r="954" spans="1:13">
      <c r="A954" t="s">
        <v>1103</v>
      </c>
      <c r="B954" t="s">
        <v>1104</v>
      </c>
      <c r="C954" t="s">
        <v>213</v>
      </c>
      <c r="D954" t="s">
        <v>17</v>
      </c>
      <c r="E954" t="s">
        <v>1112</v>
      </c>
      <c r="F954" t="s">
        <v>1105</v>
      </c>
      <c r="H954" s="2">
        <v>45330</v>
      </c>
      <c r="I954">
        <v>-288.62</v>
      </c>
      <c r="J954" t="s">
        <v>86</v>
      </c>
      <c r="K954" t="s">
        <v>20</v>
      </c>
      <c r="L954">
        <v>0</v>
      </c>
      <c r="M954" t="s">
        <v>86</v>
      </c>
    </row>
    <row r="955" spans="1:13">
      <c r="A955" t="s">
        <v>1103</v>
      </c>
      <c r="B955" t="s">
        <v>1104</v>
      </c>
      <c r="C955" t="s">
        <v>213</v>
      </c>
      <c r="D955" t="s">
        <v>17</v>
      </c>
      <c r="E955" t="s">
        <v>1113</v>
      </c>
      <c r="F955" t="s">
        <v>1105</v>
      </c>
      <c r="H955" s="2">
        <v>45380</v>
      </c>
      <c r="I955">
        <v>-2.17</v>
      </c>
      <c r="J955" t="s">
        <v>86</v>
      </c>
      <c r="K955" t="s">
        <v>20</v>
      </c>
      <c r="L955">
        <v>0</v>
      </c>
      <c r="M955" t="s">
        <v>86</v>
      </c>
    </row>
    <row r="956" spans="1:13">
      <c r="A956" t="s">
        <v>1103</v>
      </c>
      <c r="B956" t="s">
        <v>1104</v>
      </c>
      <c r="C956" t="s">
        <v>213</v>
      </c>
      <c r="D956" t="s">
        <v>17</v>
      </c>
      <c r="E956" t="s">
        <v>1114</v>
      </c>
      <c r="F956" t="s">
        <v>1105</v>
      </c>
      <c r="H956" s="2">
        <v>45412</v>
      </c>
      <c r="I956">
        <v>-8.49</v>
      </c>
      <c r="J956" t="s">
        <v>86</v>
      </c>
      <c r="K956" t="s">
        <v>20</v>
      </c>
      <c r="L956">
        <v>0</v>
      </c>
      <c r="M956" t="s">
        <v>86</v>
      </c>
    </row>
    <row r="957" spans="1:13">
      <c r="A957" t="s">
        <v>1103</v>
      </c>
      <c r="B957" t="s">
        <v>1104</v>
      </c>
      <c r="C957" t="s">
        <v>213</v>
      </c>
      <c r="D957" t="s">
        <v>17</v>
      </c>
      <c r="E957" t="s">
        <v>1115</v>
      </c>
      <c r="F957" t="s">
        <v>1105</v>
      </c>
      <c r="H957" s="2">
        <v>45412</v>
      </c>
      <c r="I957">
        <v>-8.8699999999999992</v>
      </c>
      <c r="J957" t="s">
        <v>86</v>
      </c>
      <c r="K957" t="s">
        <v>20</v>
      </c>
      <c r="L957">
        <v>0</v>
      </c>
      <c r="M957" t="s">
        <v>86</v>
      </c>
    </row>
    <row r="958" spans="1:13">
      <c r="A958" t="s">
        <v>1103</v>
      </c>
      <c r="B958" t="s">
        <v>1104</v>
      </c>
      <c r="C958" t="s">
        <v>213</v>
      </c>
      <c r="D958" t="s">
        <v>17</v>
      </c>
      <c r="E958" t="s">
        <v>1116</v>
      </c>
      <c r="F958" t="s">
        <v>1105</v>
      </c>
      <c r="H958" s="2">
        <v>45454</v>
      </c>
      <c r="I958">
        <v>-48</v>
      </c>
      <c r="J958" t="s">
        <v>86</v>
      </c>
      <c r="K958" t="s">
        <v>20</v>
      </c>
      <c r="L958">
        <v>0</v>
      </c>
      <c r="M958" t="s">
        <v>86</v>
      </c>
    </row>
    <row r="959" spans="1:13">
      <c r="A959" t="s">
        <v>1103</v>
      </c>
      <c r="B959" t="s">
        <v>1104</v>
      </c>
      <c r="C959" t="s">
        <v>213</v>
      </c>
      <c r="D959" t="s">
        <v>17</v>
      </c>
      <c r="E959" t="s">
        <v>1117</v>
      </c>
      <c r="F959" t="s">
        <v>1105</v>
      </c>
      <c r="H959" s="2">
        <v>45460</v>
      </c>
      <c r="I959">
        <v>-96</v>
      </c>
      <c r="J959" t="s">
        <v>86</v>
      </c>
      <c r="K959" t="s">
        <v>20</v>
      </c>
      <c r="L959">
        <v>0</v>
      </c>
      <c r="M959" t="s">
        <v>86</v>
      </c>
    </row>
    <row r="960" spans="1:13">
      <c r="A960" t="s">
        <v>1118</v>
      </c>
      <c r="B960" t="s">
        <v>1119</v>
      </c>
      <c r="C960" t="s">
        <v>16</v>
      </c>
      <c r="D960" t="s">
        <v>21</v>
      </c>
      <c r="E960" t="s">
        <v>1120</v>
      </c>
      <c r="F960" t="s">
        <v>1120</v>
      </c>
      <c r="G960" s="2">
        <v>45670</v>
      </c>
      <c r="H960" s="2">
        <v>45700</v>
      </c>
      <c r="I960">
        <v>699.2</v>
      </c>
      <c r="J960">
        <v>699.2</v>
      </c>
      <c r="K960" t="s">
        <v>20</v>
      </c>
      <c r="L960">
        <v>0</v>
      </c>
      <c r="M960">
        <v>699.2</v>
      </c>
    </row>
    <row r="961" spans="1:13">
      <c r="A961" t="s">
        <v>1121</v>
      </c>
      <c r="B961" t="s">
        <v>1122</v>
      </c>
      <c r="C961" t="s">
        <v>16</v>
      </c>
      <c r="D961" t="s">
        <v>21</v>
      </c>
      <c r="E961" t="s">
        <v>1123</v>
      </c>
      <c r="F961" t="s">
        <v>1123</v>
      </c>
      <c r="G961" s="2">
        <v>45628</v>
      </c>
      <c r="H961" s="2">
        <v>45658</v>
      </c>
      <c r="I961" s="1">
        <v>2649.96</v>
      </c>
      <c r="J961">
        <v>2649.96</v>
      </c>
      <c r="K961" t="s">
        <v>20</v>
      </c>
      <c r="L961">
        <v>0</v>
      </c>
      <c r="M961">
        <v>2649.96</v>
      </c>
    </row>
    <row r="962" spans="1:13">
      <c r="A962" t="s">
        <v>1124</v>
      </c>
      <c r="B962" t="s">
        <v>1125</v>
      </c>
      <c r="C962" t="s">
        <v>213</v>
      </c>
      <c r="D962" t="s">
        <v>21</v>
      </c>
      <c r="E962" t="s">
        <v>1126</v>
      </c>
      <c r="F962" t="s">
        <v>1126</v>
      </c>
      <c r="G962" s="2">
        <v>45674</v>
      </c>
      <c r="H962" s="2">
        <v>45674</v>
      </c>
      <c r="I962">
        <v>834</v>
      </c>
      <c r="J962">
        <v>834</v>
      </c>
      <c r="K962" t="s">
        <v>20</v>
      </c>
      <c r="L962">
        <v>0</v>
      </c>
      <c r="M962">
        <v>834</v>
      </c>
    </row>
    <row r="963" spans="1:13">
      <c r="A963" t="s">
        <v>1124</v>
      </c>
      <c r="B963" t="s">
        <v>1125</v>
      </c>
      <c r="C963" t="s">
        <v>213</v>
      </c>
      <c r="D963" t="s">
        <v>21</v>
      </c>
      <c r="E963" t="s">
        <v>1127</v>
      </c>
      <c r="F963" t="s">
        <v>1127</v>
      </c>
      <c r="G963" s="2">
        <v>45716</v>
      </c>
      <c r="H963" s="2">
        <v>45716</v>
      </c>
      <c r="I963">
        <v>57</v>
      </c>
      <c r="J963">
        <v>57</v>
      </c>
      <c r="K963" t="s">
        <v>20</v>
      </c>
      <c r="L963">
        <v>0</v>
      </c>
      <c r="M963">
        <v>57</v>
      </c>
    </row>
    <row r="964" spans="1:13">
      <c r="A964" t="s">
        <v>1124</v>
      </c>
      <c r="B964" t="s">
        <v>1125</v>
      </c>
      <c r="C964" t="s">
        <v>213</v>
      </c>
      <c r="D964" t="s">
        <v>21</v>
      </c>
      <c r="E964" t="s">
        <v>1128</v>
      </c>
      <c r="F964" t="s">
        <v>1128</v>
      </c>
      <c r="G964" s="2">
        <v>45716</v>
      </c>
      <c r="H964" s="2">
        <v>45716</v>
      </c>
      <c r="I964">
        <v>49.17</v>
      </c>
      <c r="J964">
        <v>49.17</v>
      </c>
      <c r="K964" t="s">
        <v>20</v>
      </c>
      <c r="L964">
        <v>0</v>
      </c>
      <c r="M964">
        <v>49.17</v>
      </c>
    </row>
    <row r="965" spans="1:13">
      <c r="A965" t="s">
        <v>1129</v>
      </c>
      <c r="B965" t="s">
        <v>1130</v>
      </c>
      <c r="C965" t="s">
        <v>213</v>
      </c>
      <c r="D965" t="s">
        <v>21</v>
      </c>
      <c r="E965" t="s">
        <v>1131</v>
      </c>
      <c r="F965" t="s">
        <v>1131</v>
      </c>
      <c r="G965" s="2">
        <v>45602</v>
      </c>
      <c r="H965" s="2">
        <v>45602</v>
      </c>
      <c r="I965">
        <v>126.94</v>
      </c>
      <c r="J965">
        <v>16.059999999999999</v>
      </c>
      <c r="K965" t="s">
        <v>20</v>
      </c>
      <c r="L965">
        <v>0</v>
      </c>
      <c r="M965">
        <v>16.059999999999999</v>
      </c>
    </row>
    <row r="966" spans="1:13">
      <c r="A966" t="s">
        <v>1129</v>
      </c>
      <c r="B966" t="s">
        <v>1130</v>
      </c>
      <c r="C966" t="s">
        <v>213</v>
      </c>
      <c r="D966" t="s">
        <v>55</v>
      </c>
      <c r="E966" t="s">
        <v>1131</v>
      </c>
      <c r="F966" t="s">
        <v>1131</v>
      </c>
      <c r="H966" s="2">
        <v>45603</v>
      </c>
      <c r="I966">
        <v>-110.88</v>
      </c>
      <c r="J966" t="s">
        <v>86</v>
      </c>
      <c r="K966" t="s">
        <v>20</v>
      </c>
      <c r="L966">
        <v>0</v>
      </c>
      <c r="M966" t="s">
        <v>86</v>
      </c>
    </row>
    <row r="967" spans="1:13">
      <c r="A967" t="s">
        <v>1132</v>
      </c>
      <c r="B967" t="s">
        <v>1133</v>
      </c>
      <c r="C967" t="s">
        <v>16</v>
      </c>
      <c r="D967" t="s">
        <v>21</v>
      </c>
      <c r="E967" t="s">
        <v>1134</v>
      </c>
      <c r="F967" t="s">
        <v>1134</v>
      </c>
      <c r="G967" s="2">
        <v>45728</v>
      </c>
      <c r="H967" s="2">
        <v>45758</v>
      </c>
      <c r="I967">
        <v>273.74</v>
      </c>
      <c r="J967">
        <v>273.74</v>
      </c>
      <c r="K967" t="s">
        <v>20</v>
      </c>
      <c r="L967">
        <v>0</v>
      </c>
      <c r="M967">
        <v>0</v>
      </c>
    </row>
    <row r="968" spans="1:13">
      <c r="A968" t="s">
        <v>1132</v>
      </c>
      <c r="B968" t="s">
        <v>1133</v>
      </c>
      <c r="C968" t="s">
        <v>16</v>
      </c>
      <c r="D968" t="s">
        <v>21</v>
      </c>
      <c r="E968" t="s">
        <v>1135</v>
      </c>
      <c r="F968" t="s">
        <v>1135</v>
      </c>
      <c r="G968" s="2">
        <v>45734</v>
      </c>
      <c r="H968" s="2">
        <v>45764</v>
      </c>
      <c r="I968" s="1">
        <v>1003.46</v>
      </c>
      <c r="J968">
        <v>1003.46</v>
      </c>
      <c r="K968" t="s">
        <v>20</v>
      </c>
      <c r="L968">
        <v>0</v>
      </c>
      <c r="M968">
        <v>0</v>
      </c>
    </row>
    <row r="969" spans="1:13">
      <c r="A969" t="s">
        <v>1136</v>
      </c>
      <c r="B969" t="s">
        <v>1137</v>
      </c>
      <c r="C969" t="s">
        <v>16</v>
      </c>
      <c r="D969" t="s">
        <v>17</v>
      </c>
      <c r="E969" t="s">
        <v>1138</v>
      </c>
      <c r="F969" t="s">
        <v>19</v>
      </c>
      <c r="H969" s="2">
        <v>45519</v>
      </c>
      <c r="I969">
        <v>-0.03</v>
      </c>
      <c r="J969">
        <v>-0.03</v>
      </c>
      <c r="K969" t="s">
        <v>20</v>
      </c>
      <c r="L969">
        <v>0</v>
      </c>
      <c r="M969">
        <v>-0.03</v>
      </c>
    </row>
    <row r="970" spans="1:13">
      <c r="A970" t="s">
        <v>1136</v>
      </c>
      <c r="B970" t="s">
        <v>1137</v>
      </c>
      <c r="C970" t="s">
        <v>16</v>
      </c>
      <c r="D970" t="s">
        <v>55</v>
      </c>
      <c r="E970" t="s">
        <v>19</v>
      </c>
      <c r="F970" t="s">
        <v>19</v>
      </c>
      <c r="H970" s="2">
        <v>45533</v>
      </c>
      <c r="I970">
        <v>-23.63</v>
      </c>
      <c r="J970">
        <v>-23.63</v>
      </c>
      <c r="K970" t="s">
        <v>20</v>
      </c>
      <c r="L970">
        <v>0</v>
      </c>
      <c r="M970">
        <v>-23.63</v>
      </c>
    </row>
    <row r="971" spans="1:13">
      <c r="A971" t="s">
        <v>1136</v>
      </c>
      <c r="B971" t="s">
        <v>1137</v>
      </c>
      <c r="C971" t="s">
        <v>16</v>
      </c>
      <c r="D971" t="s">
        <v>21</v>
      </c>
      <c r="E971" t="s">
        <v>1139</v>
      </c>
      <c r="F971" t="s">
        <v>1139</v>
      </c>
      <c r="G971" s="2">
        <v>45566</v>
      </c>
      <c r="H971" s="2">
        <v>45596</v>
      </c>
      <c r="I971">
        <v>753.33</v>
      </c>
      <c r="J971">
        <v>-64.58</v>
      </c>
      <c r="K971" t="s">
        <v>20</v>
      </c>
      <c r="L971">
        <v>0</v>
      </c>
      <c r="M971">
        <v>-64.58</v>
      </c>
    </row>
    <row r="972" spans="1:13">
      <c r="A972" t="s">
        <v>1136</v>
      </c>
      <c r="B972" t="s">
        <v>1137</v>
      </c>
      <c r="C972" t="s">
        <v>16</v>
      </c>
      <c r="D972" t="s">
        <v>17</v>
      </c>
      <c r="E972" t="s">
        <v>1140</v>
      </c>
      <c r="F972" t="s">
        <v>1139</v>
      </c>
      <c r="H972" s="2">
        <v>45593</v>
      </c>
      <c r="I972">
        <v>-64.58</v>
      </c>
      <c r="J972" t="s">
        <v>86</v>
      </c>
      <c r="K972" t="s">
        <v>20</v>
      </c>
      <c r="L972">
        <v>0</v>
      </c>
      <c r="M972" t="s">
        <v>86</v>
      </c>
    </row>
    <row r="973" spans="1:13">
      <c r="A973" t="s">
        <v>1136</v>
      </c>
      <c r="B973" t="s">
        <v>1137</v>
      </c>
      <c r="C973" t="s">
        <v>16</v>
      </c>
      <c r="D973" t="s">
        <v>17</v>
      </c>
      <c r="E973" t="s">
        <v>1141</v>
      </c>
      <c r="F973" t="s">
        <v>1139</v>
      </c>
      <c r="H973" s="2">
        <v>45631</v>
      </c>
      <c r="I973">
        <v>-64.58</v>
      </c>
      <c r="J973" t="s">
        <v>86</v>
      </c>
      <c r="K973" t="s">
        <v>20</v>
      </c>
      <c r="L973">
        <v>0</v>
      </c>
      <c r="M973" t="s">
        <v>86</v>
      </c>
    </row>
    <row r="974" spans="1:13">
      <c r="A974" t="s">
        <v>1136</v>
      </c>
      <c r="B974" t="s">
        <v>1137</v>
      </c>
      <c r="C974" t="s">
        <v>16</v>
      </c>
      <c r="D974" t="s">
        <v>55</v>
      </c>
      <c r="E974" t="s">
        <v>1139</v>
      </c>
      <c r="F974" t="s">
        <v>1139</v>
      </c>
      <c r="H974" s="2">
        <v>45583</v>
      </c>
      <c r="I974">
        <v>-688.75</v>
      </c>
      <c r="J974" t="s">
        <v>86</v>
      </c>
      <c r="K974" t="s">
        <v>20</v>
      </c>
      <c r="L974">
        <v>0</v>
      </c>
      <c r="M974" t="s">
        <v>86</v>
      </c>
    </row>
    <row r="975" spans="1:13">
      <c r="A975" t="s">
        <v>1136</v>
      </c>
      <c r="B975" t="s">
        <v>1137</v>
      </c>
      <c r="C975" t="s">
        <v>16</v>
      </c>
      <c r="D975" t="s">
        <v>21</v>
      </c>
      <c r="E975" t="s">
        <v>1142</v>
      </c>
      <c r="F975" t="s">
        <v>1142</v>
      </c>
      <c r="G975" s="2">
        <v>45574</v>
      </c>
      <c r="H975" s="2">
        <v>45604</v>
      </c>
      <c r="I975" s="1">
        <v>3892.25</v>
      </c>
      <c r="J975">
        <v>-333.65</v>
      </c>
      <c r="K975" t="s">
        <v>20</v>
      </c>
      <c r="L975">
        <v>0</v>
      </c>
      <c r="M975">
        <v>-333.65</v>
      </c>
    </row>
    <row r="976" spans="1:13">
      <c r="A976" t="s">
        <v>1136</v>
      </c>
      <c r="B976" t="s">
        <v>1137</v>
      </c>
      <c r="C976" t="s">
        <v>16</v>
      </c>
      <c r="D976" t="s">
        <v>17</v>
      </c>
      <c r="E976" t="s">
        <v>1143</v>
      </c>
      <c r="F976" t="s">
        <v>1142</v>
      </c>
      <c r="H976" s="2">
        <v>45593</v>
      </c>
      <c r="I976">
        <v>-333.65</v>
      </c>
      <c r="J976" t="s">
        <v>86</v>
      </c>
      <c r="K976" t="s">
        <v>20</v>
      </c>
      <c r="L976">
        <v>0</v>
      </c>
      <c r="M976" t="s">
        <v>86</v>
      </c>
    </row>
    <row r="977" spans="1:13">
      <c r="A977" t="s">
        <v>1136</v>
      </c>
      <c r="B977" t="s">
        <v>1137</v>
      </c>
      <c r="C977" t="s">
        <v>16</v>
      </c>
      <c r="D977" t="s">
        <v>17</v>
      </c>
      <c r="E977" t="s">
        <v>1144</v>
      </c>
      <c r="F977" t="s">
        <v>1142</v>
      </c>
      <c r="H977" s="2">
        <v>45631</v>
      </c>
      <c r="I977">
        <v>-333.65</v>
      </c>
      <c r="J977" t="s">
        <v>86</v>
      </c>
      <c r="K977" t="s">
        <v>20</v>
      </c>
      <c r="L977">
        <v>0</v>
      </c>
      <c r="M977" t="s">
        <v>86</v>
      </c>
    </row>
    <row r="978" spans="1:13">
      <c r="A978" t="s">
        <v>1136</v>
      </c>
      <c r="B978" t="s">
        <v>1137</v>
      </c>
      <c r="C978" t="s">
        <v>16</v>
      </c>
      <c r="D978" t="s">
        <v>55</v>
      </c>
      <c r="E978" t="s">
        <v>1142</v>
      </c>
      <c r="F978" t="s">
        <v>1142</v>
      </c>
      <c r="H978" s="2">
        <v>45583</v>
      </c>
      <c r="I978" s="1">
        <v>-3558.6</v>
      </c>
      <c r="J978" t="s">
        <v>86</v>
      </c>
      <c r="K978" t="s">
        <v>20</v>
      </c>
      <c r="L978">
        <v>0</v>
      </c>
      <c r="M978" t="s">
        <v>86</v>
      </c>
    </row>
    <row r="979" spans="1:13">
      <c r="A979" t="s">
        <v>1136</v>
      </c>
      <c r="B979" t="s">
        <v>1137</v>
      </c>
      <c r="C979" t="s">
        <v>16</v>
      </c>
      <c r="D979" t="s">
        <v>21</v>
      </c>
      <c r="E979" t="s">
        <v>1145</v>
      </c>
      <c r="F979" t="s">
        <v>1145</v>
      </c>
      <c r="G979" s="2">
        <v>45589</v>
      </c>
      <c r="H979" s="2">
        <v>45619</v>
      </c>
      <c r="I979">
        <v>671.14</v>
      </c>
      <c r="J979">
        <v>57.54</v>
      </c>
      <c r="K979" t="s">
        <v>20</v>
      </c>
      <c r="L979">
        <v>0</v>
      </c>
      <c r="M979">
        <v>57.54</v>
      </c>
    </row>
    <row r="980" spans="1:13">
      <c r="A980" t="s">
        <v>1136</v>
      </c>
      <c r="B980" t="s">
        <v>1137</v>
      </c>
      <c r="C980" t="s">
        <v>16</v>
      </c>
      <c r="D980" t="s">
        <v>55</v>
      </c>
      <c r="E980" t="s">
        <v>1145</v>
      </c>
      <c r="F980" t="s">
        <v>1145</v>
      </c>
      <c r="H980" s="2">
        <v>45603</v>
      </c>
      <c r="I980">
        <v>-613.6</v>
      </c>
      <c r="J980" t="s">
        <v>86</v>
      </c>
      <c r="K980" t="s">
        <v>20</v>
      </c>
      <c r="L980">
        <v>0</v>
      </c>
      <c r="M980" t="s">
        <v>86</v>
      </c>
    </row>
    <row r="981" spans="1:13">
      <c r="A981" t="s">
        <v>1136</v>
      </c>
      <c r="B981" t="s">
        <v>1137</v>
      </c>
      <c r="C981" t="s">
        <v>16</v>
      </c>
      <c r="D981" t="s">
        <v>21</v>
      </c>
      <c r="E981" t="s">
        <v>1146</v>
      </c>
      <c r="F981" t="s">
        <v>1146</v>
      </c>
      <c r="G981" s="2">
        <v>45617</v>
      </c>
      <c r="H981" s="2">
        <v>45647</v>
      </c>
      <c r="I981" s="1">
        <v>1552.29</v>
      </c>
      <c r="J981">
        <v>133.05000000000001</v>
      </c>
      <c r="K981" t="s">
        <v>20</v>
      </c>
      <c r="L981">
        <v>0</v>
      </c>
      <c r="M981">
        <v>133.05000000000001</v>
      </c>
    </row>
    <row r="982" spans="1:13">
      <c r="A982" t="s">
        <v>1136</v>
      </c>
      <c r="B982" t="s">
        <v>1137</v>
      </c>
      <c r="C982" t="s">
        <v>16</v>
      </c>
      <c r="D982" t="s">
        <v>17</v>
      </c>
      <c r="E982" t="s">
        <v>1147</v>
      </c>
      <c r="F982" t="s">
        <v>1146</v>
      </c>
      <c r="H982" s="2">
        <v>45636</v>
      </c>
      <c r="I982" s="1">
        <v>-1113.75</v>
      </c>
      <c r="J982" t="s">
        <v>86</v>
      </c>
      <c r="K982" t="s">
        <v>20</v>
      </c>
      <c r="L982">
        <v>0</v>
      </c>
      <c r="M982" t="s">
        <v>86</v>
      </c>
    </row>
    <row r="983" spans="1:13">
      <c r="A983" t="s">
        <v>1136</v>
      </c>
      <c r="B983" t="s">
        <v>1137</v>
      </c>
      <c r="C983" t="s">
        <v>16</v>
      </c>
      <c r="D983" t="s">
        <v>55</v>
      </c>
      <c r="E983" t="s">
        <v>1146</v>
      </c>
      <c r="F983" t="s">
        <v>1146</v>
      </c>
      <c r="H983" s="2">
        <v>45639</v>
      </c>
      <c r="I983">
        <v>-305.49</v>
      </c>
      <c r="J983" t="s">
        <v>86</v>
      </c>
      <c r="K983" t="s">
        <v>20</v>
      </c>
      <c r="L983">
        <v>0</v>
      </c>
      <c r="M983" t="s">
        <v>86</v>
      </c>
    </row>
    <row r="984" spans="1:13">
      <c r="A984" t="s">
        <v>1136</v>
      </c>
      <c r="B984" t="s">
        <v>1137</v>
      </c>
      <c r="C984" t="s">
        <v>16</v>
      </c>
      <c r="D984" t="s">
        <v>21</v>
      </c>
      <c r="E984" t="s">
        <v>1148</v>
      </c>
      <c r="F984" t="s">
        <v>1148</v>
      </c>
      <c r="G984" s="2">
        <v>45630</v>
      </c>
      <c r="H984" s="2">
        <v>45660</v>
      </c>
      <c r="I984">
        <v>556.97</v>
      </c>
      <c r="J984">
        <v>47.73</v>
      </c>
      <c r="K984" t="s">
        <v>20</v>
      </c>
      <c r="L984">
        <v>0</v>
      </c>
      <c r="M984">
        <v>47.73</v>
      </c>
    </row>
    <row r="985" spans="1:13">
      <c r="A985" t="s">
        <v>1136</v>
      </c>
      <c r="B985" t="s">
        <v>1137</v>
      </c>
      <c r="C985" t="s">
        <v>16</v>
      </c>
      <c r="D985" t="s">
        <v>17</v>
      </c>
      <c r="E985" t="s">
        <v>1147</v>
      </c>
      <c r="F985" t="s">
        <v>1148</v>
      </c>
      <c r="H985" s="2">
        <v>45636</v>
      </c>
      <c r="I985">
        <v>-182.25</v>
      </c>
      <c r="J985" t="s">
        <v>86</v>
      </c>
      <c r="K985" t="s">
        <v>20</v>
      </c>
      <c r="L985">
        <v>0</v>
      </c>
      <c r="M985" t="s">
        <v>86</v>
      </c>
    </row>
    <row r="986" spans="1:13">
      <c r="A986" t="s">
        <v>1136</v>
      </c>
      <c r="B986" t="s">
        <v>1137</v>
      </c>
      <c r="C986" t="s">
        <v>16</v>
      </c>
      <c r="D986" t="s">
        <v>55</v>
      </c>
      <c r="E986" t="s">
        <v>1148</v>
      </c>
      <c r="F986" t="s">
        <v>1148</v>
      </c>
      <c r="H986" s="2">
        <v>45642</v>
      </c>
      <c r="I986">
        <v>-326.99</v>
      </c>
      <c r="J986" t="s">
        <v>86</v>
      </c>
      <c r="K986" t="s">
        <v>20</v>
      </c>
      <c r="L986">
        <v>0</v>
      </c>
      <c r="M986" t="s">
        <v>86</v>
      </c>
    </row>
    <row r="987" spans="1:13">
      <c r="A987" t="s">
        <v>1149</v>
      </c>
      <c r="B987" t="s">
        <v>1150</v>
      </c>
      <c r="C987" t="s">
        <v>16</v>
      </c>
      <c r="D987" t="s">
        <v>21</v>
      </c>
      <c r="E987" t="s">
        <v>1151</v>
      </c>
      <c r="F987" t="s">
        <v>1151</v>
      </c>
      <c r="G987" s="2">
        <v>45240</v>
      </c>
      <c r="H987" s="2">
        <v>45270</v>
      </c>
      <c r="I987">
        <v>217.86</v>
      </c>
      <c r="J987">
        <v>217.86</v>
      </c>
      <c r="K987" t="s">
        <v>20</v>
      </c>
      <c r="L987">
        <v>0</v>
      </c>
      <c r="M987">
        <v>217.86</v>
      </c>
    </row>
    <row r="988" spans="1:13">
      <c r="A988" t="s">
        <v>1149</v>
      </c>
      <c r="B988" t="s">
        <v>1150</v>
      </c>
      <c r="C988" t="s">
        <v>16</v>
      </c>
      <c r="D988" t="s">
        <v>21</v>
      </c>
      <c r="E988" t="s">
        <v>1152</v>
      </c>
      <c r="F988" t="s">
        <v>1152</v>
      </c>
      <c r="G988" s="2">
        <v>45579</v>
      </c>
      <c r="H988" s="2">
        <v>45609</v>
      </c>
      <c r="I988" s="1">
        <v>2277.15</v>
      </c>
      <c r="J988">
        <v>173.58</v>
      </c>
      <c r="K988" t="s">
        <v>20</v>
      </c>
      <c r="L988">
        <v>0</v>
      </c>
      <c r="M988">
        <v>173.58</v>
      </c>
    </row>
    <row r="989" spans="1:13">
      <c r="A989" t="s">
        <v>1149</v>
      </c>
      <c r="B989" t="s">
        <v>1150</v>
      </c>
      <c r="C989" t="s">
        <v>16</v>
      </c>
      <c r="D989" t="s">
        <v>55</v>
      </c>
      <c r="E989" t="s">
        <v>1152</v>
      </c>
      <c r="F989" t="s">
        <v>1152</v>
      </c>
      <c r="H989" s="2">
        <v>45691</v>
      </c>
      <c r="I989" s="1">
        <v>-2103.5700000000002</v>
      </c>
      <c r="J989" t="s">
        <v>86</v>
      </c>
      <c r="K989" t="s">
        <v>20</v>
      </c>
      <c r="L989">
        <v>0</v>
      </c>
      <c r="M989" t="s">
        <v>86</v>
      </c>
    </row>
    <row r="990" spans="1:13">
      <c r="A990" t="s">
        <v>1153</v>
      </c>
      <c r="B990" t="s">
        <v>1154</v>
      </c>
      <c r="C990" t="s">
        <v>16</v>
      </c>
      <c r="D990" t="s">
        <v>17</v>
      </c>
      <c r="E990" t="s">
        <v>1155</v>
      </c>
      <c r="F990" t="s">
        <v>19</v>
      </c>
      <c r="H990" s="2">
        <v>45519</v>
      </c>
      <c r="I990">
        <v>-9.48</v>
      </c>
      <c r="J990">
        <v>-9.48</v>
      </c>
      <c r="K990" t="s">
        <v>20</v>
      </c>
      <c r="L990">
        <v>0</v>
      </c>
      <c r="M990">
        <v>-9.48</v>
      </c>
    </row>
    <row r="991" spans="1:13">
      <c r="A991" t="s">
        <v>1156</v>
      </c>
      <c r="B991" t="s">
        <v>1157</v>
      </c>
      <c r="C991" t="s">
        <v>16</v>
      </c>
      <c r="D991" t="s">
        <v>21</v>
      </c>
      <c r="E991" t="s">
        <v>1158</v>
      </c>
      <c r="F991" t="s">
        <v>1158</v>
      </c>
      <c r="G991" s="2">
        <v>45197</v>
      </c>
      <c r="H991" s="2">
        <v>45227</v>
      </c>
      <c r="I991" s="1">
        <v>9360</v>
      </c>
      <c r="J991">
        <v>9360</v>
      </c>
      <c r="K991" t="s">
        <v>20</v>
      </c>
      <c r="L991">
        <v>0</v>
      </c>
      <c r="M991">
        <v>9360</v>
      </c>
    </row>
    <row r="992" spans="1:13">
      <c r="A992" t="s">
        <v>1156</v>
      </c>
      <c r="B992" t="s">
        <v>1157</v>
      </c>
      <c r="C992" t="s">
        <v>16</v>
      </c>
      <c r="D992" t="s">
        <v>17</v>
      </c>
      <c r="E992" t="s">
        <v>1159</v>
      </c>
      <c r="F992" t="s">
        <v>19</v>
      </c>
      <c r="H992" s="2">
        <v>45251</v>
      </c>
      <c r="I992">
        <v>-414</v>
      </c>
      <c r="J992">
        <v>-414</v>
      </c>
      <c r="K992" t="s">
        <v>20</v>
      </c>
      <c r="L992">
        <v>0</v>
      </c>
      <c r="M992">
        <v>-414</v>
      </c>
    </row>
    <row r="993" spans="1:13">
      <c r="A993" t="s">
        <v>1156</v>
      </c>
      <c r="B993" t="s">
        <v>1157</v>
      </c>
      <c r="C993" t="s">
        <v>16</v>
      </c>
      <c r="D993" t="s">
        <v>21</v>
      </c>
      <c r="E993" t="s">
        <v>1160</v>
      </c>
      <c r="F993" t="s">
        <v>1160</v>
      </c>
      <c r="G993" s="2">
        <v>45575</v>
      </c>
      <c r="H993" s="2">
        <v>45605</v>
      </c>
      <c r="I993" s="1">
        <v>19976</v>
      </c>
      <c r="J993">
        <v>9075</v>
      </c>
      <c r="K993" t="s">
        <v>20</v>
      </c>
      <c r="L993">
        <v>0</v>
      </c>
      <c r="M993">
        <v>9075</v>
      </c>
    </row>
    <row r="994" spans="1:13">
      <c r="A994" t="s">
        <v>1156</v>
      </c>
      <c r="B994" t="s">
        <v>1157</v>
      </c>
      <c r="C994" t="s">
        <v>16</v>
      </c>
      <c r="D994" t="s">
        <v>17</v>
      </c>
      <c r="E994" t="s">
        <v>1161</v>
      </c>
      <c r="F994" t="s">
        <v>1160</v>
      </c>
      <c r="H994" s="2">
        <v>45741</v>
      </c>
      <c r="I994">
        <v>-200</v>
      </c>
      <c r="J994" t="s">
        <v>86</v>
      </c>
      <c r="K994" t="s">
        <v>20</v>
      </c>
      <c r="L994">
        <v>13</v>
      </c>
      <c r="M994" t="s">
        <v>86</v>
      </c>
    </row>
    <row r="995" spans="1:13">
      <c r="A995" t="s">
        <v>1156</v>
      </c>
      <c r="B995" t="s">
        <v>1157</v>
      </c>
      <c r="C995" t="s">
        <v>16</v>
      </c>
      <c r="D995" t="s">
        <v>17</v>
      </c>
      <c r="E995" t="s">
        <v>1162</v>
      </c>
      <c r="F995" t="s">
        <v>1160</v>
      </c>
      <c r="H995" s="2">
        <v>45741</v>
      </c>
      <c r="I995">
        <v>-200</v>
      </c>
      <c r="J995" t="s">
        <v>86</v>
      </c>
      <c r="K995" t="s">
        <v>20</v>
      </c>
      <c r="L995">
        <v>13</v>
      </c>
      <c r="M995" t="s">
        <v>86</v>
      </c>
    </row>
    <row r="996" spans="1:13">
      <c r="A996" t="s">
        <v>1156</v>
      </c>
      <c r="B996" t="s">
        <v>1157</v>
      </c>
      <c r="C996" t="s">
        <v>16</v>
      </c>
      <c r="D996" t="s">
        <v>55</v>
      </c>
      <c r="E996" t="s">
        <v>1160</v>
      </c>
      <c r="F996" t="s">
        <v>1160</v>
      </c>
      <c r="H996" s="2">
        <v>45687</v>
      </c>
      <c r="I996" s="1">
        <v>-10501</v>
      </c>
      <c r="J996" t="s">
        <v>86</v>
      </c>
      <c r="K996" t="s">
        <v>20</v>
      </c>
      <c r="L996">
        <v>0</v>
      </c>
      <c r="M996" t="s">
        <v>86</v>
      </c>
    </row>
    <row r="997" spans="1:13">
      <c r="A997" t="s">
        <v>1156</v>
      </c>
      <c r="B997" t="s">
        <v>1157</v>
      </c>
      <c r="C997" t="s">
        <v>16</v>
      </c>
      <c r="D997" t="s">
        <v>21</v>
      </c>
      <c r="E997" t="s">
        <v>1163</v>
      </c>
      <c r="F997" t="s">
        <v>1163</v>
      </c>
      <c r="G997" s="2">
        <v>45615</v>
      </c>
      <c r="H997" s="2">
        <v>45645</v>
      </c>
      <c r="I997" s="1">
        <v>148500</v>
      </c>
      <c r="J997">
        <v>1650</v>
      </c>
      <c r="K997" t="s">
        <v>20</v>
      </c>
      <c r="L997">
        <v>0</v>
      </c>
      <c r="M997">
        <v>1650</v>
      </c>
    </row>
    <row r="998" spans="1:13">
      <c r="A998" t="s">
        <v>1156</v>
      </c>
      <c r="B998" t="s">
        <v>1157</v>
      </c>
      <c r="C998" t="s">
        <v>16</v>
      </c>
      <c r="D998" t="s">
        <v>17</v>
      </c>
      <c r="E998" t="s">
        <v>1164</v>
      </c>
      <c r="F998" t="s">
        <v>1163</v>
      </c>
      <c r="H998" s="2">
        <v>45741</v>
      </c>
      <c r="I998">
        <v>-200</v>
      </c>
      <c r="J998" t="s">
        <v>86</v>
      </c>
      <c r="K998" t="s">
        <v>20</v>
      </c>
      <c r="L998">
        <v>13</v>
      </c>
      <c r="M998" t="s">
        <v>86</v>
      </c>
    </row>
    <row r="999" spans="1:13">
      <c r="A999" t="s">
        <v>1156</v>
      </c>
      <c r="B999" t="s">
        <v>1157</v>
      </c>
      <c r="C999" t="s">
        <v>16</v>
      </c>
      <c r="D999" t="s">
        <v>55</v>
      </c>
      <c r="E999" t="s">
        <v>1163</v>
      </c>
      <c r="F999" t="s">
        <v>1163</v>
      </c>
      <c r="H999" s="2">
        <v>45652</v>
      </c>
      <c r="I999" s="1">
        <v>-146650</v>
      </c>
      <c r="J999" t="s">
        <v>86</v>
      </c>
      <c r="K999" t="s">
        <v>20</v>
      </c>
      <c r="L999">
        <v>0</v>
      </c>
      <c r="M999" t="s">
        <v>86</v>
      </c>
    </row>
    <row r="1000" spans="1:13">
      <c r="A1000" t="s">
        <v>1156</v>
      </c>
      <c r="B1000" t="s">
        <v>1157</v>
      </c>
      <c r="C1000" t="s">
        <v>16</v>
      </c>
      <c r="D1000" t="s">
        <v>21</v>
      </c>
      <c r="E1000" t="s">
        <v>1165</v>
      </c>
      <c r="F1000" t="s">
        <v>1165</v>
      </c>
      <c r="G1000" s="2">
        <v>45679</v>
      </c>
      <c r="H1000" s="2">
        <v>45709</v>
      </c>
      <c r="I1000" s="1">
        <v>12500</v>
      </c>
      <c r="J1000" t="s">
        <v>86</v>
      </c>
      <c r="K1000" t="s">
        <v>20</v>
      </c>
      <c r="L1000">
        <v>0</v>
      </c>
      <c r="M1000" t="s">
        <v>86</v>
      </c>
    </row>
    <row r="1001" spans="1:13">
      <c r="A1001" t="s">
        <v>1156</v>
      </c>
      <c r="B1001" t="s">
        <v>1157</v>
      </c>
      <c r="C1001" t="s">
        <v>16</v>
      </c>
      <c r="D1001" t="s">
        <v>17</v>
      </c>
      <c r="E1001" t="s">
        <v>1166</v>
      </c>
      <c r="F1001" t="s">
        <v>1165</v>
      </c>
      <c r="H1001" s="2">
        <v>45741</v>
      </c>
      <c r="I1001">
        <v>-600</v>
      </c>
      <c r="J1001" t="s">
        <v>86</v>
      </c>
      <c r="K1001" t="s">
        <v>20</v>
      </c>
      <c r="L1001">
        <v>13</v>
      </c>
      <c r="M1001" t="s">
        <v>86</v>
      </c>
    </row>
    <row r="1002" spans="1:13">
      <c r="A1002" t="s">
        <v>1156</v>
      </c>
      <c r="B1002" t="s">
        <v>1157</v>
      </c>
      <c r="C1002" t="s">
        <v>16</v>
      </c>
      <c r="D1002" t="s">
        <v>55</v>
      </c>
      <c r="E1002" t="s">
        <v>1165</v>
      </c>
      <c r="F1002" t="s">
        <v>1165</v>
      </c>
      <c r="H1002" s="2">
        <v>45720</v>
      </c>
      <c r="I1002" s="1">
        <v>-11900</v>
      </c>
      <c r="J1002" t="s">
        <v>86</v>
      </c>
      <c r="K1002" t="s">
        <v>20</v>
      </c>
      <c r="L1002">
        <v>10</v>
      </c>
      <c r="M1002" t="s">
        <v>86</v>
      </c>
    </row>
    <row r="1003" spans="1:13">
      <c r="A1003" t="s">
        <v>1156</v>
      </c>
      <c r="B1003" t="s">
        <v>1157</v>
      </c>
      <c r="C1003" t="s">
        <v>16</v>
      </c>
      <c r="D1003" t="s">
        <v>21</v>
      </c>
      <c r="E1003" t="s">
        <v>1167</v>
      </c>
      <c r="F1003" t="s">
        <v>1167</v>
      </c>
      <c r="G1003" s="2">
        <v>45687</v>
      </c>
      <c r="H1003" s="2">
        <v>45717</v>
      </c>
      <c r="I1003" s="1">
        <v>23904.85</v>
      </c>
      <c r="J1003">
        <v>23904.85</v>
      </c>
      <c r="K1003" t="s">
        <v>20</v>
      </c>
      <c r="L1003">
        <v>10</v>
      </c>
      <c r="M1003">
        <v>23904.85</v>
      </c>
    </row>
    <row r="1004" spans="1:13">
      <c r="A1004" t="s">
        <v>1168</v>
      </c>
      <c r="B1004" t="s">
        <v>1169</v>
      </c>
      <c r="C1004" t="s">
        <v>16</v>
      </c>
      <c r="D1004" t="s">
        <v>21</v>
      </c>
      <c r="E1004" t="s">
        <v>1170</v>
      </c>
      <c r="F1004" t="s">
        <v>1170</v>
      </c>
      <c r="G1004" s="2">
        <v>45552</v>
      </c>
      <c r="H1004" s="2">
        <v>45582</v>
      </c>
      <c r="I1004">
        <v>232</v>
      </c>
      <c r="J1004">
        <v>232</v>
      </c>
      <c r="K1004" t="s">
        <v>20</v>
      </c>
      <c r="L1004">
        <v>0</v>
      </c>
      <c r="M1004">
        <v>232</v>
      </c>
    </row>
    <row r="1005" spans="1:13">
      <c r="A1005" t="s">
        <v>1168</v>
      </c>
      <c r="B1005" t="s">
        <v>1169</v>
      </c>
      <c r="C1005" t="s">
        <v>16</v>
      </c>
      <c r="D1005" t="s">
        <v>21</v>
      </c>
      <c r="E1005" t="s">
        <v>1171</v>
      </c>
      <c r="F1005" t="s">
        <v>1171</v>
      </c>
      <c r="G1005" s="2">
        <v>45628</v>
      </c>
      <c r="H1005" s="2">
        <v>45658</v>
      </c>
      <c r="I1005">
        <v>142.5</v>
      </c>
      <c r="J1005">
        <v>142.5</v>
      </c>
      <c r="K1005" t="s">
        <v>20</v>
      </c>
      <c r="L1005">
        <v>0</v>
      </c>
      <c r="M1005">
        <v>142.5</v>
      </c>
    </row>
    <row r="1006" spans="1:13">
      <c r="A1006" t="s">
        <v>1172</v>
      </c>
      <c r="B1006" t="s">
        <v>1173</v>
      </c>
      <c r="C1006" t="s">
        <v>16</v>
      </c>
      <c r="D1006" t="s">
        <v>21</v>
      </c>
      <c r="E1006" t="s">
        <v>1174</v>
      </c>
      <c r="F1006" t="s">
        <v>1174</v>
      </c>
      <c r="G1006" s="2">
        <v>45672</v>
      </c>
      <c r="H1006" s="2">
        <v>45702</v>
      </c>
      <c r="I1006">
        <v>280</v>
      </c>
      <c r="J1006">
        <v>280</v>
      </c>
      <c r="K1006" t="s">
        <v>20</v>
      </c>
      <c r="L1006">
        <v>0</v>
      </c>
      <c r="M1006">
        <v>280</v>
      </c>
    </row>
    <row r="1007" spans="1:13">
      <c r="A1007" t="s">
        <v>1172</v>
      </c>
      <c r="B1007" t="s">
        <v>1173</v>
      </c>
      <c r="C1007" t="s">
        <v>16</v>
      </c>
      <c r="D1007" t="s">
        <v>21</v>
      </c>
      <c r="E1007" t="s">
        <v>1175</v>
      </c>
      <c r="F1007" t="s">
        <v>1175</v>
      </c>
      <c r="G1007" s="2">
        <v>45672</v>
      </c>
      <c r="H1007" s="2">
        <v>45702</v>
      </c>
      <c r="I1007">
        <v>212</v>
      </c>
      <c r="J1007">
        <v>212</v>
      </c>
      <c r="K1007" t="s">
        <v>20</v>
      </c>
      <c r="L1007">
        <v>0</v>
      </c>
      <c r="M1007">
        <v>212</v>
      </c>
    </row>
    <row r="1008" spans="1:13">
      <c r="A1008" t="s">
        <v>1172</v>
      </c>
      <c r="B1008" t="s">
        <v>1173</v>
      </c>
      <c r="C1008" t="s">
        <v>16</v>
      </c>
      <c r="D1008" t="s">
        <v>21</v>
      </c>
      <c r="E1008" t="s">
        <v>1176</v>
      </c>
      <c r="F1008" t="s">
        <v>1176</v>
      </c>
      <c r="G1008" s="2">
        <v>45712</v>
      </c>
      <c r="H1008" s="2">
        <v>45742</v>
      </c>
      <c r="I1008">
        <v>50</v>
      </c>
      <c r="J1008">
        <v>50</v>
      </c>
      <c r="K1008" t="s">
        <v>20</v>
      </c>
      <c r="L1008">
        <v>13</v>
      </c>
      <c r="M1008">
        <v>50</v>
      </c>
    </row>
    <row r="1009" spans="1:13">
      <c r="A1009" t="s">
        <v>1172</v>
      </c>
      <c r="B1009" t="s">
        <v>1173</v>
      </c>
      <c r="C1009" t="s">
        <v>16</v>
      </c>
      <c r="D1009" t="s">
        <v>21</v>
      </c>
      <c r="E1009" t="s">
        <v>1177</v>
      </c>
      <c r="F1009" t="s">
        <v>1177</v>
      </c>
      <c r="G1009" s="2">
        <v>45742</v>
      </c>
      <c r="H1009" s="2">
        <v>45772</v>
      </c>
      <c r="I1009" s="1">
        <v>2837.12</v>
      </c>
      <c r="J1009">
        <v>2837.12</v>
      </c>
      <c r="K1009" t="s">
        <v>20</v>
      </c>
      <c r="L1009">
        <v>0</v>
      </c>
      <c r="M1009">
        <v>0</v>
      </c>
    </row>
    <row r="1010" spans="1:13">
      <c r="A1010" t="s">
        <v>1178</v>
      </c>
      <c r="B1010" t="s">
        <v>1179</v>
      </c>
      <c r="C1010" t="s">
        <v>16</v>
      </c>
      <c r="D1010" t="s">
        <v>21</v>
      </c>
      <c r="E1010" t="s">
        <v>1180</v>
      </c>
      <c r="F1010" t="s">
        <v>1180</v>
      </c>
      <c r="G1010" s="2">
        <v>45587</v>
      </c>
      <c r="H1010" s="2">
        <v>45617</v>
      </c>
      <c r="I1010">
        <v>170.05</v>
      </c>
      <c r="J1010">
        <v>10.56</v>
      </c>
      <c r="K1010" t="s">
        <v>20</v>
      </c>
      <c r="L1010">
        <v>0</v>
      </c>
      <c r="M1010">
        <v>10.56</v>
      </c>
    </row>
    <row r="1011" spans="1:13">
      <c r="A1011" t="s">
        <v>1178</v>
      </c>
      <c r="B1011" t="s">
        <v>1179</v>
      </c>
      <c r="C1011" t="s">
        <v>16</v>
      </c>
      <c r="D1011" t="s">
        <v>55</v>
      </c>
      <c r="E1011" t="s">
        <v>1180</v>
      </c>
      <c r="F1011" t="s">
        <v>1180</v>
      </c>
      <c r="H1011" s="2">
        <v>45622</v>
      </c>
      <c r="I1011">
        <v>-159.49</v>
      </c>
      <c r="J1011" t="s">
        <v>86</v>
      </c>
      <c r="K1011" t="s">
        <v>20</v>
      </c>
      <c r="L1011">
        <v>0</v>
      </c>
      <c r="M1011" t="s">
        <v>86</v>
      </c>
    </row>
    <row r="1012" spans="1:13">
      <c r="A1012" t="s">
        <v>1178</v>
      </c>
      <c r="B1012" t="s">
        <v>1179</v>
      </c>
      <c r="C1012" t="s">
        <v>16</v>
      </c>
      <c r="D1012" t="s">
        <v>21</v>
      </c>
      <c r="E1012" t="s">
        <v>1181</v>
      </c>
      <c r="F1012" t="s">
        <v>1181</v>
      </c>
      <c r="G1012" s="2">
        <v>45694</v>
      </c>
      <c r="H1012" s="2">
        <v>45724</v>
      </c>
      <c r="I1012">
        <v>794.58</v>
      </c>
      <c r="J1012">
        <v>49.37</v>
      </c>
      <c r="K1012" t="s">
        <v>20</v>
      </c>
      <c r="L1012">
        <v>10</v>
      </c>
      <c r="M1012">
        <v>49.37</v>
      </c>
    </row>
    <row r="1013" spans="1:13">
      <c r="A1013" t="s">
        <v>1178</v>
      </c>
      <c r="B1013" t="s">
        <v>1179</v>
      </c>
      <c r="C1013" t="s">
        <v>16</v>
      </c>
      <c r="D1013" t="s">
        <v>55</v>
      </c>
      <c r="E1013" t="s">
        <v>1181</v>
      </c>
      <c r="F1013" t="s">
        <v>1181</v>
      </c>
      <c r="H1013" s="2">
        <v>45730</v>
      </c>
      <c r="I1013">
        <v>-745.21</v>
      </c>
      <c r="J1013" t="s">
        <v>86</v>
      </c>
      <c r="K1013" t="s">
        <v>20</v>
      </c>
      <c r="L1013">
        <v>11</v>
      </c>
      <c r="M1013" t="s">
        <v>86</v>
      </c>
    </row>
    <row r="1014" spans="1:13">
      <c r="A1014" t="s">
        <v>1182</v>
      </c>
      <c r="B1014" t="s">
        <v>1183</v>
      </c>
      <c r="C1014" t="s">
        <v>16</v>
      </c>
      <c r="D1014" t="s">
        <v>17</v>
      </c>
      <c r="E1014" t="s">
        <v>1184</v>
      </c>
      <c r="F1014" t="s">
        <v>19</v>
      </c>
      <c r="H1014" s="2">
        <v>45322</v>
      </c>
      <c r="I1014" s="1">
        <v>-1440</v>
      </c>
      <c r="J1014">
        <v>-1440</v>
      </c>
      <c r="K1014" t="s">
        <v>20</v>
      </c>
      <c r="L1014">
        <v>0</v>
      </c>
      <c r="M1014">
        <v>-1440</v>
      </c>
    </row>
    <row r="1015" spans="1:13">
      <c r="A1015" t="s">
        <v>1182</v>
      </c>
      <c r="B1015" t="s">
        <v>1183</v>
      </c>
      <c r="C1015" t="s">
        <v>16</v>
      </c>
      <c r="D1015" t="s">
        <v>21</v>
      </c>
      <c r="E1015" t="s">
        <v>1185</v>
      </c>
      <c r="F1015" t="s">
        <v>1185</v>
      </c>
      <c r="G1015" s="2">
        <v>45588</v>
      </c>
      <c r="H1015" s="2">
        <v>45618</v>
      </c>
      <c r="I1015" s="1">
        <v>7633</v>
      </c>
      <c r="J1015">
        <v>6086</v>
      </c>
      <c r="K1015" t="s">
        <v>20</v>
      </c>
      <c r="L1015">
        <v>0</v>
      </c>
      <c r="M1015">
        <v>6086</v>
      </c>
    </row>
    <row r="1016" spans="1:13">
      <c r="A1016" t="s">
        <v>1182</v>
      </c>
      <c r="B1016" t="s">
        <v>1183</v>
      </c>
      <c r="C1016" t="s">
        <v>16</v>
      </c>
      <c r="D1016" t="s">
        <v>17</v>
      </c>
      <c r="E1016" t="s">
        <v>1186</v>
      </c>
      <c r="F1016" t="s">
        <v>1185</v>
      </c>
      <c r="H1016" s="2">
        <v>45657</v>
      </c>
      <c r="I1016" s="1">
        <v>-1547</v>
      </c>
      <c r="J1016" t="s">
        <v>86</v>
      </c>
      <c r="K1016" t="s">
        <v>20</v>
      </c>
      <c r="L1016">
        <v>0</v>
      </c>
      <c r="M1016" t="s">
        <v>86</v>
      </c>
    </row>
    <row r="1017" spans="1:13">
      <c r="A1017" t="s">
        <v>1182</v>
      </c>
      <c r="B1017" t="s">
        <v>1183</v>
      </c>
      <c r="C1017" t="s">
        <v>16</v>
      </c>
      <c r="D1017" t="s">
        <v>21</v>
      </c>
      <c r="E1017" t="s">
        <v>1187</v>
      </c>
      <c r="F1017" t="s">
        <v>1187</v>
      </c>
      <c r="G1017" s="2">
        <v>45588</v>
      </c>
      <c r="H1017" s="2">
        <v>45618</v>
      </c>
      <c r="I1017">
        <v>186</v>
      </c>
      <c r="J1017">
        <v>186</v>
      </c>
      <c r="K1017" t="s">
        <v>20</v>
      </c>
      <c r="L1017">
        <v>0</v>
      </c>
      <c r="M1017">
        <v>186</v>
      </c>
    </row>
    <row r="1018" spans="1:13">
      <c r="A1018" t="s">
        <v>1182</v>
      </c>
      <c r="B1018" t="s">
        <v>1183</v>
      </c>
      <c r="C1018" t="s">
        <v>16</v>
      </c>
      <c r="D1018" t="s">
        <v>21</v>
      </c>
      <c r="E1018" t="s">
        <v>1188</v>
      </c>
      <c r="F1018" t="s">
        <v>1188</v>
      </c>
      <c r="G1018" s="2">
        <v>45603</v>
      </c>
      <c r="H1018" s="2">
        <v>45633</v>
      </c>
      <c r="I1018" s="1">
        <v>1560</v>
      </c>
      <c r="J1018">
        <v>1560</v>
      </c>
      <c r="K1018" t="s">
        <v>20</v>
      </c>
      <c r="L1018">
        <v>0</v>
      </c>
      <c r="M1018">
        <v>1560</v>
      </c>
    </row>
    <row r="1019" spans="1:13">
      <c r="A1019" t="s">
        <v>1182</v>
      </c>
      <c r="B1019" t="s">
        <v>1183</v>
      </c>
      <c r="C1019" t="s">
        <v>16</v>
      </c>
      <c r="D1019" t="s">
        <v>21</v>
      </c>
      <c r="E1019" t="s">
        <v>1189</v>
      </c>
      <c r="F1019" t="s">
        <v>1189</v>
      </c>
      <c r="G1019" s="2">
        <v>45607</v>
      </c>
      <c r="H1019" s="2">
        <v>45637</v>
      </c>
      <c r="I1019" s="1">
        <v>2050</v>
      </c>
      <c r="J1019">
        <v>2050</v>
      </c>
      <c r="K1019" t="s">
        <v>20</v>
      </c>
      <c r="L1019">
        <v>0</v>
      </c>
      <c r="M1019">
        <v>2050</v>
      </c>
    </row>
    <row r="1020" spans="1:13">
      <c r="A1020" t="s">
        <v>1182</v>
      </c>
      <c r="B1020" t="s">
        <v>1183</v>
      </c>
      <c r="C1020" t="s">
        <v>16</v>
      </c>
      <c r="D1020" t="s">
        <v>21</v>
      </c>
      <c r="E1020" t="s">
        <v>1190</v>
      </c>
      <c r="F1020" t="s">
        <v>1190</v>
      </c>
      <c r="G1020" s="2">
        <v>45609</v>
      </c>
      <c r="H1020" s="2">
        <v>45639</v>
      </c>
      <c r="I1020">
        <v>231</v>
      </c>
      <c r="J1020">
        <v>231</v>
      </c>
      <c r="K1020" t="s">
        <v>20</v>
      </c>
      <c r="L1020">
        <v>0</v>
      </c>
      <c r="M1020">
        <v>231</v>
      </c>
    </row>
    <row r="1021" spans="1:13">
      <c r="A1021" t="s">
        <v>1182</v>
      </c>
      <c r="B1021" t="s">
        <v>1183</v>
      </c>
      <c r="C1021" t="s">
        <v>16</v>
      </c>
      <c r="D1021" t="s">
        <v>21</v>
      </c>
      <c r="E1021" t="s">
        <v>1191</v>
      </c>
      <c r="F1021" t="s">
        <v>1191</v>
      </c>
      <c r="G1021" s="2">
        <v>45621</v>
      </c>
      <c r="H1021" s="2">
        <v>45651</v>
      </c>
      <c r="I1021">
        <v>120</v>
      </c>
      <c r="J1021">
        <v>120</v>
      </c>
      <c r="K1021" t="s">
        <v>20</v>
      </c>
      <c r="L1021">
        <v>0</v>
      </c>
      <c r="M1021">
        <v>120</v>
      </c>
    </row>
    <row r="1022" spans="1:13">
      <c r="A1022" t="s">
        <v>1192</v>
      </c>
      <c r="B1022" t="s">
        <v>1193</v>
      </c>
      <c r="C1022" t="s">
        <v>16</v>
      </c>
      <c r="D1022" t="s">
        <v>21</v>
      </c>
      <c r="E1022" t="s">
        <v>1194</v>
      </c>
      <c r="F1022" t="s">
        <v>1194</v>
      </c>
      <c r="G1022" s="2">
        <v>45583</v>
      </c>
      <c r="H1022" s="2">
        <v>45613</v>
      </c>
      <c r="I1022">
        <v>391.55</v>
      </c>
      <c r="J1022">
        <v>391.55</v>
      </c>
      <c r="K1022" t="s">
        <v>20</v>
      </c>
      <c r="L1022">
        <v>0</v>
      </c>
      <c r="M1022">
        <v>391.55</v>
      </c>
    </row>
    <row r="1023" spans="1:13">
      <c r="A1023" t="s">
        <v>1192</v>
      </c>
      <c r="B1023" t="s">
        <v>1193</v>
      </c>
      <c r="C1023" t="s">
        <v>16</v>
      </c>
      <c r="D1023" t="s">
        <v>21</v>
      </c>
      <c r="E1023" t="s">
        <v>1195</v>
      </c>
      <c r="F1023" t="s">
        <v>1195</v>
      </c>
      <c r="G1023" s="2">
        <v>45692</v>
      </c>
      <c r="H1023" s="2">
        <v>45722</v>
      </c>
      <c r="I1023">
        <v>452.11</v>
      </c>
      <c r="J1023">
        <v>452.11</v>
      </c>
      <c r="K1023" t="s">
        <v>20</v>
      </c>
      <c r="L1023">
        <v>10</v>
      </c>
      <c r="M1023">
        <v>452.11</v>
      </c>
    </row>
    <row r="1024" spans="1:13">
      <c r="A1024" t="s">
        <v>1192</v>
      </c>
      <c r="B1024" t="s">
        <v>1193</v>
      </c>
      <c r="C1024" t="s">
        <v>16</v>
      </c>
      <c r="D1024" t="s">
        <v>21</v>
      </c>
      <c r="E1024" t="s">
        <v>1196</v>
      </c>
      <c r="F1024" t="s">
        <v>1196</v>
      </c>
      <c r="G1024" s="2">
        <v>45740</v>
      </c>
      <c r="H1024" s="2">
        <v>45770</v>
      </c>
      <c r="I1024">
        <v>247.55</v>
      </c>
      <c r="J1024">
        <v>247.55</v>
      </c>
      <c r="K1024" t="s">
        <v>20</v>
      </c>
      <c r="L1024">
        <v>0</v>
      </c>
      <c r="M1024">
        <v>0</v>
      </c>
    </row>
    <row r="1025" spans="1:13">
      <c r="A1025" t="s">
        <v>1197</v>
      </c>
      <c r="B1025" t="s">
        <v>1198</v>
      </c>
      <c r="C1025" t="s">
        <v>16</v>
      </c>
      <c r="D1025" t="s">
        <v>21</v>
      </c>
      <c r="E1025" t="s">
        <v>1199</v>
      </c>
      <c r="F1025" t="s">
        <v>1199</v>
      </c>
      <c r="G1025" s="2">
        <v>45581</v>
      </c>
      <c r="H1025" s="2">
        <v>45611</v>
      </c>
      <c r="I1025">
        <v>852.58</v>
      </c>
      <c r="J1025">
        <v>223.83</v>
      </c>
      <c r="K1025" t="s">
        <v>20</v>
      </c>
      <c r="L1025">
        <v>0</v>
      </c>
      <c r="M1025">
        <v>223.83</v>
      </c>
    </row>
    <row r="1026" spans="1:13">
      <c r="A1026" t="s">
        <v>1197</v>
      </c>
      <c r="B1026" t="s">
        <v>1198</v>
      </c>
      <c r="C1026" t="s">
        <v>16</v>
      </c>
      <c r="D1026" t="s">
        <v>17</v>
      </c>
      <c r="E1026" t="s">
        <v>1200</v>
      </c>
      <c r="F1026" t="s">
        <v>1199</v>
      </c>
      <c r="H1026" s="2">
        <v>45652</v>
      </c>
      <c r="I1026">
        <v>-628.75</v>
      </c>
      <c r="J1026" t="s">
        <v>86</v>
      </c>
      <c r="K1026" t="s">
        <v>20</v>
      </c>
      <c r="L1026">
        <v>0</v>
      </c>
      <c r="M1026" t="s">
        <v>86</v>
      </c>
    </row>
    <row r="1027" spans="1:13">
      <c r="A1027" t="s">
        <v>1197</v>
      </c>
      <c r="B1027" t="s">
        <v>1198</v>
      </c>
      <c r="C1027" t="s">
        <v>16</v>
      </c>
      <c r="D1027" t="s">
        <v>21</v>
      </c>
      <c r="E1027" t="s">
        <v>1201</v>
      </c>
      <c r="F1027" t="s">
        <v>1201</v>
      </c>
      <c r="G1027" s="2">
        <v>45723</v>
      </c>
      <c r="H1027" s="2">
        <v>45753</v>
      </c>
      <c r="I1027" s="1">
        <v>1218</v>
      </c>
      <c r="J1027">
        <v>1218</v>
      </c>
      <c r="K1027" t="s">
        <v>20</v>
      </c>
      <c r="L1027">
        <v>0</v>
      </c>
      <c r="M1027">
        <v>0</v>
      </c>
    </row>
    <row r="1028" spans="1:13">
      <c r="A1028" t="s">
        <v>1202</v>
      </c>
      <c r="B1028" t="s">
        <v>1203</v>
      </c>
      <c r="C1028" t="s">
        <v>16</v>
      </c>
      <c r="D1028" t="s">
        <v>55</v>
      </c>
      <c r="E1028" t="s">
        <v>19</v>
      </c>
      <c r="F1028" t="s">
        <v>19</v>
      </c>
      <c r="H1028" s="2">
        <v>45555</v>
      </c>
      <c r="I1028">
        <v>-5</v>
      </c>
      <c r="J1028">
        <v>-5</v>
      </c>
      <c r="K1028" t="s">
        <v>20</v>
      </c>
      <c r="L1028">
        <v>0</v>
      </c>
      <c r="M1028">
        <v>-5</v>
      </c>
    </row>
    <row r="1029" spans="1:13">
      <c r="A1029" t="s">
        <v>1202</v>
      </c>
      <c r="B1029" t="s">
        <v>1203</v>
      </c>
      <c r="C1029" t="s">
        <v>16</v>
      </c>
      <c r="D1029" t="s">
        <v>21</v>
      </c>
      <c r="E1029" t="s">
        <v>1204</v>
      </c>
      <c r="F1029" t="s">
        <v>1204</v>
      </c>
      <c r="G1029" s="2">
        <v>45657</v>
      </c>
      <c r="H1029" s="2">
        <v>45687</v>
      </c>
      <c r="I1029">
        <v>483.11</v>
      </c>
      <c r="J1029">
        <v>483.11</v>
      </c>
      <c r="K1029" t="s">
        <v>20</v>
      </c>
      <c r="L1029">
        <v>0</v>
      </c>
      <c r="M1029">
        <v>483.11</v>
      </c>
    </row>
    <row r="1030" spans="1:13">
      <c r="A1030" t="s">
        <v>1205</v>
      </c>
      <c r="B1030" t="s">
        <v>1206</v>
      </c>
      <c r="C1030" t="s">
        <v>16</v>
      </c>
      <c r="D1030" t="s">
        <v>17</v>
      </c>
      <c r="E1030" t="s">
        <v>1207</v>
      </c>
      <c r="F1030" t="s">
        <v>19</v>
      </c>
      <c r="H1030" s="2">
        <v>45720</v>
      </c>
      <c r="I1030">
        <v>-720</v>
      </c>
      <c r="J1030">
        <v>-720</v>
      </c>
      <c r="K1030" t="s">
        <v>20</v>
      </c>
      <c r="L1030">
        <v>10</v>
      </c>
      <c r="M1030">
        <v>-720</v>
      </c>
    </row>
    <row r="1031" spans="1:13">
      <c r="A1031" t="s">
        <v>1208</v>
      </c>
      <c r="B1031" t="s">
        <v>1209</v>
      </c>
      <c r="C1031" t="s">
        <v>213</v>
      </c>
      <c r="D1031" t="s">
        <v>21</v>
      </c>
      <c r="E1031" t="s">
        <v>1210</v>
      </c>
      <c r="F1031" t="s">
        <v>1210</v>
      </c>
      <c r="G1031" s="2">
        <v>45672</v>
      </c>
      <c r="H1031" s="2">
        <v>45672</v>
      </c>
      <c r="I1031" s="1">
        <v>1055.26</v>
      </c>
      <c r="J1031">
        <v>1055.26</v>
      </c>
      <c r="K1031" t="s">
        <v>20</v>
      </c>
      <c r="L1031">
        <v>0</v>
      </c>
      <c r="M1031">
        <v>1055.26</v>
      </c>
    </row>
    <row r="1032" spans="1:13">
      <c r="A1032" t="s">
        <v>1211</v>
      </c>
      <c r="B1032" t="s">
        <v>1212</v>
      </c>
      <c r="C1032" t="s">
        <v>16</v>
      </c>
      <c r="D1032" t="s">
        <v>55</v>
      </c>
      <c r="E1032" t="s">
        <v>19</v>
      </c>
      <c r="F1032" t="s">
        <v>19</v>
      </c>
      <c r="H1032" s="2">
        <v>44823</v>
      </c>
      <c r="I1032" s="1">
        <v>-2408</v>
      </c>
      <c r="J1032">
        <v>-2408</v>
      </c>
      <c r="K1032" t="s">
        <v>20</v>
      </c>
      <c r="L1032">
        <v>0</v>
      </c>
      <c r="M1032">
        <v>-2408</v>
      </c>
    </row>
    <row r="1033" spans="1:13">
      <c r="A1033" t="s">
        <v>1211</v>
      </c>
      <c r="B1033" t="s">
        <v>1212</v>
      </c>
      <c r="C1033" t="s">
        <v>16</v>
      </c>
      <c r="D1033" t="s">
        <v>21</v>
      </c>
      <c r="E1033" t="s">
        <v>1213</v>
      </c>
      <c r="F1033" t="s">
        <v>1213</v>
      </c>
      <c r="G1033" s="2">
        <v>45734</v>
      </c>
      <c r="H1033" s="2">
        <v>45764</v>
      </c>
      <c r="I1033" s="1">
        <v>1791.08</v>
      </c>
      <c r="J1033">
        <v>1791.08</v>
      </c>
      <c r="K1033" t="s">
        <v>20</v>
      </c>
      <c r="L1033">
        <v>0</v>
      </c>
      <c r="M1033">
        <v>0</v>
      </c>
    </row>
    <row r="1034" spans="1:13">
      <c r="A1034" t="s">
        <v>1214</v>
      </c>
      <c r="B1034" t="s">
        <v>1215</v>
      </c>
      <c r="C1034" t="s">
        <v>1216</v>
      </c>
      <c r="D1034" t="s">
        <v>21</v>
      </c>
      <c r="E1034" t="s">
        <v>1217</v>
      </c>
      <c r="F1034" t="s">
        <v>1217</v>
      </c>
      <c r="G1034" s="2">
        <v>45306</v>
      </c>
      <c r="H1034" s="2">
        <v>45396</v>
      </c>
      <c r="I1034" s="1">
        <v>27132</v>
      </c>
      <c r="J1034">
        <v>6753.86</v>
      </c>
      <c r="K1034" t="s">
        <v>20</v>
      </c>
      <c r="L1034">
        <v>0</v>
      </c>
      <c r="M1034">
        <v>6753.86</v>
      </c>
    </row>
    <row r="1035" spans="1:13">
      <c r="A1035" t="s">
        <v>1214</v>
      </c>
      <c r="B1035" t="s">
        <v>1215</v>
      </c>
      <c r="C1035" t="s">
        <v>1216</v>
      </c>
      <c r="D1035" t="s">
        <v>17</v>
      </c>
      <c r="E1035" t="s">
        <v>1218</v>
      </c>
      <c r="F1035" t="s">
        <v>1217</v>
      </c>
      <c r="H1035" s="2">
        <v>45253</v>
      </c>
      <c r="I1035">
        <v>-500</v>
      </c>
      <c r="J1035" t="s">
        <v>86</v>
      </c>
      <c r="K1035" t="s">
        <v>20</v>
      </c>
      <c r="L1035">
        <v>0</v>
      </c>
      <c r="M1035" t="s">
        <v>86</v>
      </c>
    </row>
    <row r="1036" spans="1:13">
      <c r="A1036" t="s">
        <v>1214</v>
      </c>
      <c r="B1036" t="s">
        <v>1215</v>
      </c>
      <c r="C1036" t="s">
        <v>1216</v>
      </c>
      <c r="D1036" t="s">
        <v>55</v>
      </c>
      <c r="E1036" t="s">
        <v>1217</v>
      </c>
      <c r="F1036" t="s">
        <v>1217</v>
      </c>
      <c r="H1036" s="2">
        <v>45336</v>
      </c>
      <c r="I1036" s="1">
        <v>-19878.14</v>
      </c>
      <c r="J1036" t="s">
        <v>86</v>
      </c>
      <c r="K1036" t="s">
        <v>20</v>
      </c>
      <c r="L1036">
        <v>0</v>
      </c>
      <c r="M1036" t="s">
        <v>86</v>
      </c>
    </row>
    <row r="1037" spans="1:13">
      <c r="A1037" t="s">
        <v>1214</v>
      </c>
      <c r="B1037" t="s">
        <v>1215</v>
      </c>
      <c r="C1037" t="s">
        <v>1216</v>
      </c>
      <c r="D1037" t="s">
        <v>21</v>
      </c>
      <c r="E1037" t="s">
        <v>1219</v>
      </c>
      <c r="F1037" t="s">
        <v>1219</v>
      </c>
      <c r="G1037" s="2">
        <v>45447</v>
      </c>
      <c r="H1037" s="2">
        <v>45537</v>
      </c>
      <c r="I1037" s="1">
        <v>10516.6</v>
      </c>
      <c r="J1037">
        <v>157.07</v>
      </c>
      <c r="K1037" t="s">
        <v>20</v>
      </c>
      <c r="L1037">
        <v>0</v>
      </c>
      <c r="M1037">
        <v>157.07</v>
      </c>
    </row>
    <row r="1038" spans="1:13">
      <c r="A1038" t="s">
        <v>1214</v>
      </c>
      <c r="B1038" t="s">
        <v>1215</v>
      </c>
      <c r="C1038" t="s">
        <v>1216</v>
      </c>
      <c r="D1038" t="s">
        <v>55</v>
      </c>
      <c r="E1038" t="s">
        <v>1219</v>
      </c>
      <c r="F1038" t="s">
        <v>1219</v>
      </c>
      <c r="H1038" s="2">
        <v>45545</v>
      </c>
      <c r="I1038" s="1">
        <v>-10112.040000000001</v>
      </c>
      <c r="J1038" t="s">
        <v>86</v>
      </c>
      <c r="K1038" t="s">
        <v>20</v>
      </c>
      <c r="L1038">
        <v>0</v>
      </c>
      <c r="M1038" t="s">
        <v>86</v>
      </c>
    </row>
    <row r="1039" spans="1:13">
      <c r="A1039" t="s">
        <v>1214</v>
      </c>
      <c r="B1039" t="s">
        <v>1215</v>
      </c>
      <c r="C1039" t="s">
        <v>1216</v>
      </c>
      <c r="D1039" t="s">
        <v>55</v>
      </c>
      <c r="E1039" t="s">
        <v>1219</v>
      </c>
      <c r="F1039" t="s">
        <v>1219</v>
      </c>
      <c r="H1039" s="2">
        <v>45621</v>
      </c>
      <c r="I1039">
        <v>-145</v>
      </c>
      <c r="J1039" t="s">
        <v>86</v>
      </c>
      <c r="K1039" t="s">
        <v>20</v>
      </c>
      <c r="L1039">
        <v>0</v>
      </c>
      <c r="M1039" t="s">
        <v>86</v>
      </c>
    </row>
    <row r="1040" spans="1:13">
      <c r="A1040" t="s">
        <v>1214</v>
      </c>
      <c r="B1040" t="s">
        <v>1215</v>
      </c>
      <c r="C1040" t="s">
        <v>1216</v>
      </c>
      <c r="D1040" t="s">
        <v>55</v>
      </c>
      <c r="E1040" t="s">
        <v>1219</v>
      </c>
      <c r="F1040" t="s">
        <v>1219</v>
      </c>
      <c r="H1040" s="2">
        <v>45701</v>
      </c>
      <c r="I1040">
        <v>-102.49</v>
      </c>
      <c r="J1040" t="s">
        <v>86</v>
      </c>
      <c r="K1040" t="s">
        <v>20</v>
      </c>
      <c r="L1040">
        <v>0</v>
      </c>
      <c r="M1040" t="s">
        <v>86</v>
      </c>
    </row>
    <row r="1041" spans="1:13">
      <c r="A1041" t="s">
        <v>1214</v>
      </c>
      <c r="B1041" t="s">
        <v>1215</v>
      </c>
      <c r="C1041" t="s">
        <v>1216</v>
      </c>
      <c r="D1041" t="s">
        <v>21</v>
      </c>
      <c r="E1041" t="s">
        <v>1220</v>
      </c>
      <c r="F1041" t="s">
        <v>1220</v>
      </c>
      <c r="G1041" s="2">
        <v>45464</v>
      </c>
      <c r="H1041" s="2">
        <v>45554</v>
      </c>
      <c r="I1041" s="1">
        <v>7210</v>
      </c>
      <c r="J1041">
        <v>842.47</v>
      </c>
      <c r="K1041" t="s">
        <v>20</v>
      </c>
      <c r="L1041">
        <v>0</v>
      </c>
      <c r="M1041">
        <v>842.47</v>
      </c>
    </row>
    <row r="1042" spans="1:13">
      <c r="A1042" t="s">
        <v>1214</v>
      </c>
      <c r="B1042" t="s">
        <v>1215</v>
      </c>
      <c r="C1042" t="s">
        <v>1216</v>
      </c>
      <c r="D1042" t="s">
        <v>55</v>
      </c>
      <c r="E1042" t="s">
        <v>1220</v>
      </c>
      <c r="F1042" t="s">
        <v>1220</v>
      </c>
      <c r="H1042" s="2">
        <v>45561</v>
      </c>
      <c r="I1042" s="1">
        <v>-6367.53</v>
      </c>
      <c r="J1042" t="s">
        <v>86</v>
      </c>
      <c r="K1042" t="s">
        <v>20</v>
      </c>
      <c r="L1042">
        <v>0</v>
      </c>
      <c r="M1042" t="s">
        <v>86</v>
      </c>
    </row>
    <row r="1043" spans="1:13">
      <c r="A1043" t="s">
        <v>1214</v>
      </c>
      <c r="B1043" t="s">
        <v>1215</v>
      </c>
      <c r="C1043" t="s">
        <v>1216</v>
      </c>
      <c r="D1043" t="s">
        <v>21</v>
      </c>
      <c r="E1043" t="s">
        <v>1221</v>
      </c>
      <c r="F1043" t="s">
        <v>1221</v>
      </c>
      <c r="G1043" s="2">
        <v>45531</v>
      </c>
      <c r="H1043" s="2">
        <v>45621</v>
      </c>
      <c r="I1043" s="1">
        <v>19443.5</v>
      </c>
      <c r="J1043">
        <v>300</v>
      </c>
      <c r="K1043" t="s">
        <v>20</v>
      </c>
      <c r="L1043">
        <v>0</v>
      </c>
      <c r="M1043">
        <v>300</v>
      </c>
    </row>
    <row r="1044" spans="1:13">
      <c r="A1044" t="s">
        <v>1214</v>
      </c>
      <c r="B1044" t="s">
        <v>1215</v>
      </c>
      <c r="C1044" t="s">
        <v>1216</v>
      </c>
      <c r="D1044" t="s">
        <v>55</v>
      </c>
      <c r="E1044" t="s">
        <v>1221</v>
      </c>
      <c r="F1044" t="s">
        <v>1221</v>
      </c>
      <c r="H1044" s="2">
        <v>45629</v>
      </c>
      <c r="I1044" s="1">
        <v>-19143.5</v>
      </c>
      <c r="J1044" t="s">
        <v>86</v>
      </c>
      <c r="K1044" t="s">
        <v>20</v>
      </c>
      <c r="L1044">
        <v>0</v>
      </c>
      <c r="M1044" t="s">
        <v>86</v>
      </c>
    </row>
    <row r="1045" spans="1:13">
      <c r="A1045" t="s">
        <v>1214</v>
      </c>
      <c r="B1045" t="s">
        <v>1215</v>
      </c>
      <c r="C1045" t="s">
        <v>1216</v>
      </c>
      <c r="D1045" t="s">
        <v>21</v>
      </c>
      <c r="E1045" t="s">
        <v>1222</v>
      </c>
      <c r="F1045" t="s">
        <v>1222</v>
      </c>
      <c r="G1045" s="2">
        <v>45565</v>
      </c>
      <c r="H1045" s="2">
        <v>45655</v>
      </c>
      <c r="I1045" s="1">
        <v>18529.900000000001</v>
      </c>
      <c r="J1045">
        <v>355.69</v>
      </c>
      <c r="K1045" t="s">
        <v>20</v>
      </c>
      <c r="L1045">
        <v>0</v>
      </c>
      <c r="M1045">
        <v>355.69</v>
      </c>
    </row>
    <row r="1046" spans="1:13">
      <c r="A1046" t="s">
        <v>1214</v>
      </c>
      <c r="B1046" t="s">
        <v>1215</v>
      </c>
      <c r="C1046" t="s">
        <v>1216</v>
      </c>
      <c r="D1046" t="s">
        <v>17</v>
      </c>
      <c r="E1046" t="s">
        <v>1223</v>
      </c>
      <c r="F1046" t="s">
        <v>1222</v>
      </c>
      <c r="H1046" s="2">
        <v>45597</v>
      </c>
      <c r="I1046">
        <v>-420</v>
      </c>
      <c r="J1046" t="s">
        <v>86</v>
      </c>
      <c r="K1046" t="s">
        <v>20</v>
      </c>
      <c r="L1046">
        <v>0</v>
      </c>
      <c r="M1046" t="s">
        <v>86</v>
      </c>
    </row>
    <row r="1047" spans="1:13">
      <c r="A1047" t="s">
        <v>1214</v>
      </c>
      <c r="B1047" t="s">
        <v>1215</v>
      </c>
      <c r="C1047" t="s">
        <v>1216</v>
      </c>
      <c r="D1047" t="s">
        <v>55</v>
      </c>
      <c r="E1047" t="s">
        <v>1222</v>
      </c>
      <c r="F1047" t="s">
        <v>1222</v>
      </c>
      <c r="H1047" s="2">
        <v>45665</v>
      </c>
      <c r="I1047" s="1">
        <v>-17754.21</v>
      </c>
      <c r="J1047" t="s">
        <v>86</v>
      </c>
      <c r="K1047" t="s">
        <v>20</v>
      </c>
      <c r="L1047">
        <v>0</v>
      </c>
      <c r="M1047" t="s">
        <v>86</v>
      </c>
    </row>
    <row r="1048" spans="1:13">
      <c r="A1048" t="s">
        <v>1214</v>
      </c>
      <c r="B1048" t="s">
        <v>1215</v>
      </c>
      <c r="C1048" t="s">
        <v>1216</v>
      </c>
      <c r="D1048" t="s">
        <v>21</v>
      </c>
      <c r="E1048" t="s">
        <v>1224</v>
      </c>
      <c r="F1048" t="s">
        <v>1224</v>
      </c>
      <c r="G1048" s="2">
        <v>45567</v>
      </c>
      <c r="H1048" s="2">
        <v>45657</v>
      </c>
      <c r="I1048" s="1">
        <v>1568.8</v>
      </c>
      <c r="J1048">
        <v>683.96</v>
      </c>
      <c r="K1048" t="s">
        <v>20</v>
      </c>
      <c r="L1048">
        <v>0</v>
      </c>
      <c r="M1048">
        <v>683.96</v>
      </c>
    </row>
    <row r="1049" spans="1:13">
      <c r="A1049" t="s">
        <v>1214</v>
      </c>
      <c r="B1049" t="s">
        <v>1215</v>
      </c>
      <c r="C1049" t="s">
        <v>1216</v>
      </c>
      <c r="D1049" t="s">
        <v>55</v>
      </c>
      <c r="E1049" t="s">
        <v>1224</v>
      </c>
      <c r="F1049" t="s">
        <v>1224</v>
      </c>
      <c r="H1049" s="2">
        <v>45643</v>
      </c>
      <c r="I1049">
        <v>-884.84</v>
      </c>
      <c r="J1049" t="s">
        <v>86</v>
      </c>
      <c r="K1049" t="s">
        <v>20</v>
      </c>
      <c r="L1049">
        <v>0</v>
      </c>
      <c r="M1049" t="s">
        <v>86</v>
      </c>
    </row>
    <row r="1050" spans="1:13">
      <c r="A1050" t="s">
        <v>1214</v>
      </c>
      <c r="B1050" t="s">
        <v>1215</v>
      </c>
      <c r="C1050" t="s">
        <v>1216</v>
      </c>
      <c r="D1050" t="s">
        <v>21</v>
      </c>
      <c r="E1050" t="s">
        <v>1225</v>
      </c>
      <c r="F1050" t="s">
        <v>1225</v>
      </c>
      <c r="G1050" s="2">
        <v>45608</v>
      </c>
      <c r="H1050" s="2">
        <v>45698</v>
      </c>
      <c r="I1050" s="1">
        <v>14115.35</v>
      </c>
      <c r="J1050">
        <v>1684.13</v>
      </c>
      <c r="K1050" t="s">
        <v>20</v>
      </c>
      <c r="L1050">
        <v>0</v>
      </c>
      <c r="M1050">
        <v>1684.13</v>
      </c>
    </row>
    <row r="1051" spans="1:13">
      <c r="A1051" t="s">
        <v>1214</v>
      </c>
      <c r="B1051" t="s">
        <v>1215</v>
      </c>
      <c r="C1051" t="s">
        <v>1216</v>
      </c>
      <c r="D1051" t="s">
        <v>17</v>
      </c>
      <c r="E1051" t="s">
        <v>1226</v>
      </c>
      <c r="F1051" t="s">
        <v>1225</v>
      </c>
      <c r="H1051" s="2">
        <v>45424</v>
      </c>
      <c r="I1051">
        <v>-511.93</v>
      </c>
      <c r="J1051" t="s">
        <v>86</v>
      </c>
      <c r="K1051" t="s">
        <v>20</v>
      </c>
      <c r="L1051">
        <v>0</v>
      </c>
      <c r="M1051" t="s">
        <v>86</v>
      </c>
    </row>
    <row r="1052" spans="1:13">
      <c r="A1052" t="s">
        <v>1214</v>
      </c>
      <c r="B1052" t="s">
        <v>1215</v>
      </c>
      <c r="C1052" t="s">
        <v>1216</v>
      </c>
      <c r="D1052" t="s">
        <v>55</v>
      </c>
      <c r="E1052" t="s">
        <v>1225</v>
      </c>
      <c r="F1052" t="s">
        <v>1225</v>
      </c>
      <c r="H1052" s="2">
        <v>45701</v>
      </c>
      <c r="I1052" s="1">
        <v>-11919.29</v>
      </c>
      <c r="J1052" t="s">
        <v>86</v>
      </c>
      <c r="K1052" t="s">
        <v>20</v>
      </c>
      <c r="L1052">
        <v>0</v>
      </c>
      <c r="M1052" t="s">
        <v>86</v>
      </c>
    </row>
    <row r="1053" spans="1:13">
      <c r="A1053" t="s">
        <v>1214</v>
      </c>
      <c r="B1053" t="s">
        <v>1215</v>
      </c>
      <c r="C1053" t="s">
        <v>1216</v>
      </c>
      <c r="D1053" t="s">
        <v>21</v>
      </c>
      <c r="E1053" t="s">
        <v>1227</v>
      </c>
      <c r="F1053" t="s">
        <v>1227</v>
      </c>
      <c r="G1053" s="2">
        <v>45621</v>
      </c>
      <c r="H1053" s="2">
        <v>45711</v>
      </c>
      <c r="I1053" s="1">
        <v>7785</v>
      </c>
      <c r="J1053">
        <v>200</v>
      </c>
      <c r="K1053" t="s">
        <v>20</v>
      </c>
      <c r="L1053">
        <v>0</v>
      </c>
      <c r="M1053">
        <v>200</v>
      </c>
    </row>
    <row r="1054" spans="1:13">
      <c r="A1054" t="s">
        <v>1214</v>
      </c>
      <c r="B1054" t="s">
        <v>1215</v>
      </c>
      <c r="C1054" t="s">
        <v>1216</v>
      </c>
      <c r="D1054" t="s">
        <v>55</v>
      </c>
      <c r="E1054" t="s">
        <v>1227</v>
      </c>
      <c r="F1054" t="s">
        <v>1227</v>
      </c>
      <c r="H1054" s="2">
        <v>45714</v>
      </c>
      <c r="I1054" s="1">
        <v>-7585</v>
      </c>
      <c r="J1054" t="s">
        <v>86</v>
      </c>
      <c r="K1054" t="s">
        <v>20</v>
      </c>
      <c r="L1054">
        <v>0</v>
      </c>
      <c r="M1054" t="s">
        <v>86</v>
      </c>
    </row>
    <row r="1055" spans="1:13">
      <c r="A1055" t="s">
        <v>1214</v>
      </c>
      <c r="B1055" t="s">
        <v>1215</v>
      </c>
      <c r="C1055" t="s">
        <v>1216</v>
      </c>
      <c r="D1055" t="s">
        <v>21</v>
      </c>
      <c r="E1055" t="s">
        <v>1228</v>
      </c>
      <c r="F1055" t="s">
        <v>1228</v>
      </c>
      <c r="G1055" s="2">
        <v>45622</v>
      </c>
      <c r="H1055" s="2">
        <v>45712</v>
      </c>
      <c r="I1055" s="1">
        <v>12230.2</v>
      </c>
      <c r="J1055">
        <v>267</v>
      </c>
      <c r="K1055" t="s">
        <v>20</v>
      </c>
      <c r="L1055">
        <v>0</v>
      </c>
      <c r="M1055">
        <v>267</v>
      </c>
    </row>
    <row r="1056" spans="1:13">
      <c r="A1056" t="s">
        <v>1214</v>
      </c>
      <c r="B1056" t="s">
        <v>1215</v>
      </c>
      <c r="C1056" t="s">
        <v>1216</v>
      </c>
      <c r="D1056" t="s">
        <v>55</v>
      </c>
      <c r="E1056" t="s">
        <v>1228</v>
      </c>
      <c r="F1056" t="s">
        <v>1228</v>
      </c>
      <c r="H1056" s="2">
        <v>45721</v>
      </c>
      <c r="I1056" s="1">
        <v>-11963.2</v>
      </c>
      <c r="J1056" t="s">
        <v>86</v>
      </c>
      <c r="K1056" t="s">
        <v>20</v>
      </c>
      <c r="L1056">
        <v>10</v>
      </c>
      <c r="M1056" t="s">
        <v>86</v>
      </c>
    </row>
    <row r="1057" spans="1:13">
      <c r="A1057" t="s">
        <v>1214</v>
      </c>
      <c r="B1057" t="s">
        <v>1215</v>
      </c>
      <c r="C1057" t="s">
        <v>1216</v>
      </c>
      <c r="D1057" t="s">
        <v>21</v>
      </c>
      <c r="E1057" t="s">
        <v>1229</v>
      </c>
      <c r="F1057" t="s">
        <v>1229</v>
      </c>
      <c r="G1057" s="2">
        <v>45636</v>
      </c>
      <c r="H1057" s="2">
        <v>45726</v>
      </c>
      <c r="I1057" s="1">
        <v>15076.8</v>
      </c>
      <c r="J1057">
        <v>1260.33</v>
      </c>
      <c r="K1057" t="s">
        <v>20</v>
      </c>
      <c r="L1057">
        <v>11</v>
      </c>
      <c r="M1057">
        <v>1260.33</v>
      </c>
    </row>
    <row r="1058" spans="1:13">
      <c r="A1058" t="s">
        <v>1214</v>
      </c>
      <c r="B1058" t="s">
        <v>1215</v>
      </c>
      <c r="C1058" t="s">
        <v>1216</v>
      </c>
      <c r="D1058" t="s">
        <v>55</v>
      </c>
      <c r="E1058" t="s">
        <v>1229</v>
      </c>
      <c r="F1058" t="s">
        <v>1229</v>
      </c>
      <c r="H1058" s="2">
        <v>45727</v>
      </c>
      <c r="I1058" s="1">
        <v>-13816.47</v>
      </c>
      <c r="J1058" t="s">
        <v>86</v>
      </c>
      <c r="K1058" t="s">
        <v>20</v>
      </c>
      <c r="L1058">
        <v>11</v>
      </c>
      <c r="M1058" t="s">
        <v>86</v>
      </c>
    </row>
    <row r="1059" spans="1:13">
      <c r="A1059" t="s">
        <v>1214</v>
      </c>
      <c r="B1059" t="s">
        <v>1215</v>
      </c>
      <c r="C1059" t="s">
        <v>1216</v>
      </c>
      <c r="D1059" t="s">
        <v>21</v>
      </c>
      <c r="E1059" t="s">
        <v>1230</v>
      </c>
      <c r="F1059" t="s">
        <v>1230</v>
      </c>
      <c r="G1059" s="2">
        <v>45645</v>
      </c>
      <c r="H1059" s="2">
        <v>45735</v>
      </c>
      <c r="I1059" s="1">
        <v>7740</v>
      </c>
      <c r="J1059">
        <v>7740</v>
      </c>
      <c r="K1059" t="s">
        <v>20</v>
      </c>
      <c r="L1059">
        <v>12</v>
      </c>
      <c r="M1059">
        <v>7740</v>
      </c>
    </row>
    <row r="1060" spans="1:13">
      <c r="A1060" t="s">
        <v>1214</v>
      </c>
      <c r="B1060" t="s">
        <v>1215</v>
      </c>
      <c r="C1060" t="s">
        <v>1216</v>
      </c>
      <c r="D1060" t="s">
        <v>21</v>
      </c>
      <c r="E1060" t="s">
        <v>1231</v>
      </c>
      <c r="F1060" t="s">
        <v>1231</v>
      </c>
      <c r="G1060" s="2">
        <v>45652</v>
      </c>
      <c r="H1060" s="2">
        <v>45742</v>
      </c>
      <c r="I1060" s="1">
        <v>8924</v>
      </c>
      <c r="J1060">
        <v>8924</v>
      </c>
      <c r="K1060" t="s">
        <v>20</v>
      </c>
      <c r="L1060">
        <v>13</v>
      </c>
      <c r="M1060">
        <v>8924</v>
      </c>
    </row>
    <row r="1061" spans="1:13">
      <c r="A1061" t="s">
        <v>1214</v>
      </c>
      <c r="B1061" t="s">
        <v>1215</v>
      </c>
      <c r="C1061" t="s">
        <v>1216</v>
      </c>
      <c r="D1061" t="s">
        <v>21</v>
      </c>
      <c r="E1061" t="s">
        <v>1232</v>
      </c>
      <c r="F1061" t="s">
        <v>1232</v>
      </c>
      <c r="G1061" s="2">
        <v>45653</v>
      </c>
      <c r="H1061" s="2">
        <v>45743</v>
      </c>
      <c r="I1061" s="1">
        <v>4462</v>
      </c>
      <c r="J1061">
        <v>4462</v>
      </c>
      <c r="K1061" t="s">
        <v>20</v>
      </c>
      <c r="L1061">
        <v>13</v>
      </c>
      <c r="M1061">
        <v>4462</v>
      </c>
    </row>
    <row r="1062" spans="1:13">
      <c r="A1062" t="s">
        <v>1214</v>
      </c>
      <c r="B1062" t="s">
        <v>1215</v>
      </c>
      <c r="C1062" t="s">
        <v>1216</v>
      </c>
      <c r="D1062" t="s">
        <v>21</v>
      </c>
      <c r="E1062" t="s">
        <v>1233</v>
      </c>
      <c r="F1062" t="s">
        <v>1233</v>
      </c>
      <c r="G1062" s="2">
        <v>45657</v>
      </c>
      <c r="H1062" s="2">
        <v>45747</v>
      </c>
      <c r="I1062" s="1">
        <v>23720.400000000001</v>
      </c>
      <c r="J1062">
        <v>23720.400000000001</v>
      </c>
      <c r="K1062" t="s">
        <v>20</v>
      </c>
      <c r="L1062">
        <v>13</v>
      </c>
      <c r="M1062">
        <v>23720.400000000001</v>
      </c>
    </row>
    <row r="1063" spans="1:13">
      <c r="A1063" t="s">
        <v>1214</v>
      </c>
      <c r="B1063" t="s">
        <v>1215</v>
      </c>
      <c r="C1063" t="s">
        <v>1216</v>
      </c>
      <c r="D1063" t="s">
        <v>21</v>
      </c>
      <c r="E1063" t="s">
        <v>1234</v>
      </c>
      <c r="F1063" t="s">
        <v>1234</v>
      </c>
      <c r="G1063" s="2">
        <v>45660</v>
      </c>
      <c r="H1063" s="2">
        <v>45750</v>
      </c>
      <c r="I1063" s="1">
        <v>13044.7</v>
      </c>
      <c r="J1063">
        <v>13044.7</v>
      </c>
      <c r="K1063" t="s">
        <v>20</v>
      </c>
      <c r="L1063">
        <v>0</v>
      </c>
      <c r="M1063">
        <v>0</v>
      </c>
    </row>
    <row r="1064" spans="1:13">
      <c r="A1064" t="s">
        <v>1214</v>
      </c>
      <c r="B1064" t="s">
        <v>1215</v>
      </c>
      <c r="C1064" t="s">
        <v>1216</v>
      </c>
      <c r="D1064" t="s">
        <v>21</v>
      </c>
      <c r="E1064" t="s">
        <v>1235</v>
      </c>
      <c r="F1064" t="s">
        <v>1235</v>
      </c>
      <c r="G1064" s="2">
        <v>45660</v>
      </c>
      <c r="H1064" s="2">
        <v>45750</v>
      </c>
      <c r="I1064" s="1">
        <v>7740</v>
      </c>
      <c r="J1064">
        <v>7740</v>
      </c>
      <c r="K1064" t="s">
        <v>20</v>
      </c>
      <c r="L1064">
        <v>0</v>
      </c>
      <c r="M1064">
        <v>0</v>
      </c>
    </row>
    <row r="1065" spans="1:13">
      <c r="A1065" t="s">
        <v>1214</v>
      </c>
      <c r="B1065" t="s">
        <v>1215</v>
      </c>
      <c r="C1065" t="s">
        <v>1216</v>
      </c>
      <c r="D1065" t="s">
        <v>21</v>
      </c>
      <c r="E1065" t="s">
        <v>1236</v>
      </c>
      <c r="F1065" t="s">
        <v>1236</v>
      </c>
      <c r="G1065" s="2">
        <v>45660</v>
      </c>
      <c r="H1065" s="2">
        <v>45750</v>
      </c>
      <c r="I1065" s="1">
        <v>18581.55</v>
      </c>
      <c r="J1065">
        <v>18581.55</v>
      </c>
      <c r="K1065" t="s">
        <v>20</v>
      </c>
      <c r="L1065">
        <v>0</v>
      </c>
      <c r="M1065">
        <v>0</v>
      </c>
    </row>
    <row r="1066" spans="1:13">
      <c r="A1066" t="s">
        <v>1214</v>
      </c>
      <c r="B1066" t="s">
        <v>1215</v>
      </c>
      <c r="C1066" t="s">
        <v>1216</v>
      </c>
      <c r="D1066" t="s">
        <v>21</v>
      </c>
      <c r="E1066" t="s">
        <v>1237</v>
      </c>
      <c r="F1066" t="s">
        <v>1237</v>
      </c>
      <c r="G1066" s="2">
        <v>45660</v>
      </c>
      <c r="H1066" s="2">
        <v>45750</v>
      </c>
      <c r="I1066" s="1">
        <v>7735</v>
      </c>
      <c r="J1066">
        <v>7735</v>
      </c>
      <c r="K1066" t="s">
        <v>20</v>
      </c>
      <c r="L1066">
        <v>0</v>
      </c>
      <c r="M1066">
        <v>0</v>
      </c>
    </row>
    <row r="1067" spans="1:13">
      <c r="A1067" t="s">
        <v>1214</v>
      </c>
      <c r="B1067" t="s">
        <v>1215</v>
      </c>
      <c r="C1067" t="s">
        <v>1216</v>
      </c>
      <c r="D1067" t="s">
        <v>21</v>
      </c>
      <c r="E1067" t="s">
        <v>1238</v>
      </c>
      <c r="F1067" t="s">
        <v>1238</v>
      </c>
      <c r="G1067" s="2">
        <v>45663</v>
      </c>
      <c r="H1067" s="2">
        <v>45753</v>
      </c>
      <c r="I1067" s="1">
        <v>9337</v>
      </c>
      <c r="J1067">
        <v>9337</v>
      </c>
      <c r="K1067" t="s">
        <v>20</v>
      </c>
      <c r="L1067">
        <v>0</v>
      </c>
      <c r="M1067">
        <v>0</v>
      </c>
    </row>
    <row r="1068" spans="1:13">
      <c r="A1068" t="s">
        <v>1214</v>
      </c>
      <c r="B1068" t="s">
        <v>1215</v>
      </c>
      <c r="C1068" t="s">
        <v>1216</v>
      </c>
      <c r="D1068" t="s">
        <v>21</v>
      </c>
      <c r="E1068" t="s">
        <v>1239</v>
      </c>
      <c r="F1068" t="s">
        <v>1239</v>
      </c>
      <c r="G1068" s="2">
        <v>45663</v>
      </c>
      <c r="H1068" s="2">
        <v>45753</v>
      </c>
      <c r="I1068" s="1">
        <v>9924.6</v>
      </c>
      <c r="J1068">
        <v>9924.6</v>
      </c>
      <c r="K1068" t="s">
        <v>20</v>
      </c>
      <c r="L1068">
        <v>0</v>
      </c>
      <c r="M1068">
        <v>0</v>
      </c>
    </row>
    <row r="1069" spans="1:13">
      <c r="A1069" t="s">
        <v>1214</v>
      </c>
      <c r="B1069" t="s">
        <v>1215</v>
      </c>
      <c r="C1069" t="s">
        <v>1216</v>
      </c>
      <c r="D1069" t="s">
        <v>21</v>
      </c>
      <c r="E1069" t="s">
        <v>1240</v>
      </c>
      <c r="F1069" t="s">
        <v>1240</v>
      </c>
      <c r="G1069" s="2">
        <v>45670</v>
      </c>
      <c r="H1069" s="2">
        <v>45760</v>
      </c>
      <c r="I1069" s="1">
        <v>33948</v>
      </c>
      <c r="J1069">
        <v>33948</v>
      </c>
      <c r="K1069" t="s">
        <v>20</v>
      </c>
      <c r="L1069">
        <v>0</v>
      </c>
      <c r="M1069">
        <v>0</v>
      </c>
    </row>
    <row r="1070" spans="1:13">
      <c r="A1070" t="s">
        <v>1214</v>
      </c>
      <c r="B1070" t="s">
        <v>1215</v>
      </c>
      <c r="C1070" t="s">
        <v>1216</v>
      </c>
      <c r="D1070" t="s">
        <v>21</v>
      </c>
      <c r="E1070" t="s">
        <v>1241</v>
      </c>
      <c r="F1070" t="s">
        <v>1241</v>
      </c>
      <c r="G1070" s="2">
        <v>45670</v>
      </c>
      <c r="H1070" s="2">
        <v>45760</v>
      </c>
      <c r="I1070" s="1">
        <v>63438</v>
      </c>
      <c r="J1070">
        <v>63438</v>
      </c>
      <c r="K1070" t="s">
        <v>20</v>
      </c>
      <c r="L1070">
        <v>0</v>
      </c>
      <c r="M1070">
        <v>0</v>
      </c>
    </row>
    <row r="1071" spans="1:13">
      <c r="A1071" t="s">
        <v>1214</v>
      </c>
      <c r="B1071" t="s">
        <v>1215</v>
      </c>
      <c r="C1071" t="s">
        <v>1216</v>
      </c>
      <c r="D1071" t="s">
        <v>21</v>
      </c>
      <c r="E1071" t="s">
        <v>1242</v>
      </c>
      <c r="F1071" t="s">
        <v>1242</v>
      </c>
      <c r="G1071" s="2">
        <v>45671</v>
      </c>
      <c r="H1071" s="2">
        <v>45761</v>
      </c>
      <c r="I1071" s="1">
        <v>14444.6</v>
      </c>
      <c r="J1071">
        <v>14444.6</v>
      </c>
      <c r="K1071" t="s">
        <v>20</v>
      </c>
      <c r="L1071">
        <v>0</v>
      </c>
      <c r="M1071">
        <v>0</v>
      </c>
    </row>
    <row r="1072" spans="1:13">
      <c r="A1072" t="s">
        <v>1214</v>
      </c>
      <c r="B1072" t="s">
        <v>1215</v>
      </c>
      <c r="C1072" t="s">
        <v>1216</v>
      </c>
      <c r="D1072" t="s">
        <v>21</v>
      </c>
      <c r="E1072" t="s">
        <v>1243</v>
      </c>
      <c r="F1072" t="s">
        <v>1243</v>
      </c>
      <c r="G1072" s="2">
        <v>45671</v>
      </c>
      <c r="H1072" s="2">
        <v>45761</v>
      </c>
      <c r="I1072">
        <v>289</v>
      </c>
      <c r="J1072">
        <v>289</v>
      </c>
      <c r="K1072" t="s">
        <v>20</v>
      </c>
      <c r="L1072">
        <v>0</v>
      </c>
      <c r="M1072">
        <v>0</v>
      </c>
    </row>
    <row r="1073" spans="1:13">
      <c r="A1073" t="s">
        <v>1214</v>
      </c>
      <c r="B1073" t="s">
        <v>1215</v>
      </c>
      <c r="C1073" t="s">
        <v>1216</v>
      </c>
      <c r="D1073" t="s">
        <v>21</v>
      </c>
      <c r="E1073" t="s">
        <v>1244</v>
      </c>
      <c r="F1073" t="s">
        <v>1244</v>
      </c>
      <c r="G1073" s="2">
        <v>45672</v>
      </c>
      <c r="H1073" s="2">
        <v>45762</v>
      </c>
      <c r="I1073" s="1">
        <v>33562</v>
      </c>
      <c r="J1073">
        <v>33562</v>
      </c>
      <c r="K1073" t="s">
        <v>20</v>
      </c>
      <c r="L1073">
        <v>0</v>
      </c>
      <c r="M1073">
        <v>0</v>
      </c>
    </row>
    <row r="1074" spans="1:13">
      <c r="A1074" t="s">
        <v>1214</v>
      </c>
      <c r="B1074" t="s">
        <v>1215</v>
      </c>
      <c r="C1074" t="s">
        <v>1216</v>
      </c>
      <c r="D1074" t="s">
        <v>21</v>
      </c>
      <c r="E1074" t="s">
        <v>1245</v>
      </c>
      <c r="F1074" t="s">
        <v>1245</v>
      </c>
      <c r="G1074" s="2">
        <v>45672</v>
      </c>
      <c r="H1074" s="2">
        <v>45762</v>
      </c>
      <c r="I1074" s="1">
        <v>27482.400000000001</v>
      </c>
      <c r="J1074">
        <v>27482.400000000001</v>
      </c>
      <c r="K1074" t="s">
        <v>20</v>
      </c>
      <c r="L1074">
        <v>0</v>
      </c>
      <c r="M1074">
        <v>0</v>
      </c>
    </row>
    <row r="1075" spans="1:13">
      <c r="A1075" t="s">
        <v>1214</v>
      </c>
      <c r="B1075" t="s">
        <v>1215</v>
      </c>
      <c r="C1075" t="s">
        <v>1216</v>
      </c>
      <c r="D1075" t="s">
        <v>21</v>
      </c>
      <c r="E1075" t="s">
        <v>1246</v>
      </c>
      <c r="F1075" t="s">
        <v>1246</v>
      </c>
      <c r="G1075" s="2">
        <v>45672</v>
      </c>
      <c r="H1075" s="2">
        <v>45762</v>
      </c>
      <c r="I1075" s="1">
        <v>2880</v>
      </c>
      <c r="J1075">
        <v>2880</v>
      </c>
      <c r="K1075" t="s">
        <v>20</v>
      </c>
      <c r="L1075">
        <v>0</v>
      </c>
      <c r="M1075">
        <v>0</v>
      </c>
    </row>
    <row r="1076" spans="1:13">
      <c r="A1076" t="s">
        <v>1214</v>
      </c>
      <c r="B1076" t="s">
        <v>1215</v>
      </c>
      <c r="C1076" t="s">
        <v>1216</v>
      </c>
      <c r="D1076" t="s">
        <v>21</v>
      </c>
      <c r="E1076" t="s">
        <v>1247</v>
      </c>
      <c r="F1076" t="s">
        <v>1247</v>
      </c>
      <c r="G1076" s="2">
        <v>45673</v>
      </c>
      <c r="H1076" s="2">
        <v>45763</v>
      </c>
      <c r="I1076" s="1">
        <v>19200</v>
      </c>
      <c r="J1076">
        <v>19200</v>
      </c>
      <c r="K1076" t="s">
        <v>20</v>
      </c>
      <c r="L1076">
        <v>0</v>
      </c>
      <c r="M1076">
        <v>0</v>
      </c>
    </row>
    <row r="1077" spans="1:13">
      <c r="A1077" t="s">
        <v>1214</v>
      </c>
      <c r="B1077" t="s">
        <v>1215</v>
      </c>
      <c r="C1077" t="s">
        <v>1216</v>
      </c>
      <c r="D1077" t="s">
        <v>21</v>
      </c>
      <c r="E1077" t="s">
        <v>1248</v>
      </c>
      <c r="F1077" t="s">
        <v>1248</v>
      </c>
      <c r="G1077" s="2">
        <v>45674</v>
      </c>
      <c r="H1077" s="2">
        <v>45764</v>
      </c>
      <c r="I1077" s="1">
        <v>4109.7</v>
      </c>
      <c r="J1077">
        <v>4109.7</v>
      </c>
      <c r="K1077" t="s">
        <v>20</v>
      </c>
      <c r="L1077">
        <v>0</v>
      </c>
      <c r="M1077">
        <v>0</v>
      </c>
    </row>
    <row r="1078" spans="1:13">
      <c r="A1078" t="s">
        <v>1214</v>
      </c>
      <c r="B1078" t="s">
        <v>1215</v>
      </c>
      <c r="C1078" t="s">
        <v>1216</v>
      </c>
      <c r="D1078" t="s">
        <v>21</v>
      </c>
      <c r="E1078" t="s">
        <v>1249</v>
      </c>
      <c r="F1078" t="s">
        <v>1249</v>
      </c>
      <c r="G1078" s="2">
        <v>45677</v>
      </c>
      <c r="H1078" s="2">
        <v>45767</v>
      </c>
      <c r="I1078" s="1">
        <v>15780</v>
      </c>
      <c r="J1078">
        <v>15780</v>
      </c>
      <c r="K1078" t="s">
        <v>20</v>
      </c>
      <c r="L1078">
        <v>0</v>
      </c>
      <c r="M1078">
        <v>0</v>
      </c>
    </row>
    <row r="1079" spans="1:13">
      <c r="A1079" t="s">
        <v>1214</v>
      </c>
      <c r="B1079" t="s">
        <v>1215</v>
      </c>
      <c r="C1079" t="s">
        <v>1216</v>
      </c>
      <c r="D1079" t="s">
        <v>21</v>
      </c>
      <c r="E1079" t="s">
        <v>1250</v>
      </c>
      <c r="F1079" t="s">
        <v>1250</v>
      </c>
      <c r="G1079" s="2">
        <v>45677</v>
      </c>
      <c r="H1079" s="2">
        <v>45767</v>
      </c>
      <c r="I1079" s="1">
        <v>11792</v>
      </c>
      <c r="J1079">
        <v>11792</v>
      </c>
      <c r="K1079" t="s">
        <v>20</v>
      </c>
      <c r="L1079">
        <v>0</v>
      </c>
      <c r="M1079">
        <v>0</v>
      </c>
    </row>
    <row r="1080" spans="1:13">
      <c r="A1080" t="s">
        <v>1214</v>
      </c>
      <c r="B1080" t="s">
        <v>1215</v>
      </c>
      <c r="C1080" t="s">
        <v>1216</v>
      </c>
      <c r="D1080" t="s">
        <v>21</v>
      </c>
      <c r="E1080" t="s">
        <v>1251</v>
      </c>
      <c r="F1080" t="s">
        <v>1251</v>
      </c>
      <c r="G1080" s="2">
        <v>45677</v>
      </c>
      <c r="H1080" s="2">
        <v>45767</v>
      </c>
      <c r="I1080" s="1">
        <v>18326</v>
      </c>
      <c r="J1080">
        <v>18326</v>
      </c>
      <c r="K1080" t="s">
        <v>20</v>
      </c>
      <c r="L1080">
        <v>0</v>
      </c>
      <c r="M1080">
        <v>0</v>
      </c>
    </row>
    <row r="1081" spans="1:13">
      <c r="A1081" t="s">
        <v>1214</v>
      </c>
      <c r="B1081" t="s">
        <v>1215</v>
      </c>
      <c r="C1081" t="s">
        <v>1216</v>
      </c>
      <c r="D1081" t="s">
        <v>21</v>
      </c>
      <c r="E1081" t="s">
        <v>1252</v>
      </c>
      <c r="F1081" t="s">
        <v>1252</v>
      </c>
      <c r="G1081" s="2">
        <v>45678</v>
      </c>
      <c r="H1081" s="2">
        <v>45768</v>
      </c>
      <c r="I1081" s="1">
        <v>12597.6</v>
      </c>
      <c r="J1081">
        <v>12597.6</v>
      </c>
      <c r="K1081" t="s">
        <v>20</v>
      </c>
      <c r="L1081">
        <v>0</v>
      </c>
      <c r="M1081">
        <v>0</v>
      </c>
    </row>
    <row r="1082" spans="1:13">
      <c r="A1082" t="s">
        <v>1214</v>
      </c>
      <c r="B1082" t="s">
        <v>1215</v>
      </c>
      <c r="C1082" t="s">
        <v>1216</v>
      </c>
      <c r="D1082" t="s">
        <v>21</v>
      </c>
      <c r="E1082" t="s">
        <v>1253</v>
      </c>
      <c r="F1082" t="s">
        <v>1253</v>
      </c>
      <c r="G1082" s="2">
        <v>45678</v>
      </c>
      <c r="H1082" s="2">
        <v>45768</v>
      </c>
      <c r="I1082" s="1">
        <v>17762.099999999999</v>
      </c>
      <c r="J1082">
        <v>17762.099999999999</v>
      </c>
      <c r="K1082" t="s">
        <v>20</v>
      </c>
      <c r="L1082">
        <v>0</v>
      </c>
      <c r="M1082">
        <v>0</v>
      </c>
    </row>
    <row r="1083" spans="1:13">
      <c r="A1083" t="s">
        <v>1214</v>
      </c>
      <c r="B1083" t="s">
        <v>1215</v>
      </c>
      <c r="C1083" t="s">
        <v>1216</v>
      </c>
      <c r="D1083" t="s">
        <v>21</v>
      </c>
      <c r="E1083" t="s">
        <v>1254</v>
      </c>
      <c r="F1083" t="s">
        <v>1254</v>
      </c>
      <c r="G1083" s="2">
        <v>45680</v>
      </c>
      <c r="H1083" s="2">
        <v>45770</v>
      </c>
      <c r="I1083" s="1">
        <v>97000</v>
      </c>
      <c r="J1083">
        <v>97000</v>
      </c>
      <c r="K1083" t="s">
        <v>20</v>
      </c>
      <c r="L1083">
        <v>0</v>
      </c>
      <c r="M1083">
        <v>0</v>
      </c>
    </row>
    <row r="1084" spans="1:13">
      <c r="A1084" t="s">
        <v>1214</v>
      </c>
      <c r="B1084" t="s">
        <v>1215</v>
      </c>
      <c r="C1084" t="s">
        <v>1216</v>
      </c>
      <c r="D1084" t="s">
        <v>21</v>
      </c>
      <c r="E1084" t="s">
        <v>1255</v>
      </c>
      <c r="F1084" t="s">
        <v>1255</v>
      </c>
      <c r="G1084" s="2">
        <v>45681</v>
      </c>
      <c r="H1084" s="2">
        <v>45771</v>
      </c>
      <c r="I1084">
        <v>578</v>
      </c>
      <c r="J1084">
        <v>578</v>
      </c>
      <c r="K1084" t="s">
        <v>20</v>
      </c>
      <c r="L1084">
        <v>0</v>
      </c>
      <c r="M1084">
        <v>0</v>
      </c>
    </row>
    <row r="1085" spans="1:13">
      <c r="A1085" t="s">
        <v>1214</v>
      </c>
      <c r="B1085" t="s">
        <v>1215</v>
      </c>
      <c r="C1085" t="s">
        <v>1216</v>
      </c>
      <c r="D1085" t="s">
        <v>21</v>
      </c>
      <c r="E1085" t="s">
        <v>1256</v>
      </c>
      <c r="F1085" t="s">
        <v>1256</v>
      </c>
      <c r="G1085" s="2">
        <v>45681</v>
      </c>
      <c r="H1085" s="2">
        <v>45771</v>
      </c>
      <c r="I1085" s="1">
        <v>7740</v>
      </c>
      <c r="J1085">
        <v>7740</v>
      </c>
      <c r="K1085" t="s">
        <v>20</v>
      </c>
      <c r="L1085">
        <v>0</v>
      </c>
      <c r="M1085">
        <v>0</v>
      </c>
    </row>
    <row r="1086" spans="1:13">
      <c r="A1086" t="s">
        <v>1214</v>
      </c>
      <c r="B1086" t="s">
        <v>1215</v>
      </c>
      <c r="C1086" t="s">
        <v>1216</v>
      </c>
      <c r="D1086" t="s">
        <v>21</v>
      </c>
      <c r="E1086" t="s">
        <v>1257</v>
      </c>
      <c r="F1086" t="s">
        <v>1257</v>
      </c>
      <c r="G1086" s="2">
        <v>45685</v>
      </c>
      <c r="H1086" s="2">
        <v>45775</v>
      </c>
      <c r="I1086" s="1">
        <v>6660</v>
      </c>
      <c r="J1086">
        <v>6660</v>
      </c>
      <c r="K1086" t="s">
        <v>20</v>
      </c>
      <c r="L1086">
        <v>0</v>
      </c>
      <c r="M1086">
        <v>0</v>
      </c>
    </row>
    <row r="1087" spans="1:13">
      <c r="A1087" t="s">
        <v>1214</v>
      </c>
      <c r="B1087" t="s">
        <v>1215</v>
      </c>
      <c r="C1087" t="s">
        <v>1216</v>
      </c>
      <c r="D1087" t="s">
        <v>21</v>
      </c>
      <c r="E1087" t="s">
        <v>1258</v>
      </c>
      <c r="F1087" t="s">
        <v>1258</v>
      </c>
      <c r="G1087" s="2">
        <v>45685</v>
      </c>
      <c r="H1087" s="2">
        <v>45775</v>
      </c>
      <c r="I1087">
        <v>289</v>
      </c>
      <c r="J1087">
        <v>289</v>
      </c>
      <c r="K1087" t="s">
        <v>20</v>
      </c>
      <c r="L1087">
        <v>0</v>
      </c>
      <c r="M1087">
        <v>0</v>
      </c>
    </row>
    <row r="1088" spans="1:13">
      <c r="A1088" t="s">
        <v>1214</v>
      </c>
      <c r="B1088" t="s">
        <v>1215</v>
      </c>
      <c r="C1088" t="s">
        <v>1216</v>
      </c>
      <c r="D1088" t="s">
        <v>21</v>
      </c>
      <c r="E1088" t="s">
        <v>1259</v>
      </c>
      <c r="F1088" t="s">
        <v>1259</v>
      </c>
      <c r="G1088" s="2">
        <v>45686</v>
      </c>
      <c r="H1088" s="2">
        <v>45776</v>
      </c>
      <c r="I1088" s="1">
        <v>16578.099999999999</v>
      </c>
      <c r="J1088">
        <v>16578.099999999999</v>
      </c>
      <c r="K1088" t="s">
        <v>20</v>
      </c>
      <c r="L1088">
        <v>0</v>
      </c>
      <c r="M1088">
        <v>0</v>
      </c>
    </row>
    <row r="1089" spans="1:13">
      <c r="A1089" t="s">
        <v>1214</v>
      </c>
      <c r="B1089" t="s">
        <v>1215</v>
      </c>
      <c r="C1089" t="s">
        <v>1216</v>
      </c>
      <c r="D1089" t="s">
        <v>21</v>
      </c>
      <c r="E1089" t="s">
        <v>1260</v>
      </c>
      <c r="F1089" t="s">
        <v>1260</v>
      </c>
      <c r="G1089" s="2">
        <v>45686</v>
      </c>
      <c r="H1089" s="2">
        <v>45776</v>
      </c>
      <c r="I1089" s="1">
        <v>16611</v>
      </c>
      <c r="J1089">
        <v>16611</v>
      </c>
      <c r="K1089" t="s">
        <v>20</v>
      </c>
      <c r="L1089">
        <v>0</v>
      </c>
      <c r="M1089">
        <v>0</v>
      </c>
    </row>
    <row r="1090" spans="1:13">
      <c r="A1090" t="s">
        <v>1214</v>
      </c>
      <c r="B1090" t="s">
        <v>1215</v>
      </c>
      <c r="C1090" t="s">
        <v>1216</v>
      </c>
      <c r="D1090" t="s">
        <v>21</v>
      </c>
      <c r="E1090" t="s">
        <v>1261</v>
      </c>
      <c r="F1090" t="s">
        <v>1261</v>
      </c>
      <c r="G1090" s="2">
        <v>45687</v>
      </c>
      <c r="H1090" s="2">
        <v>45777</v>
      </c>
      <c r="I1090" s="1">
        <v>9118</v>
      </c>
      <c r="J1090">
        <v>9118</v>
      </c>
      <c r="K1090" t="s">
        <v>20</v>
      </c>
      <c r="L1090">
        <v>0</v>
      </c>
      <c r="M1090">
        <v>0</v>
      </c>
    </row>
    <row r="1091" spans="1:13">
      <c r="A1091" t="s">
        <v>1214</v>
      </c>
      <c r="B1091" t="s">
        <v>1215</v>
      </c>
      <c r="C1091" t="s">
        <v>1216</v>
      </c>
      <c r="D1091" t="s">
        <v>21</v>
      </c>
      <c r="E1091" t="s">
        <v>1262</v>
      </c>
      <c r="F1091" t="s">
        <v>1262</v>
      </c>
      <c r="G1091" s="2">
        <v>45691</v>
      </c>
      <c r="H1091" s="2">
        <v>45781</v>
      </c>
      <c r="I1091" s="1">
        <v>6834.6</v>
      </c>
      <c r="J1091">
        <v>6834.6</v>
      </c>
      <c r="K1091" t="s">
        <v>20</v>
      </c>
      <c r="L1091">
        <v>0</v>
      </c>
      <c r="M1091">
        <v>0</v>
      </c>
    </row>
    <row r="1092" spans="1:13">
      <c r="A1092" t="s">
        <v>1214</v>
      </c>
      <c r="B1092" t="s">
        <v>1215</v>
      </c>
      <c r="C1092" t="s">
        <v>1216</v>
      </c>
      <c r="D1092" t="s">
        <v>21</v>
      </c>
      <c r="E1092" t="s">
        <v>1263</v>
      </c>
      <c r="F1092" t="s">
        <v>1263</v>
      </c>
      <c r="G1092" s="2">
        <v>45691</v>
      </c>
      <c r="H1092" s="2">
        <v>45781</v>
      </c>
      <c r="I1092" s="1">
        <v>7210</v>
      </c>
      <c r="J1092">
        <v>7210</v>
      </c>
      <c r="K1092" t="s">
        <v>20</v>
      </c>
      <c r="L1092">
        <v>0</v>
      </c>
      <c r="M1092">
        <v>0</v>
      </c>
    </row>
    <row r="1093" spans="1:13">
      <c r="A1093" t="s">
        <v>1214</v>
      </c>
      <c r="B1093" t="s">
        <v>1215</v>
      </c>
      <c r="C1093" t="s">
        <v>1216</v>
      </c>
      <c r="D1093" t="s">
        <v>21</v>
      </c>
      <c r="E1093" t="s">
        <v>1264</v>
      </c>
      <c r="F1093" t="s">
        <v>1264</v>
      </c>
      <c r="G1093" s="2">
        <v>45691</v>
      </c>
      <c r="H1093" s="2">
        <v>45781</v>
      </c>
      <c r="I1093" s="1">
        <v>14444.2</v>
      </c>
      <c r="J1093">
        <v>14444.2</v>
      </c>
      <c r="K1093" t="s">
        <v>20</v>
      </c>
      <c r="L1093">
        <v>0</v>
      </c>
      <c r="M1093">
        <v>0</v>
      </c>
    </row>
    <row r="1094" spans="1:13">
      <c r="A1094" t="s">
        <v>1214</v>
      </c>
      <c r="B1094" t="s">
        <v>1215</v>
      </c>
      <c r="C1094" t="s">
        <v>1216</v>
      </c>
      <c r="D1094" t="s">
        <v>21</v>
      </c>
      <c r="E1094" t="s">
        <v>1265</v>
      </c>
      <c r="F1094" t="s">
        <v>1265</v>
      </c>
      <c r="G1094" s="2">
        <v>45695</v>
      </c>
      <c r="H1094" s="2">
        <v>45785</v>
      </c>
      <c r="I1094" s="1">
        <v>3357.2</v>
      </c>
      <c r="J1094">
        <v>3357.2</v>
      </c>
      <c r="K1094" t="s">
        <v>20</v>
      </c>
      <c r="L1094">
        <v>0</v>
      </c>
      <c r="M1094">
        <v>0</v>
      </c>
    </row>
    <row r="1095" spans="1:13">
      <c r="A1095" t="s">
        <v>1214</v>
      </c>
      <c r="B1095" t="s">
        <v>1215</v>
      </c>
      <c r="C1095" t="s">
        <v>1216</v>
      </c>
      <c r="D1095" t="s">
        <v>21</v>
      </c>
      <c r="E1095" t="s">
        <v>1266</v>
      </c>
      <c r="F1095" t="s">
        <v>1266</v>
      </c>
      <c r="G1095" s="2">
        <v>45698</v>
      </c>
      <c r="H1095" s="2">
        <v>45788</v>
      </c>
      <c r="I1095" s="1">
        <v>7210</v>
      </c>
      <c r="J1095">
        <v>7210</v>
      </c>
      <c r="K1095" t="s">
        <v>20</v>
      </c>
      <c r="L1095">
        <v>0</v>
      </c>
      <c r="M1095">
        <v>0</v>
      </c>
    </row>
    <row r="1096" spans="1:13">
      <c r="A1096" t="s">
        <v>1214</v>
      </c>
      <c r="B1096" t="s">
        <v>1215</v>
      </c>
      <c r="C1096" t="s">
        <v>1216</v>
      </c>
      <c r="D1096" t="s">
        <v>21</v>
      </c>
      <c r="E1096" t="s">
        <v>1267</v>
      </c>
      <c r="F1096" t="s">
        <v>1267</v>
      </c>
      <c r="G1096" s="2">
        <v>45705</v>
      </c>
      <c r="H1096" s="2">
        <v>45795</v>
      </c>
      <c r="I1096" s="1">
        <v>4800</v>
      </c>
      <c r="J1096">
        <v>4800</v>
      </c>
      <c r="K1096" t="s">
        <v>20</v>
      </c>
      <c r="L1096">
        <v>0</v>
      </c>
      <c r="M1096">
        <v>0</v>
      </c>
    </row>
    <row r="1097" spans="1:13">
      <c r="A1097" t="s">
        <v>1214</v>
      </c>
      <c r="B1097" t="s">
        <v>1215</v>
      </c>
      <c r="C1097" t="s">
        <v>1216</v>
      </c>
      <c r="D1097" t="s">
        <v>21</v>
      </c>
      <c r="E1097" t="s">
        <v>1268</v>
      </c>
      <c r="F1097" t="s">
        <v>1268</v>
      </c>
      <c r="G1097" s="2">
        <v>45708</v>
      </c>
      <c r="H1097" s="2">
        <v>45798</v>
      </c>
      <c r="I1097" s="1">
        <v>19023.099999999999</v>
      </c>
      <c r="J1097">
        <v>19023.099999999999</v>
      </c>
      <c r="K1097" t="s">
        <v>20</v>
      </c>
      <c r="L1097">
        <v>0</v>
      </c>
      <c r="M1097">
        <v>0</v>
      </c>
    </row>
    <row r="1098" spans="1:13">
      <c r="A1098" t="s">
        <v>1214</v>
      </c>
      <c r="B1098" t="s">
        <v>1215</v>
      </c>
      <c r="C1098" t="s">
        <v>1216</v>
      </c>
      <c r="D1098" t="s">
        <v>21</v>
      </c>
      <c r="E1098" t="s">
        <v>1269</v>
      </c>
      <c r="F1098" t="s">
        <v>1269</v>
      </c>
      <c r="G1098" s="2">
        <v>45708</v>
      </c>
      <c r="H1098" s="2">
        <v>45798</v>
      </c>
      <c r="I1098" s="1">
        <v>7740</v>
      </c>
      <c r="J1098">
        <v>7740</v>
      </c>
      <c r="K1098" t="s">
        <v>20</v>
      </c>
      <c r="L1098">
        <v>0</v>
      </c>
      <c r="M1098">
        <v>0</v>
      </c>
    </row>
    <row r="1099" spans="1:13">
      <c r="A1099" t="s">
        <v>1214</v>
      </c>
      <c r="B1099" t="s">
        <v>1215</v>
      </c>
      <c r="C1099" t="s">
        <v>1216</v>
      </c>
      <c r="D1099" t="s">
        <v>21</v>
      </c>
      <c r="E1099" t="s">
        <v>1270</v>
      </c>
      <c r="F1099" t="s">
        <v>1270</v>
      </c>
      <c r="G1099" s="2">
        <v>45714</v>
      </c>
      <c r="H1099" s="2">
        <v>45804</v>
      </c>
      <c r="I1099" s="1">
        <v>7142</v>
      </c>
      <c r="J1099">
        <v>7142</v>
      </c>
      <c r="K1099" t="s">
        <v>20</v>
      </c>
      <c r="L1099">
        <v>0</v>
      </c>
      <c r="M1099">
        <v>0</v>
      </c>
    </row>
    <row r="1100" spans="1:13">
      <c r="A1100" t="s">
        <v>1214</v>
      </c>
      <c r="B1100" t="s">
        <v>1215</v>
      </c>
      <c r="C1100" t="s">
        <v>1216</v>
      </c>
      <c r="D1100" t="s">
        <v>21</v>
      </c>
      <c r="E1100" t="s">
        <v>1271</v>
      </c>
      <c r="F1100" t="s">
        <v>1271</v>
      </c>
      <c r="G1100" s="2">
        <v>45715</v>
      </c>
      <c r="H1100" s="2">
        <v>45805</v>
      </c>
      <c r="I1100" s="1">
        <v>16523</v>
      </c>
      <c r="J1100">
        <v>16523</v>
      </c>
      <c r="K1100" t="s">
        <v>20</v>
      </c>
      <c r="L1100">
        <v>0</v>
      </c>
      <c r="M1100">
        <v>0</v>
      </c>
    </row>
    <row r="1101" spans="1:13">
      <c r="A1101" t="s">
        <v>1214</v>
      </c>
      <c r="B1101" t="s">
        <v>1215</v>
      </c>
      <c r="C1101" t="s">
        <v>1216</v>
      </c>
      <c r="D1101" t="s">
        <v>21</v>
      </c>
      <c r="E1101" t="s">
        <v>1272</v>
      </c>
      <c r="F1101" t="s">
        <v>1272</v>
      </c>
      <c r="G1101" s="2">
        <v>45715</v>
      </c>
      <c r="H1101" s="2">
        <v>45805</v>
      </c>
      <c r="I1101" s="1">
        <v>3136.5</v>
      </c>
      <c r="J1101">
        <v>3136.5</v>
      </c>
      <c r="K1101" t="s">
        <v>20</v>
      </c>
      <c r="L1101">
        <v>0</v>
      </c>
      <c r="M1101">
        <v>0</v>
      </c>
    </row>
    <row r="1102" spans="1:13">
      <c r="A1102" t="s">
        <v>1214</v>
      </c>
      <c r="B1102" t="s">
        <v>1215</v>
      </c>
      <c r="C1102" t="s">
        <v>1216</v>
      </c>
      <c r="D1102" t="s">
        <v>21</v>
      </c>
      <c r="E1102" t="s">
        <v>1273</v>
      </c>
      <c r="F1102" t="s">
        <v>1273</v>
      </c>
      <c r="G1102" s="2">
        <v>45723</v>
      </c>
      <c r="H1102" s="2">
        <v>45813</v>
      </c>
      <c r="I1102" s="1">
        <v>13481.2</v>
      </c>
      <c r="J1102">
        <v>13481.2</v>
      </c>
      <c r="K1102" t="s">
        <v>20</v>
      </c>
      <c r="L1102">
        <v>0</v>
      </c>
      <c r="M1102">
        <v>0</v>
      </c>
    </row>
    <row r="1103" spans="1:13">
      <c r="A1103" t="s">
        <v>1214</v>
      </c>
      <c r="B1103" t="s">
        <v>1215</v>
      </c>
      <c r="C1103" t="s">
        <v>1216</v>
      </c>
      <c r="D1103" t="s">
        <v>21</v>
      </c>
      <c r="E1103" t="s">
        <v>1274</v>
      </c>
      <c r="F1103" t="s">
        <v>1274</v>
      </c>
      <c r="G1103" s="2">
        <v>45727</v>
      </c>
      <c r="H1103" s="2">
        <v>45817</v>
      </c>
      <c r="I1103">
        <v>289</v>
      </c>
      <c r="J1103">
        <v>289</v>
      </c>
      <c r="K1103" t="s">
        <v>20</v>
      </c>
      <c r="L1103">
        <v>0</v>
      </c>
      <c r="M1103">
        <v>0</v>
      </c>
    </row>
    <row r="1104" spans="1:13">
      <c r="A1104" t="s">
        <v>1214</v>
      </c>
      <c r="B1104" t="s">
        <v>1215</v>
      </c>
      <c r="C1104" t="s">
        <v>1216</v>
      </c>
      <c r="D1104" t="s">
        <v>21</v>
      </c>
      <c r="E1104" t="s">
        <v>1275</v>
      </c>
      <c r="F1104" t="s">
        <v>1275</v>
      </c>
      <c r="G1104" s="2">
        <v>45733</v>
      </c>
      <c r="H1104" s="2">
        <v>45823</v>
      </c>
      <c r="I1104" s="1">
        <v>17038.599999999999</v>
      </c>
      <c r="J1104">
        <v>17038.599999999999</v>
      </c>
      <c r="K1104" t="s">
        <v>20</v>
      </c>
      <c r="L1104">
        <v>0</v>
      </c>
      <c r="M1104">
        <v>0</v>
      </c>
    </row>
    <row r="1105" spans="1:13">
      <c r="A1105" t="s">
        <v>1214</v>
      </c>
      <c r="B1105" t="s">
        <v>1215</v>
      </c>
      <c r="C1105" t="s">
        <v>1216</v>
      </c>
      <c r="D1105" t="s">
        <v>21</v>
      </c>
      <c r="E1105" t="s">
        <v>1276</v>
      </c>
      <c r="F1105" t="s">
        <v>1276</v>
      </c>
      <c r="G1105" s="2">
        <v>45735</v>
      </c>
      <c r="H1105" s="2">
        <v>45825</v>
      </c>
      <c r="I1105">
        <v>736</v>
      </c>
      <c r="J1105">
        <v>736</v>
      </c>
      <c r="K1105" t="s">
        <v>20</v>
      </c>
      <c r="L1105">
        <v>0</v>
      </c>
      <c r="M1105">
        <v>0</v>
      </c>
    </row>
    <row r="1106" spans="1:13">
      <c r="A1106" t="s">
        <v>1214</v>
      </c>
      <c r="B1106" t="s">
        <v>1215</v>
      </c>
      <c r="C1106" t="s">
        <v>1216</v>
      </c>
      <c r="D1106" t="s">
        <v>21</v>
      </c>
      <c r="E1106" t="s">
        <v>1277</v>
      </c>
      <c r="F1106" t="s">
        <v>1277</v>
      </c>
      <c r="G1106" s="2">
        <v>45736</v>
      </c>
      <c r="H1106" s="2">
        <v>45826</v>
      </c>
      <c r="I1106" s="1">
        <v>7735</v>
      </c>
      <c r="J1106">
        <v>7735</v>
      </c>
      <c r="K1106" t="s">
        <v>20</v>
      </c>
      <c r="L1106">
        <v>0</v>
      </c>
      <c r="M1106">
        <v>0</v>
      </c>
    </row>
    <row r="1107" spans="1:13">
      <c r="A1107" t="s">
        <v>1214</v>
      </c>
      <c r="B1107" t="s">
        <v>1215</v>
      </c>
      <c r="C1107" t="s">
        <v>1216</v>
      </c>
      <c r="D1107" t="s">
        <v>21</v>
      </c>
      <c r="E1107" t="s">
        <v>1278</v>
      </c>
      <c r="F1107" t="s">
        <v>1278</v>
      </c>
      <c r="G1107" s="2">
        <v>45736</v>
      </c>
      <c r="H1107" s="2">
        <v>45826</v>
      </c>
      <c r="I1107" s="1">
        <v>13284</v>
      </c>
      <c r="J1107">
        <v>13284</v>
      </c>
      <c r="K1107" t="s">
        <v>20</v>
      </c>
      <c r="L1107">
        <v>0</v>
      </c>
      <c r="M1107">
        <v>0</v>
      </c>
    </row>
    <row r="1108" spans="1:13">
      <c r="A1108" t="s">
        <v>1214</v>
      </c>
      <c r="B1108" t="s">
        <v>1215</v>
      </c>
      <c r="C1108" t="s">
        <v>1216</v>
      </c>
      <c r="D1108" t="s">
        <v>21</v>
      </c>
      <c r="E1108" t="s">
        <v>1279</v>
      </c>
      <c r="F1108" t="s">
        <v>1279</v>
      </c>
      <c r="G1108" s="2">
        <v>45736</v>
      </c>
      <c r="H1108" s="2">
        <v>45826</v>
      </c>
      <c r="I1108" s="1">
        <v>9291.2000000000007</v>
      </c>
      <c r="J1108">
        <v>9291.2000000000007</v>
      </c>
      <c r="K1108" t="s">
        <v>20</v>
      </c>
      <c r="L1108">
        <v>0</v>
      </c>
      <c r="M1108">
        <v>0</v>
      </c>
    </row>
    <row r="1109" spans="1:13">
      <c r="A1109" t="s">
        <v>1214</v>
      </c>
      <c r="B1109" t="s">
        <v>1215</v>
      </c>
      <c r="C1109" t="s">
        <v>1216</v>
      </c>
      <c r="D1109" t="s">
        <v>21</v>
      </c>
      <c r="E1109" t="s">
        <v>1280</v>
      </c>
      <c r="F1109" t="s">
        <v>1280</v>
      </c>
      <c r="G1109" s="2">
        <v>45737</v>
      </c>
      <c r="H1109" s="2">
        <v>45827</v>
      </c>
      <c r="I1109" s="1">
        <v>11316</v>
      </c>
      <c r="J1109">
        <v>11316</v>
      </c>
      <c r="K1109" t="s">
        <v>20</v>
      </c>
      <c r="L1109">
        <v>0</v>
      </c>
      <c r="M1109">
        <v>0</v>
      </c>
    </row>
    <row r="1110" spans="1:13">
      <c r="A1110" t="s">
        <v>1214</v>
      </c>
      <c r="B1110" t="s">
        <v>1215</v>
      </c>
      <c r="C1110" t="s">
        <v>1216</v>
      </c>
      <c r="D1110" t="s">
        <v>21</v>
      </c>
      <c r="E1110" t="s">
        <v>1281</v>
      </c>
      <c r="F1110" t="s">
        <v>1281</v>
      </c>
      <c r="G1110" s="2">
        <v>45741</v>
      </c>
      <c r="H1110" s="2">
        <v>45831</v>
      </c>
      <c r="I1110" s="1">
        <v>24057</v>
      </c>
      <c r="J1110">
        <v>24057</v>
      </c>
      <c r="K1110" t="s">
        <v>20</v>
      </c>
      <c r="L1110">
        <v>0</v>
      </c>
      <c r="M1110">
        <v>0</v>
      </c>
    </row>
    <row r="1111" spans="1:13">
      <c r="A1111" t="s">
        <v>1214</v>
      </c>
      <c r="B1111" t="s">
        <v>1215</v>
      </c>
      <c r="C1111" t="s">
        <v>1216</v>
      </c>
      <c r="D1111" t="s">
        <v>21</v>
      </c>
      <c r="E1111" t="s">
        <v>1282</v>
      </c>
      <c r="F1111" t="s">
        <v>1282</v>
      </c>
      <c r="G1111" s="2">
        <v>45741</v>
      </c>
      <c r="H1111" s="2">
        <v>45831</v>
      </c>
      <c r="I1111" s="1">
        <v>35696</v>
      </c>
      <c r="J1111">
        <v>35696</v>
      </c>
      <c r="K1111" t="s">
        <v>20</v>
      </c>
      <c r="L1111">
        <v>0</v>
      </c>
      <c r="M1111">
        <v>0</v>
      </c>
    </row>
    <row r="1112" spans="1:13">
      <c r="A1112" t="s">
        <v>1214</v>
      </c>
      <c r="B1112" t="s">
        <v>1215</v>
      </c>
      <c r="C1112" t="s">
        <v>1216</v>
      </c>
      <c r="D1112" t="s">
        <v>21</v>
      </c>
      <c r="E1112" t="s">
        <v>1283</v>
      </c>
      <c r="F1112" t="s">
        <v>1283</v>
      </c>
      <c r="G1112" s="2">
        <v>45742</v>
      </c>
      <c r="H1112" s="2">
        <v>45832</v>
      </c>
      <c r="I1112" s="1">
        <v>7740</v>
      </c>
      <c r="J1112">
        <v>7740</v>
      </c>
      <c r="K1112" t="s">
        <v>20</v>
      </c>
      <c r="L1112">
        <v>0</v>
      </c>
      <c r="M1112">
        <v>0</v>
      </c>
    </row>
    <row r="1113" spans="1:13">
      <c r="A1113" t="s">
        <v>1284</v>
      </c>
      <c r="B1113" t="s">
        <v>1285</v>
      </c>
      <c r="C1113" t="s">
        <v>16</v>
      </c>
      <c r="D1113" t="s">
        <v>55</v>
      </c>
      <c r="E1113" t="s">
        <v>19</v>
      </c>
      <c r="F1113" t="s">
        <v>19</v>
      </c>
      <c r="H1113" s="2">
        <v>45706</v>
      </c>
      <c r="I1113" s="1">
        <v>-4277.5</v>
      </c>
      <c r="J1113">
        <v>-4277.5</v>
      </c>
      <c r="K1113" t="s">
        <v>20</v>
      </c>
      <c r="L1113">
        <v>0</v>
      </c>
      <c r="M1113">
        <v>-4277.5</v>
      </c>
    </row>
    <row r="1114" spans="1:13">
      <c r="A1114" t="s">
        <v>1284</v>
      </c>
      <c r="B1114" t="s">
        <v>1285</v>
      </c>
      <c r="C1114" t="s">
        <v>16</v>
      </c>
      <c r="D1114" t="s">
        <v>21</v>
      </c>
      <c r="E1114" t="s">
        <v>1286</v>
      </c>
      <c r="F1114" t="s">
        <v>1286</v>
      </c>
      <c r="G1114" s="2">
        <v>45714</v>
      </c>
      <c r="H1114" s="2">
        <v>45744</v>
      </c>
      <c r="I1114" s="1">
        <v>37660</v>
      </c>
      <c r="J1114">
        <v>37660</v>
      </c>
      <c r="K1114" t="s">
        <v>20</v>
      </c>
      <c r="L1114">
        <v>13</v>
      </c>
      <c r="M1114">
        <v>37660</v>
      </c>
    </row>
    <row r="1115" spans="1:13">
      <c r="A1115" t="s">
        <v>1284</v>
      </c>
      <c r="B1115" t="s">
        <v>1285</v>
      </c>
      <c r="C1115" t="s">
        <v>16</v>
      </c>
      <c r="D1115" t="s">
        <v>21</v>
      </c>
      <c r="E1115" t="s">
        <v>1287</v>
      </c>
      <c r="F1115" t="s">
        <v>1287</v>
      </c>
      <c r="G1115" s="2">
        <v>45714</v>
      </c>
      <c r="H1115" s="2">
        <v>45744</v>
      </c>
      <c r="I1115" s="1">
        <v>17630</v>
      </c>
      <c r="J1115">
        <v>17630</v>
      </c>
      <c r="K1115" t="s">
        <v>20</v>
      </c>
      <c r="L1115">
        <v>13</v>
      </c>
      <c r="M1115">
        <v>17630</v>
      </c>
    </row>
    <row r="1116" spans="1:13">
      <c r="A1116" t="s">
        <v>1288</v>
      </c>
      <c r="B1116" t="s">
        <v>1289</v>
      </c>
      <c r="C1116" t="s">
        <v>213</v>
      </c>
      <c r="D1116" t="s">
        <v>55</v>
      </c>
      <c r="E1116" t="s">
        <v>19</v>
      </c>
      <c r="F1116" t="s">
        <v>19</v>
      </c>
      <c r="H1116" s="2">
        <v>45638</v>
      </c>
      <c r="I1116" s="1">
        <v>-1101.18</v>
      </c>
      <c r="J1116">
        <v>-1101.18</v>
      </c>
      <c r="K1116" t="s">
        <v>20</v>
      </c>
      <c r="L1116">
        <v>0</v>
      </c>
      <c r="M1116">
        <v>-1101.18</v>
      </c>
    </row>
    <row r="1117" spans="1:13">
      <c r="A1117" t="s">
        <v>1288</v>
      </c>
      <c r="B1117" t="s">
        <v>1289</v>
      </c>
      <c r="C1117" t="s">
        <v>213</v>
      </c>
      <c r="D1117" t="s">
        <v>21</v>
      </c>
      <c r="E1117" t="s">
        <v>1290</v>
      </c>
      <c r="F1117" t="s">
        <v>1290</v>
      </c>
      <c r="G1117" s="2">
        <v>45659</v>
      </c>
      <c r="H1117" s="2">
        <v>45659</v>
      </c>
      <c r="I1117" s="1">
        <v>1123.1600000000001</v>
      </c>
      <c r="J1117">
        <v>1123.1600000000001</v>
      </c>
      <c r="K1117" t="s">
        <v>20</v>
      </c>
      <c r="L1117">
        <v>0</v>
      </c>
      <c r="M1117">
        <v>1123.1600000000001</v>
      </c>
    </row>
    <row r="1118" spans="1:13">
      <c r="A1118" t="s">
        <v>1291</v>
      </c>
      <c r="B1118" t="s">
        <v>1292</v>
      </c>
      <c r="C1118" t="s">
        <v>16</v>
      </c>
      <c r="D1118" t="s">
        <v>21</v>
      </c>
      <c r="E1118" t="s">
        <v>1293</v>
      </c>
      <c r="F1118" t="s">
        <v>1293</v>
      </c>
      <c r="G1118" s="2">
        <v>45596</v>
      </c>
      <c r="H1118" s="2">
        <v>45626</v>
      </c>
      <c r="I1118">
        <v>515.29</v>
      </c>
      <c r="J1118">
        <v>515.29</v>
      </c>
      <c r="K1118" t="s">
        <v>20</v>
      </c>
      <c r="L1118">
        <v>0</v>
      </c>
      <c r="M1118">
        <v>515.29</v>
      </c>
    </row>
    <row r="1119" spans="1:13">
      <c r="A1119" t="s">
        <v>1291</v>
      </c>
      <c r="B1119" t="s">
        <v>1292</v>
      </c>
      <c r="C1119" t="s">
        <v>16</v>
      </c>
      <c r="D1119" t="s">
        <v>21</v>
      </c>
      <c r="E1119" t="s">
        <v>1294</v>
      </c>
      <c r="F1119" t="s">
        <v>1294</v>
      </c>
      <c r="G1119" s="2">
        <v>45687</v>
      </c>
      <c r="H1119" s="2">
        <v>45717</v>
      </c>
      <c r="I1119">
        <v>896.52</v>
      </c>
      <c r="J1119">
        <v>896.52</v>
      </c>
      <c r="K1119" t="s">
        <v>20</v>
      </c>
      <c r="L1119">
        <v>10</v>
      </c>
      <c r="M1119">
        <v>896.52</v>
      </c>
    </row>
    <row r="1120" spans="1:13">
      <c r="A1120" t="s">
        <v>1295</v>
      </c>
      <c r="B1120" t="s">
        <v>1296</v>
      </c>
      <c r="C1120" t="s">
        <v>213</v>
      </c>
      <c r="D1120" t="s">
        <v>21</v>
      </c>
      <c r="E1120" t="s">
        <v>1297</v>
      </c>
      <c r="F1120" t="s">
        <v>1297</v>
      </c>
      <c r="G1120" s="2">
        <v>45689</v>
      </c>
      <c r="H1120" s="2">
        <v>45689</v>
      </c>
      <c r="I1120">
        <v>650.55999999999995</v>
      </c>
      <c r="J1120">
        <v>608</v>
      </c>
      <c r="K1120" t="s">
        <v>20</v>
      </c>
      <c r="L1120">
        <v>0</v>
      </c>
      <c r="M1120">
        <v>608</v>
      </c>
    </row>
    <row r="1121" spans="1:13">
      <c r="A1121" t="s">
        <v>1295</v>
      </c>
      <c r="B1121" t="s">
        <v>1296</v>
      </c>
      <c r="C1121" t="s">
        <v>213</v>
      </c>
      <c r="D1121" t="s">
        <v>17</v>
      </c>
      <c r="E1121" t="s">
        <v>1298</v>
      </c>
      <c r="F1121" t="s">
        <v>1297</v>
      </c>
      <c r="H1121" s="2">
        <v>45716</v>
      </c>
      <c r="I1121">
        <v>-42.56</v>
      </c>
      <c r="J1121" t="s">
        <v>86</v>
      </c>
      <c r="K1121" t="s">
        <v>20</v>
      </c>
      <c r="L1121">
        <v>0</v>
      </c>
      <c r="M1121" t="s">
        <v>86</v>
      </c>
    </row>
    <row r="1122" spans="1:13">
      <c r="A1122" t="s">
        <v>1299</v>
      </c>
      <c r="B1122" t="s">
        <v>1300</v>
      </c>
      <c r="C1122" t="s">
        <v>16</v>
      </c>
      <c r="D1122" t="s">
        <v>21</v>
      </c>
      <c r="E1122" t="s">
        <v>1301</v>
      </c>
      <c r="F1122" t="s">
        <v>1301</v>
      </c>
      <c r="G1122" s="2">
        <v>45709</v>
      </c>
      <c r="H1122" s="2">
        <v>45739</v>
      </c>
      <c r="I1122">
        <v>170</v>
      </c>
      <c r="J1122">
        <v>170</v>
      </c>
      <c r="K1122" t="s">
        <v>20</v>
      </c>
      <c r="L1122">
        <v>13</v>
      </c>
      <c r="M1122">
        <v>170</v>
      </c>
    </row>
    <row r="1123" spans="1:13">
      <c r="A1123" t="s">
        <v>1299</v>
      </c>
      <c r="B1123" t="s">
        <v>1300</v>
      </c>
      <c r="C1123" t="s">
        <v>16</v>
      </c>
      <c r="D1123" t="s">
        <v>21</v>
      </c>
      <c r="E1123" t="s">
        <v>1302</v>
      </c>
      <c r="F1123" t="s">
        <v>1302</v>
      </c>
      <c r="G1123" s="2">
        <v>45716</v>
      </c>
      <c r="H1123" s="2">
        <v>45746</v>
      </c>
      <c r="I1123">
        <v>105.6</v>
      </c>
      <c r="J1123">
        <v>105.6</v>
      </c>
      <c r="K1123" t="s">
        <v>20</v>
      </c>
      <c r="L1123">
        <v>13</v>
      </c>
      <c r="M1123">
        <v>105.6</v>
      </c>
    </row>
    <row r="1124" spans="1:13">
      <c r="A1124" t="s">
        <v>1299</v>
      </c>
      <c r="B1124" t="s">
        <v>1300</v>
      </c>
      <c r="C1124" t="s">
        <v>16</v>
      </c>
      <c r="D1124" t="s">
        <v>21</v>
      </c>
      <c r="E1124" t="s">
        <v>1303</v>
      </c>
      <c r="F1124" t="s">
        <v>1303</v>
      </c>
      <c r="G1124" s="2">
        <v>45723</v>
      </c>
      <c r="H1124" s="2">
        <v>45753</v>
      </c>
      <c r="I1124">
        <v>330.48</v>
      </c>
      <c r="J1124">
        <v>330.48</v>
      </c>
      <c r="K1124" t="s">
        <v>20</v>
      </c>
      <c r="L1124">
        <v>0</v>
      </c>
      <c r="M1124">
        <v>0</v>
      </c>
    </row>
    <row r="1125" spans="1:13">
      <c r="A1125" t="s">
        <v>1304</v>
      </c>
      <c r="B1125" t="s">
        <v>1305</v>
      </c>
      <c r="C1125" t="s">
        <v>16</v>
      </c>
      <c r="D1125" t="s">
        <v>21</v>
      </c>
      <c r="E1125" t="s">
        <v>1306</v>
      </c>
      <c r="F1125" t="s">
        <v>1306</v>
      </c>
      <c r="G1125" s="2">
        <v>45723</v>
      </c>
      <c r="H1125" s="2">
        <v>45753</v>
      </c>
      <c r="I1125">
        <v>145</v>
      </c>
      <c r="J1125">
        <v>145</v>
      </c>
      <c r="K1125" t="s">
        <v>20</v>
      </c>
      <c r="L1125">
        <v>0</v>
      </c>
      <c r="M1125">
        <v>0</v>
      </c>
    </row>
    <row r="1126" spans="1:13">
      <c r="A1126" t="s">
        <v>1307</v>
      </c>
      <c r="B1126" t="s">
        <v>1308</v>
      </c>
      <c r="C1126" t="s">
        <v>16</v>
      </c>
      <c r="D1126" t="s">
        <v>21</v>
      </c>
      <c r="E1126" t="s">
        <v>1309</v>
      </c>
      <c r="F1126" t="s">
        <v>1309</v>
      </c>
      <c r="G1126" s="2">
        <v>45736</v>
      </c>
      <c r="H1126" s="2">
        <v>45766</v>
      </c>
      <c r="I1126" s="1">
        <v>85326.98</v>
      </c>
      <c r="J1126">
        <v>85326.98</v>
      </c>
      <c r="K1126" t="s">
        <v>20</v>
      </c>
      <c r="L1126">
        <v>0</v>
      </c>
      <c r="M1126">
        <v>0</v>
      </c>
    </row>
    <row r="1127" spans="1:13">
      <c r="A1127" t="s">
        <v>1310</v>
      </c>
      <c r="B1127" t="s">
        <v>1311</v>
      </c>
      <c r="C1127" t="s">
        <v>16</v>
      </c>
      <c r="D1127" t="s">
        <v>55</v>
      </c>
      <c r="E1127" t="s">
        <v>19</v>
      </c>
      <c r="F1127" t="s">
        <v>19</v>
      </c>
      <c r="H1127" s="2">
        <v>45622</v>
      </c>
      <c r="I1127">
        <v>-103.32</v>
      </c>
      <c r="J1127">
        <v>-103.32</v>
      </c>
      <c r="K1127" t="s">
        <v>20</v>
      </c>
      <c r="L1127">
        <v>0</v>
      </c>
      <c r="M1127">
        <v>-103.32</v>
      </c>
    </row>
    <row r="1128" spans="1:13">
      <c r="A1128" t="s">
        <v>1310</v>
      </c>
      <c r="B1128" t="s">
        <v>1311</v>
      </c>
      <c r="C1128" t="s">
        <v>16</v>
      </c>
      <c r="D1128" t="s">
        <v>55</v>
      </c>
      <c r="E1128" t="s">
        <v>19</v>
      </c>
      <c r="F1128" t="s">
        <v>19</v>
      </c>
      <c r="H1128" s="2">
        <v>45730</v>
      </c>
      <c r="I1128">
        <v>-21.91</v>
      </c>
      <c r="J1128">
        <v>-21.91</v>
      </c>
      <c r="K1128" t="s">
        <v>20</v>
      </c>
      <c r="L1128">
        <v>11</v>
      </c>
      <c r="M1128">
        <v>-21.91</v>
      </c>
    </row>
    <row r="1129" spans="1:13">
      <c r="A1129" t="s">
        <v>1312</v>
      </c>
      <c r="B1129" t="s">
        <v>1313</v>
      </c>
      <c r="C1129" t="s">
        <v>16</v>
      </c>
      <c r="D1129" t="s">
        <v>21</v>
      </c>
      <c r="E1129" t="s">
        <v>1314</v>
      </c>
      <c r="F1129" t="s">
        <v>1314</v>
      </c>
      <c r="G1129" s="2">
        <v>45607</v>
      </c>
      <c r="H1129" s="2">
        <v>45637</v>
      </c>
      <c r="I1129">
        <v>289</v>
      </c>
      <c r="J1129">
        <v>289</v>
      </c>
      <c r="K1129" t="s">
        <v>20</v>
      </c>
      <c r="L1129">
        <v>0</v>
      </c>
      <c r="M1129">
        <v>289</v>
      </c>
    </row>
    <row r="1130" spans="1:13">
      <c r="A1130" t="s">
        <v>1312</v>
      </c>
      <c r="B1130" t="s">
        <v>1313</v>
      </c>
      <c r="C1130" t="s">
        <v>16</v>
      </c>
      <c r="D1130" t="s">
        <v>21</v>
      </c>
      <c r="E1130" t="s">
        <v>1315</v>
      </c>
      <c r="F1130" t="s">
        <v>1315</v>
      </c>
      <c r="G1130" s="2">
        <v>45727</v>
      </c>
      <c r="H1130" s="2">
        <v>45757</v>
      </c>
      <c r="I1130" s="1">
        <v>2880.6</v>
      </c>
      <c r="J1130">
        <v>2880.6</v>
      </c>
      <c r="K1130" t="s">
        <v>20</v>
      </c>
      <c r="L1130">
        <v>0</v>
      </c>
      <c r="M1130">
        <v>0</v>
      </c>
    </row>
    <row r="1131" spans="1:13">
      <c r="A1131" t="s">
        <v>1312</v>
      </c>
      <c r="B1131" t="s">
        <v>1313</v>
      </c>
      <c r="C1131" t="s">
        <v>16</v>
      </c>
      <c r="D1131" t="s">
        <v>21</v>
      </c>
      <c r="E1131" t="s">
        <v>1316</v>
      </c>
      <c r="F1131" t="s">
        <v>1316</v>
      </c>
      <c r="G1131" s="2">
        <v>45733</v>
      </c>
      <c r="H1131" s="2">
        <v>45763</v>
      </c>
      <c r="I1131">
        <v>333.84</v>
      </c>
      <c r="J1131">
        <v>333.84</v>
      </c>
      <c r="K1131" t="s">
        <v>20</v>
      </c>
      <c r="L1131">
        <v>0</v>
      </c>
      <c r="M1131">
        <v>0</v>
      </c>
    </row>
    <row r="1132" spans="1:13">
      <c r="A1132" t="s">
        <v>1317</v>
      </c>
      <c r="B1132" t="s">
        <v>1318</v>
      </c>
      <c r="C1132" t="s">
        <v>213</v>
      </c>
      <c r="D1132" t="s">
        <v>55</v>
      </c>
      <c r="E1132" t="s">
        <v>19</v>
      </c>
      <c r="F1132" t="s">
        <v>19</v>
      </c>
      <c r="H1132" s="2">
        <v>45545</v>
      </c>
      <c r="I1132">
        <v>-18.45</v>
      </c>
      <c r="J1132">
        <v>-18.45</v>
      </c>
      <c r="K1132" t="s">
        <v>20</v>
      </c>
      <c r="L1132">
        <v>0</v>
      </c>
      <c r="M1132">
        <v>-18.45</v>
      </c>
    </row>
    <row r="1133" spans="1:13">
      <c r="A1133" t="s">
        <v>1319</v>
      </c>
      <c r="B1133" t="s">
        <v>1320</v>
      </c>
      <c r="C1133" t="s">
        <v>213</v>
      </c>
      <c r="D1133" t="s">
        <v>21</v>
      </c>
      <c r="E1133" t="s">
        <v>1321</v>
      </c>
      <c r="F1133" t="s">
        <v>1321</v>
      </c>
      <c r="G1133" s="2">
        <v>45677</v>
      </c>
      <c r="H1133" s="2">
        <v>45677</v>
      </c>
      <c r="I1133" s="1">
        <v>2499.36</v>
      </c>
      <c r="J1133">
        <v>1464.36</v>
      </c>
      <c r="K1133" t="s">
        <v>20</v>
      </c>
      <c r="L1133">
        <v>0</v>
      </c>
      <c r="M1133">
        <v>1464.36</v>
      </c>
    </row>
    <row r="1134" spans="1:13">
      <c r="A1134" t="s">
        <v>1319</v>
      </c>
      <c r="B1134" t="s">
        <v>1320</v>
      </c>
      <c r="C1134" t="s">
        <v>213</v>
      </c>
      <c r="D1134" t="s">
        <v>55</v>
      </c>
      <c r="E1134" t="s">
        <v>1321</v>
      </c>
      <c r="F1134" t="s">
        <v>1321</v>
      </c>
      <c r="H1134" s="2">
        <v>45558</v>
      </c>
      <c r="I1134" s="1">
        <v>-1035</v>
      </c>
      <c r="J1134" t="s">
        <v>86</v>
      </c>
      <c r="K1134" t="s">
        <v>20</v>
      </c>
      <c r="L1134">
        <v>0</v>
      </c>
      <c r="M1134" t="s">
        <v>86</v>
      </c>
    </row>
    <row r="1135" spans="1:13">
      <c r="A1135" t="s">
        <v>1322</v>
      </c>
      <c r="B1135" t="s">
        <v>1323</v>
      </c>
      <c r="C1135" t="s">
        <v>16</v>
      </c>
      <c r="D1135" t="s">
        <v>21</v>
      </c>
      <c r="E1135" t="s">
        <v>1324</v>
      </c>
      <c r="F1135" t="s">
        <v>1324</v>
      </c>
      <c r="G1135" s="2">
        <v>45665</v>
      </c>
      <c r="H1135" s="2">
        <v>45695</v>
      </c>
      <c r="I1135">
        <v>54.57</v>
      </c>
      <c r="J1135">
        <v>-3.57</v>
      </c>
      <c r="K1135" t="s">
        <v>20</v>
      </c>
      <c r="L1135">
        <v>0</v>
      </c>
      <c r="M1135">
        <v>-3.57</v>
      </c>
    </row>
    <row r="1136" spans="1:13">
      <c r="A1136" t="s">
        <v>1322</v>
      </c>
      <c r="B1136" t="s">
        <v>1323</v>
      </c>
      <c r="C1136" t="s">
        <v>16</v>
      </c>
      <c r="D1136" t="s">
        <v>17</v>
      </c>
      <c r="E1136" t="s">
        <v>1325</v>
      </c>
      <c r="F1136" t="s">
        <v>1324</v>
      </c>
      <c r="H1136" s="2">
        <v>45688</v>
      </c>
      <c r="I1136">
        <v>-3.57</v>
      </c>
      <c r="J1136" t="s">
        <v>86</v>
      </c>
      <c r="K1136" t="s">
        <v>20</v>
      </c>
      <c r="L1136">
        <v>0</v>
      </c>
      <c r="M1136" t="s">
        <v>86</v>
      </c>
    </row>
    <row r="1137" spans="1:13">
      <c r="A1137" t="s">
        <v>1322</v>
      </c>
      <c r="B1137" t="s">
        <v>1323</v>
      </c>
      <c r="C1137" t="s">
        <v>16</v>
      </c>
      <c r="D1137" t="s">
        <v>55</v>
      </c>
      <c r="E1137" t="s">
        <v>1324</v>
      </c>
      <c r="F1137" t="s">
        <v>1324</v>
      </c>
      <c r="H1137" s="2">
        <v>45671</v>
      </c>
      <c r="I1137">
        <v>-54.57</v>
      </c>
      <c r="J1137" t="s">
        <v>86</v>
      </c>
      <c r="K1137" t="s">
        <v>20</v>
      </c>
      <c r="L1137">
        <v>0</v>
      </c>
      <c r="M1137" t="s">
        <v>86</v>
      </c>
    </row>
    <row r="1138" spans="1:13">
      <c r="A1138" t="s">
        <v>1326</v>
      </c>
      <c r="B1138" t="s">
        <v>1327</v>
      </c>
      <c r="C1138" t="s">
        <v>16</v>
      </c>
      <c r="D1138" t="s">
        <v>21</v>
      </c>
      <c r="E1138" t="s">
        <v>1328</v>
      </c>
      <c r="F1138" t="s">
        <v>1328</v>
      </c>
      <c r="G1138" s="2">
        <v>45516</v>
      </c>
      <c r="H1138" s="2">
        <v>45546</v>
      </c>
      <c r="I1138">
        <v>908</v>
      </c>
      <c r="J1138">
        <v>908</v>
      </c>
      <c r="K1138" t="s">
        <v>20</v>
      </c>
      <c r="L1138">
        <v>0</v>
      </c>
      <c r="M1138">
        <v>908</v>
      </c>
    </row>
    <row r="1139" spans="1:13">
      <c r="A1139" t="s">
        <v>1329</v>
      </c>
      <c r="B1139" t="s">
        <v>1330</v>
      </c>
      <c r="C1139" t="s">
        <v>16</v>
      </c>
      <c r="D1139" t="s">
        <v>21</v>
      </c>
      <c r="E1139" t="s">
        <v>1331</v>
      </c>
      <c r="F1139" t="s">
        <v>1331</v>
      </c>
      <c r="G1139" s="2">
        <v>45188</v>
      </c>
      <c r="H1139" s="2">
        <v>45218</v>
      </c>
      <c r="I1139">
        <v>960.35</v>
      </c>
      <c r="J1139">
        <v>960.35</v>
      </c>
      <c r="K1139" t="s">
        <v>20</v>
      </c>
      <c r="L1139">
        <v>0</v>
      </c>
      <c r="M1139">
        <v>960.35</v>
      </c>
    </row>
    <row r="1140" spans="1:13">
      <c r="A1140" t="s">
        <v>1329</v>
      </c>
      <c r="B1140" t="s">
        <v>1330</v>
      </c>
      <c r="C1140" t="s">
        <v>16</v>
      </c>
      <c r="D1140" t="s">
        <v>21</v>
      </c>
      <c r="E1140" t="s">
        <v>1332</v>
      </c>
      <c r="F1140" t="s">
        <v>1332</v>
      </c>
      <c r="G1140" s="2">
        <v>45204</v>
      </c>
      <c r="H1140" s="2">
        <v>45234</v>
      </c>
      <c r="I1140" s="1">
        <v>1055.67</v>
      </c>
      <c r="J1140">
        <v>1055.67</v>
      </c>
      <c r="K1140" t="s">
        <v>20</v>
      </c>
      <c r="L1140">
        <v>0</v>
      </c>
      <c r="M1140">
        <v>1055.67</v>
      </c>
    </row>
    <row r="1141" spans="1:13">
      <c r="A1141" t="s">
        <v>1329</v>
      </c>
      <c r="B1141" t="s">
        <v>1330</v>
      </c>
      <c r="C1141" t="s">
        <v>16</v>
      </c>
      <c r="D1141" t="s">
        <v>21</v>
      </c>
      <c r="E1141" t="s">
        <v>1333</v>
      </c>
      <c r="F1141" t="s">
        <v>1333</v>
      </c>
      <c r="G1141" s="2">
        <v>45245</v>
      </c>
      <c r="H1141" s="2">
        <v>45275</v>
      </c>
      <c r="I1141">
        <v>358.73</v>
      </c>
      <c r="J1141">
        <v>358.73</v>
      </c>
      <c r="K1141" t="s">
        <v>20</v>
      </c>
      <c r="L1141">
        <v>0</v>
      </c>
      <c r="M1141">
        <v>358.73</v>
      </c>
    </row>
    <row r="1142" spans="1:13">
      <c r="A1142" t="s">
        <v>1329</v>
      </c>
      <c r="B1142" t="s">
        <v>1330</v>
      </c>
      <c r="C1142" t="s">
        <v>16</v>
      </c>
      <c r="D1142" t="s">
        <v>21</v>
      </c>
      <c r="E1142" t="s">
        <v>1334</v>
      </c>
      <c r="F1142" t="s">
        <v>1334</v>
      </c>
      <c r="G1142" s="2">
        <v>45258</v>
      </c>
      <c r="H1142" s="2">
        <v>45288</v>
      </c>
      <c r="I1142">
        <v>515.73</v>
      </c>
      <c r="J1142">
        <v>515.73</v>
      </c>
      <c r="K1142" t="s">
        <v>20</v>
      </c>
      <c r="L1142">
        <v>0</v>
      </c>
      <c r="M1142">
        <v>515.73</v>
      </c>
    </row>
    <row r="1143" spans="1:13">
      <c r="A1143" t="s">
        <v>1329</v>
      </c>
      <c r="B1143" t="s">
        <v>1330</v>
      </c>
      <c r="C1143" t="s">
        <v>16</v>
      </c>
      <c r="D1143" t="s">
        <v>21</v>
      </c>
      <c r="E1143" t="s">
        <v>1335</v>
      </c>
      <c r="F1143" t="s">
        <v>1335</v>
      </c>
      <c r="G1143" s="2">
        <v>45301</v>
      </c>
      <c r="H1143" s="2">
        <v>45331</v>
      </c>
      <c r="I1143">
        <v>300.38</v>
      </c>
      <c r="J1143">
        <v>0.02</v>
      </c>
      <c r="K1143" t="s">
        <v>1335</v>
      </c>
      <c r="L1143">
        <v>0</v>
      </c>
      <c r="M1143">
        <v>0.02</v>
      </c>
    </row>
    <row r="1144" spans="1:13">
      <c r="A1144" t="s">
        <v>1329</v>
      </c>
      <c r="B1144" t="s">
        <v>1330</v>
      </c>
      <c r="C1144" t="s">
        <v>16</v>
      </c>
      <c r="D1144" t="s">
        <v>55</v>
      </c>
      <c r="E1144" t="s">
        <v>1335</v>
      </c>
      <c r="F1144" t="s">
        <v>1335</v>
      </c>
      <c r="H1144" s="2">
        <v>45572</v>
      </c>
      <c r="I1144">
        <v>-300.36</v>
      </c>
      <c r="J1144" t="s">
        <v>86</v>
      </c>
      <c r="K1144" t="s">
        <v>20</v>
      </c>
      <c r="L1144">
        <v>0</v>
      </c>
      <c r="M1144" t="s">
        <v>86</v>
      </c>
    </row>
    <row r="1145" spans="1:13">
      <c r="A1145" t="s">
        <v>1329</v>
      </c>
      <c r="B1145" t="s">
        <v>1330</v>
      </c>
      <c r="C1145" t="s">
        <v>16</v>
      </c>
      <c r="D1145" t="s">
        <v>17</v>
      </c>
      <c r="E1145" t="s">
        <v>1336</v>
      </c>
      <c r="F1145" t="s">
        <v>19</v>
      </c>
      <c r="H1145" s="2">
        <v>45518</v>
      </c>
      <c r="I1145">
        <v>-40.96</v>
      </c>
      <c r="J1145">
        <v>-40.96</v>
      </c>
      <c r="K1145" t="s">
        <v>20</v>
      </c>
      <c r="L1145">
        <v>0</v>
      </c>
      <c r="M1145">
        <v>-40.96</v>
      </c>
    </row>
    <row r="1146" spans="1:13">
      <c r="A1146" t="s">
        <v>1329</v>
      </c>
      <c r="B1146" t="s">
        <v>1330</v>
      </c>
      <c r="C1146" t="s">
        <v>16</v>
      </c>
      <c r="D1146" t="s">
        <v>17</v>
      </c>
      <c r="E1146" t="s">
        <v>1337</v>
      </c>
      <c r="F1146" t="s">
        <v>19</v>
      </c>
      <c r="H1146" s="2">
        <v>45519</v>
      </c>
      <c r="I1146">
        <v>-57.22</v>
      </c>
      <c r="J1146">
        <v>-57.22</v>
      </c>
      <c r="K1146" t="s">
        <v>20</v>
      </c>
      <c r="L1146">
        <v>0</v>
      </c>
      <c r="M1146">
        <v>-57.22</v>
      </c>
    </row>
    <row r="1147" spans="1:13">
      <c r="A1147" t="s">
        <v>1329</v>
      </c>
      <c r="B1147" t="s">
        <v>1330</v>
      </c>
      <c r="C1147" t="s">
        <v>16</v>
      </c>
      <c r="D1147" t="s">
        <v>17</v>
      </c>
      <c r="E1147" t="s">
        <v>1338</v>
      </c>
      <c r="F1147" t="s">
        <v>19</v>
      </c>
      <c r="H1147" s="2">
        <v>45519</v>
      </c>
      <c r="I1147">
        <v>-28.03</v>
      </c>
      <c r="J1147">
        <v>-28.03</v>
      </c>
      <c r="K1147" t="s">
        <v>20</v>
      </c>
      <c r="L1147">
        <v>0</v>
      </c>
      <c r="M1147">
        <v>-28.03</v>
      </c>
    </row>
    <row r="1148" spans="1:13">
      <c r="A1148" t="s">
        <v>1329</v>
      </c>
      <c r="B1148" t="s">
        <v>1330</v>
      </c>
      <c r="C1148" t="s">
        <v>16</v>
      </c>
      <c r="D1148" t="s">
        <v>17</v>
      </c>
      <c r="E1148" t="s">
        <v>1339</v>
      </c>
      <c r="F1148" t="s">
        <v>19</v>
      </c>
      <c r="H1148" s="2">
        <v>45519</v>
      </c>
      <c r="I1148">
        <v>-29.04</v>
      </c>
      <c r="J1148">
        <v>-29.04</v>
      </c>
      <c r="K1148" t="s">
        <v>20</v>
      </c>
      <c r="L1148">
        <v>0</v>
      </c>
      <c r="M1148">
        <v>-29.04</v>
      </c>
    </row>
    <row r="1149" spans="1:13">
      <c r="A1149" t="s">
        <v>1329</v>
      </c>
      <c r="B1149" t="s">
        <v>1330</v>
      </c>
      <c r="C1149" t="s">
        <v>16</v>
      </c>
      <c r="D1149" t="s">
        <v>55</v>
      </c>
      <c r="E1149" t="s">
        <v>19</v>
      </c>
      <c r="F1149" t="s">
        <v>19</v>
      </c>
      <c r="H1149" s="2">
        <v>45569</v>
      </c>
      <c r="I1149">
        <v>-88.27</v>
      </c>
      <c r="J1149">
        <v>-88.27</v>
      </c>
      <c r="K1149" t="s">
        <v>20</v>
      </c>
      <c r="L1149">
        <v>0</v>
      </c>
      <c r="M1149">
        <v>-88.27</v>
      </c>
    </row>
    <row r="1150" spans="1:13">
      <c r="A1150" t="s">
        <v>1329</v>
      </c>
      <c r="B1150" t="s">
        <v>1330</v>
      </c>
      <c r="C1150" t="s">
        <v>16</v>
      </c>
      <c r="D1150" t="s">
        <v>55</v>
      </c>
      <c r="E1150" t="s">
        <v>19</v>
      </c>
      <c r="F1150" t="s">
        <v>19</v>
      </c>
      <c r="H1150" s="2">
        <v>45572</v>
      </c>
      <c r="I1150">
        <v>-228.93</v>
      </c>
      <c r="J1150">
        <v>-228.93</v>
      </c>
      <c r="K1150" t="s">
        <v>20</v>
      </c>
      <c r="L1150">
        <v>0</v>
      </c>
      <c r="M1150">
        <v>-228.93</v>
      </c>
    </row>
    <row r="1151" spans="1:13">
      <c r="A1151" t="s">
        <v>1329</v>
      </c>
      <c r="B1151" t="s">
        <v>1330</v>
      </c>
      <c r="C1151" t="s">
        <v>16</v>
      </c>
      <c r="D1151" t="s">
        <v>21</v>
      </c>
      <c r="E1151" t="s">
        <v>1340</v>
      </c>
      <c r="F1151" t="s">
        <v>1340</v>
      </c>
      <c r="G1151" s="2">
        <v>45555</v>
      </c>
      <c r="H1151" s="2">
        <v>45585</v>
      </c>
      <c r="I1151">
        <v>251.92</v>
      </c>
      <c r="J1151">
        <v>251.92</v>
      </c>
      <c r="K1151" t="s">
        <v>20</v>
      </c>
      <c r="L1151">
        <v>0</v>
      </c>
      <c r="M1151">
        <v>251.92</v>
      </c>
    </row>
    <row r="1152" spans="1:13">
      <c r="A1152" t="s">
        <v>1329</v>
      </c>
      <c r="B1152" t="s">
        <v>1330</v>
      </c>
      <c r="C1152" t="s">
        <v>16</v>
      </c>
      <c r="D1152" t="s">
        <v>21</v>
      </c>
      <c r="E1152" t="s">
        <v>1341</v>
      </c>
      <c r="F1152" t="s">
        <v>1341</v>
      </c>
      <c r="G1152" s="2">
        <v>45587</v>
      </c>
      <c r="H1152" s="2">
        <v>45617</v>
      </c>
      <c r="I1152">
        <v>486.92</v>
      </c>
      <c r="J1152">
        <v>486.92</v>
      </c>
      <c r="K1152" t="s">
        <v>20</v>
      </c>
      <c r="L1152">
        <v>0</v>
      </c>
      <c r="M1152">
        <v>486.92</v>
      </c>
    </row>
    <row r="1153" spans="1:13">
      <c r="A1153" t="s">
        <v>1329</v>
      </c>
      <c r="B1153" t="s">
        <v>1330</v>
      </c>
      <c r="C1153" t="s">
        <v>16</v>
      </c>
      <c r="D1153" t="s">
        <v>21</v>
      </c>
      <c r="E1153" t="s">
        <v>1342</v>
      </c>
      <c r="F1153" t="s">
        <v>1342</v>
      </c>
      <c r="G1153" s="2">
        <v>45596</v>
      </c>
      <c r="H1153" s="2">
        <v>45626</v>
      </c>
      <c r="I1153">
        <v>377.88</v>
      </c>
      <c r="J1153">
        <v>377.88</v>
      </c>
      <c r="K1153" t="s">
        <v>20</v>
      </c>
      <c r="L1153">
        <v>0</v>
      </c>
      <c r="M1153">
        <v>377.88</v>
      </c>
    </row>
    <row r="1154" spans="1:13">
      <c r="A1154" t="s">
        <v>1329</v>
      </c>
      <c r="B1154" t="s">
        <v>1330</v>
      </c>
      <c r="C1154" t="s">
        <v>16</v>
      </c>
      <c r="D1154" t="s">
        <v>21</v>
      </c>
      <c r="E1154" t="s">
        <v>1343</v>
      </c>
      <c r="F1154" t="s">
        <v>1343</v>
      </c>
      <c r="G1154" s="2">
        <v>45607</v>
      </c>
      <c r="H1154" s="2">
        <v>45637</v>
      </c>
      <c r="I1154">
        <v>271</v>
      </c>
      <c r="J1154">
        <v>271</v>
      </c>
      <c r="K1154" t="s">
        <v>20</v>
      </c>
      <c r="L1154">
        <v>0</v>
      </c>
      <c r="M1154">
        <v>271</v>
      </c>
    </row>
    <row r="1155" spans="1:13">
      <c r="A1155" t="s">
        <v>1329</v>
      </c>
      <c r="B1155" t="s">
        <v>1330</v>
      </c>
      <c r="C1155" t="s">
        <v>16</v>
      </c>
      <c r="D1155" t="s">
        <v>21</v>
      </c>
      <c r="E1155" t="s">
        <v>1344</v>
      </c>
      <c r="F1155" t="s">
        <v>1344</v>
      </c>
      <c r="G1155" s="2">
        <v>45618</v>
      </c>
      <c r="H1155" s="2">
        <v>45648</v>
      </c>
      <c r="I1155">
        <v>231.35</v>
      </c>
      <c r="J1155">
        <v>231.35</v>
      </c>
      <c r="K1155" t="s">
        <v>20</v>
      </c>
      <c r="L1155">
        <v>0</v>
      </c>
      <c r="M1155">
        <v>231.35</v>
      </c>
    </row>
    <row r="1156" spans="1:13">
      <c r="A1156" t="s">
        <v>1329</v>
      </c>
      <c r="B1156" t="s">
        <v>1330</v>
      </c>
      <c r="C1156" t="s">
        <v>16</v>
      </c>
      <c r="D1156" t="s">
        <v>21</v>
      </c>
      <c r="E1156" t="s">
        <v>1345</v>
      </c>
      <c r="F1156" t="s">
        <v>1345</v>
      </c>
      <c r="G1156" s="2">
        <v>45637</v>
      </c>
      <c r="H1156" s="2">
        <v>45667</v>
      </c>
      <c r="I1156">
        <v>516.22</v>
      </c>
      <c r="J1156">
        <v>516.22</v>
      </c>
      <c r="K1156" t="s">
        <v>20</v>
      </c>
      <c r="L1156">
        <v>0</v>
      </c>
      <c r="M1156">
        <v>516.22</v>
      </c>
    </row>
    <row r="1157" spans="1:13">
      <c r="A1157" t="s">
        <v>1329</v>
      </c>
      <c r="B1157" t="s">
        <v>1330</v>
      </c>
      <c r="C1157" t="s">
        <v>16</v>
      </c>
      <c r="D1157" t="s">
        <v>21</v>
      </c>
      <c r="E1157" t="s">
        <v>1346</v>
      </c>
      <c r="F1157" t="s">
        <v>1346</v>
      </c>
      <c r="G1157" s="2">
        <v>45716</v>
      </c>
      <c r="H1157" s="2">
        <v>45746</v>
      </c>
      <c r="I1157">
        <v>486.14</v>
      </c>
      <c r="J1157">
        <v>486.14</v>
      </c>
      <c r="K1157" t="s">
        <v>20</v>
      </c>
      <c r="L1157">
        <v>13</v>
      </c>
      <c r="M1157">
        <v>486.14</v>
      </c>
    </row>
    <row r="1158" spans="1:13">
      <c r="A1158" t="s">
        <v>1347</v>
      </c>
      <c r="B1158" t="s">
        <v>1348</v>
      </c>
      <c r="C1158" t="s">
        <v>16</v>
      </c>
      <c r="D1158" t="s">
        <v>21</v>
      </c>
      <c r="E1158" t="s">
        <v>1349</v>
      </c>
      <c r="F1158" t="s">
        <v>1349</v>
      </c>
      <c r="G1158" s="2">
        <v>45687</v>
      </c>
      <c r="H1158" s="2">
        <v>45717</v>
      </c>
      <c r="I1158">
        <v>302</v>
      </c>
      <c r="J1158">
        <v>302</v>
      </c>
      <c r="K1158" t="s">
        <v>20</v>
      </c>
      <c r="L1158">
        <v>10</v>
      </c>
      <c r="M1158">
        <v>302</v>
      </c>
    </row>
    <row r="1159" spans="1:13">
      <c r="A1159" t="s">
        <v>1347</v>
      </c>
      <c r="B1159" t="s">
        <v>1348</v>
      </c>
      <c r="C1159" t="s">
        <v>16</v>
      </c>
      <c r="D1159" t="s">
        <v>21</v>
      </c>
      <c r="E1159" t="s">
        <v>1350</v>
      </c>
      <c r="F1159" t="s">
        <v>1350</v>
      </c>
      <c r="G1159" s="2">
        <v>45692</v>
      </c>
      <c r="H1159" s="2">
        <v>45722</v>
      </c>
      <c r="I1159">
        <v>245</v>
      </c>
      <c r="J1159">
        <v>245</v>
      </c>
      <c r="K1159" t="s">
        <v>20</v>
      </c>
      <c r="L1159">
        <v>10</v>
      </c>
      <c r="M1159">
        <v>245</v>
      </c>
    </row>
    <row r="1160" spans="1:13">
      <c r="A1160" t="s">
        <v>1347</v>
      </c>
      <c r="B1160" t="s">
        <v>1348</v>
      </c>
      <c r="C1160" t="s">
        <v>16</v>
      </c>
      <c r="D1160" t="s">
        <v>21</v>
      </c>
      <c r="E1160" t="s">
        <v>1351</v>
      </c>
      <c r="F1160" t="s">
        <v>1351</v>
      </c>
      <c r="G1160" s="2">
        <v>45712</v>
      </c>
      <c r="H1160" s="2">
        <v>45742</v>
      </c>
      <c r="I1160">
        <v>260</v>
      </c>
      <c r="J1160">
        <v>260</v>
      </c>
      <c r="K1160" t="s">
        <v>20</v>
      </c>
      <c r="L1160">
        <v>13</v>
      </c>
      <c r="M1160">
        <v>260</v>
      </c>
    </row>
    <row r="1161" spans="1:13">
      <c r="A1161" t="s">
        <v>1347</v>
      </c>
      <c r="B1161" t="s">
        <v>1348</v>
      </c>
      <c r="C1161" t="s">
        <v>16</v>
      </c>
      <c r="D1161" t="s">
        <v>21</v>
      </c>
      <c r="E1161" t="s">
        <v>1352</v>
      </c>
      <c r="F1161" t="s">
        <v>1352</v>
      </c>
      <c r="G1161" s="2">
        <v>45716</v>
      </c>
      <c r="H1161" s="2">
        <v>45746</v>
      </c>
      <c r="I1161">
        <v>538</v>
      </c>
      <c r="J1161">
        <v>538</v>
      </c>
      <c r="K1161" t="s">
        <v>20</v>
      </c>
      <c r="L1161">
        <v>13</v>
      </c>
      <c r="M1161">
        <v>538</v>
      </c>
    </row>
    <row r="1162" spans="1:13">
      <c r="A1162" t="s">
        <v>1347</v>
      </c>
      <c r="B1162" t="s">
        <v>1348</v>
      </c>
      <c r="C1162" t="s">
        <v>16</v>
      </c>
      <c r="D1162" t="s">
        <v>21</v>
      </c>
      <c r="E1162" t="s">
        <v>1353</v>
      </c>
      <c r="F1162" t="s">
        <v>1353</v>
      </c>
      <c r="G1162" s="2">
        <v>45722</v>
      </c>
      <c r="H1162" s="2">
        <v>45752</v>
      </c>
      <c r="I1162">
        <v>274</v>
      </c>
      <c r="J1162">
        <v>274</v>
      </c>
      <c r="K1162" t="s">
        <v>20</v>
      </c>
      <c r="L1162">
        <v>0</v>
      </c>
      <c r="M1162">
        <v>0</v>
      </c>
    </row>
    <row r="1163" spans="1:13">
      <c r="A1163" t="s">
        <v>1354</v>
      </c>
      <c r="B1163" t="s">
        <v>1355</v>
      </c>
      <c r="C1163" t="s">
        <v>16</v>
      </c>
      <c r="D1163" t="s">
        <v>21</v>
      </c>
      <c r="E1163" t="s">
        <v>1356</v>
      </c>
      <c r="F1163" t="s">
        <v>1356</v>
      </c>
      <c r="G1163" s="2">
        <v>45359</v>
      </c>
      <c r="H1163" s="2">
        <v>45389</v>
      </c>
      <c r="I1163">
        <v>152.83000000000001</v>
      </c>
      <c r="J1163">
        <v>152.83000000000001</v>
      </c>
      <c r="K1163" t="s">
        <v>20</v>
      </c>
      <c r="L1163">
        <v>0</v>
      </c>
      <c r="M1163">
        <v>152.83000000000001</v>
      </c>
    </row>
    <row r="1164" spans="1:13">
      <c r="A1164" t="s">
        <v>1354</v>
      </c>
      <c r="B1164" t="s">
        <v>1355</v>
      </c>
      <c r="C1164" t="s">
        <v>16</v>
      </c>
      <c r="D1164" t="s">
        <v>21</v>
      </c>
      <c r="E1164" t="s">
        <v>1357</v>
      </c>
      <c r="F1164" t="s">
        <v>1357</v>
      </c>
      <c r="G1164" s="2">
        <v>45362</v>
      </c>
      <c r="H1164" s="2">
        <v>45392</v>
      </c>
      <c r="I1164">
        <v>19.96</v>
      </c>
      <c r="J1164">
        <v>19.96</v>
      </c>
      <c r="K1164" t="s">
        <v>20</v>
      </c>
      <c r="L1164">
        <v>0</v>
      </c>
      <c r="M1164">
        <v>19.96</v>
      </c>
    </row>
    <row r="1165" spans="1:13">
      <c r="A1165" t="s">
        <v>1354</v>
      </c>
      <c r="B1165" t="s">
        <v>1355</v>
      </c>
      <c r="C1165" t="s">
        <v>16</v>
      </c>
      <c r="D1165" t="s">
        <v>21</v>
      </c>
      <c r="E1165" t="s">
        <v>1358</v>
      </c>
      <c r="F1165" t="s">
        <v>1358</v>
      </c>
      <c r="G1165" s="2">
        <v>45365</v>
      </c>
      <c r="H1165" s="2">
        <v>45395</v>
      </c>
      <c r="I1165">
        <v>22.05</v>
      </c>
      <c r="J1165">
        <v>22.05</v>
      </c>
      <c r="K1165" t="s">
        <v>20</v>
      </c>
      <c r="L1165">
        <v>0</v>
      </c>
      <c r="M1165">
        <v>22.05</v>
      </c>
    </row>
    <row r="1166" spans="1:13">
      <c r="A1166" t="s">
        <v>1354</v>
      </c>
      <c r="B1166" t="s">
        <v>1355</v>
      </c>
      <c r="C1166" t="s">
        <v>16</v>
      </c>
      <c r="D1166" t="s">
        <v>21</v>
      </c>
      <c r="E1166" t="s">
        <v>1359</v>
      </c>
      <c r="F1166" t="s">
        <v>1359</v>
      </c>
      <c r="G1166" s="2">
        <v>45617</v>
      </c>
      <c r="H1166" s="2">
        <v>45647</v>
      </c>
      <c r="I1166" s="1">
        <v>1286.48</v>
      </c>
      <c r="J1166">
        <v>72.819999999999993</v>
      </c>
      <c r="K1166" t="s">
        <v>20</v>
      </c>
      <c r="L1166">
        <v>0</v>
      </c>
      <c r="M1166">
        <v>72.819999999999993</v>
      </c>
    </row>
    <row r="1167" spans="1:13">
      <c r="A1167" t="s">
        <v>1354</v>
      </c>
      <c r="B1167" t="s">
        <v>1355</v>
      </c>
      <c r="C1167" t="s">
        <v>16</v>
      </c>
      <c r="D1167" t="s">
        <v>55</v>
      </c>
      <c r="E1167" t="s">
        <v>1359</v>
      </c>
      <c r="F1167" t="s">
        <v>1359</v>
      </c>
      <c r="H1167" s="2">
        <v>45653</v>
      </c>
      <c r="I1167" s="1">
        <v>-1213.6600000000001</v>
      </c>
      <c r="J1167" t="s">
        <v>86</v>
      </c>
      <c r="K1167" t="s">
        <v>20</v>
      </c>
      <c r="L1167">
        <v>0</v>
      </c>
      <c r="M1167" t="s">
        <v>86</v>
      </c>
    </row>
    <row r="1168" spans="1:13">
      <c r="A1168" t="s">
        <v>1354</v>
      </c>
      <c r="B1168" t="s">
        <v>1355</v>
      </c>
      <c r="C1168" t="s">
        <v>16</v>
      </c>
      <c r="D1168" t="s">
        <v>21</v>
      </c>
      <c r="E1168" t="s">
        <v>1360</v>
      </c>
      <c r="F1168" t="s">
        <v>1360</v>
      </c>
      <c r="G1168" s="2">
        <v>45618</v>
      </c>
      <c r="H1168" s="2">
        <v>45648</v>
      </c>
      <c r="I1168">
        <v>561.95000000000005</v>
      </c>
      <c r="J1168">
        <v>31.81</v>
      </c>
      <c r="K1168" t="s">
        <v>20</v>
      </c>
      <c r="L1168">
        <v>0</v>
      </c>
      <c r="M1168">
        <v>31.81</v>
      </c>
    </row>
    <row r="1169" spans="1:13">
      <c r="A1169" t="s">
        <v>1354</v>
      </c>
      <c r="B1169" t="s">
        <v>1355</v>
      </c>
      <c r="C1169" t="s">
        <v>16</v>
      </c>
      <c r="D1169" t="s">
        <v>55</v>
      </c>
      <c r="E1169" t="s">
        <v>1360</v>
      </c>
      <c r="F1169" t="s">
        <v>1360</v>
      </c>
      <c r="H1169" s="2">
        <v>45653</v>
      </c>
      <c r="I1169">
        <v>-530.14</v>
      </c>
      <c r="J1169" t="s">
        <v>86</v>
      </c>
      <c r="K1169" t="s">
        <v>20</v>
      </c>
      <c r="L1169">
        <v>0</v>
      </c>
      <c r="M1169" t="s">
        <v>86</v>
      </c>
    </row>
    <row r="1170" spans="1:13">
      <c r="A1170" t="s">
        <v>1361</v>
      </c>
      <c r="B1170" t="s">
        <v>1362</v>
      </c>
      <c r="C1170" t="s">
        <v>16</v>
      </c>
      <c r="D1170" t="s">
        <v>17</v>
      </c>
      <c r="E1170" t="s">
        <v>1363</v>
      </c>
      <c r="F1170" t="s">
        <v>19</v>
      </c>
      <c r="H1170" s="2">
        <v>45380</v>
      </c>
      <c r="I1170">
        <v>-47.84</v>
      </c>
      <c r="J1170">
        <v>-47.84</v>
      </c>
      <c r="K1170" t="s">
        <v>20</v>
      </c>
      <c r="L1170">
        <v>0</v>
      </c>
      <c r="M1170">
        <v>-47.84</v>
      </c>
    </row>
    <row r="1171" spans="1:13">
      <c r="A1171" t="s">
        <v>1361</v>
      </c>
      <c r="B1171" t="s">
        <v>1362</v>
      </c>
      <c r="C1171" t="s">
        <v>16</v>
      </c>
      <c r="D1171" t="s">
        <v>17</v>
      </c>
      <c r="E1171" t="s">
        <v>1364</v>
      </c>
      <c r="F1171" t="s">
        <v>19</v>
      </c>
      <c r="H1171" s="2">
        <v>45382</v>
      </c>
      <c r="I1171">
        <v>-148.5</v>
      </c>
      <c r="J1171">
        <v>-148.5</v>
      </c>
      <c r="K1171" t="s">
        <v>20</v>
      </c>
      <c r="L1171">
        <v>0</v>
      </c>
      <c r="M1171">
        <v>-148.5</v>
      </c>
    </row>
    <row r="1172" spans="1:13">
      <c r="A1172" t="s">
        <v>1365</v>
      </c>
      <c r="B1172" t="s">
        <v>1366</v>
      </c>
      <c r="C1172" t="s">
        <v>213</v>
      </c>
      <c r="D1172" t="s">
        <v>21</v>
      </c>
      <c r="E1172" t="s">
        <v>1367</v>
      </c>
      <c r="F1172" t="s">
        <v>1367</v>
      </c>
      <c r="G1172" s="2">
        <v>45663</v>
      </c>
      <c r="H1172" s="2">
        <v>45663</v>
      </c>
      <c r="I1172">
        <v>160.5</v>
      </c>
      <c r="J1172">
        <v>150</v>
      </c>
      <c r="K1172" t="s">
        <v>20</v>
      </c>
      <c r="L1172">
        <v>0</v>
      </c>
      <c r="M1172">
        <v>150</v>
      </c>
    </row>
    <row r="1173" spans="1:13">
      <c r="A1173" t="s">
        <v>1365</v>
      </c>
      <c r="B1173" t="s">
        <v>1366</v>
      </c>
      <c r="C1173" t="s">
        <v>213</v>
      </c>
      <c r="D1173" t="s">
        <v>17</v>
      </c>
      <c r="E1173" t="s">
        <v>1368</v>
      </c>
      <c r="F1173" t="s">
        <v>1367</v>
      </c>
      <c r="H1173" s="2">
        <v>45688</v>
      </c>
      <c r="I1173">
        <v>-10.5</v>
      </c>
      <c r="J1173" t="s">
        <v>86</v>
      </c>
      <c r="K1173" t="s">
        <v>20</v>
      </c>
      <c r="L1173">
        <v>0</v>
      </c>
      <c r="M1173" t="s">
        <v>86</v>
      </c>
    </row>
    <row r="1174" spans="1:13">
      <c r="A1174" t="s">
        <v>1365</v>
      </c>
      <c r="B1174" t="s">
        <v>1366</v>
      </c>
      <c r="C1174" t="s">
        <v>213</v>
      </c>
      <c r="D1174" t="s">
        <v>21</v>
      </c>
      <c r="E1174" t="s">
        <v>1369</v>
      </c>
      <c r="F1174" t="s">
        <v>1369</v>
      </c>
      <c r="G1174" s="2">
        <v>45670</v>
      </c>
      <c r="H1174" s="2">
        <v>45670</v>
      </c>
      <c r="I1174">
        <v>809.95</v>
      </c>
      <c r="J1174">
        <v>756.96</v>
      </c>
      <c r="K1174" t="s">
        <v>20</v>
      </c>
      <c r="L1174">
        <v>0</v>
      </c>
      <c r="M1174">
        <v>756.96</v>
      </c>
    </row>
    <row r="1175" spans="1:13">
      <c r="A1175" t="s">
        <v>1365</v>
      </c>
      <c r="B1175" t="s">
        <v>1366</v>
      </c>
      <c r="C1175" t="s">
        <v>213</v>
      </c>
      <c r="D1175" t="s">
        <v>17</v>
      </c>
      <c r="E1175" t="s">
        <v>1370</v>
      </c>
      <c r="F1175" t="s">
        <v>1369</v>
      </c>
      <c r="H1175" s="2">
        <v>45688</v>
      </c>
      <c r="I1175">
        <v>-52.99</v>
      </c>
      <c r="J1175" t="s">
        <v>86</v>
      </c>
      <c r="K1175" t="s">
        <v>20</v>
      </c>
      <c r="L1175">
        <v>0</v>
      </c>
      <c r="M1175" t="s">
        <v>86</v>
      </c>
    </row>
    <row r="1176" spans="1:13">
      <c r="A1176" t="s">
        <v>1365</v>
      </c>
      <c r="B1176" t="s">
        <v>1366</v>
      </c>
      <c r="C1176" t="s">
        <v>213</v>
      </c>
      <c r="D1176" t="s">
        <v>17</v>
      </c>
      <c r="E1176" t="s">
        <v>1371</v>
      </c>
      <c r="F1176" t="s">
        <v>19</v>
      </c>
      <c r="H1176" s="2">
        <v>45716</v>
      </c>
      <c r="I1176">
        <v>-25.2</v>
      </c>
      <c r="J1176">
        <v>-25.2</v>
      </c>
      <c r="K1176" t="s">
        <v>20</v>
      </c>
      <c r="L1176">
        <v>0</v>
      </c>
      <c r="M1176">
        <v>-25.2</v>
      </c>
    </row>
    <row r="1177" spans="1:13">
      <c r="A1177" t="s">
        <v>1372</v>
      </c>
      <c r="B1177" t="s">
        <v>1373</v>
      </c>
      <c r="C1177" t="s">
        <v>16</v>
      </c>
      <c r="D1177" t="s">
        <v>17</v>
      </c>
      <c r="E1177" t="s">
        <v>1374</v>
      </c>
      <c r="F1177" t="s">
        <v>19</v>
      </c>
      <c r="H1177" s="2">
        <v>45716</v>
      </c>
      <c r="I1177">
        <v>-53.73</v>
      </c>
      <c r="J1177">
        <v>-53.73</v>
      </c>
      <c r="K1177" t="s">
        <v>20</v>
      </c>
      <c r="L1177">
        <v>0</v>
      </c>
      <c r="M1177">
        <v>-53.73</v>
      </c>
    </row>
    <row r="1178" spans="1:13">
      <c r="A1178" t="s">
        <v>1375</v>
      </c>
      <c r="B1178" t="s">
        <v>1376</v>
      </c>
      <c r="C1178" t="s">
        <v>16</v>
      </c>
      <c r="D1178" t="s">
        <v>55</v>
      </c>
      <c r="E1178" t="s">
        <v>19</v>
      </c>
      <c r="F1178" t="s">
        <v>19</v>
      </c>
      <c r="H1178" s="2">
        <v>45523</v>
      </c>
      <c r="I1178">
        <v>-1</v>
      </c>
      <c r="J1178">
        <v>-1</v>
      </c>
      <c r="K1178" t="s">
        <v>20</v>
      </c>
      <c r="L1178">
        <v>0</v>
      </c>
      <c r="M1178">
        <v>-1</v>
      </c>
    </row>
    <row r="1179" spans="1:13">
      <c r="A1179" t="s">
        <v>1375</v>
      </c>
      <c r="B1179" t="s">
        <v>1376</v>
      </c>
      <c r="C1179" t="s">
        <v>16</v>
      </c>
      <c r="D1179" t="s">
        <v>21</v>
      </c>
      <c r="E1179" t="s">
        <v>1377</v>
      </c>
      <c r="F1179" t="s">
        <v>1377</v>
      </c>
      <c r="G1179" s="2">
        <v>45552</v>
      </c>
      <c r="H1179" s="2">
        <v>45582</v>
      </c>
      <c r="I1179" s="1">
        <v>4472</v>
      </c>
      <c r="J1179">
        <v>4472</v>
      </c>
      <c r="K1179" t="s">
        <v>20</v>
      </c>
      <c r="L1179">
        <v>0</v>
      </c>
      <c r="M1179">
        <v>4472</v>
      </c>
    </row>
    <row r="1180" spans="1:13">
      <c r="A1180" t="s">
        <v>1375</v>
      </c>
      <c r="B1180" t="s">
        <v>1376</v>
      </c>
      <c r="C1180" t="s">
        <v>16</v>
      </c>
      <c r="D1180" t="s">
        <v>21</v>
      </c>
      <c r="E1180" t="s">
        <v>1378</v>
      </c>
      <c r="F1180" t="s">
        <v>1378</v>
      </c>
      <c r="G1180" s="2">
        <v>45554</v>
      </c>
      <c r="H1180" s="2">
        <v>45584</v>
      </c>
      <c r="I1180" s="1">
        <v>2800</v>
      </c>
      <c r="J1180">
        <v>2800</v>
      </c>
      <c r="K1180" t="s">
        <v>20</v>
      </c>
      <c r="L1180">
        <v>0</v>
      </c>
      <c r="M1180">
        <v>2800</v>
      </c>
    </row>
    <row r="1181" spans="1:13">
      <c r="A1181" t="s">
        <v>1375</v>
      </c>
      <c r="B1181" t="s">
        <v>1376</v>
      </c>
      <c r="C1181" t="s">
        <v>16</v>
      </c>
      <c r="D1181" t="s">
        <v>21</v>
      </c>
      <c r="E1181" t="s">
        <v>1379</v>
      </c>
      <c r="F1181" t="s">
        <v>1379</v>
      </c>
      <c r="G1181" s="2">
        <v>45565</v>
      </c>
      <c r="H1181" s="2">
        <v>45595</v>
      </c>
      <c r="I1181" s="1">
        <v>1800</v>
      </c>
      <c r="J1181">
        <v>1800</v>
      </c>
      <c r="K1181" t="s">
        <v>20</v>
      </c>
      <c r="L1181">
        <v>0</v>
      </c>
      <c r="M1181">
        <v>1800</v>
      </c>
    </row>
    <row r="1182" spans="1:13">
      <c r="A1182" t="s">
        <v>1375</v>
      </c>
      <c r="B1182" t="s">
        <v>1376</v>
      </c>
      <c r="C1182" t="s">
        <v>16</v>
      </c>
      <c r="D1182" t="s">
        <v>21</v>
      </c>
      <c r="E1182" t="s">
        <v>1380</v>
      </c>
      <c r="F1182" t="s">
        <v>1380</v>
      </c>
      <c r="G1182" s="2">
        <v>45608</v>
      </c>
      <c r="H1182" s="2">
        <v>45638</v>
      </c>
      <c r="I1182" s="1">
        <v>2290.04</v>
      </c>
      <c r="J1182">
        <v>2290.04</v>
      </c>
      <c r="K1182" t="s">
        <v>20</v>
      </c>
      <c r="L1182">
        <v>0</v>
      </c>
      <c r="M1182">
        <v>2290.04</v>
      </c>
    </row>
    <row r="1183" spans="1:13">
      <c r="A1183" t="s">
        <v>1375</v>
      </c>
      <c r="B1183" t="s">
        <v>1376</v>
      </c>
      <c r="C1183" t="s">
        <v>16</v>
      </c>
      <c r="D1183" t="s">
        <v>21</v>
      </c>
      <c r="E1183" t="s">
        <v>1381</v>
      </c>
      <c r="F1183" t="s">
        <v>1381</v>
      </c>
      <c r="G1183" s="2">
        <v>45652</v>
      </c>
      <c r="H1183" s="2">
        <v>45682</v>
      </c>
      <c r="I1183" s="1">
        <v>9560.2000000000007</v>
      </c>
      <c r="J1183">
        <v>9560.2000000000007</v>
      </c>
      <c r="K1183" t="s">
        <v>20</v>
      </c>
      <c r="L1183">
        <v>0</v>
      </c>
      <c r="M1183">
        <v>9560.2000000000007</v>
      </c>
    </row>
    <row r="1184" spans="1:13">
      <c r="A1184" t="s">
        <v>1382</v>
      </c>
      <c r="B1184" t="s">
        <v>1383</v>
      </c>
      <c r="C1184" t="s">
        <v>213</v>
      </c>
      <c r="D1184" t="s">
        <v>21</v>
      </c>
      <c r="E1184" t="s">
        <v>1384</v>
      </c>
      <c r="F1184" t="s">
        <v>1384</v>
      </c>
      <c r="G1184" s="2">
        <v>45677</v>
      </c>
      <c r="H1184" s="2">
        <v>45677</v>
      </c>
      <c r="I1184">
        <v>520</v>
      </c>
      <c r="J1184">
        <v>520</v>
      </c>
      <c r="K1184" t="s">
        <v>20</v>
      </c>
      <c r="L1184">
        <v>0</v>
      </c>
      <c r="M1184">
        <v>520</v>
      </c>
    </row>
    <row r="1185" spans="1:13">
      <c r="A1185" t="s">
        <v>1382</v>
      </c>
      <c r="B1185" t="s">
        <v>1383</v>
      </c>
      <c r="C1185" t="s">
        <v>213</v>
      </c>
      <c r="D1185" t="s">
        <v>21</v>
      </c>
      <c r="E1185" t="s">
        <v>1385</v>
      </c>
      <c r="F1185" t="s">
        <v>1385</v>
      </c>
      <c r="G1185" s="2">
        <v>45740</v>
      </c>
      <c r="H1185" s="2">
        <v>45740</v>
      </c>
      <c r="I1185" s="1">
        <v>2618.8000000000002</v>
      </c>
      <c r="J1185">
        <v>2618.8000000000002</v>
      </c>
      <c r="K1185" t="s">
        <v>20</v>
      </c>
      <c r="L1185">
        <v>13</v>
      </c>
      <c r="M1185">
        <v>2618.8000000000002</v>
      </c>
    </row>
    <row r="1186" spans="1:13">
      <c r="A1186" t="s">
        <v>1386</v>
      </c>
      <c r="B1186" t="s">
        <v>1387</v>
      </c>
      <c r="C1186" t="s">
        <v>16</v>
      </c>
      <c r="D1186" t="s">
        <v>21</v>
      </c>
      <c r="E1186" t="s">
        <v>1388</v>
      </c>
      <c r="F1186" t="s">
        <v>1388</v>
      </c>
      <c r="G1186" s="2">
        <v>45698</v>
      </c>
      <c r="H1186" s="2">
        <v>45728</v>
      </c>
      <c r="I1186" s="1">
        <v>2956.32</v>
      </c>
      <c r="J1186">
        <v>2956.32</v>
      </c>
      <c r="K1186" t="s">
        <v>20</v>
      </c>
      <c r="L1186">
        <v>11</v>
      </c>
      <c r="M1186">
        <v>2956.32</v>
      </c>
    </row>
    <row r="1187" spans="1:13">
      <c r="A1187" t="s">
        <v>1386</v>
      </c>
      <c r="B1187" t="s">
        <v>1387</v>
      </c>
      <c r="C1187" t="s">
        <v>16</v>
      </c>
      <c r="D1187" t="s">
        <v>21</v>
      </c>
      <c r="E1187" t="s">
        <v>1389</v>
      </c>
      <c r="F1187" t="s">
        <v>1389</v>
      </c>
      <c r="G1187" s="2">
        <v>45719</v>
      </c>
      <c r="H1187" s="2">
        <v>45749</v>
      </c>
      <c r="I1187" s="1">
        <v>9456</v>
      </c>
      <c r="J1187">
        <v>9456</v>
      </c>
      <c r="K1187" t="s">
        <v>20</v>
      </c>
      <c r="L1187">
        <v>0</v>
      </c>
      <c r="M1187">
        <v>0</v>
      </c>
    </row>
    <row r="1188" spans="1:13">
      <c r="A1188" t="s">
        <v>1386</v>
      </c>
      <c r="B1188" t="s">
        <v>1387</v>
      </c>
      <c r="C1188" t="s">
        <v>16</v>
      </c>
      <c r="D1188" t="s">
        <v>21</v>
      </c>
      <c r="E1188" t="s">
        <v>1390</v>
      </c>
      <c r="F1188" t="s">
        <v>1390</v>
      </c>
      <c r="G1188" s="2">
        <v>45740</v>
      </c>
      <c r="H1188" s="2">
        <v>45770</v>
      </c>
      <c r="I1188" s="1">
        <v>5537.25</v>
      </c>
      <c r="J1188">
        <v>5537.25</v>
      </c>
      <c r="K1188" t="s">
        <v>20</v>
      </c>
      <c r="L1188">
        <v>0</v>
      </c>
      <c r="M1188">
        <v>0</v>
      </c>
    </row>
    <row r="1189" spans="1:13">
      <c r="A1189" t="s">
        <v>1391</v>
      </c>
      <c r="B1189" t="s">
        <v>1392</v>
      </c>
      <c r="C1189" t="s">
        <v>16</v>
      </c>
      <c r="D1189" t="s">
        <v>21</v>
      </c>
      <c r="E1189" t="s">
        <v>1393</v>
      </c>
      <c r="F1189" t="s">
        <v>1393</v>
      </c>
      <c r="G1189" s="2">
        <v>45740</v>
      </c>
      <c r="H1189" s="2">
        <v>45770</v>
      </c>
      <c r="I1189" s="1">
        <v>3240</v>
      </c>
      <c r="J1189">
        <v>3240</v>
      </c>
      <c r="K1189" t="s">
        <v>20</v>
      </c>
      <c r="L1189">
        <v>0</v>
      </c>
      <c r="M1189">
        <v>0</v>
      </c>
    </row>
    <row r="1190" spans="1:13">
      <c r="A1190" t="s">
        <v>1394</v>
      </c>
      <c r="B1190" t="s">
        <v>1395</v>
      </c>
      <c r="C1190" t="s">
        <v>16</v>
      </c>
      <c r="D1190" t="s">
        <v>21</v>
      </c>
      <c r="E1190" t="s">
        <v>1396</v>
      </c>
      <c r="F1190" t="s">
        <v>1396</v>
      </c>
      <c r="G1190" s="2">
        <v>45553</v>
      </c>
      <c r="H1190" s="2">
        <v>45583</v>
      </c>
      <c r="I1190" s="1">
        <v>12233.75</v>
      </c>
      <c r="J1190">
        <v>-2038.7</v>
      </c>
      <c r="K1190" t="s">
        <v>20</v>
      </c>
      <c r="L1190">
        <v>0</v>
      </c>
      <c r="M1190">
        <v>-2038.7</v>
      </c>
    </row>
    <row r="1191" spans="1:13">
      <c r="A1191" t="s">
        <v>1394</v>
      </c>
      <c r="B1191" t="s">
        <v>1395</v>
      </c>
      <c r="C1191" t="s">
        <v>16</v>
      </c>
      <c r="D1191" t="s">
        <v>17</v>
      </c>
      <c r="E1191" t="s">
        <v>1397</v>
      </c>
      <c r="F1191" t="s">
        <v>1396</v>
      </c>
      <c r="H1191" s="2">
        <v>45623</v>
      </c>
      <c r="I1191" s="1">
        <v>-2038.7</v>
      </c>
      <c r="J1191" t="s">
        <v>86</v>
      </c>
      <c r="K1191" t="s">
        <v>20</v>
      </c>
      <c r="L1191">
        <v>0</v>
      </c>
      <c r="M1191" t="s">
        <v>86</v>
      </c>
    </row>
    <row r="1192" spans="1:13">
      <c r="A1192" t="s">
        <v>1394</v>
      </c>
      <c r="B1192" t="s">
        <v>1395</v>
      </c>
      <c r="C1192" t="s">
        <v>16</v>
      </c>
      <c r="D1192" t="s">
        <v>55</v>
      </c>
      <c r="E1192" t="s">
        <v>1396</v>
      </c>
      <c r="F1192" t="s">
        <v>1396</v>
      </c>
      <c r="H1192" s="2">
        <v>45587</v>
      </c>
      <c r="I1192" s="1">
        <v>-12233.75</v>
      </c>
      <c r="J1192" t="s">
        <v>86</v>
      </c>
      <c r="K1192" t="s">
        <v>20</v>
      </c>
      <c r="L1192">
        <v>0</v>
      </c>
      <c r="M1192" t="s">
        <v>86</v>
      </c>
    </row>
    <row r="1193" spans="1:13">
      <c r="A1193" t="s">
        <v>1398</v>
      </c>
      <c r="B1193" t="s">
        <v>1399</v>
      </c>
      <c r="C1193" t="s">
        <v>16</v>
      </c>
      <c r="D1193" t="s">
        <v>21</v>
      </c>
      <c r="E1193" t="s">
        <v>1400</v>
      </c>
      <c r="F1193" t="s">
        <v>1400</v>
      </c>
      <c r="G1193" s="2">
        <v>45728</v>
      </c>
      <c r="H1193" s="2">
        <v>45758</v>
      </c>
      <c r="I1193">
        <v>833.6</v>
      </c>
      <c r="J1193">
        <v>833.6</v>
      </c>
      <c r="K1193" t="s">
        <v>20</v>
      </c>
      <c r="L1193">
        <v>0</v>
      </c>
      <c r="M1193">
        <v>0</v>
      </c>
    </row>
    <row r="1194" spans="1:13">
      <c r="A1194" t="s">
        <v>1401</v>
      </c>
      <c r="B1194" t="s">
        <v>1402</v>
      </c>
      <c r="C1194" t="s">
        <v>16</v>
      </c>
      <c r="D1194" t="s">
        <v>21</v>
      </c>
      <c r="E1194" t="s">
        <v>1403</v>
      </c>
      <c r="F1194" t="s">
        <v>1403</v>
      </c>
      <c r="G1194" s="2">
        <v>45350</v>
      </c>
      <c r="H1194" s="2">
        <v>45380</v>
      </c>
      <c r="I1194">
        <v>29.71</v>
      </c>
      <c r="J1194">
        <v>29.71</v>
      </c>
      <c r="K1194" t="s">
        <v>20</v>
      </c>
      <c r="L1194">
        <v>0</v>
      </c>
      <c r="M1194">
        <v>29.71</v>
      </c>
    </row>
    <row r="1195" spans="1:13">
      <c r="A1195" t="s">
        <v>1401</v>
      </c>
      <c r="B1195" t="s">
        <v>1402</v>
      </c>
      <c r="C1195" t="s">
        <v>16</v>
      </c>
      <c r="D1195" t="s">
        <v>21</v>
      </c>
      <c r="E1195" t="s">
        <v>1404</v>
      </c>
      <c r="F1195" t="s">
        <v>1404</v>
      </c>
      <c r="G1195" s="2">
        <v>45730</v>
      </c>
      <c r="H1195" s="2">
        <v>45760</v>
      </c>
      <c r="I1195">
        <v>240</v>
      </c>
      <c r="J1195">
        <v>240</v>
      </c>
      <c r="K1195" t="s">
        <v>20</v>
      </c>
      <c r="L1195">
        <v>0</v>
      </c>
      <c r="M1195">
        <v>0</v>
      </c>
    </row>
    <row r="1196" spans="1:13">
      <c r="A1196" t="s">
        <v>1405</v>
      </c>
      <c r="B1196" t="s">
        <v>1406</v>
      </c>
      <c r="C1196" t="s">
        <v>16</v>
      </c>
      <c r="D1196" t="s">
        <v>21</v>
      </c>
      <c r="E1196" t="s">
        <v>1407</v>
      </c>
      <c r="F1196" t="s">
        <v>1407</v>
      </c>
      <c r="G1196" s="2">
        <v>45708</v>
      </c>
      <c r="H1196" s="2">
        <v>45738</v>
      </c>
      <c r="I1196">
        <v>97.65</v>
      </c>
      <c r="J1196">
        <v>97.65</v>
      </c>
      <c r="K1196" t="s">
        <v>20</v>
      </c>
      <c r="L1196">
        <v>12</v>
      </c>
      <c r="M1196">
        <v>97.65</v>
      </c>
    </row>
    <row r="1197" spans="1:13">
      <c r="A1197" t="s">
        <v>1405</v>
      </c>
      <c r="B1197" t="s">
        <v>1406</v>
      </c>
      <c r="C1197" t="s">
        <v>16</v>
      </c>
      <c r="D1197" t="s">
        <v>21</v>
      </c>
      <c r="E1197" t="s">
        <v>1408</v>
      </c>
      <c r="F1197" t="s">
        <v>1408</v>
      </c>
      <c r="G1197" s="2">
        <v>45720</v>
      </c>
      <c r="H1197" s="2">
        <v>45750</v>
      </c>
      <c r="I1197">
        <v>378.57</v>
      </c>
      <c r="J1197">
        <v>378.57</v>
      </c>
      <c r="K1197" t="s">
        <v>20</v>
      </c>
      <c r="L1197">
        <v>0</v>
      </c>
      <c r="M1197">
        <v>0</v>
      </c>
    </row>
    <row r="1198" spans="1:13">
      <c r="A1198" t="s">
        <v>1409</v>
      </c>
      <c r="B1198" t="s">
        <v>1410</v>
      </c>
      <c r="C1198" t="s">
        <v>1216</v>
      </c>
      <c r="D1198" t="s">
        <v>21</v>
      </c>
      <c r="E1198" t="s">
        <v>1411</v>
      </c>
      <c r="F1198" t="s">
        <v>1411</v>
      </c>
      <c r="G1198" s="2">
        <v>45194</v>
      </c>
      <c r="H1198" s="2">
        <v>45224</v>
      </c>
      <c r="I1198">
        <v>36.229999999999997</v>
      </c>
      <c r="J1198">
        <v>36.229999999999997</v>
      </c>
      <c r="K1198" t="s">
        <v>20</v>
      </c>
      <c r="L1198">
        <v>0</v>
      </c>
      <c r="M1198">
        <v>36.229999999999997</v>
      </c>
    </row>
    <row r="1199" spans="1:13">
      <c r="A1199" t="s">
        <v>1409</v>
      </c>
      <c r="B1199" t="s">
        <v>1410</v>
      </c>
      <c r="C1199" t="s">
        <v>1216</v>
      </c>
      <c r="D1199" t="s">
        <v>21</v>
      </c>
      <c r="E1199" t="s">
        <v>1412</v>
      </c>
      <c r="F1199" t="s">
        <v>1412</v>
      </c>
      <c r="G1199" s="2">
        <v>45210</v>
      </c>
      <c r="H1199" s="2">
        <v>45240</v>
      </c>
      <c r="I1199">
        <v>321.2</v>
      </c>
      <c r="J1199">
        <v>321.2</v>
      </c>
      <c r="K1199" t="s">
        <v>20</v>
      </c>
      <c r="L1199">
        <v>0</v>
      </c>
      <c r="M1199">
        <v>321.2</v>
      </c>
    </row>
    <row r="1200" spans="1:13">
      <c r="A1200" t="s">
        <v>1409</v>
      </c>
      <c r="B1200" t="s">
        <v>1410</v>
      </c>
      <c r="C1200" t="s">
        <v>1216</v>
      </c>
      <c r="D1200" t="s">
        <v>21</v>
      </c>
      <c r="E1200" t="s">
        <v>1413</v>
      </c>
      <c r="F1200" t="s">
        <v>1413</v>
      </c>
      <c r="G1200" s="2">
        <v>45215</v>
      </c>
      <c r="H1200" s="2">
        <v>45245</v>
      </c>
      <c r="I1200" s="1">
        <v>1281.1500000000001</v>
      </c>
      <c r="J1200">
        <v>1281.1500000000001</v>
      </c>
      <c r="K1200" t="s">
        <v>20</v>
      </c>
      <c r="L1200">
        <v>0</v>
      </c>
      <c r="M1200">
        <v>1281.1500000000001</v>
      </c>
    </row>
    <row r="1201" spans="1:13">
      <c r="A1201" t="s">
        <v>1409</v>
      </c>
      <c r="B1201" t="s">
        <v>1410</v>
      </c>
      <c r="C1201" t="s">
        <v>1216</v>
      </c>
      <c r="D1201" t="s">
        <v>21</v>
      </c>
      <c r="E1201" t="s">
        <v>1414</v>
      </c>
      <c r="F1201" t="s">
        <v>1414</v>
      </c>
      <c r="G1201" s="2">
        <v>45568</v>
      </c>
      <c r="H1201" s="2">
        <v>45598</v>
      </c>
      <c r="I1201">
        <v>283.5</v>
      </c>
      <c r="J1201">
        <v>21</v>
      </c>
      <c r="K1201" t="s">
        <v>20</v>
      </c>
      <c r="L1201">
        <v>0</v>
      </c>
      <c r="M1201">
        <v>21</v>
      </c>
    </row>
    <row r="1202" spans="1:13">
      <c r="A1202" t="s">
        <v>1409</v>
      </c>
      <c r="B1202" t="s">
        <v>1410</v>
      </c>
      <c r="C1202" t="s">
        <v>1216</v>
      </c>
      <c r="D1202" t="s">
        <v>55</v>
      </c>
      <c r="E1202" t="s">
        <v>1414</v>
      </c>
      <c r="F1202" t="s">
        <v>1414</v>
      </c>
      <c r="H1202" s="2">
        <v>45672</v>
      </c>
      <c r="I1202">
        <v>-262.5</v>
      </c>
      <c r="J1202" t="s">
        <v>86</v>
      </c>
      <c r="K1202" t="s">
        <v>20</v>
      </c>
      <c r="L1202">
        <v>0</v>
      </c>
      <c r="M1202" t="s">
        <v>86</v>
      </c>
    </row>
    <row r="1203" spans="1:13">
      <c r="A1203" t="s">
        <v>1409</v>
      </c>
      <c r="B1203" t="s">
        <v>1410</v>
      </c>
      <c r="C1203" t="s">
        <v>1216</v>
      </c>
      <c r="D1203" t="s">
        <v>21</v>
      </c>
      <c r="E1203" t="s">
        <v>1415</v>
      </c>
      <c r="F1203" t="s">
        <v>1415</v>
      </c>
      <c r="G1203" s="2">
        <v>45583</v>
      </c>
      <c r="H1203" s="2">
        <v>45613</v>
      </c>
      <c r="I1203" s="1">
        <v>1663.72</v>
      </c>
      <c r="J1203">
        <v>119.67</v>
      </c>
      <c r="K1203" t="s">
        <v>20</v>
      </c>
      <c r="L1203">
        <v>0</v>
      </c>
      <c r="M1203">
        <v>119.67</v>
      </c>
    </row>
    <row r="1204" spans="1:13">
      <c r="A1204" t="s">
        <v>1409</v>
      </c>
      <c r="B1204" t="s">
        <v>1410</v>
      </c>
      <c r="C1204" t="s">
        <v>1216</v>
      </c>
      <c r="D1204" t="s">
        <v>55</v>
      </c>
      <c r="E1204" t="s">
        <v>1415</v>
      </c>
      <c r="F1204" t="s">
        <v>1415</v>
      </c>
      <c r="H1204" s="2">
        <v>45672</v>
      </c>
      <c r="I1204" s="1">
        <v>-1544.05</v>
      </c>
      <c r="J1204" t="s">
        <v>86</v>
      </c>
      <c r="K1204" t="s">
        <v>20</v>
      </c>
      <c r="L1204">
        <v>0</v>
      </c>
      <c r="M1204" t="s">
        <v>86</v>
      </c>
    </row>
    <row r="1205" spans="1:13">
      <c r="A1205" t="s">
        <v>1409</v>
      </c>
      <c r="B1205" t="s">
        <v>1410</v>
      </c>
      <c r="C1205" t="s">
        <v>1216</v>
      </c>
      <c r="D1205" t="s">
        <v>21</v>
      </c>
      <c r="E1205" t="s">
        <v>1416</v>
      </c>
      <c r="F1205" t="s">
        <v>1416</v>
      </c>
      <c r="G1205" s="2">
        <v>45594</v>
      </c>
      <c r="H1205" s="2">
        <v>45624</v>
      </c>
      <c r="I1205" s="1">
        <v>1058.0899999999999</v>
      </c>
      <c r="J1205">
        <v>1058.0899999999999</v>
      </c>
      <c r="K1205" t="s">
        <v>20</v>
      </c>
      <c r="L1205">
        <v>0</v>
      </c>
      <c r="M1205">
        <v>1058.0899999999999</v>
      </c>
    </row>
    <row r="1206" spans="1:13">
      <c r="A1206" t="s">
        <v>1409</v>
      </c>
      <c r="B1206" t="s">
        <v>1410</v>
      </c>
      <c r="C1206" t="s">
        <v>1216</v>
      </c>
      <c r="D1206" t="s">
        <v>55</v>
      </c>
      <c r="E1206" t="s">
        <v>19</v>
      </c>
      <c r="F1206" t="s">
        <v>19</v>
      </c>
      <c r="H1206" s="2">
        <v>45649</v>
      </c>
      <c r="I1206" s="1">
        <v>-1087.93</v>
      </c>
      <c r="J1206">
        <v>-1087.93</v>
      </c>
      <c r="K1206" t="s">
        <v>20</v>
      </c>
      <c r="L1206">
        <v>0</v>
      </c>
      <c r="M1206">
        <v>-1087.93</v>
      </c>
    </row>
    <row r="1207" spans="1:13">
      <c r="A1207" t="s">
        <v>1409</v>
      </c>
      <c r="B1207" t="s">
        <v>1410</v>
      </c>
      <c r="C1207" t="s">
        <v>1216</v>
      </c>
      <c r="D1207" t="s">
        <v>21</v>
      </c>
      <c r="E1207" t="s">
        <v>1417</v>
      </c>
      <c r="F1207" t="s">
        <v>1417</v>
      </c>
      <c r="G1207" s="2">
        <v>45618</v>
      </c>
      <c r="H1207" s="2">
        <v>45708</v>
      </c>
      <c r="I1207">
        <v>350.85</v>
      </c>
      <c r="J1207">
        <v>73.7</v>
      </c>
      <c r="K1207" t="s">
        <v>20</v>
      </c>
      <c r="L1207">
        <v>0</v>
      </c>
      <c r="M1207">
        <v>73.7</v>
      </c>
    </row>
    <row r="1208" spans="1:13">
      <c r="A1208" t="s">
        <v>1409</v>
      </c>
      <c r="B1208" t="s">
        <v>1410</v>
      </c>
      <c r="C1208" t="s">
        <v>1216</v>
      </c>
      <c r="D1208" t="s">
        <v>55</v>
      </c>
      <c r="E1208" t="s">
        <v>1417</v>
      </c>
      <c r="F1208" t="s">
        <v>1417</v>
      </c>
      <c r="H1208" s="2">
        <v>45708</v>
      </c>
      <c r="I1208">
        <v>-277.14999999999998</v>
      </c>
      <c r="J1208" t="s">
        <v>86</v>
      </c>
      <c r="K1208" t="s">
        <v>20</v>
      </c>
      <c r="L1208">
        <v>0</v>
      </c>
      <c r="M1208" t="s">
        <v>86</v>
      </c>
    </row>
    <row r="1209" spans="1:13">
      <c r="A1209" t="s">
        <v>1409</v>
      </c>
      <c r="B1209" t="s">
        <v>1410</v>
      </c>
      <c r="C1209" t="s">
        <v>1216</v>
      </c>
      <c r="D1209" t="s">
        <v>21</v>
      </c>
      <c r="E1209" t="s">
        <v>1418</v>
      </c>
      <c r="F1209" t="s">
        <v>1418</v>
      </c>
      <c r="G1209" s="2">
        <v>45660</v>
      </c>
      <c r="H1209" s="2">
        <v>45750</v>
      </c>
      <c r="I1209" s="1">
        <v>2178.75</v>
      </c>
      <c r="J1209">
        <v>2178.75</v>
      </c>
      <c r="K1209" t="s">
        <v>20</v>
      </c>
      <c r="L1209">
        <v>0</v>
      </c>
      <c r="M1209">
        <v>0</v>
      </c>
    </row>
    <row r="1210" spans="1:13">
      <c r="A1210" t="s">
        <v>1409</v>
      </c>
      <c r="B1210" t="s">
        <v>1410</v>
      </c>
      <c r="C1210" t="s">
        <v>1216</v>
      </c>
      <c r="D1210" t="s">
        <v>21</v>
      </c>
      <c r="E1210" t="s">
        <v>1419</v>
      </c>
      <c r="F1210" t="s">
        <v>1419</v>
      </c>
      <c r="G1210" s="2">
        <v>45699</v>
      </c>
      <c r="H1210" s="2">
        <v>45789</v>
      </c>
      <c r="I1210">
        <v>428.27</v>
      </c>
      <c r="J1210">
        <v>396.54</v>
      </c>
      <c r="K1210" t="s">
        <v>20</v>
      </c>
      <c r="L1210">
        <v>0</v>
      </c>
      <c r="M1210">
        <v>0</v>
      </c>
    </row>
    <row r="1211" spans="1:13">
      <c r="A1211" t="s">
        <v>1409</v>
      </c>
      <c r="B1211" t="s">
        <v>1410</v>
      </c>
      <c r="C1211" t="s">
        <v>1216</v>
      </c>
      <c r="D1211" t="s">
        <v>17</v>
      </c>
      <c r="E1211" t="s">
        <v>1420</v>
      </c>
      <c r="F1211" t="s">
        <v>1419</v>
      </c>
      <c r="H1211" s="2">
        <v>45716</v>
      </c>
      <c r="I1211">
        <v>-34.26</v>
      </c>
      <c r="J1211" t="s">
        <v>86</v>
      </c>
      <c r="K1211" t="s">
        <v>20</v>
      </c>
      <c r="L1211">
        <v>0</v>
      </c>
      <c r="M1211" t="s">
        <v>86</v>
      </c>
    </row>
    <row r="1212" spans="1:13">
      <c r="A1212" t="s">
        <v>1409</v>
      </c>
      <c r="B1212" t="s">
        <v>1410</v>
      </c>
      <c r="C1212" t="s">
        <v>1216</v>
      </c>
      <c r="D1212" t="s">
        <v>17</v>
      </c>
      <c r="E1212" t="s">
        <v>1421</v>
      </c>
      <c r="F1212" t="s">
        <v>1419</v>
      </c>
      <c r="H1212" s="2">
        <v>45716</v>
      </c>
      <c r="I1212">
        <v>-31.73</v>
      </c>
      <c r="J1212" t="s">
        <v>86</v>
      </c>
      <c r="K1212" t="s">
        <v>20</v>
      </c>
      <c r="L1212">
        <v>0</v>
      </c>
      <c r="M1212" t="s">
        <v>86</v>
      </c>
    </row>
    <row r="1213" spans="1:13">
      <c r="A1213" t="s">
        <v>1409</v>
      </c>
      <c r="B1213" t="s">
        <v>1410</v>
      </c>
      <c r="C1213" t="s">
        <v>1216</v>
      </c>
      <c r="D1213" t="s">
        <v>1422</v>
      </c>
      <c r="E1213" t="s">
        <v>1423</v>
      </c>
      <c r="F1213" t="s">
        <v>1419</v>
      </c>
      <c r="G1213" s="2">
        <v>45716</v>
      </c>
      <c r="H1213" s="2">
        <v>45716</v>
      </c>
      <c r="I1213">
        <v>34.26</v>
      </c>
      <c r="J1213" t="s">
        <v>86</v>
      </c>
      <c r="K1213" t="s">
        <v>20</v>
      </c>
      <c r="L1213">
        <v>0</v>
      </c>
      <c r="M1213" t="s">
        <v>86</v>
      </c>
    </row>
    <row r="1214" spans="1:13">
      <c r="A1214" t="s">
        <v>1409</v>
      </c>
      <c r="B1214" t="s">
        <v>1410</v>
      </c>
      <c r="C1214" t="s">
        <v>1216</v>
      </c>
      <c r="D1214" t="s">
        <v>21</v>
      </c>
      <c r="E1214" t="s">
        <v>1424</v>
      </c>
      <c r="F1214" t="s">
        <v>1424</v>
      </c>
      <c r="G1214" s="2">
        <v>45729</v>
      </c>
      <c r="H1214" s="2">
        <v>45819</v>
      </c>
      <c r="I1214">
        <v>974.44</v>
      </c>
      <c r="J1214">
        <v>974.44</v>
      </c>
      <c r="K1214" t="s">
        <v>20</v>
      </c>
      <c r="L1214">
        <v>0</v>
      </c>
      <c r="M1214">
        <v>0</v>
      </c>
    </row>
    <row r="1215" spans="1:13">
      <c r="A1215" t="s">
        <v>1409</v>
      </c>
      <c r="B1215" t="s">
        <v>1410</v>
      </c>
      <c r="C1215" t="s">
        <v>1216</v>
      </c>
      <c r="D1215" t="s">
        <v>21</v>
      </c>
      <c r="E1215" t="s">
        <v>1425</v>
      </c>
      <c r="F1215" t="s">
        <v>1425</v>
      </c>
      <c r="G1215" s="2">
        <v>45729</v>
      </c>
      <c r="H1215" s="2">
        <v>45819</v>
      </c>
      <c r="I1215">
        <v>110.75</v>
      </c>
      <c r="J1215">
        <v>110.75</v>
      </c>
      <c r="K1215" t="s">
        <v>20</v>
      </c>
      <c r="L1215">
        <v>0</v>
      </c>
      <c r="M1215">
        <v>0</v>
      </c>
    </row>
    <row r="1216" spans="1:13">
      <c r="A1216" t="s">
        <v>1409</v>
      </c>
      <c r="B1216" t="s">
        <v>1410</v>
      </c>
      <c r="C1216" t="s">
        <v>1216</v>
      </c>
      <c r="D1216" t="s">
        <v>21</v>
      </c>
      <c r="E1216" t="s">
        <v>1426</v>
      </c>
      <c r="F1216" t="s">
        <v>1426</v>
      </c>
      <c r="G1216" s="2">
        <v>45733</v>
      </c>
      <c r="H1216" s="2">
        <v>45823</v>
      </c>
      <c r="I1216">
        <v>996.03</v>
      </c>
      <c r="J1216">
        <v>996.03</v>
      </c>
      <c r="K1216" t="s">
        <v>20</v>
      </c>
      <c r="L1216">
        <v>0</v>
      </c>
      <c r="M1216">
        <v>0</v>
      </c>
    </row>
    <row r="1217" spans="1:13">
      <c r="A1217" t="s">
        <v>1409</v>
      </c>
      <c r="B1217" t="s">
        <v>1410</v>
      </c>
      <c r="C1217" t="s">
        <v>1216</v>
      </c>
      <c r="D1217" t="s">
        <v>21</v>
      </c>
      <c r="E1217" t="s">
        <v>1427</v>
      </c>
      <c r="F1217" t="s">
        <v>1427</v>
      </c>
      <c r="G1217" s="2">
        <v>45734</v>
      </c>
      <c r="H1217" s="2">
        <v>45824</v>
      </c>
      <c r="I1217">
        <v>119.61</v>
      </c>
      <c r="J1217">
        <v>119.61</v>
      </c>
      <c r="K1217" t="s">
        <v>20</v>
      </c>
      <c r="L1217">
        <v>0</v>
      </c>
      <c r="M1217">
        <v>0</v>
      </c>
    </row>
    <row r="1218" spans="1:13">
      <c r="A1218" t="s">
        <v>1409</v>
      </c>
      <c r="B1218" t="s">
        <v>1410</v>
      </c>
      <c r="C1218" t="s">
        <v>1216</v>
      </c>
      <c r="D1218" t="s">
        <v>21</v>
      </c>
      <c r="E1218" t="s">
        <v>1428</v>
      </c>
      <c r="F1218" t="s">
        <v>1428</v>
      </c>
      <c r="G1218" s="2">
        <v>45735</v>
      </c>
      <c r="H1218" s="2">
        <v>45825</v>
      </c>
      <c r="I1218">
        <v>367.91</v>
      </c>
      <c r="J1218">
        <v>367.91</v>
      </c>
      <c r="K1218" t="s">
        <v>20</v>
      </c>
      <c r="L1218">
        <v>0</v>
      </c>
      <c r="M1218">
        <v>0</v>
      </c>
    </row>
    <row r="1219" spans="1:13">
      <c r="A1219" t="s">
        <v>1429</v>
      </c>
      <c r="B1219" t="s">
        <v>1430</v>
      </c>
      <c r="C1219" t="s">
        <v>16</v>
      </c>
      <c r="D1219" t="s">
        <v>21</v>
      </c>
      <c r="E1219" t="s">
        <v>1431</v>
      </c>
      <c r="F1219" t="s">
        <v>1431</v>
      </c>
      <c r="G1219" s="2">
        <v>45630</v>
      </c>
      <c r="H1219" s="2">
        <v>45660</v>
      </c>
      <c r="I1219" s="1">
        <v>3531</v>
      </c>
      <c r="J1219">
        <v>60</v>
      </c>
      <c r="K1219" t="s">
        <v>20</v>
      </c>
      <c r="L1219">
        <v>0</v>
      </c>
      <c r="M1219">
        <v>60</v>
      </c>
    </row>
    <row r="1220" spans="1:13">
      <c r="A1220" t="s">
        <v>1429</v>
      </c>
      <c r="B1220" t="s">
        <v>1430</v>
      </c>
      <c r="C1220" t="s">
        <v>16</v>
      </c>
      <c r="D1220" t="s">
        <v>17</v>
      </c>
      <c r="E1220" t="s">
        <v>1432</v>
      </c>
      <c r="F1220" t="s">
        <v>1431</v>
      </c>
      <c r="H1220" s="2">
        <v>45715</v>
      </c>
      <c r="I1220">
        <v>-326</v>
      </c>
      <c r="J1220" t="s">
        <v>86</v>
      </c>
      <c r="K1220" t="s">
        <v>20</v>
      </c>
      <c r="L1220">
        <v>0</v>
      </c>
      <c r="M1220" t="s">
        <v>86</v>
      </c>
    </row>
    <row r="1221" spans="1:13">
      <c r="A1221" t="s">
        <v>1429</v>
      </c>
      <c r="B1221" t="s">
        <v>1430</v>
      </c>
      <c r="C1221" t="s">
        <v>16</v>
      </c>
      <c r="D1221" t="s">
        <v>55</v>
      </c>
      <c r="E1221" t="s">
        <v>1431</v>
      </c>
      <c r="F1221" t="s">
        <v>1431</v>
      </c>
      <c r="H1221" s="2">
        <v>45678</v>
      </c>
      <c r="I1221" s="1">
        <v>-3145</v>
      </c>
      <c r="J1221" t="s">
        <v>86</v>
      </c>
      <c r="K1221" t="s">
        <v>20</v>
      </c>
      <c r="L1221">
        <v>0</v>
      </c>
      <c r="M1221" t="s">
        <v>86</v>
      </c>
    </row>
    <row r="1222" spans="1:13">
      <c r="A1222" t="s">
        <v>1429</v>
      </c>
      <c r="B1222" t="s">
        <v>1430</v>
      </c>
      <c r="C1222" t="s">
        <v>16</v>
      </c>
      <c r="D1222" t="s">
        <v>21</v>
      </c>
      <c r="E1222" t="s">
        <v>1433</v>
      </c>
      <c r="F1222" t="s">
        <v>1433</v>
      </c>
      <c r="G1222" s="2">
        <v>45630</v>
      </c>
      <c r="H1222" s="2">
        <v>45660</v>
      </c>
      <c r="I1222" s="1">
        <v>1900</v>
      </c>
      <c r="J1222">
        <v>1900</v>
      </c>
      <c r="K1222" t="s">
        <v>20</v>
      </c>
      <c r="L1222">
        <v>0</v>
      </c>
      <c r="M1222">
        <v>1900</v>
      </c>
    </row>
    <row r="1223" spans="1:13">
      <c r="A1223" t="s">
        <v>1429</v>
      </c>
      <c r="B1223" t="s">
        <v>1430</v>
      </c>
      <c r="C1223" t="s">
        <v>16</v>
      </c>
      <c r="D1223" t="s">
        <v>21</v>
      </c>
      <c r="E1223" t="s">
        <v>1434</v>
      </c>
      <c r="F1223" t="s">
        <v>1434</v>
      </c>
      <c r="G1223" s="2">
        <v>45728</v>
      </c>
      <c r="H1223" s="2">
        <v>45758</v>
      </c>
      <c r="I1223" s="1">
        <v>1261</v>
      </c>
      <c r="J1223">
        <v>1261</v>
      </c>
      <c r="K1223" t="s">
        <v>20</v>
      </c>
      <c r="L1223">
        <v>0</v>
      </c>
      <c r="M1223">
        <v>0</v>
      </c>
    </row>
    <row r="1224" spans="1:13">
      <c r="A1224" t="s">
        <v>1429</v>
      </c>
      <c r="B1224" t="s">
        <v>1430</v>
      </c>
      <c r="C1224" t="s">
        <v>16</v>
      </c>
      <c r="D1224" t="s">
        <v>21</v>
      </c>
      <c r="E1224" t="s">
        <v>1435</v>
      </c>
      <c r="F1224" t="s">
        <v>1435</v>
      </c>
      <c r="G1224" s="2">
        <v>45728</v>
      </c>
      <c r="H1224" s="2">
        <v>45758</v>
      </c>
      <c r="I1224" s="1">
        <v>1100</v>
      </c>
      <c r="J1224">
        <v>1100</v>
      </c>
      <c r="K1224" t="s">
        <v>20</v>
      </c>
      <c r="L1224">
        <v>0</v>
      </c>
      <c r="M1224">
        <v>0</v>
      </c>
    </row>
    <row r="1225" spans="1:13">
      <c r="A1225" t="s">
        <v>1436</v>
      </c>
      <c r="B1225" t="s">
        <v>1437</v>
      </c>
      <c r="C1225" t="s">
        <v>213</v>
      </c>
      <c r="D1225" t="s">
        <v>21</v>
      </c>
      <c r="E1225" t="s">
        <v>1438</v>
      </c>
      <c r="F1225" t="s">
        <v>1438</v>
      </c>
      <c r="G1225" s="2">
        <v>45670</v>
      </c>
      <c r="H1225" s="2">
        <v>45670</v>
      </c>
      <c r="I1225">
        <v>540</v>
      </c>
      <c r="J1225">
        <v>540</v>
      </c>
      <c r="K1225" t="s">
        <v>20</v>
      </c>
      <c r="L1225">
        <v>0</v>
      </c>
      <c r="M1225">
        <v>540</v>
      </c>
    </row>
    <row r="1226" spans="1:13">
      <c r="A1226" t="s">
        <v>1436</v>
      </c>
      <c r="B1226" t="s">
        <v>1437</v>
      </c>
      <c r="C1226" t="s">
        <v>213</v>
      </c>
      <c r="D1226" t="s">
        <v>21</v>
      </c>
      <c r="E1226" t="s">
        <v>1439</v>
      </c>
      <c r="F1226" t="s">
        <v>1439</v>
      </c>
      <c r="G1226" s="2">
        <v>45670</v>
      </c>
      <c r="H1226" s="2">
        <v>45670</v>
      </c>
      <c r="I1226" s="1">
        <v>1986.6</v>
      </c>
      <c r="J1226">
        <v>1986.6</v>
      </c>
      <c r="K1226" t="s">
        <v>20</v>
      </c>
      <c r="L1226">
        <v>0</v>
      </c>
      <c r="M1226">
        <v>1986.6</v>
      </c>
    </row>
    <row r="1227" spans="1:13">
      <c r="A1227" t="s">
        <v>1436</v>
      </c>
      <c r="B1227" t="s">
        <v>1437</v>
      </c>
      <c r="C1227" t="s">
        <v>213</v>
      </c>
      <c r="D1227" t="s">
        <v>21</v>
      </c>
      <c r="E1227" t="s">
        <v>1440</v>
      </c>
      <c r="F1227" t="s">
        <v>1440</v>
      </c>
      <c r="G1227" s="2">
        <v>45670</v>
      </c>
      <c r="H1227" s="2">
        <v>45670</v>
      </c>
      <c r="I1227">
        <v>310</v>
      </c>
      <c r="J1227">
        <v>310</v>
      </c>
      <c r="K1227" t="s">
        <v>20</v>
      </c>
      <c r="L1227">
        <v>0</v>
      </c>
      <c r="M1227">
        <v>310</v>
      </c>
    </row>
    <row r="1228" spans="1:13">
      <c r="A1228" t="s">
        <v>1436</v>
      </c>
      <c r="B1228" t="s">
        <v>1437</v>
      </c>
      <c r="C1228" t="s">
        <v>213</v>
      </c>
      <c r="D1228" t="s">
        <v>21</v>
      </c>
      <c r="E1228" t="s">
        <v>1441</v>
      </c>
      <c r="F1228" t="s">
        <v>1441</v>
      </c>
      <c r="G1228" s="2">
        <v>45679</v>
      </c>
      <c r="H1228" s="2">
        <v>45679</v>
      </c>
      <c r="I1228" s="1">
        <v>3454.56</v>
      </c>
      <c r="J1228">
        <v>3454.56</v>
      </c>
      <c r="K1228" t="s">
        <v>20</v>
      </c>
      <c r="L1228">
        <v>0</v>
      </c>
      <c r="M1228">
        <v>3454.56</v>
      </c>
    </row>
    <row r="1229" spans="1:13">
      <c r="A1229" t="s">
        <v>1442</v>
      </c>
      <c r="B1229" t="s">
        <v>1443</v>
      </c>
      <c r="C1229" t="s">
        <v>16</v>
      </c>
      <c r="D1229" t="s">
        <v>17</v>
      </c>
      <c r="E1229" t="s">
        <v>1444</v>
      </c>
      <c r="F1229" t="s">
        <v>19</v>
      </c>
      <c r="H1229" s="2">
        <v>45413</v>
      </c>
      <c r="I1229" s="1">
        <v>-1172</v>
      </c>
      <c r="J1229">
        <v>-1172</v>
      </c>
      <c r="K1229" t="s">
        <v>20</v>
      </c>
      <c r="L1229">
        <v>0</v>
      </c>
      <c r="M1229">
        <v>-1172</v>
      </c>
    </row>
    <row r="1230" spans="1:13">
      <c r="A1230" t="s">
        <v>1442</v>
      </c>
      <c r="B1230" t="s">
        <v>1443</v>
      </c>
      <c r="C1230" t="s">
        <v>16</v>
      </c>
      <c r="D1230" t="s">
        <v>21</v>
      </c>
      <c r="E1230" t="s">
        <v>1445</v>
      </c>
      <c r="F1230" t="s">
        <v>1445</v>
      </c>
      <c r="G1230" s="2">
        <v>45608</v>
      </c>
      <c r="H1230" s="2">
        <v>45638</v>
      </c>
      <c r="I1230" s="1">
        <v>1112.4000000000001</v>
      </c>
      <c r="J1230">
        <v>1112.4000000000001</v>
      </c>
      <c r="K1230" t="s">
        <v>20</v>
      </c>
      <c r="L1230">
        <v>0</v>
      </c>
      <c r="M1230">
        <v>1112.4000000000001</v>
      </c>
    </row>
    <row r="1231" spans="1:13">
      <c r="A1231" t="s">
        <v>1442</v>
      </c>
      <c r="B1231" t="s">
        <v>1443</v>
      </c>
      <c r="C1231" t="s">
        <v>16</v>
      </c>
      <c r="D1231" t="s">
        <v>21</v>
      </c>
      <c r="E1231" t="s">
        <v>1446</v>
      </c>
      <c r="F1231" t="s">
        <v>1446</v>
      </c>
      <c r="G1231" s="2">
        <v>45657</v>
      </c>
      <c r="H1231" s="2">
        <v>45687</v>
      </c>
      <c r="I1231" s="1">
        <v>5981</v>
      </c>
      <c r="J1231">
        <v>5981</v>
      </c>
      <c r="K1231" t="s">
        <v>20</v>
      </c>
      <c r="L1231">
        <v>0</v>
      </c>
      <c r="M1231">
        <v>5981</v>
      </c>
    </row>
    <row r="1232" spans="1:13">
      <c r="A1232" t="s">
        <v>1447</v>
      </c>
      <c r="B1232" t="s">
        <v>1448</v>
      </c>
      <c r="C1232" t="s">
        <v>213</v>
      </c>
      <c r="D1232" t="s">
        <v>55</v>
      </c>
      <c r="E1232" t="s">
        <v>19</v>
      </c>
      <c r="F1232" t="s">
        <v>19</v>
      </c>
      <c r="H1232" s="2">
        <v>45625</v>
      </c>
      <c r="I1232">
        <v>-32.340000000000003</v>
      </c>
      <c r="J1232">
        <v>-32.340000000000003</v>
      </c>
      <c r="K1232" t="s">
        <v>20</v>
      </c>
      <c r="L1232">
        <v>0</v>
      </c>
      <c r="M1232">
        <v>-32.340000000000003</v>
      </c>
    </row>
    <row r="1233" spans="1:13">
      <c r="A1233" t="s">
        <v>1447</v>
      </c>
      <c r="B1233" t="s">
        <v>1448</v>
      </c>
      <c r="C1233" t="s">
        <v>213</v>
      </c>
      <c r="D1233" t="s">
        <v>21</v>
      </c>
      <c r="E1233" t="s">
        <v>1449</v>
      </c>
      <c r="F1233" t="s">
        <v>1449</v>
      </c>
      <c r="G1233" s="2">
        <v>45663</v>
      </c>
      <c r="H1233" s="2">
        <v>45663</v>
      </c>
      <c r="I1233">
        <v>184.58</v>
      </c>
      <c r="J1233">
        <v>184.58</v>
      </c>
      <c r="K1233" t="s">
        <v>20</v>
      </c>
      <c r="L1233">
        <v>0</v>
      </c>
      <c r="M1233">
        <v>184.58</v>
      </c>
    </row>
    <row r="1234" spans="1:13">
      <c r="A1234" t="s">
        <v>1447</v>
      </c>
      <c r="B1234" t="s">
        <v>1448</v>
      </c>
      <c r="C1234" t="s">
        <v>213</v>
      </c>
      <c r="D1234" t="s">
        <v>17</v>
      </c>
      <c r="E1234" t="s">
        <v>1450</v>
      </c>
      <c r="F1234" t="s">
        <v>19</v>
      </c>
      <c r="H1234" s="2">
        <v>45720</v>
      </c>
      <c r="I1234">
        <v>-32.340000000000003</v>
      </c>
      <c r="J1234">
        <v>-32.340000000000003</v>
      </c>
      <c r="K1234" t="s">
        <v>20</v>
      </c>
      <c r="L1234">
        <v>10</v>
      </c>
      <c r="M1234">
        <v>-32.340000000000003</v>
      </c>
    </row>
    <row r="1235" spans="1:13">
      <c r="A1235" t="s">
        <v>1451</v>
      </c>
      <c r="B1235" t="s">
        <v>1452</v>
      </c>
      <c r="C1235" t="s">
        <v>16</v>
      </c>
      <c r="D1235" t="s">
        <v>21</v>
      </c>
      <c r="E1235" t="s">
        <v>1453</v>
      </c>
      <c r="F1235" t="s">
        <v>1453</v>
      </c>
      <c r="G1235" s="2">
        <v>45581</v>
      </c>
      <c r="H1235" s="2">
        <v>45611</v>
      </c>
      <c r="I1235" s="1">
        <v>1356</v>
      </c>
      <c r="J1235">
        <v>192</v>
      </c>
      <c r="K1235" t="s">
        <v>20</v>
      </c>
      <c r="L1235">
        <v>0</v>
      </c>
      <c r="M1235">
        <v>192</v>
      </c>
    </row>
    <row r="1236" spans="1:13">
      <c r="A1236" t="s">
        <v>1451</v>
      </c>
      <c r="B1236" t="s">
        <v>1452</v>
      </c>
      <c r="C1236" t="s">
        <v>16</v>
      </c>
      <c r="D1236" t="s">
        <v>55</v>
      </c>
      <c r="E1236" t="s">
        <v>1453</v>
      </c>
      <c r="F1236" t="s">
        <v>1453</v>
      </c>
      <c r="H1236" s="2">
        <v>45615</v>
      </c>
      <c r="I1236" s="1">
        <v>-1164</v>
      </c>
      <c r="J1236" t="s">
        <v>86</v>
      </c>
      <c r="K1236" t="s">
        <v>20</v>
      </c>
      <c r="L1236">
        <v>0</v>
      </c>
      <c r="M1236" t="s">
        <v>86</v>
      </c>
    </row>
    <row r="1237" spans="1:13">
      <c r="A1237" t="s">
        <v>1451</v>
      </c>
      <c r="B1237" t="s">
        <v>1452</v>
      </c>
      <c r="C1237" t="s">
        <v>16</v>
      </c>
      <c r="D1237" t="s">
        <v>21</v>
      </c>
      <c r="E1237" t="s">
        <v>1454</v>
      </c>
      <c r="F1237" t="s">
        <v>1454</v>
      </c>
      <c r="G1237" s="2">
        <v>45706</v>
      </c>
      <c r="H1237" s="2">
        <v>45736</v>
      </c>
      <c r="I1237" s="1">
        <v>34670.03</v>
      </c>
      <c r="J1237">
        <v>34670.03</v>
      </c>
      <c r="K1237" t="s">
        <v>20</v>
      </c>
      <c r="L1237">
        <v>12</v>
      </c>
      <c r="M1237">
        <v>34670.03</v>
      </c>
    </row>
    <row r="1238" spans="1:13">
      <c r="A1238" t="s">
        <v>1451</v>
      </c>
      <c r="B1238" t="s">
        <v>1452</v>
      </c>
      <c r="C1238" t="s">
        <v>16</v>
      </c>
      <c r="D1238" t="s">
        <v>21</v>
      </c>
      <c r="E1238" t="s">
        <v>1455</v>
      </c>
      <c r="F1238" t="s">
        <v>1455</v>
      </c>
      <c r="G1238" s="2">
        <v>45707</v>
      </c>
      <c r="H1238" s="2">
        <v>45737</v>
      </c>
      <c r="I1238" s="1">
        <v>3007.6</v>
      </c>
      <c r="J1238">
        <v>3007.6</v>
      </c>
      <c r="K1238" t="s">
        <v>20</v>
      </c>
      <c r="L1238">
        <v>12</v>
      </c>
      <c r="M1238">
        <v>3007.6</v>
      </c>
    </row>
    <row r="1239" spans="1:13">
      <c r="A1239" t="s">
        <v>1451</v>
      </c>
      <c r="B1239" t="s">
        <v>1452</v>
      </c>
      <c r="C1239" t="s">
        <v>16</v>
      </c>
      <c r="D1239" t="s">
        <v>21</v>
      </c>
      <c r="E1239" t="s">
        <v>1456</v>
      </c>
      <c r="F1239" t="s">
        <v>1456</v>
      </c>
      <c r="G1239" s="2">
        <v>45708</v>
      </c>
      <c r="H1239" s="2">
        <v>45738</v>
      </c>
      <c r="I1239" s="1">
        <v>6156.4</v>
      </c>
      <c r="J1239">
        <v>6156.4</v>
      </c>
      <c r="K1239" t="s">
        <v>20</v>
      </c>
      <c r="L1239">
        <v>12</v>
      </c>
      <c r="M1239">
        <v>6156.4</v>
      </c>
    </row>
    <row r="1240" spans="1:13">
      <c r="A1240" t="s">
        <v>1451</v>
      </c>
      <c r="B1240" t="s">
        <v>1452</v>
      </c>
      <c r="C1240" t="s">
        <v>16</v>
      </c>
      <c r="D1240" t="s">
        <v>21</v>
      </c>
      <c r="E1240" t="s">
        <v>1457</v>
      </c>
      <c r="F1240" t="s">
        <v>1457</v>
      </c>
      <c r="G1240" s="2">
        <v>45708</v>
      </c>
      <c r="H1240" s="2">
        <v>45738</v>
      </c>
      <c r="I1240">
        <v>112</v>
      </c>
      <c r="J1240">
        <v>112</v>
      </c>
      <c r="K1240" t="s">
        <v>20</v>
      </c>
      <c r="L1240">
        <v>12</v>
      </c>
      <c r="M1240">
        <v>112</v>
      </c>
    </row>
    <row r="1241" spans="1:13">
      <c r="A1241" t="s">
        <v>1451</v>
      </c>
      <c r="B1241" t="s">
        <v>1452</v>
      </c>
      <c r="C1241" t="s">
        <v>16</v>
      </c>
      <c r="D1241" t="s">
        <v>21</v>
      </c>
      <c r="E1241" t="s">
        <v>1458</v>
      </c>
      <c r="F1241" t="s">
        <v>1458</v>
      </c>
      <c r="G1241" s="2">
        <v>45712</v>
      </c>
      <c r="H1241" s="2">
        <v>45742</v>
      </c>
      <c r="I1241" s="1">
        <v>2370</v>
      </c>
      <c r="J1241">
        <v>2370</v>
      </c>
      <c r="K1241" t="s">
        <v>20</v>
      </c>
      <c r="L1241">
        <v>13</v>
      </c>
      <c r="M1241">
        <v>2370</v>
      </c>
    </row>
    <row r="1242" spans="1:13">
      <c r="A1242" t="s">
        <v>1451</v>
      </c>
      <c r="B1242" t="s">
        <v>1452</v>
      </c>
      <c r="C1242" t="s">
        <v>16</v>
      </c>
      <c r="D1242" t="s">
        <v>21</v>
      </c>
      <c r="E1242" t="s">
        <v>1459</v>
      </c>
      <c r="F1242" t="s">
        <v>1459</v>
      </c>
      <c r="G1242" s="2">
        <v>45713</v>
      </c>
      <c r="H1242" s="2">
        <v>45743</v>
      </c>
      <c r="I1242">
        <v>605.20000000000005</v>
      </c>
      <c r="J1242">
        <v>605.20000000000005</v>
      </c>
      <c r="K1242" t="s">
        <v>20</v>
      </c>
      <c r="L1242">
        <v>13</v>
      </c>
      <c r="M1242">
        <v>605.20000000000005</v>
      </c>
    </row>
    <row r="1243" spans="1:13">
      <c r="A1243" t="s">
        <v>1451</v>
      </c>
      <c r="B1243" t="s">
        <v>1452</v>
      </c>
      <c r="C1243" t="s">
        <v>16</v>
      </c>
      <c r="D1243" t="s">
        <v>21</v>
      </c>
      <c r="E1243" t="s">
        <v>1460</v>
      </c>
      <c r="F1243" t="s">
        <v>1460</v>
      </c>
      <c r="G1243" s="2">
        <v>45722</v>
      </c>
      <c r="H1243" s="2">
        <v>45752</v>
      </c>
      <c r="I1243">
        <v>700</v>
      </c>
      <c r="J1243">
        <v>700</v>
      </c>
      <c r="K1243" t="s">
        <v>20</v>
      </c>
      <c r="L1243">
        <v>0</v>
      </c>
      <c r="M1243">
        <v>0</v>
      </c>
    </row>
    <row r="1244" spans="1:13">
      <c r="A1244" t="s">
        <v>1451</v>
      </c>
      <c r="B1244" t="s">
        <v>1452</v>
      </c>
      <c r="C1244" t="s">
        <v>16</v>
      </c>
      <c r="D1244" t="s">
        <v>21</v>
      </c>
      <c r="E1244" t="s">
        <v>1461</v>
      </c>
      <c r="F1244" t="s">
        <v>1461</v>
      </c>
      <c r="G1244" s="2">
        <v>45728</v>
      </c>
      <c r="H1244" s="2">
        <v>45758</v>
      </c>
      <c r="I1244">
        <v>929.6</v>
      </c>
      <c r="J1244">
        <v>929.6</v>
      </c>
      <c r="K1244" t="s">
        <v>20</v>
      </c>
      <c r="L1244">
        <v>0</v>
      </c>
      <c r="M1244">
        <v>0</v>
      </c>
    </row>
    <row r="1245" spans="1:13">
      <c r="A1245" t="s">
        <v>1451</v>
      </c>
      <c r="B1245" t="s">
        <v>1452</v>
      </c>
      <c r="C1245" t="s">
        <v>16</v>
      </c>
      <c r="D1245" t="s">
        <v>21</v>
      </c>
      <c r="E1245" t="s">
        <v>1462</v>
      </c>
      <c r="F1245" t="s">
        <v>1462</v>
      </c>
      <c r="G1245" s="2">
        <v>45742</v>
      </c>
      <c r="H1245" s="2">
        <v>45772</v>
      </c>
      <c r="I1245" s="1">
        <v>4740</v>
      </c>
      <c r="J1245">
        <v>4740</v>
      </c>
      <c r="K1245" t="s">
        <v>20</v>
      </c>
      <c r="L1245">
        <v>0</v>
      </c>
      <c r="M1245">
        <v>0</v>
      </c>
    </row>
    <row r="1246" spans="1:13">
      <c r="A1246" t="s">
        <v>1463</v>
      </c>
      <c r="B1246" t="s">
        <v>1464</v>
      </c>
      <c r="C1246" t="s">
        <v>16</v>
      </c>
      <c r="D1246" t="s">
        <v>21</v>
      </c>
      <c r="E1246" t="s">
        <v>1465</v>
      </c>
      <c r="F1246" t="s">
        <v>1465</v>
      </c>
      <c r="G1246" s="2">
        <v>45692</v>
      </c>
      <c r="H1246" s="2">
        <v>45722</v>
      </c>
      <c r="I1246" s="1">
        <v>1023.99</v>
      </c>
      <c r="J1246">
        <v>1023.99</v>
      </c>
      <c r="K1246" t="s">
        <v>20</v>
      </c>
      <c r="L1246">
        <v>10</v>
      </c>
      <c r="M1246">
        <v>1023.99</v>
      </c>
    </row>
    <row r="1247" spans="1:13">
      <c r="A1247" t="s">
        <v>1466</v>
      </c>
      <c r="B1247" t="s">
        <v>1467</v>
      </c>
      <c r="C1247" t="s">
        <v>16</v>
      </c>
      <c r="D1247" t="s">
        <v>21</v>
      </c>
      <c r="E1247" t="s">
        <v>1468</v>
      </c>
      <c r="F1247" t="s">
        <v>1468</v>
      </c>
      <c r="G1247" s="2">
        <v>45688</v>
      </c>
      <c r="H1247" s="2">
        <v>45718</v>
      </c>
      <c r="I1247">
        <v>64.5</v>
      </c>
      <c r="J1247">
        <v>60</v>
      </c>
      <c r="K1247" t="s">
        <v>20</v>
      </c>
      <c r="L1247">
        <v>10</v>
      </c>
      <c r="M1247">
        <v>60</v>
      </c>
    </row>
    <row r="1248" spans="1:13">
      <c r="A1248" t="s">
        <v>1466</v>
      </c>
      <c r="B1248" t="s">
        <v>1467</v>
      </c>
      <c r="C1248" t="s">
        <v>16</v>
      </c>
      <c r="D1248" t="s">
        <v>17</v>
      </c>
      <c r="E1248" t="s">
        <v>1469</v>
      </c>
      <c r="F1248" t="s">
        <v>1468</v>
      </c>
      <c r="H1248" s="2">
        <v>45699</v>
      </c>
      <c r="I1248">
        <v>-4.5</v>
      </c>
      <c r="J1248" t="s">
        <v>86</v>
      </c>
      <c r="K1248" t="s">
        <v>20</v>
      </c>
      <c r="L1248">
        <v>0</v>
      </c>
      <c r="M1248" t="s">
        <v>86</v>
      </c>
    </row>
    <row r="1249" spans="1:13">
      <c r="A1249" t="s">
        <v>1466</v>
      </c>
      <c r="B1249" t="s">
        <v>1467</v>
      </c>
      <c r="C1249" t="s">
        <v>16</v>
      </c>
      <c r="D1249" t="s">
        <v>21</v>
      </c>
      <c r="E1249" t="s">
        <v>1470</v>
      </c>
      <c r="F1249" t="s">
        <v>1470</v>
      </c>
      <c r="G1249" s="2">
        <v>45706</v>
      </c>
      <c r="H1249" s="2">
        <v>45736</v>
      </c>
      <c r="I1249">
        <v>60</v>
      </c>
      <c r="J1249">
        <v>60</v>
      </c>
      <c r="K1249" t="s">
        <v>20</v>
      </c>
      <c r="L1249">
        <v>12</v>
      </c>
      <c r="M1249">
        <v>60</v>
      </c>
    </row>
    <row r="1250" spans="1:13">
      <c r="A1250" t="s">
        <v>1466</v>
      </c>
      <c r="B1250" t="s">
        <v>1467</v>
      </c>
      <c r="C1250" t="s">
        <v>16</v>
      </c>
      <c r="D1250" t="s">
        <v>21</v>
      </c>
      <c r="E1250" t="s">
        <v>1471</v>
      </c>
      <c r="F1250" t="s">
        <v>1471</v>
      </c>
      <c r="G1250" s="2">
        <v>45716</v>
      </c>
      <c r="H1250" s="2">
        <v>45746</v>
      </c>
      <c r="I1250">
        <v>64.5</v>
      </c>
      <c r="J1250">
        <v>64.5</v>
      </c>
      <c r="K1250" t="s">
        <v>20</v>
      </c>
      <c r="L1250">
        <v>13</v>
      </c>
      <c r="M1250">
        <v>64.5</v>
      </c>
    </row>
    <row r="1251" spans="1:13">
      <c r="A1251" t="s">
        <v>1466</v>
      </c>
      <c r="B1251" t="s">
        <v>1467</v>
      </c>
      <c r="C1251" t="s">
        <v>16</v>
      </c>
      <c r="D1251" t="s">
        <v>21</v>
      </c>
      <c r="E1251" t="s">
        <v>1472</v>
      </c>
      <c r="F1251" t="s">
        <v>1472</v>
      </c>
      <c r="G1251" s="2">
        <v>45733</v>
      </c>
      <c r="H1251" s="2">
        <v>45763</v>
      </c>
      <c r="I1251">
        <v>141</v>
      </c>
      <c r="J1251">
        <v>141</v>
      </c>
      <c r="K1251" t="s">
        <v>20</v>
      </c>
      <c r="L1251">
        <v>0</v>
      </c>
      <c r="M1251">
        <v>0</v>
      </c>
    </row>
    <row r="1252" spans="1:13">
      <c r="A1252" t="s">
        <v>1473</v>
      </c>
      <c r="B1252" t="s">
        <v>1474</v>
      </c>
      <c r="C1252" t="s">
        <v>16</v>
      </c>
      <c r="D1252" t="s">
        <v>21</v>
      </c>
      <c r="E1252" t="s">
        <v>1475</v>
      </c>
      <c r="F1252" t="s">
        <v>1475</v>
      </c>
      <c r="G1252" s="2">
        <v>45565</v>
      </c>
      <c r="H1252" s="2">
        <v>45595</v>
      </c>
      <c r="I1252" s="1">
        <v>21611.33</v>
      </c>
      <c r="J1252">
        <v>2126.4699999999998</v>
      </c>
      <c r="K1252" t="s">
        <v>20</v>
      </c>
      <c r="L1252">
        <v>0</v>
      </c>
      <c r="M1252">
        <v>2126.4699999999998</v>
      </c>
    </row>
    <row r="1253" spans="1:13">
      <c r="A1253" t="s">
        <v>1473</v>
      </c>
      <c r="B1253" t="s">
        <v>1474</v>
      </c>
      <c r="C1253" t="s">
        <v>16</v>
      </c>
      <c r="D1253" t="s">
        <v>55</v>
      </c>
      <c r="E1253" t="s">
        <v>1475</v>
      </c>
      <c r="F1253" t="s">
        <v>1475</v>
      </c>
      <c r="H1253" s="2">
        <v>45630</v>
      </c>
      <c r="I1253" s="1">
        <v>-19484.86</v>
      </c>
      <c r="J1253" t="s">
        <v>86</v>
      </c>
      <c r="K1253" t="s">
        <v>20</v>
      </c>
      <c r="L1253">
        <v>0</v>
      </c>
      <c r="M1253" t="s">
        <v>86</v>
      </c>
    </row>
    <row r="1254" spans="1:13">
      <c r="A1254" t="s">
        <v>1473</v>
      </c>
      <c r="B1254" t="s">
        <v>1474</v>
      </c>
      <c r="C1254" t="s">
        <v>16</v>
      </c>
      <c r="D1254" t="s">
        <v>55</v>
      </c>
      <c r="E1254" t="s">
        <v>19</v>
      </c>
      <c r="F1254" t="s">
        <v>19</v>
      </c>
      <c r="H1254" s="2">
        <v>45630</v>
      </c>
      <c r="I1254" s="1">
        <v>-1802.85</v>
      </c>
      <c r="J1254">
        <v>-1802.85</v>
      </c>
      <c r="K1254" t="s">
        <v>20</v>
      </c>
      <c r="L1254">
        <v>0</v>
      </c>
      <c r="M1254">
        <v>-1802.85</v>
      </c>
    </row>
    <row r="1255" spans="1:13">
      <c r="A1255" t="s">
        <v>1473</v>
      </c>
      <c r="B1255" t="s">
        <v>1474</v>
      </c>
      <c r="C1255" t="s">
        <v>16</v>
      </c>
      <c r="D1255" t="s">
        <v>21</v>
      </c>
      <c r="E1255" t="s">
        <v>1476</v>
      </c>
      <c r="F1255" t="s">
        <v>1476</v>
      </c>
      <c r="G1255" s="2">
        <v>45727</v>
      </c>
      <c r="H1255" s="2">
        <v>45757</v>
      </c>
      <c r="I1255">
        <v>483</v>
      </c>
      <c r="J1255">
        <v>483</v>
      </c>
      <c r="K1255" t="s">
        <v>20</v>
      </c>
      <c r="L1255">
        <v>0</v>
      </c>
      <c r="M1255">
        <v>0</v>
      </c>
    </row>
    <row r="1256" spans="1:13">
      <c r="A1256" t="s">
        <v>1477</v>
      </c>
      <c r="B1256" t="s">
        <v>1478</v>
      </c>
      <c r="C1256" t="s">
        <v>16</v>
      </c>
      <c r="D1256" t="s">
        <v>21</v>
      </c>
      <c r="E1256" t="s">
        <v>1479</v>
      </c>
      <c r="F1256" t="s">
        <v>1479</v>
      </c>
      <c r="G1256" s="2">
        <v>45587</v>
      </c>
      <c r="H1256" s="2">
        <v>45617</v>
      </c>
      <c r="I1256">
        <v>51.48</v>
      </c>
      <c r="J1256">
        <v>51.48</v>
      </c>
      <c r="K1256" t="s">
        <v>20</v>
      </c>
      <c r="L1256">
        <v>0</v>
      </c>
      <c r="M1256">
        <v>51.48</v>
      </c>
    </row>
    <row r="1257" spans="1:13">
      <c r="A1257" t="s">
        <v>1477</v>
      </c>
      <c r="B1257" t="s">
        <v>1478</v>
      </c>
      <c r="C1257" t="s">
        <v>16</v>
      </c>
      <c r="D1257" t="s">
        <v>21</v>
      </c>
      <c r="E1257" t="s">
        <v>1480</v>
      </c>
      <c r="F1257" t="s">
        <v>1480</v>
      </c>
      <c r="G1257" s="2">
        <v>45587</v>
      </c>
      <c r="H1257" s="2">
        <v>45617</v>
      </c>
      <c r="I1257">
        <v>51.48</v>
      </c>
      <c r="J1257">
        <v>51.48</v>
      </c>
      <c r="K1257" t="s">
        <v>20</v>
      </c>
      <c r="L1257">
        <v>0</v>
      </c>
      <c r="M1257">
        <v>51.48</v>
      </c>
    </row>
    <row r="1258" spans="1:13">
      <c r="A1258" t="s">
        <v>1477</v>
      </c>
      <c r="B1258" t="s">
        <v>1478</v>
      </c>
      <c r="C1258" t="s">
        <v>16</v>
      </c>
      <c r="D1258" t="s">
        <v>21</v>
      </c>
      <c r="E1258" t="s">
        <v>1481</v>
      </c>
      <c r="F1258" t="s">
        <v>1481</v>
      </c>
      <c r="G1258" s="2">
        <v>45716</v>
      </c>
      <c r="H1258" s="2">
        <v>45746</v>
      </c>
      <c r="I1258">
        <v>94.94</v>
      </c>
      <c r="J1258">
        <v>94.94</v>
      </c>
      <c r="K1258" t="s">
        <v>20</v>
      </c>
      <c r="L1258">
        <v>13</v>
      </c>
      <c r="M1258">
        <v>94.94</v>
      </c>
    </row>
    <row r="1259" spans="1:13">
      <c r="A1259" t="s">
        <v>1482</v>
      </c>
      <c r="B1259" t="s">
        <v>1483</v>
      </c>
      <c r="C1259" t="s">
        <v>213</v>
      </c>
      <c r="D1259" t="s">
        <v>17</v>
      </c>
      <c r="E1259" t="s">
        <v>1484</v>
      </c>
      <c r="F1259" t="s">
        <v>19</v>
      </c>
      <c r="H1259" s="2">
        <v>45443</v>
      </c>
      <c r="I1259">
        <v>-14.41</v>
      </c>
      <c r="J1259">
        <v>-14.41</v>
      </c>
      <c r="K1259" t="s">
        <v>20</v>
      </c>
      <c r="L1259">
        <v>0</v>
      </c>
      <c r="M1259">
        <v>-14.41</v>
      </c>
    </row>
    <row r="1260" spans="1:13">
      <c r="A1260" t="s">
        <v>1485</v>
      </c>
      <c r="B1260" t="s">
        <v>1486</v>
      </c>
      <c r="C1260" t="s">
        <v>16</v>
      </c>
      <c r="D1260" t="s">
        <v>21</v>
      </c>
      <c r="E1260" t="s">
        <v>1487</v>
      </c>
      <c r="F1260" t="s">
        <v>1487</v>
      </c>
      <c r="G1260" s="2">
        <v>45386</v>
      </c>
      <c r="H1260" s="2">
        <v>45416</v>
      </c>
      <c r="I1260">
        <v>882</v>
      </c>
      <c r="J1260">
        <v>882</v>
      </c>
      <c r="K1260" t="s">
        <v>20</v>
      </c>
      <c r="L1260">
        <v>0</v>
      </c>
      <c r="M1260">
        <v>882</v>
      </c>
    </row>
    <row r="1261" spans="1:13">
      <c r="A1261" t="s">
        <v>1488</v>
      </c>
      <c r="B1261" t="s">
        <v>1489</v>
      </c>
      <c r="C1261" t="s">
        <v>16</v>
      </c>
      <c r="D1261" t="s">
        <v>21</v>
      </c>
      <c r="E1261" t="s">
        <v>1490</v>
      </c>
      <c r="F1261" t="s">
        <v>1490</v>
      </c>
      <c r="G1261" s="2">
        <v>45737</v>
      </c>
      <c r="H1261" s="2">
        <v>45767</v>
      </c>
      <c r="I1261" s="1">
        <v>1175</v>
      </c>
      <c r="J1261">
        <v>1175</v>
      </c>
      <c r="K1261" t="s">
        <v>20</v>
      </c>
      <c r="L1261">
        <v>0</v>
      </c>
      <c r="M1261">
        <v>0</v>
      </c>
    </row>
    <row r="1262" spans="1:13">
      <c r="A1262" t="s">
        <v>1488</v>
      </c>
      <c r="B1262" t="s">
        <v>1489</v>
      </c>
      <c r="C1262" t="s">
        <v>16</v>
      </c>
      <c r="D1262" t="s">
        <v>21</v>
      </c>
      <c r="E1262" t="s">
        <v>1491</v>
      </c>
      <c r="F1262" t="s">
        <v>1491</v>
      </c>
      <c r="G1262" s="2">
        <v>45737</v>
      </c>
      <c r="H1262" s="2">
        <v>45767</v>
      </c>
      <c r="I1262" s="1">
        <v>1175</v>
      </c>
      <c r="J1262">
        <v>1175</v>
      </c>
      <c r="K1262" t="s">
        <v>20</v>
      </c>
      <c r="L1262">
        <v>0</v>
      </c>
      <c r="M1262">
        <v>0</v>
      </c>
    </row>
    <row r="1263" spans="1:13">
      <c r="A1263" t="s">
        <v>1488</v>
      </c>
      <c r="B1263" t="s">
        <v>1489</v>
      </c>
      <c r="C1263" t="s">
        <v>16</v>
      </c>
      <c r="D1263" t="s">
        <v>21</v>
      </c>
      <c r="E1263" t="s">
        <v>1492</v>
      </c>
      <c r="F1263" t="s">
        <v>1492</v>
      </c>
      <c r="G1263" s="2">
        <v>45737</v>
      </c>
      <c r="H1263" s="2">
        <v>45767</v>
      </c>
      <c r="I1263" s="1">
        <v>1175</v>
      </c>
      <c r="J1263">
        <v>1175</v>
      </c>
      <c r="K1263" t="s">
        <v>20</v>
      </c>
      <c r="L1263">
        <v>0</v>
      </c>
      <c r="M1263">
        <v>0</v>
      </c>
    </row>
    <row r="1264" spans="1:13">
      <c r="A1264" t="s">
        <v>1488</v>
      </c>
      <c r="B1264" t="s">
        <v>1489</v>
      </c>
      <c r="C1264" t="s">
        <v>16</v>
      </c>
      <c r="D1264" t="s">
        <v>21</v>
      </c>
      <c r="E1264" t="s">
        <v>1493</v>
      </c>
      <c r="F1264" t="s">
        <v>1493</v>
      </c>
      <c r="G1264" s="2">
        <v>45737</v>
      </c>
      <c r="H1264" s="2">
        <v>45767</v>
      </c>
      <c r="I1264" s="1">
        <v>1355</v>
      </c>
      <c r="J1264">
        <v>1355</v>
      </c>
      <c r="K1264" t="s">
        <v>20</v>
      </c>
      <c r="L1264">
        <v>0</v>
      </c>
      <c r="M1264">
        <v>0</v>
      </c>
    </row>
    <row r="1265" spans="1:13">
      <c r="A1265" t="s">
        <v>1494</v>
      </c>
      <c r="B1265" t="s">
        <v>1495</v>
      </c>
      <c r="C1265" t="s">
        <v>213</v>
      </c>
      <c r="D1265" t="s">
        <v>21</v>
      </c>
      <c r="E1265" t="s">
        <v>1496</v>
      </c>
      <c r="F1265" t="s">
        <v>1496</v>
      </c>
      <c r="G1265" s="2">
        <v>45741</v>
      </c>
      <c r="H1265" s="2">
        <v>45741</v>
      </c>
      <c r="I1265">
        <v>763.08</v>
      </c>
      <c r="J1265">
        <v>763.08</v>
      </c>
      <c r="K1265" t="s">
        <v>20</v>
      </c>
      <c r="L1265">
        <v>13</v>
      </c>
      <c r="M1265">
        <v>763.08</v>
      </c>
    </row>
    <row r="1266" spans="1:13">
      <c r="A1266" t="s">
        <v>1497</v>
      </c>
      <c r="B1266" t="s">
        <v>1498</v>
      </c>
      <c r="C1266" t="s">
        <v>16</v>
      </c>
      <c r="D1266" t="s">
        <v>21</v>
      </c>
      <c r="E1266" t="s">
        <v>1499</v>
      </c>
      <c r="F1266" t="s">
        <v>1499</v>
      </c>
      <c r="G1266" s="2">
        <v>45362</v>
      </c>
      <c r="H1266" s="2">
        <v>45392</v>
      </c>
      <c r="I1266">
        <v>24.37</v>
      </c>
      <c r="J1266">
        <v>24.37</v>
      </c>
      <c r="K1266" t="s">
        <v>20</v>
      </c>
      <c r="L1266">
        <v>0</v>
      </c>
      <c r="M1266">
        <v>24.37</v>
      </c>
    </row>
    <row r="1267" spans="1:13">
      <c r="A1267" t="s">
        <v>1497</v>
      </c>
      <c r="B1267" t="s">
        <v>1498</v>
      </c>
      <c r="C1267" t="s">
        <v>16</v>
      </c>
      <c r="D1267" t="s">
        <v>21</v>
      </c>
      <c r="E1267" t="s">
        <v>1500</v>
      </c>
      <c r="F1267" t="s">
        <v>1500</v>
      </c>
      <c r="G1267" s="2">
        <v>45572</v>
      </c>
      <c r="H1267" s="2">
        <v>45602</v>
      </c>
      <c r="I1267">
        <v>397.36</v>
      </c>
      <c r="J1267">
        <v>397.36</v>
      </c>
      <c r="K1267" t="s">
        <v>20</v>
      </c>
      <c r="L1267">
        <v>0</v>
      </c>
      <c r="M1267">
        <v>397.36</v>
      </c>
    </row>
    <row r="1268" spans="1:13">
      <c r="A1268" t="s">
        <v>1501</v>
      </c>
      <c r="B1268" t="s">
        <v>1502</v>
      </c>
      <c r="C1268" t="s">
        <v>213</v>
      </c>
      <c r="D1268" t="s">
        <v>55</v>
      </c>
      <c r="E1268" t="s">
        <v>19</v>
      </c>
      <c r="F1268" t="s">
        <v>19</v>
      </c>
      <c r="H1268" s="2">
        <v>45499</v>
      </c>
      <c r="I1268">
        <v>-316.68</v>
      </c>
      <c r="J1268">
        <v>-316.68</v>
      </c>
      <c r="K1268" t="s">
        <v>20</v>
      </c>
      <c r="L1268">
        <v>0</v>
      </c>
      <c r="M1268">
        <v>-316.68</v>
      </c>
    </row>
    <row r="1269" spans="1:13">
      <c r="A1269" t="s">
        <v>1503</v>
      </c>
      <c r="B1269" t="s">
        <v>1504</v>
      </c>
      <c r="C1269" t="s">
        <v>16</v>
      </c>
      <c r="D1269" t="s">
        <v>21</v>
      </c>
      <c r="E1269" t="s">
        <v>1505</v>
      </c>
      <c r="F1269" t="s">
        <v>1505</v>
      </c>
      <c r="G1269" s="2">
        <v>45496</v>
      </c>
      <c r="H1269" s="2">
        <v>45526</v>
      </c>
      <c r="I1269" s="1">
        <v>1505.05</v>
      </c>
      <c r="J1269">
        <v>1505.05</v>
      </c>
      <c r="K1269" t="s">
        <v>20</v>
      </c>
      <c r="L1269">
        <v>0</v>
      </c>
      <c r="M1269">
        <v>1505.05</v>
      </c>
    </row>
    <row r="1270" spans="1:13">
      <c r="A1270" t="s">
        <v>1506</v>
      </c>
      <c r="B1270" t="s">
        <v>1507</v>
      </c>
      <c r="C1270" t="s">
        <v>213</v>
      </c>
      <c r="D1270" t="s">
        <v>21</v>
      </c>
      <c r="E1270" t="s">
        <v>1508</v>
      </c>
      <c r="F1270" t="s">
        <v>1508</v>
      </c>
      <c r="G1270" s="2">
        <v>45590</v>
      </c>
      <c r="H1270" s="2">
        <v>45590</v>
      </c>
      <c r="I1270">
        <v>178</v>
      </c>
      <c r="J1270">
        <v>178</v>
      </c>
      <c r="K1270" t="s">
        <v>20</v>
      </c>
      <c r="L1270">
        <v>0</v>
      </c>
      <c r="M1270">
        <v>178</v>
      </c>
    </row>
    <row r="1271" spans="1:13">
      <c r="A1271" t="s">
        <v>1509</v>
      </c>
      <c r="B1271" t="s">
        <v>1510</v>
      </c>
      <c r="C1271" t="s">
        <v>16</v>
      </c>
      <c r="D1271" t="s">
        <v>21</v>
      </c>
      <c r="E1271" t="s">
        <v>1511</v>
      </c>
      <c r="F1271" t="s">
        <v>1511</v>
      </c>
      <c r="G1271" s="2">
        <v>45686</v>
      </c>
      <c r="H1271" s="2">
        <v>45716</v>
      </c>
      <c r="I1271" s="1">
        <v>27280.799999999999</v>
      </c>
      <c r="J1271">
        <v>27280.799999999999</v>
      </c>
      <c r="K1271" t="s">
        <v>20</v>
      </c>
      <c r="L1271">
        <v>0</v>
      </c>
      <c r="M1271">
        <v>27280.799999999999</v>
      </c>
    </row>
    <row r="1272" spans="1:13">
      <c r="A1272" t="s">
        <v>1509</v>
      </c>
      <c r="B1272" t="s">
        <v>1510</v>
      </c>
      <c r="C1272" t="s">
        <v>16</v>
      </c>
      <c r="D1272" t="s">
        <v>21</v>
      </c>
      <c r="E1272" t="s">
        <v>1512</v>
      </c>
      <c r="F1272" t="s">
        <v>1512</v>
      </c>
      <c r="G1272" s="2">
        <v>45693</v>
      </c>
      <c r="H1272" s="2">
        <v>45723</v>
      </c>
      <c r="I1272" s="1">
        <v>37962</v>
      </c>
      <c r="J1272">
        <v>26733</v>
      </c>
      <c r="K1272" t="s">
        <v>20</v>
      </c>
      <c r="L1272">
        <v>10</v>
      </c>
      <c r="M1272">
        <v>26733</v>
      </c>
    </row>
    <row r="1273" spans="1:13">
      <c r="A1273" t="s">
        <v>1509</v>
      </c>
      <c r="B1273" t="s">
        <v>1510</v>
      </c>
      <c r="C1273" t="s">
        <v>16</v>
      </c>
      <c r="D1273" t="s">
        <v>17</v>
      </c>
      <c r="E1273" t="s">
        <v>1513</v>
      </c>
      <c r="F1273" t="s">
        <v>1512</v>
      </c>
      <c r="H1273" s="2">
        <v>45735</v>
      </c>
      <c r="I1273" s="1">
        <v>-2610.6</v>
      </c>
      <c r="J1273" t="s">
        <v>86</v>
      </c>
      <c r="K1273" t="s">
        <v>20</v>
      </c>
      <c r="L1273">
        <v>12</v>
      </c>
      <c r="M1273" t="s">
        <v>86</v>
      </c>
    </row>
    <row r="1274" spans="1:13">
      <c r="A1274" t="s">
        <v>1509</v>
      </c>
      <c r="B1274" t="s">
        <v>1510</v>
      </c>
      <c r="C1274" t="s">
        <v>16</v>
      </c>
      <c r="D1274" t="s">
        <v>55</v>
      </c>
      <c r="E1274" t="s">
        <v>1512</v>
      </c>
      <c r="F1274" t="s">
        <v>1512</v>
      </c>
      <c r="H1274" s="2">
        <v>45720</v>
      </c>
      <c r="I1274" s="1">
        <v>-8618.4</v>
      </c>
      <c r="J1274" t="s">
        <v>86</v>
      </c>
      <c r="K1274" t="s">
        <v>20</v>
      </c>
      <c r="L1274">
        <v>10</v>
      </c>
      <c r="M1274" t="s">
        <v>86</v>
      </c>
    </row>
    <row r="1275" spans="1:13">
      <c r="A1275" t="s">
        <v>1509</v>
      </c>
      <c r="B1275" t="s">
        <v>1510</v>
      </c>
      <c r="C1275" t="s">
        <v>16</v>
      </c>
      <c r="D1275" t="s">
        <v>21</v>
      </c>
      <c r="E1275" t="s">
        <v>1514</v>
      </c>
      <c r="F1275" t="s">
        <v>1514</v>
      </c>
      <c r="G1275" s="2">
        <v>45695</v>
      </c>
      <c r="H1275" s="2">
        <v>45725</v>
      </c>
      <c r="I1275" s="1">
        <v>3156</v>
      </c>
      <c r="J1275">
        <v>3156</v>
      </c>
      <c r="K1275" t="s">
        <v>20</v>
      </c>
      <c r="L1275">
        <v>11</v>
      </c>
      <c r="M1275">
        <v>3156</v>
      </c>
    </row>
    <row r="1276" spans="1:13">
      <c r="A1276" t="s">
        <v>1509</v>
      </c>
      <c r="B1276" t="s">
        <v>1510</v>
      </c>
      <c r="C1276" t="s">
        <v>16</v>
      </c>
      <c r="D1276" t="s">
        <v>21</v>
      </c>
      <c r="E1276" t="s">
        <v>1515</v>
      </c>
      <c r="F1276" t="s">
        <v>1515</v>
      </c>
      <c r="G1276" s="2">
        <v>45699</v>
      </c>
      <c r="H1276" s="2">
        <v>45729</v>
      </c>
      <c r="I1276" s="1">
        <v>9000</v>
      </c>
      <c r="J1276">
        <v>9000</v>
      </c>
      <c r="K1276" t="s">
        <v>20</v>
      </c>
      <c r="L1276">
        <v>11</v>
      </c>
      <c r="M1276">
        <v>9000</v>
      </c>
    </row>
    <row r="1277" spans="1:13">
      <c r="A1277" t="s">
        <v>1509</v>
      </c>
      <c r="B1277" t="s">
        <v>1510</v>
      </c>
      <c r="C1277" t="s">
        <v>16</v>
      </c>
      <c r="D1277" t="s">
        <v>21</v>
      </c>
      <c r="E1277" t="s">
        <v>1516</v>
      </c>
      <c r="F1277" t="s">
        <v>1516</v>
      </c>
      <c r="G1277" s="2">
        <v>45700</v>
      </c>
      <c r="H1277" s="2">
        <v>45730</v>
      </c>
      <c r="I1277" s="1">
        <v>13493</v>
      </c>
      <c r="J1277">
        <v>13493</v>
      </c>
      <c r="K1277" t="s">
        <v>20</v>
      </c>
      <c r="L1277">
        <v>11</v>
      </c>
      <c r="M1277">
        <v>13493</v>
      </c>
    </row>
    <row r="1278" spans="1:13">
      <c r="A1278" t="s">
        <v>1509</v>
      </c>
      <c r="B1278" t="s">
        <v>1510</v>
      </c>
      <c r="C1278" t="s">
        <v>16</v>
      </c>
      <c r="D1278" t="s">
        <v>21</v>
      </c>
      <c r="E1278" t="s">
        <v>1517</v>
      </c>
      <c r="F1278" t="s">
        <v>1517</v>
      </c>
      <c r="G1278" s="2">
        <v>45701</v>
      </c>
      <c r="H1278" s="2">
        <v>45731</v>
      </c>
      <c r="I1278" s="1">
        <v>2496</v>
      </c>
      <c r="J1278">
        <v>2496</v>
      </c>
      <c r="K1278" t="s">
        <v>20</v>
      </c>
      <c r="L1278">
        <v>11</v>
      </c>
      <c r="M1278">
        <v>2496</v>
      </c>
    </row>
    <row r="1279" spans="1:13">
      <c r="A1279" t="s">
        <v>1509</v>
      </c>
      <c r="B1279" t="s">
        <v>1510</v>
      </c>
      <c r="C1279" t="s">
        <v>16</v>
      </c>
      <c r="D1279" t="s">
        <v>21</v>
      </c>
      <c r="E1279" t="s">
        <v>1518</v>
      </c>
      <c r="F1279" t="s">
        <v>1518</v>
      </c>
      <c r="G1279" s="2">
        <v>45705</v>
      </c>
      <c r="H1279" s="2">
        <v>45735</v>
      </c>
      <c r="I1279" s="1">
        <v>20530.560000000001</v>
      </c>
      <c r="J1279">
        <v>20530.560000000001</v>
      </c>
      <c r="K1279" t="s">
        <v>20</v>
      </c>
      <c r="L1279">
        <v>12</v>
      </c>
      <c r="M1279">
        <v>20530.560000000001</v>
      </c>
    </row>
    <row r="1280" spans="1:13">
      <c r="A1280" t="s">
        <v>1509</v>
      </c>
      <c r="B1280" t="s">
        <v>1510</v>
      </c>
      <c r="C1280" t="s">
        <v>16</v>
      </c>
      <c r="D1280" t="s">
        <v>21</v>
      </c>
      <c r="E1280" t="s">
        <v>1519</v>
      </c>
      <c r="F1280" t="s">
        <v>1519</v>
      </c>
      <c r="G1280" s="2">
        <v>45705</v>
      </c>
      <c r="H1280" s="2">
        <v>45735</v>
      </c>
      <c r="I1280" s="1">
        <v>17279.04</v>
      </c>
      <c r="J1280">
        <v>17279.04</v>
      </c>
      <c r="K1280" t="s">
        <v>20</v>
      </c>
      <c r="L1280">
        <v>12</v>
      </c>
      <c r="M1280">
        <v>17279.04</v>
      </c>
    </row>
    <row r="1281" spans="1:13">
      <c r="A1281" t="s">
        <v>1509</v>
      </c>
      <c r="B1281" t="s">
        <v>1510</v>
      </c>
      <c r="C1281" t="s">
        <v>16</v>
      </c>
      <c r="D1281" t="s">
        <v>21</v>
      </c>
      <c r="E1281" t="s">
        <v>1520</v>
      </c>
      <c r="F1281" t="s">
        <v>1520</v>
      </c>
      <c r="G1281" s="2">
        <v>45715</v>
      </c>
      <c r="H1281" s="2">
        <v>45745</v>
      </c>
      <c r="I1281" s="1">
        <v>11227.14</v>
      </c>
      <c r="J1281">
        <v>11227.14</v>
      </c>
      <c r="K1281" t="s">
        <v>20</v>
      </c>
      <c r="L1281">
        <v>13</v>
      </c>
      <c r="M1281">
        <v>11227.14</v>
      </c>
    </row>
    <row r="1282" spans="1:13">
      <c r="A1282" t="s">
        <v>1509</v>
      </c>
      <c r="B1282" t="s">
        <v>1510</v>
      </c>
      <c r="C1282" t="s">
        <v>16</v>
      </c>
      <c r="D1282" t="s">
        <v>21</v>
      </c>
      <c r="E1282" t="s">
        <v>1521</v>
      </c>
      <c r="F1282" t="s">
        <v>1521</v>
      </c>
      <c r="G1282" s="2">
        <v>45715</v>
      </c>
      <c r="H1282" s="2">
        <v>45745</v>
      </c>
      <c r="I1282" s="1">
        <v>23079</v>
      </c>
      <c r="J1282">
        <v>23079</v>
      </c>
      <c r="K1282" t="s">
        <v>20</v>
      </c>
      <c r="L1282">
        <v>13</v>
      </c>
      <c r="M1282">
        <v>23079</v>
      </c>
    </row>
    <row r="1283" spans="1:13">
      <c r="A1283" t="s">
        <v>1509</v>
      </c>
      <c r="B1283" t="s">
        <v>1510</v>
      </c>
      <c r="C1283" t="s">
        <v>16</v>
      </c>
      <c r="D1283" t="s">
        <v>21</v>
      </c>
      <c r="E1283" t="s">
        <v>1522</v>
      </c>
      <c r="F1283" t="s">
        <v>1522</v>
      </c>
      <c r="G1283" s="2">
        <v>45715</v>
      </c>
      <c r="H1283" s="2">
        <v>45745</v>
      </c>
      <c r="I1283" s="1">
        <v>17034</v>
      </c>
      <c r="J1283">
        <v>17034</v>
      </c>
      <c r="K1283" t="s">
        <v>20</v>
      </c>
      <c r="L1283">
        <v>13</v>
      </c>
      <c r="M1283">
        <v>17034</v>
      </c>
    </row>
    <row r="1284" spans="1:13">
      <c r="A1284" t="s">
        <v>1509</v>
      </c>
      <c r="B1284" t="s">
        <v>1510</v>
      </c>
      <c r="C1284" t="s">
        <v>16</v>
      </c>
      <c r="D1284" t="s">
        <v>21</v>
      </c>
      <c r="E1284" t="s">
        <v>1523</v>
      </c>
      <c r="F1284" t="s">
        <v>1523</v>
      </c>
      <c r="G1284" s="2">
        <v>45715</v>
      </c>
      <c r="H1284" s="2">
        <v>45745</v>
      </c>
      <c r="I1284" s="1">
        <v>1491.24</v>
      </c>
      <c r="J1284">
        <v>1121.32</v>
      </c>
      <c r="K1284" t="s">
        <v>20</v>
      </c>
      <c r="L1284">
        <v>13</v>
      </c>
      <c r="M1284">
        <v>1121.32</v>
      </c>
    </row>
    <row r="1285" spans="1:13">
      <c r="A1285" t="s">
        <v>1509</v>
      </c>
      <c r="B1285" t="s">
        <v>1510</v>
      </c>
      <c r="C1285" t="s">
        <v>16</v>
      </c>
      <c r="D1285" t="s">
        <v>17</v>
      </c>
      <c r="E1285" t="s">
        <v>1524</v>
      </c>
      <c r="F1285" t="s">
        <v>1523</v>
      </c>
      <c r="H1285" s="2">
        <v>45735</v>
      </c>
      <c r="I1285">
        <v>-369.92</v>
      </c>
      <c r="J1285" t="s">
        <v>86</v>
      </c>
      <c r="K1285" t="s">
        <v>20</v>
      </c>
      <c r="L1285">
        <v>12</v>
      </c>
      <c r="M1285" t="s">
        <v>86</v>
      </c>
    </row>
    <row r="1286" spans="1:13">
      <c r="A1286" t="s">
        <v>1509</v>
      </c>
      <c r="B1286" t="s">
        <v>1510</v>
      </c>
      <c r="C1286" t="s">
        <v>16</v>
      </c>
      <c r="D1286" t="s">
        <v>21</v>
      </c>
      <c r="E1286" t="s">
        <v>1525</v>
      </c>
      <c r="F1286" t="s">
        <v>1525</v>
      </c>
      <c r="G1286" s="2">
        <v>45715</v>
      </c>
      <c r="H1286" s="2">
        <v>45745</v>
      </c>
      <c r="I1286" s="1">
        <v>3436.38</v>
      </c>
      <c r="J1286">
        <v>3436.38</v>
      </c>
      <c r="K1286" t="s">
        <v>20</v>
      </c>
      <c r="L1286">
        <v>13</v>
      </c>
      <c r="M1286">
        <v>3436.38</v>
      </c>
    </row>
    <row r="1287" spans="1:13">
      <c r="A1287" t="s">
        <v>1509</v>
      </c>
      <c r="B1287" t="s">
        <v>1510</v>
      </c>
      <c r="C1287" t="s">
        <v>16</v>
      </c>
      <c r="D1287" t="s">
        <v>21</v>
      </c>
      <c r="E1287" t="s">
        <v>1526</v>
      </c>
      <c r="F1287" t="s">
        <v>1526</v>
      </c>
      <c r="G1287" s="2">
        <v>45716</v>
      </c>
      <c r="H1287" s="2">
        <v>45746</v>
      </c>
      <c r="I1287" s="1">
        <v>2500</v>
      </c>
      <c r="J1287">
        <v>2500</v>
      </c>
      <c r="K1287" t="s">
        <v>20</v>
      </c>
      <c r="L1287">
        <v>13</v>
      </c>
      <c r="M1287">
        <v>2500</v>
      </c>
    </row>
    <row r="1288" spans="1:13">
      <c r="A1288" t="s">
        <v>1509</v>
      </c>
      <c r="B1288" t="s">
        <v>1510</v>
      </c>
      <c r="C1288" t="s">
        <v>16</v>
      </c>
      <c r="D1288" t="s">
        <v>21</v>
      </c>
      <c r="E1288" t="s">
        <v>1527</v>
      </c>
      <c r="F1288" t="s">
        <v>1527</v>
      </c>
      <c r="G1288" s="2">
        <v>45716</v>
      </c>
      <c r="H1288" s="2">
        <v>45746</v>
      </c>
      <c r="I1288">
        <v>130</v>
      </c>
      <c r="J1288">
        <v>130</v>
      </c>
      <c r="K1288" t="s">
        <v>20</v>
      </c>
      <c r="L1288">
        <v>13</v>
      </c>
      <c r="M1288">
        <v>130</v>
      </c>
    </row>
    <row r="1289" spans="1:13">
      <c r="A1289" t="s">
        <v>1509</v>
      </c>
      <c r="B1289" t="s">
        <v>1510</v>
      </c>
      <c r="C1289" t="s">
        <v>16</v>
      </c>
      <c r="D1289" t="s">
        <v>21</v>
      </c>
      <c r="E1289" t="s">
        <v>1528</v>
      </c>
      <c r="F1289" t="s">
        <v>1528</v>
      </c>
      <c r="G1289" s="2">
        <v>45716</v>
      </c>
      <c r="H1289" s="2">
        <v>45746</v>
      </c>
      <c r="I1289">
        <v>924.96</v>
      </c>
      <c r="J1289">
        <v>924.96</v>
      </c>
      <c r="K1289" t="s">
        <v>20</v>
      </c>
      <c r="L1289">
        <v>13</v>
      </c>
      <c r="M1289">
        <v>924.96</v>
      </c>
    </row>
    <row r="1290" spans="1:13">
      <c r="A1290" t="s">
        <v>1509</v>
      </c>
      <c r="B1290" t="s">
        <v>1510</v>
      </c>
      <c r="C1290" t="s">
        <v>16</v>
      </c>
      <c r="D1290" t="s">
        <v>21</v>
      </c>
      <c r="E1290" t="s">
        <v>1529</v>
      </c>
      <c r="F1290" t="s">
        <v>1529</v>
      </c>
      <c r="G1290" s="2">
        <v>45721</v>
      </c>
      <c r="H1290" s="2">
        <v>45751</v>
      </c>
      <c r="I1290" s="1">
        <v>12960</v>
      </c>
      <c r="J1290">
        <v>12960</v>
      </c>
      <c r="K1290" t="s">
        <v>20</v>
      </c>
      <c r="L1290">
        <v>0</v>
      </c>
      <c r="M1290">
        <v>0</v>
      </c>
    </row>
    <row r="1291" spans="1:13">
      <c r="A1291" t="s">
        <v>1509</v>
      </c>
      <c r="B1291" t="s">
        <v>1510</v>
      </c>
      <c r="C1291" t="s">
        <v>16</v>
      </c>
      <c r="D1291" t="s">
        <v>21</v>
      </c>
      <c r="E1291" t="s">
        <v>1530</v>
      </c>
      <c r="F1291" t="s">
        <v>1530</v>
      </c>
      <c r="G1291" s="2">
        <v>45723</v>
      </c>
      <c r="H1291" s="2">
        <v>45753</v>
      </c>
      <c r="I1291" s="1">
        <v>3096.84</v>
      </c>
      <c r="J1291">
        <v>3096.84</v>
      </c>
      <c r="K1291" t="s">
        <v>20</v>
      </c>
      <c r="L1291">
        <v>0</v>
      </c>
      <c r="M1291">
        <v>0</v>
      </c>
    </row>
    <row r="1292" spans="1:13">
      <c r="A1292" t="s">
        <v>1509</v>
      </c>
      <c r="B1292" t="s">
        <v>1510</v>
      </c>
      <c r="C1292" t="s">
        <v>16</v>
      </c>
      <c r="D1292" t="s">
        <v>21</v>
      </c>
      <c r="E1292" t="s">
        <v>1531</v>
      </c>
      <c r="F1292" t="s">
        <v>1531</v>
      </c>
      <c r="G1292" s="2">
        <v>45723</v>
      </c>
      <c r="H1292" s="2">
        <v>45753</v>
      </c>
      <c r="I1292">
        <v>875</v>
      </c>
      <c r="J1292">
        <v>875</v>
      </c>
      <c r="K1292" t="s">
        <v>20</v>
      </c>
      <c r="L1292">
        <v>0</v>
      </c>
      <c r="M1292">
        <v>0</v>
      </c>
    </row>
    <row r="1293" spans="1:13">
      <c r="A1293" t="s">
        <v>1509</v>
      </c>
      <c r="B1293" t="s">
        <v>1510</v>
      </c>
      <c r="C1293" t="s">
        <v>16</v>
      </c>
      <c r="D1293" t="s">
        <v>21</v>
      </c>
      <c r="E1293" t="s">
        <v>1532</v>
      </c>
      <c r="F1293" t="s">
        <v>1532</v>
      </c>
      <c r="G1293" s="2">
        <v>45730</v>
      </c>
      <c r="H1293" s="2">
        <v>45760</v>
      </c>
      <c r="I1293" s="1">
        <v>75000</v>
      </c>
      <c r="J1293">
        <v>75000</v>
      </c>
      <c r="K1293" t="s">
        <v>20</v>
      </c>
      <c r="L1293">
        <v>0</v>
      </c>
      <c r="M1293">
        <v>0</v>
      </c>
    </row>
    <row r="1294" spans="1:13">
      <c r="A1294" t="s">
        <v>1509</v>
      </c>
      <c r="B1294" t="s">
        <v>1510</v>
      </c>
      <c r="C1294" t="s">
        <v>16</v>
      </c>
      <c r="D1294" t="s">
        <v>21</v>
      </c>
      <c r="E1294" t="s">
        <v>1533</v>
      </c>
      <c r="F1294" t="s">
        <v>1533</v>
      </c>
      <c r="G1294" s="2">
        <v>45730</v>
      </c>
      <c r="H1294" s="2">
        <v>45760</v>
      </c>
      <c r="I1294" s="1">
        <v>4419.6000000000004</v>
      </c>
      <c r="J1294">
        <v>4419.6000000000004</v>
      </c>
      <c r="K1294" t="s">
        <v>20</v>
      </c>
      <c r="L1294">
        <v>0</v>
      </c>
      <c r="M1294">
        <v>0</v>
      </c>
    </row>
    <row r="1295" spans="1:13">
      <c r="A1295" t="s">
        <v>1509</v>
      </c>
      <c r="B1295" t="s">
        <v>1510</v>
      </c>
      <c r="C1295" t="s">
        <v>16</v>
      </c>
      <c r="D1295" t="s">
        <v>21</v>
      </c>
      <c r="E1295" t="s">
        <v>1534</v>
      </c>
      <c r="F1295" t="s">
        <v>1534</v>
      </c>
      <c r="G1295" s="2">
        <v>45734</v>
      </c>
      <c r="H1295" s="2">
        <v>45764</v>
      </c>
      <c r="I1295" s="1">
        <v>9475.2000000000007</v>
      </c>
      <c r="J1295">
        <v>9475.2000000000007</v>
      </c>
      <c r="K1295" t="s">
        <v>20</v>
      </c>
      <c r="L1295">
        <v>0</v>
      </c>
      <c r="M1295">
        <v>0</v>
      </c>
    </row>
    <row r="1296" spans="1:13">
      <c r="A1296" t="s">
        <v>1509</v>
      </c>
      <c r="B1296" t="s">
        <v>1510</v>
      </c>
      <c r="C1296" t="s">
        <v>16</v>
      </c>
      <c r="D1296" t="s">
        <v>21</v>
      </c>
      <c r="E1296" t="s">
        <v>1535</v>
      </c>
      <c r="F1296" t="s">
        <v>1535</v>
      </c>
      <c r="G1296" s="2">
        <v>45734</v>
      </c>
      <c r="H1296" s="2">
        <v>45764</v>
      </c>
      <c r="I1296" s="1">
        <v>9475.2000000000007</v>
      </c>
      <c r="J1296">
        <v>9475.2000000000007</v>
      </c>
      <c r="K1296" t="s">
        <v>20</v>
      </c>
      <c r="L1296">
        <v>0</v>
      </c>
      <c r="M1296">
        <v>0</v>
      </c>
    </row>
    <row r="1297" spans="1:13">
      <c r="A1297" t="s">
        <v>1509</v>
      </c>
      <c r="B1297" t="s">
        <v>1510</v>
      </c>
      <c r="C1297" t="s">
        <v>16</v>
      </c>
      <c r="D1297" t="s">
        <v>21</v>
      </c>
      <c r="E1297" t="s">
        <v>1536</v>
      </c>
      <c r="F1297" t="s">
        <v>1536</v>
      </c>
      <c r="G1297" s="2">
        <v>45734</v>
      </c>
      <c r="H1297" s="2">
        <v>45764</v>
      </c>
      <c r="I1297" s="1">
        <v>6292.56</v>
      </c>
      <c r="J1297">
        <v>6292.56</v>
      </c>
      <c r="K1297" t="s">
        <v>20</v>
      </c>
      <c r="L1297">
        <v>0</v>
      </c>
      <c r="M1297">
        <v>0</v>
      </c>
    </row>
    <row r="1298" spans="1:13">
      <c r="A1298" t="s">
        <v>1509</v>
      </c>
      <c r="B1298" t="s">
        <v>1510</v>
      </c>
      <c r="C1298" t="s">
        <v>16</v>
      </c>
      <c r="D1298" t="s">
        <v>21</v>
      </c>
      <c r="E1298" t="s">
        <v>1537</v>
      </c>
      <c r="F1298" t="s">
        <v>1537</v>
      </c>
      <c r="G1298" s="2">
        <v>45734</v>
      </c>
      <c r="H1298" s="2">
        <v>45764</v>
      </c>
      <c r="I1298" s="1">
        <v>9336.06</v>
      </c>
      <c r="J1298">
        <v>9336.06</v>
      </c>
      <c r="K1298" t="s">
        <v>20</v>
      </c>
      <c r="L1298">
        <v>0</v>
      </c>
      <c r="M1298">
        <v>0</v>
      </c>
    </row>
    <row r="1299" spans="1:13">
      <c r="A1299" t="s">
        <v>1509</v>
      </c>
      <c r="B1299" t="s">
        <v>1510</v>
      </c>
      <c r="C1299" t="s">
        <v>16</v>
      </c>
      <c r="D1299" t="s">
        <v>21</v>
      </c>
      <c r="E1299" t="s">
        <v>1538</v>
      </c>
      <c r="F1299" t="s">
        <v>1538</v>
      </c>
      <c r="G1299" s="2">
        <v>45735</v>
      </c>
      <c r="H1299" s="2">
        <v>45765</v>
      </c>
      <c r="I1299" s="1">
        <v>18576</v>
      </c>
      <c r="J1299">
        <v>18576</v>
      </c>
      <c r="K1299" t="s">
        <v>20</v>
      </c>
      <c r="L1299">
        <v>0</v>
      </c>
      <c r="M1299">
        <v>0</v>
      </c>
    </row>
    <row r="1300" spans="1:13">
      <c r="A1300" t="s">
        <v>1509</v>
      </c>
      <c r="B1300" t="s">
        <v>1510</v>
      </c>
      <c r="C1300" t="s">
        <v>16</v>
      </c>
      <c r="D1300" t="s">
        <v>21</v>
      </c>
      <c r="E1300" t="s">
        <v>1539</v>
      </c>
      <c r="F1300" t="s">
        <v>1539</v>
      </c>
      <c r="G1300" s="2">
        <v>45736</v>
      </c>
      <c r="H1300" s="2">
        <v>45766</v>
      </c>
      <c r="I1300" s="1">
        <v>4071.48</v>
      </c>
      <c r="J1300">
        <v>4071.48</v>
      </c>
      <c r="K1300" t="s">
        <v>20</v>
      </c>
      <c r="L1300">
        <v>0</v>
      </c>
      <c r="M1300">
        <v>0</v>
      </c>
    </row>
    <row r="1301" spans="1:13">
      <c r="A1301" t="s">
        <v>1509</v>
      </c>
      <c r="B1301" t="s">
        <v>1510</v>
      </c>
      <c r="C1301" t="s">
        <v>16</v>
      </c>
      <c r="D1301" t="s">
        <v>21</v>
      </c>
      <c r="E1301" t="s">
        <v>1540</v>
      </c>
      <c r="F1301" t="s">
        <v>1540</v>
      </c>
      <c r="G1301" s="2">
        <v>45740</v>
      </c>
      <c r="H1301" s="2">
        <v>45770</v>
      </c>
      <c r="I1301" s="1">
        <v>2935</v>
      </c>
      <c r="J1301">
        <v>2935</v>
      </c>
      <c r="K1301" t="s">
        <v>20</v>
      </c>
      <c r="L1301">
        <v>0</v>
      </c>
      <c r="M1301">
        <v>0</v>
      </c>
    </row>
    <row r="1302" spans="1:13">
      <c r="A1302" t="s">
        <v>1509</v>
      </c>
      <c r="B1302" t="s">
        <v>1510</v>
      </c>
      <c r="C1302" t="s">
        <v>16</v>
      </c>
      <c r="D1302" t="s">
        <v>21</v>
      </c>
      <c r="E1302" t="s">
        <v>1541</v>
      </c>
      <c r="F1302" t="s">
        <v>1541</v>
      </c>
      <c r="G1302" s="2">
        <v>45742</v>
      </c>
      <c r="H1302" s="2">
        <v>45772</v>
      </c>
      <c r="I1302">
        <v>78.72</v>
      </c>
      <c r="J1302">
        <v>78.72</v>
      </c>
      <c r="K1302" t="s">
        <v>20</v>
      </c>
      <c r="L1302">
        <v>0</v>
      </c>
      <c r="M1302">
        <v>0</v>
      </c>
    </row>
    <row r="1303" spans="1:13">
      <c r="A1303" t="s">
        <v>1509</v>
      </c>
      <c r="B1303" t="s">
        <v>1510</v>
      </c>
      <c r="C1303" t="s">
        <v>16</v>
      </c>
      <c r="D1303" t="s">
        <v>21</v>
      </c>
      <c r="E1303" t="s">
        <v>1542</v>
      </c>
      <c r="F1303" t="s">
        <v>1542</v>
      </c>
      <c r="G1303" s="2">
        <v>45742</v>
      </c>
      <c r="H1303" s="2">
        <v>45772</v>
      </c>
      <c r="I1303">
        <v>10.48</v>
      </c>
      <c r="J1303">
        <v>10.48</v>
      </c>
      <c r="K1303" t="s">
        <v>20</v>
      </c>
      <c r="L1303">
        <v>0</v>
      </c>
      <c r="M1303">
        <v>0</v>
      </c>
    </row>
    <row r="1304" spans="1:13">
      <c r="A1304" t="s">
        <v>1509</v>
      </c>
      <c r="B1304" t="s">
        <v>1510</v>
      </c>
      <c r="C1304" t="s">
        <v>16</v>
      </c>
      <c r="D1304" t="s">
        <v>21</v>
      </c>
      <c r="E1304" t="s">
        <v>1543</v>
      </c>
      <c r="F1304" t="s">
        <v>1543</v>
      </c>
      <c r="G1304" s="2">
        <v>45743</v>
      </c>
      <c r="H1304" s="2">
        <v>45773</v>
      </c>
      <c r="I1304">
        <v>15.3</v>
      </c>
      <c r="J1304">
        <v>15.3</v>
      </c>
      <c r="K1304" t="s">
        <v>20</v>
      </c>
      <c r="L1304">
        <v>0</v>
      </c>
      <c r="M1304">
        <v>0</v>
      </c>
    </row>
    <row r="1305" spans="1:13">
      <c r="A1305" t="s">
        <v>1509</v>
      </c>
      <c r="B1305" t="s">
        <v>1510</v>
      </c>
      <c r="C1305" t="s">
        <v>16</v>
      </c>
      <c r="D1305" t="s">
        <v>21</v>
      </c>
      <c r="E1305" t="s">
        <v>1544</v>
      </c>
      <c r="F1305" t="s">
        <v>1544</v>
      </c>
      <c r="G1305" s="2">
        <v>45743</v>
      </c>
      <c r="H1305" s="2">
        <v>45773</v>
      </c>
      <c r="I1305">
        <v>439.28</v>
      </c>
      <c r="J1305">
        <v>439.28</v>
      </c>
      <c r="K1305" t="s">
        <v>20</v>
      </c>
      <c r="L1305">
        <v>0</v>
      </c>
      <c r="M1305">
        <v>0</v>
      </c>
    </row>
    <row r="1306" spans="1:13">
      <c r="A1306" t="s">
        <v>1545</v>
      </c>
      <c r="B1306" t="s">
        <v>1546</v>
      </c>
      <c r="C1306" t="s">
        <v>16</v>
      </c>
      <c r="D1306" t="s">
        <v>21</v>
      </c>
      <c r="E1306" t="s">
        <v>1547</v>
      </c>
      <c r="F1306" t="s">
        <v>1547</v>
      </c>
      <c r="G1306" s="2">
        <v>45686</v>
      </c>
      <c r="H1306" s="2">
        <v>45716</v>
      </c>
      <c r="I1306" s="1">
        <v>1710</v>
      </c>
      <c r="J1306">
        <v>1710</v>
      </c>
      <c r="K1306" t="s">
        <v>20</v>
      </c>
      <c r="L1306">
        <v>0</v>
      </c>
      <c r="M1306">
        <v>1710</v>
      </c>
    </row>
    <row r="1307" spans="1:13">
      <c r="A1307" t="s">
        <v>1545</v>
      </c>
      <c r="B1307" t="s">
        <v>1546</v>
      </c>
      <c r="C1307" t="s">
        <v>16</v>
      </c>
      <c r="D1307" t="s">
        <v>21</v>
      </c>
      <c r="E1307" t="s">
        <v>1548</v>
      </c>
      <c r="F1307" t="s">
        <v>1548</v>
      </c>
      <c r="G1307" s="2">
        <v>45687</v>
      </c>
      <c r="H1307" s="2">
        <v>45717</v>
      </c>
      <c r="I1307">
        <v>6</v>
      </c>
      <c r="J1307">
        <v>6</v>
      </c>
      <c r="K1307" t="s">
        <v>20</v>
      </c>
      <c r="L1307">
        <v>10</v>
      </c>
      <c r="M1307">
        <v>6</v>
      </c>
    </row>
    <row r="1308" spans="1:13">
      <c r="A1308" t="s">
        <v>1545</v>
      </c>
      <c r="B1308" t="s">
        <v>1546</v>
      </c>
      <c r="C1308" t="s">
        <v>16</v>
      </c>
      <c r="D1308" t="s">
        <v>21</v>
      </c>
      <c r="E1308" t="s">
        <v>1549</v>
      </c>
      <c r="F1308" t="s">
        <v>1549</v>
      </c>
      <c r="G1308" s="2">
        <v>45695</v>
      </c>
      <c r="H1308" s="2">
        <v>45725</v>
      </c>
      <c r="I1308" s="1">
        <v>6943</v>
      </c>
      <c r="J1308">
        <v>6943</v>
      </c>
      <c r="K1308" t="s">
        <v>20</v>
      </c>
      <c r="L1308">
        <v>11</v>
      </c>
      <c r="M1308">
        <v>6943</v>
      </c>
    </row>
    <row r="1309" spans="1:13">
      <c r="A1309" t="s">
        <v>1545</v>
      </c>
      <c r="B1309" t="s">
        <v>1546</v>
      </c>
      <c r="C1309" t="s">
        <v>16</v>
      </c>
      <c r="D1309" t="s">
        <v>21</v>
      </c>
      <c r="E1309" t="s">
        <v>1550</v>
      </c>
      <c r="F1309" t="s">
        <v>1550</v>
      </c>
      <c r="G1309" s="2">
        <v>45708</v>
      </c>
      <c r="H1309" s="2">
        <v>45738</v>
      </c>
      <c r="I1309">
        <v>459.6</v>
      </c>
      <c r="J1309">
        <v>459.6</v>
      </c>
      <c r="K1309" t="s">
        <v>20</v>
      </c>
      <c r="L1309">
        <v>12</v>
      </c>
      <c r="M1309">
        <v>459.6</v>
      </c>
    </row>
    <row r="1310" spans="1:13">
      <c r="A1310" t="s">
        <v>1545</v>
      </c>
      <c r="B1310" t="s">
        <v>1546</v>
      </c>
      <c r="C1310" t="s">
        <v>16</v>
      </c>
      <c r="D1310" t="s">
        <v>21</v>
      </c>
      <c r="E1310" t="s">
        <v>1551</v>
      </c>
      <c r="F1310" t="s">
        <v>1551</v>
      </c>
      <c r="G1310" s="2">
        <v>45709</v>
      </c>
      <c r="H1310" s="2">
        <v>45739</v>
      </c>
      <c r="I1310">
        <v>979.2</v>
      </c>
      <c r="J1310">
        <v>979.2</v>
      </c>
      <c r="K1310" t="s">
        <v>20</v>
      </c>
      <c r="L1310">
        <v>13</v>
      </c>
      <c r="M1310">
        <v>979.2</v>
      </c>
    </row>
    <row r="1311" spans="1:13">
      <c r="A1311" t="s">
        <v>1545</v>
      </c>
      <c r="B1311" t="s">
        <v>1546</v>
      </c>
      <c r="C1311" t="s">
        <v>16</v>
      </c>
      <c r="D1311" t="s">
        <v>21</v>
      </c>
      <c r="E1311" t="s">
        <v>1552</v>
      </c>
      <c r="F1311" t="s">
        <v>1552</v>
      </c>
      <c r="G1311" s="2">
        <v>45716</v>
      </c>
      <c r="H1311" s="2">
        <v>45746</v>
      </c>
      <c r="I1311">
        <v>650</v>
      </c>
      <c r="J1311">
        <v>650</v>
      </c>
      <c r="K1311" t="s">
        <v>20</v>
      </c>
      <c r="L1311">
        <v>13</v>
      </c>
      <c r="M1311">
        <v>650</v>
      </c>
    </row>
    <row r="1312" spans="1:13">
      <c r="A1312" t="s">
        <v>1553</v>
      </c>
      <c r="B1312" t="s">
        <v>1554</v>
      </c>
      <c r="C1312" t="s">
        <v>1555</v>
      </c>
      <c r="D1312" t="s">
        <v>21</v>
      </c>
      <c r="E1312" t="s">
        <v>1556</v>
      </c>
      <c r="F1312" t="s">
        <v>1556</v>
      </c>
      <c r="G1312" s="2">
        <v>45419</v>
      </c>
      <c r="H1312" s="2">
        <v>45464</v>
      </c>
      <c r="I1312">
        <v>32.979999999999997</v>
      </c>
      <c r="J1312">
        <v>32.979999999999997</v>
      </c>
      <c r="K1312" t="s">
        <v>20</v>
      </c>
      <c r="L1312">
        <v>0</v>
      </c>
      <c r="M1312">
        <v>32.979999999999997</v>
      </c>
    </row>
    <row r="1313" spans="1:13">
      <c r="A1313" t="s">
        <v>1553</v>
      </c>
      <c r="B1313" t="s">
        <v>1554</v>
      </c>
      <c r="C1313" t="s">
        <v>1555</v>
      </c>
      <c r="D1313" t="s">
        <v>21</v>
      </c>
      <c r="E1313" t="s">
        <v>1557</v>
      </c>
      <c r="F1313" t="s">
        <v>1557</v>
      </c>
      <c r="G1313" s="2">
        <v>45730</v>
      </c>
      <c r="H1313" s="2">
        <v>45775</v>
      </c>
      <c r="I1313">
        <v>529.67999999999995</v>
      </c>
      <c r="J1313">
        <v>529.67999999999995</v>
      </c>
      <c r="K1313" t="s">
        <v>20</v>
      </c>
      <c r="L1313">
        <v>0</v>
      </c>
      <c r="M1313">
        <v>0</v>
      </c>
    </row>
    <row r="1314" spans="1:13">
      <c r="A1314" t="s">
        <v>1558</v>
      </c>
      <c r="B1314" t="s">
        <v>1559</v>
      </c>
      <c r="C1314" t="s">
        <v>16</v>
      </c>
      <c r="D1314" t="s">
        <v>21</v>
      </c>
      <c r="E1314" t="s">
        <v>1560</v>
      </c>
      <c r="F1314" t="s">
        <v>1560</v>
      </c>
      <c r="G1314" s="2">
        <v>45607</v>
      </c>
      <c r="H1314" s="2">
        <v>45637</v>
      </c>
      <c r="I1314" s="1">
        <v>2264.9</v>
      </c>
      <c r="J1314">
        <v>2264.9</v>
      </c>
      <c r="K1314" t="s">
        <v>20</v>
      </c>
      <c r="L1314">
        <v>0</v>
      </c>
      <c r="M1314">
        <v>2264.9</v>
      </c>
    </row>
    <row r="1315" spans="1:13">
      <c r="A1315" t="s">
        <v>1561</v>
      </c>
      <c r="B1315" t="s">
        <v>1562</v>
      </c>
      <c r="C1315" t="s">
        <v>213</v>
      </c>
      <c r="D1315" t="s">
        <v>55</v>
      </c>
      <c r="E1315" t="s">
        <v>19</v>
      </c>
      <c r="F1315" t="s">
        <v>19</v>
      </c>
      <c r="H1315" s="2">
        <v>45373</v>
      </c>
      <c r="I1315">
        <v>-299.55</v>
      </c>
      <c r="J1315">
        <v>-299.55</v>
      </c>
      <c r="K1315" t="s">
        <v>20</v>
      </c>
      <c r="L1315">
        <v>0</v>
      </c>
      <c r="M1315">
        <v>-299.55</v>
      </c>
    </row>
    <row r="1316" spans="1:13">
      <c r="A1316" t="s">
        <v>1563</v>
      </c>
      <c r="B1316" t="s">
        <v>1564</v>
      </c>
      <c r="C1316" t="s">
        <v>16</v>
      </c>
      <c r="D1316" t="s">
        <v>21</v>
      </c>
      <c r="E1316" t="s">
        <v>1565</v>
      </c>
      <c r="F1316" t="s">
        <v>1565</v>
      </c>
      <c r="G1316" s="2">
        <v>45685</v>
      </c>
      <c r="H1316" s="2">
        <v>45715</v>
      </c>
      <c r="I1316" s="1">
        <v>49937.3</v>
      </c>
      <c r="J1316">
        <v>49937.3</v>
      </c>
      <c r="K1316" t="s">
        <v>20</v>
      </c>
      <c r="L1316">
        <v>0</v>
      </c>
      <c r="M1316">
        <v>49937.3</v>
      </c>
    </row>
    <row r="1317" spans="1:13">
      <c r="A1317" t="s">
        <v>1566</v>
      </c>
      <c r="B1317" t="s">
        <v>1567</v>
      </c>
      <c r="C1317" t="s">
        <v>16</v>
      </c>
      <c r="D1317" t="s">
        <v>21</v>
      </c>
      <c r="E1317" t="s">
        <v>1568</v>
      </c>
      <c r="F1317" t="s">
        <v>1568</v>
      </c>
      <c r="G1317" s="2">
        <v>45622</v>
      </c>
      <c r="H1317" s="2">
        <v>45652</v>
      </c>
      <c r="I1317">
        <v>136.5</v>
      </c>
      <c r="J1317">
        <v>136.5</v>
      </c>
      <c r="K1317" t="s">
        <v>20</v>
      </c>
      <c r="L1317">
        <v>0</v>
      </c>
      <c r="M1317">
        <v>136.5</v>
      </c>
    </row>
    <row r="1318" spans="1:13">
      <c r="A1318" t="s">
        <v>1566</v>
      </c>
      <c r="B1318" t="s">
        <v>1567</v>
      </c>
      <c r="C1318" t="s">
        <v>16</v>
      </c>
      <c r="D1318" t="s">
        <v>21</v>
      </c>
      <c r="E1318" t="s">
        <v>1569</v>
      </c>
      <c r="F1318" t="s">
        <v>1569</v>
      </c>
      <c r="G1318" s="2">
        <v>45708</v>
      </c>
      <c r="H1318" s="2">
        <v>45738</v>
      </c>
      <c r="I1318">
        <v>138</v>
      </c>
      <c r="J1318">
        <v>138</v>
      </c>
      <c r="K1318" t="s">
        <v>20</v>
      </c>
      <c r="L1318">
        <v>12</v>
      </c>
      <c r="M1318">
        <v>138</v>
      </c>
    </row>
    <row r="1319" spans="1:13">
      <c r="A1319" t="s">
        <v>1570</v>
      </c>
      <c r="B1319" t="s">
        <v>1571</v>
      </c>
      <c r="C1319" t="s">
        <v>1216</v>
      </c>
      <c r="D1319" t="s">
        <v>21</v>
      </c>
      <c r="E1319" t="s">
        <v>1572</v>
      </c>
      <c r="F1319" t="s">
        <v>1572</v>
      </c>
      <c r="G1319" s="2">
        <v>45527</v>
      </c>
      <c r="H1319" s="2">
        <v>45617</v>
      </c>
      <c r="I1319">
        <v>93.6</v>
      </c>
      <c r="J1319">
        <v>93.6</v>
      </c>
      <c r="K1319" t="s">
        <v>20</v>
      </c>
      <c r="L1319">
        <v>0</v>
      </c>
      <c r="M1319">
        <v>93.6</v>
      </c>
    </row>
    <row r="1320" spans="1:13">
      <c r="A1320" t="s">
        <v>1570</v>
      </c>
      <c r="B1320" t="s">
        <v>1571</v>
      </c>
      <c r="C1320" t="s">
        <v>1216</v>
      </c>
      <c r="D1320" t="s">
        <v>21</v>
      </c>
      <c r="E1320" t="s">
        <v>1573</v>
      </c>
      <c r="F1320" t="s">
        <v>1573</v>
      </c>
      <c r="G1320" s="2">
        <v>45565</v>
      </c>
      <c r="H1320" s="2">
        <v>45655</v>
      </c>
      <c r="I1320" s="1">
        <v>9393.5</v>
      </c>
      <c r="J1320">
        <v>9393.5</v>
      </c>
      <c r="K1320" t="s">
        <v>20</v>
      </c>
      <c r="L1320">
        <v>0</v>
      </c>
      <c r="M1320">
        <v>9393.5</v>
      </c>
    </row>
    <row r="1321" spans="1:13">
      <c r="A1321" t="s">
        <v>1570</v>
      </c>
      <c r="B1321" t="s">
        <v>1571</v>
      </c>
      <c r="C1321" t="s">
        <v>1216</v>
      </c>
      <c r="D1321" t="s">
        <v>21</v>
      </c>
      <c r="E1321" t="s">
        <v>1574</v>
      </c>
      <c r="F1321" t="s">
        <v>1574</v>
      </c>
      <c r="G1321" s="2">
        <v>45588</v>
      </c>
      <c r="H1321" s="2">
        <v>45678</v>
      </c>
      <c r="I1321" s="1">
        <v>13572</v>
      </c>
      <c r="J1321">
        <v>13572</v>
      </c>
      <c r="K1321" t="s">
        <v>20</v>
      </c>
      <c r="L1321">
        <v>0</v>
      </c>
      <c r="M1321">
        <v>13572</v>
      </c>
    </row>
    <row r="1322" spans="1:13">
      <c r="A1322" t="s">
        <v>1570</v>
      </c>
      <c r="B1322" t="s">
        <v>1571</v>
      </c>
      <c r="C1322" t="s">
        <v>1216</v>
      </c>
      <c r="D1322" t="s">
        <v>21</v>
      </c>
      <c r="E1322" t="s">
        <v>1575</v>
      </c>
      <c r="F1322" t="s">
        <v>1575</v>
      </c>
      <c r="G1322" s="2">
        <v>45593</v>
      </c>
      <c r="H1322" s="2">
        <v>45683</v>
      </c>
      <c r="I1322" s="1">
        <v>8996</v>
      </c>
      <c r="J1322">
        <v>8996</v>
      </c>
      <c r="K1322" t="s">
        <v>20</v>
      </c>
      <c r="L1322">
        <v>0</v>
      </c>
      <c r="M1322">
        <v>8996</v>
      </c>
    </row>
    <row r="1323" spans="1:13">
      <c r="A1323" t="s">
        <v>1570</v>
      </c>
      <c r="B1323" t="s">
        <v>1571</v>
      </c>
      <c r="C1323" t="s">
        <v>1216</v>
      </c>
      <c r="D1323" t="s">
        <v>21</v>
      </c>
      <c r="E1323" t="s">
        <v>1576</v>
      </c>
      <c r="F1323" t="s">
        <v>1576</v>
      </c>
      <c r="G1323" s="2">
        <v>45603</v>
      </c>
      <c r="H1323" s="2">
        <v>45693</v>
      </c>
      <c r="I1323" s="1">
        <v>7280</v>
      </c>
      <c r="J1323">
        <v>7280</v>
      </c>
      <c r="K1323" t="s">
        <v>20</v>
      </c>
      <c r="L1323">
        <v>0</v>
      </c>
      <c r="M1323">
        <v>7280</v>
      </c>
    </row>
    <row r="1324" spans="1:13">
      <c r="A1324" t="s">
        <v>1577</v>
      </c>
      <c r="B1324" t="s">
        <v>1578</v>
      </c>
      <c r="C1324" t="s">
        <v>16</v>
      </c>
      <c r="D1324" t="s">
        <v>21</v>
      </c>
      <c r="E1324" t="s">
        <v>1579</v>
      </c>
      <c r="F1324" t="s">
        <v>1579</v>
      </c>
      <c r="G1324" s="2">
        <v>45670</v>
      </c>
      <c r="H1324" s="2">
        <v>45700</v>
      </c>
      <c r="I1324">
        <v>100</v>
      </c>
      <c r="J1324">
        <v>100</v>
      </c>
      <c r="K1324" t="s">
        <v>20</v>
      </c>
      <c r="L1324">
        <v>0</v>
      </c>
      <c r="M1324">
        <v>100</v>
      </c>
    </row>
    <row r="1325" spans="1:13">
      <c r="A1325" t="s">
        <v>1577</v>
      </c>
      <c r="B1325" t="s">
        <v>1578</v>
      </c>
      <c r="C1325" t="s">
        <v>16</v>
      </c>
      <c r="D1325" t="s">
        <v>21</v>
      </c>
      <c r="E1325" t="s">
        <v>1580</v>
      </c>
      <c r="F1325" t="s">
        <v>1580</v>
      </c>
      <c r="G1325" s="2">
        <v>45734</v>
      </c>
      <c r="H1325" s="2">
        <v>45764</v>
      </c>
      <c r="I1325" s="1">
        <v>2184</v>
      </c>
      <c r="J1325">
        <v>2184</v>
      </c>
      <c r="K1325" t="s">
        <v>20</v>
      </c>
      <c r="L1325">
        <v>0</v>
      </c>
      <c r="M1325">
        <v>0</v>
      </c>
    </row>
    <row r="1326" spans="1:13">
      <c r="A1326" t="s">
        <v>1581</v>
      </c>
      <c r="B1326" t="s">
        <v>1582</v>
      </c>
      <c r="C1326" t="s">
        <v>16</v>
      </c>
      <c r="D1326" t="s">
        <v>21</v>
      </c>
      <c r="E1326" t="s">
        <v>1583</v>
      </c>
      <c r="F1326" t="s">
        <v>1583</v>
      </c>
      <c r="G1326" s="2">
        <v>45689</v>
      </c>
      <c r="H1326" s="2">
        <v>45719</v>
      </c>
      <c r="I1326">
        <v>509</v>
      </c>
      <c r="J1326">
        <v>509</v>
      </c>
      <c r="K1326" t="s">
        <v>20</v>
      </c>
      <c r="L1326">
        <v>10</v>
      </c>
      <c r="M1326">
        <v>509</v>
      </c>
    </row>
    <row r="1327" spans="1:13">
      <c r="A1327" t="s">
        <v>1581</v>
      </c>
      <c r="B1327" t="s">
        <v>1582</v>
      </c>
      <c r="C1327" t="s">
        <v>16</v>
      </c>
      <c r="D1327" t="s">
        <v>21</v>
      </c>
      <c r="E1327" t="s">
        <v>1584</v>
      </c>
      <c r="F1327" t="s">
        <v>1584</v>
      </c>
      <c r="G1327" s="2">
        <v>45698</v>
      </c>
      <c r="H1327" s="2">
        <v>45728</v>
      </c>
      <c r="I1327">
        <v>388</v>
      </c>
      <c r="J1327">
        <v>388</v>
      </c>
      <c r="K1327" t="s">
        <v>20</v>
      </c>
      <c r="L1327">
        <v>11</v>
      </c>
      <c r="M1327">
        <v>388</v>
      </c>
    </row>
    <row r="1328" spans="1:13">
      <c r="A1328" t="s">
        <v>1581</v>
      </c>
      <c r="B1328" t="s">
        <v>1582</v>
      </c>
      <c r="C1328" t="s">
        <v>16</v>
      </c>
      <c r="D1328" t="s">
        <v>21</v>
      </c>
      <c r="E1328" t="s">
        <v>1585</v>
      </c>
      <c r="F1328" t="s">
        <v>1585</v>
      </c>
      <c r="G1328" s="2">
        <v>45699</v>
      </c>
      <c r="H1328" s="2">
        <v>45729</v>
      </c>
      <c r="I1328">
        <v>989.48</v>
      </c>
      <c r="J1328">
        <v>989.48</v>
      </c>
      <c r="K1328" t="s">
        <v>20</v>
      </c>
      <c r="L1328">
        <v>11</v>
      </c>
      <c r="M1328">
        <v>989.48</v>
      </c>
    </row>
    <row r="1329" spans="1:13">
      <c r="A1329" t="s">
        <v>1581</v>
      </c>
      <c r="B1329" t="s">
        <v>1582</v>
      </c>
      <c r="C1329" t="s">
        <v>16</v>
      </c>
      <c r="D1329" t="s">
        <v>21</v>
      </c>
      <c r="E1329" t="s">
        <v>1586</v>
      </c>
      <c r="F1329" t="s">
        <v>1586</v>
      </c>
      <c r="G1329" s="2">
        <v>45709</v>
      </c>
      <c r="H1329" s="2">
        <v>45739</v>
      </c>
      <c r="I1329">
        <v>803</v>
      </c>
      <c r="J1329">
        <v>803</v>
      </c>
      <c r="K1329" t="s">
        <v>20</v>
      </c>
      <c r="L1329">
        <v>13</v>
      </c>
      <c r="M1329">
        <v>803</v>
      </c>
    </row>
    <row r="1330" spans="1:13">
      <c r="A1330" t="s">
        <v>1581</v>
      </c>
      <c r="B1330" t="s">
        <v>1582</v>
      </c>
      <c r="C1330" t="s">
        <v>16</v>
      </c>
      <c r="D1330" t="s">
        <v>21</v>
      </c>
      <c r="E1330" t="s">
        <v>1587</v>
      </c>
      <c r="F1330" t="s">
        <v>1587</v>
      </c>
      <c r="G1330" s="2">
        <v>45712</v>
      </c>
      <c r="H1330" s="2">
        <v>45742</v>
      </c>
      <c r="I1330">
        <v>744.48</v>
      </c>
      <c r="J1330">
        <v>744.48</v>
      </c>
      <c r="K1330" t="s">
        <v>20</v>
      </c>
      <c r="L1330">
        <v>13</v>
      </c>
      <c r="M1330">
        <v>744.48</v>
      </c>
    </row>
    <row r="1331" spans="1:13">
      <c r="A1331" t="s">
        <v>1581</v>
      </c>
      <c r="B1331" t="s">
        <v>1582</v>
      </c>
      <c r="C1331" t="s">
        <v>16</v>
      </c>
      <c r="D1331" t="s">
        <v>21</v>
      </c>
      <c r="E1331" t="s">
        <v>1588</v>
      </c>
      <c r="F1331" t="s">
        <v>1588</v>
      </c>
      <c r="G1331" s="2">
        <v>45715</v>
      </c>
      <c r="H1331" s="2">
        <v>45745</v>
      </c>
      <c r="I1331" s="1">
        <v>1013</v>
      </c>
      <c r="J1331">
        <v>1013</v>
      </c>
      <c r="K1331" t="s">
        <v>20</v>
      </c>
      <c r="L1331">
        <v>13</v>
      </c>
      <c r="M1331">
        <v>1013</v>
      </c>
    </row>
    <row r="1332" spans="1:13">
      <c r="A1332" t="s">
        <v>1581</v>
      </c>
      <c r="B1332" t="s">
        <v>1582</v>
      </c>
      <c r="C1332" t="s">
        <v>16</v>
      </c>
      <c r="D1332" t="s">
        <v>21</v>
      </c>
      <c r="E1332" t="s">
        <v>1589</v>
      </c>
      <c r="F1332" t="s">
        <v>1589</v>
      </c>
      <c r="G1332" s="2">
        <v>45719</v>
      </c>
      <c r="H1332" s="2">
        <v>45749</v>
      </c>
      <c r="I1332" s="1">
        <v>1488.96</v>
      </c>
      <c r="J1332">
        <v>1488.96</v>
      </c>
      <c r="K1332" t="s">
        <v>20</v>
      </c>
      <c r="L1332">
        <v>0</v>
      </c>
      <c r="M1332">
        <v>0</v>
      </c>
    </row>
    <row r="1333" spans="1:13">
      <c r="A1333" t="s">
        <v>1581</v>
      </c>
      <c r="B1333" t="s">
        <v>1582</v>
      </c>
      <c r="C1333" t="s">
        <v>16</v>
      </c>
      <c r="D1333" t="s">
        <v>21</v>
      </c>
      <c r="E1333" t="s">
        <v>1590</v>
      </c>
      <c r="F1333" t="s">
        <v>1590</v>
      </c>
      <c r="G1333" s="2">
        <v>45720</v>
      </c>
      <c r="H1333" s="2">
        <v>45750</v>
      </c>
      <c r="I1333">
        <v>733</v>
      </c>
      <c r="J1333">
        <v>733</v>
      </c>
      <c r="K1333" t="s">
        <v>20</v>
      </c>
      <c r="L1333">
        <v>0</v>
      </c>
      <c r="M1333">
        <v>0</v>
      </c>
    </row>
    <row r="1334" spans="1:13">
      <c r="A1334" t="s">
        <v>1581</v>
      </c>
      <c r="B1334" t="s">
        <v>1582</v>
      </c>
      <c r="C1334" t="s">
        <v>16</v>
      </c>
      <c r="D1334" t="s">
        <v>21</v>
      </c>
      <c r="E1334" t="s">
        <v>1591</v>
      </c>
      <c r="F1334" t="s">
        <v>1591</v>
      </c>
      <c r="G1334" s="2">
        <v>45726</v>
      </c>
      <c r="H1334" s="2">
        <v>45756</v>
      </c>
      <c r="I1334" s="1">
        <v>1494.6</v>
      </c>
      <c r="J1334">
        <v>1494.6</v>
      </c>
      <c r="K1334" t="s">
        <v>20</v>
      </c>
      <c r="L1334">
        <v>0</v>
      </c>
      <c r="M1334">
        <v>0</v>
      </c>
    </row>
    <row r="1335" spans="1:13">
      <c r="A1335" t="s">
        <v>1581</v>
      </c>
      <c r="B1335" t="s">
        <v>1582</v>
      </c>
      <c r="C1335" t="s">
        <v>16</v>
      </c>
      <c r="D1335" t="s">
        <v>21</v>
      </c>
      <c r="E1335" t="s">
        <v>1592</v>
      </c>
      <c r="F1335" t="s">
        <v>1592</v>
      </c>
      <c r="G1335" s="2">
        <v>45733</v>
      </c>
      <c r="H1335" s="2">
        <v>45763</v>
      </c>
      <c r="I1335">
        <v>363</v>
      </c>
      <c r="J1335">
        <v>363</v>
      </c>
      <c r="K1335" t="s">
        <v>20</v>
      </c>
      <c r="L1335">
        <v>0</v>
      </c>
      <c r="M1335">
        <v>0</v>
      </c>
    </row>
    <row r="1336" spans="1:13">
      <c r="A1336" t="s">
        <v>1581</v>
      </c>
      <c r="B1336" t="s">
        <v>1582</v>
      </c>
      <c r="C1336" t="s">
        <v>16</v>
      </c>
      <c r="D1336" t="s">
        <v>21</v>
      </c>
      <c r="E1336" t="s">
        <v>1593</v>
      </c>
      <c r="F1336" t="s">
        <v>1593</v>
      </c>
      <c r="G1336" s="2">
        <v>45734</v>
      </c>
      <c r="H1336" s="2">
        <v>45764</v>
      </c>
      <c r="I1336" s="1">
        <v>1590.48</v>
      </c>
      <c r="J1336">
        <v>1590.48</v>
      </c>
      <c r="K1336" t="s">
        <v>20</v>
      </c>
      <c r="L1336">
        <v>0</v>
      </c>
      <c r="M1336">
        <v>0</v>
      </c>
    </row>
    <row r="1337" spans="1:13">
      <c r="A1337" t="s">
        <v>1581</v>
      </c>
      <c r="B1337" t="s">
        <v>1582</v>
      </c>
      <c r="C1337" t="s">
        <v>16</v>
      </c>
      <c r="D1337" t="s">
        <v>21</v>
      </c>
      <c r="E1337" t="s">
        <v>1594</v>
      </c>
      <c r="F1337" t="s">
        <v>1594</v>
      </c>
      <c r="G1337" s="2">
        <v>45740</v>
      </c>
      <c r="H1337" s="2">
        <v>45770</v>
      </c>
      <c r="I1337">
        <v>134.25</v>
      </c>
      <c r="J1337">
        <v>134.25</v>
      </c>
      <c r="K1337" t="s">
        <v>20</v>
      </c>
      <c r="L1337">
        <v>0</v>
      </c>
      <c r="M1337">
        <v>0</v>
      </c>
    </row>
    <row r="1338" spans="1:13">
      <c r="A1338" t="s">
        <v>1595</v>
      </c>
      <c r="B1338" t="s">
        <v>1596</v>
      </c>
      <c r="C1338" t="s">
        <v>16</v>
      </c>
      <c r="D1338" t="s">
        <v>17</v>
      </c>
      <c r="E1338" t="s">
        <v>1597</v>
      </c>
      <c r="F1338" t="s">
        <v>19</v>
      </c>
      <c r="H1338" s="2">
        <v>45322</v>
      </c>
      <c r="I1338">
        <v>-17.760000000000002</v>
      </c>
      <c r="J1338">
        <v>-17.760000000000002</v>
      </c>
      <c r="K1338" t="s">
        <v>20</v>
      </c>
      <c r="L1338">
        <v>0</v>
      </c>
      <c r="M1338">
        <v>-17.760000000000002</v>
      </c>
    </row>
    <row r="1339" spans="1:13">
      <c r="A1339" t="s">
        <v>1598</v>
      </c>
      <c r="B1339" t="s">
        <v>1599</v>
      </c>
      <c r="C1339" t="s">
        <v>16</v>
      </c>
      <c r="D1339" t="s">
        <v>21</v>
      </c>
      <c r="E1339" t="s">
        <v>1600</v>
      </c>
      <c r="F1339" t="s">
        <v>1600</v>
      </c>
      <c r="G1339" s="2">
        <v>45596</v>
      </c>
      <c r="H1339" s="2">
        <v>45626</v>
      </c>
      <c r="I1339" s="1">
        <v>1300.05</v>
      </c>
      <c r="J1339">
        <v>1300.05</v>
      </c>
      <c r="K1339" t="s">
        <v>20</v>
      </c>
      <c r="L1339">
        <v>0</v>
      </c>
      <c r="M1339">
        <v>1300.05</v>
      </c>
    </row>
    <row r="1340" spans="1:13">
      <c r="A1340" t="s">
        <v>1598</v>
      </c>
      <c r="B1340" t="s">
        <v>1599</v>
      </c>
      <c r="C1340" t="s">
        <v>16</v>
      </c>
      <c r="D1340" t="s">
        <v>21</v>
      </c>
      <c r="E1340" t="s">
        <v>1601</v>
      </c>
      <c r="F1340" t="s">
        <v>1601</v>
      </c>
      <c r="G1340" s="2">
        <v>45597</v>
      </c>
      <c r="H1340" s="2">
        <v>45627</v>
      </c>
      <c r="I1340">
        <v>115.56</v>
      </c>
      <c r="J1340">
        <v>115.56</v>
      </c>
      <c r="K1340" t="s">
        <v>20</v>
      </c>
      <c r="L1340">
        <v>0</v>
      </c>
      <c r="M1340">
        <v>115.56</v>
      </c>
    </row>
    <row r="1341" spans="1:13">
      <c r="A1341" t="s">
        <v>1602</v>
      </c>
      <c r="B1341" t="s">
        <v>1603</v>
      </c>
      <c r="C1341" t="s">
        <v>16</v>
      </c>
      <c r="D1341" t="s">
        <v>21</v>
      </c>
      <c r="E1341" t="s">
        <v>1604</v>
      </c>
      <c r="F1341" t="s">
        <v>1604</v>
      </c>
      <c r="G1341" s="2">
        <v>45688</v>
      </c>
      <c r="H1341" s="2">
        <v>45718</v>
      </c>
      <c r="I1341">
        <v>640</v>
      </c>
      <c r="J1341">
        <v>640</v>
      </c>
      <c r="K1341" t="s">
        <v>20</v>
      </c>
      <c r="L1341">
        <v>10</v>
      </c>
      <c r="M1341">
        <v>640</v>
      </c>
    </row>
    <row r="1342" spans="1:13">
      <c r="A1342" t="s">
        <v>1602</v>
      </c>
      <c r="B1342" t="s">
        <v>1603</v>
      </c>
      <c r="C1342" t="s">
        <v>16</v>
      </c>
      <c r="D1342" t="s">
        <v>21</v>
      </c>
      <c r="E1342" t="s">
        <v>1605</v>
      </c>
      <c r="F1342" t="s">
        <v>1605</v>
      </c>
      <c r="G1342" s="2">
        <v>45702</v>
      </c>
      <c r="H1342" s="2">
        <v>45732</v>
      </c>
      <c r="I1342" s="1">
        <v>5511</v>
      </c>
      <c r="J1342">
        <v>5511</v>
      </c>
      <c r="K1342" t="s">
        <v>20</v>
      </c>
      <c r="L1342">
        <v>12</v>
      </c>
      <c r="M1342">
        <v>5511</v>
      </c>
    </row>
    <row r="1343" spans="1:13">
      <c r="A1343" t="s">
        <v>1602</v>
      </c>
      <c r="B1343" t="s">
        <v>1603</v>
      </c>
      <c r="C1343" t="s">
        <v>16</v>
      </c>
      <c r="D1343" t="s">
        <v>21</v>
      </c>
      <c r="E1343" t="s">
        <v>1606</v>
      </c>
      <c r="F1343" t="s">
        <v>1606</v>
      </c>
      <c r="G1343" s="2">
        <v>45709</v>
      </c>
      <c r="H1343" s="2">
        <v>45739</v>
      </c>
      <c r="I1343" s="1">
        <v>1920</v>
      </c>
      <c r="J1343">
        <v>1920</v>
      </c>
      <c r="K1343" t="s">
        <v>20</v>
      </c>
      <c r="L1343">
        <v>13</v>
      </c>
      <c r="M1343">
        <v>1920</v>
      </c>
    </row>
    <row r="1344" spans="1:13">
      <c r="A1344" t="s">
        <v>1602</v>
      </c>
      <c r="B1344" t="s">
        <v>1603</v>
      </c>
      <c r="C1344" t="s">
        <v>16</v>
      </c>
      <c r="D1344" t="s">
        <v>21</v>
      </c>
      <c r="E1344" t="s">
        <v>1607</v>
      </c>
      <c r="F1344" t="s">
        <v>1607</v>
      </c>
      <c r="G1344" s="2">
        <v>45709</v>
      </c>
      <c r="H1344" s="2">
        <v>45739</v>
      </c>
      <c r="I1344" s="1">
        <v>2598.6999999999998</v>
      </c>
      <c r="J1344">
        <v>2598.6999999999998</v>
      </c>
      <c r="K1344" t="s">
        <v>20</v>
      </c>
      <c r="L1344">
        <v>13</v>
      </c>
      <c r="M1344">
        <v>2598.6999999999998</v>
      </c>
    </row>
    <row r="1345" spans="1:13">
      <c r="A1345" t="s">
        <v>1602</v>
      </c>
      <c r="B1345" t="s">
        <v>1603</v>
      </c>
      <c r="C1345" t="s">
        <v>16</v>
      </c>
      <c r="D1345" t="s">
        <v>21</v>
      </c>
      <c r="E1345" t="s">
        <v>1608</v>
      </c>
      <c r="F1345" t="s">
        <v>1608</v>
      </c>
      <c r="G1345" s="2">
        <v>45714</v>
      </c>
      <c r="H1345" s="2">
        <v>45744</v>
      </c>
      <c r="I1345" s="1">
        <v>9140.8799999999992</v>
      </c>
      <c r="J1345">
        <v>9140.8799999999992</v>
      </c>
      <c r="K1345" t="s">
        <v>20</v>
      </c>
      <c r="L1345">
        <v>13</v>
      </c>
      <c r="M1345">
        <v>9140.8799999999992</v>
      </c>
    </row>
    <row r="1346" spans="1:13">
      <c r="A1346" t="s">
        <v>1602</v>
      </c>
      <c r="B1346" t="s">
        <v>1603</v>
      </c>
      <c r="C1346" t="s">
        <v>16</v>
      </c>
      <c r="D1346" t="s">
        <v>21</v>
      </c>
      <c r="E1346" t="s">
        <v>1609</v>
      </c>
      <c r="F1346" t="s">
        <v>1609</v>
      </c>
      <c r="G1346" s="2">
        <v>45716</v>
      </c>
      <c r="H1346" s="2">
        <v>45746</v>
      </c>
      <c r="I1346" s="1">
        <v>1600</v>
      </c>
      <c r="J1346">
        <v>1600</v>
      </c>
      <c r="K1346" t="s">
        <v>20</v>
      </c>
      <c r="L1346">
        <v>13</v>
      </c>
      <c r="M1346">
        <v>1600</v>
      </c>
    </row>
    <row r="1347" spans="1:13">
      <c r="A1347" t="s">
        <v>1602</v>
      </c>
      <c r="B1347" t="s">
        <v>1603</v>
      </c>
      <c r="C1347" t="s">
        <v>16</v>
      </c>
      <c r="D1347" t="s">
        <v>21</v>
      </c>
      <c r="E1347" t="s">
        <v>1610</v>
      </c>
      <c r="F1347" t="s">
        <v>1610</v>
      </c>
      <c r="G1347" s="2">
        <v>45716</v>
      </c>
      <c r="H1347" s="2">
        <v>45746</v>
      </c>
      <c r="I1347" s="1">
        <v>2242</v>
      </c>
      <c r="J1347">
        <v>2242</v>
      </c>
      <c r="K1347" t="s">
        <v>20</v>
      </c>
      <c r="L1347">
        <v>13</v>
      </c>
      <c r="M1347">
        <v>2242</v>
      </c>
    </row>
    <row r="1348" spans="1:13">
      <c r="A1348" t="s">
        <v>1602</v>
      </c>
      <c r="B1348" t="s">
        <v>1603</v>
      </c>
      <c r="C1348" t="s">
        <v>16</v>
      </c>
      <c r="D1348" t="s">
        <v>21</v>
      </c>
      <c r="E1348" t="s">
        <v>1611</v>
      </c>
      <c r="F1348" t="s">
        <v>1611</v>
      </c>
      <c r="G1348" s="2">
        <v>45723</v>
      </c>
      <c r="H1348" s="2">
        <v>45753</v>
      </c>
      <c r="I1348">
        <v>588</v>
      </c>
      <c r="J1348">
        <v>588</v>
      </c>
      <c r="K1348" t="s">
        <v>20</v>
      </c>
      <c r="L1348">
        <v>0</v>
      </c>
      <c r="M1348">
        <v>0</v>
      </c>
    </row>
    <row r="1349" spans="1:13">
      <c r="A1349" t="s">
        <v>1602</v>
      </c>
      <c r="B1349" t="s">
        <v>1603</v>
      </c>
      <c r="C1349" t="s">
        <v>16</v>
      </c>
      <c r="D1349" t="s">
        <v>21</v>
      </c>
      <c r="E1349" t="s">
        <v>1612</v>
      </c>
      <c r="F1349" t="s">
        <v>1612</v>
      </c>
      <c r="G1349" s="2">
        <v>45726</v>
      </c>
      <c r="H1349" s="2">
        <v>45756</v>
      </c>
      <c r="I1349" s="1">
        <v>3630</v>
      </c>
      <c r="J1349">
        <v>3630</v>
      </c>
      <c r="K1349" t="s">
        <v>20</v>
      </c>
      <c r="L1349">
        <v>0</v>
      </c>
      <c r="M1349">
        <v>0</v>
      </c>
    </row>
    <row r="1350" spans="1:13">
      <c r="A1350" t="s">
        <v>1602</v>
      </c>
      <c r="B1350" t="s">
        <v>1603</v>
      </c>
      <c r="C1350" t="s">
        <v>16</v>
      </c>
      <c r="D1350" t="s">
        <v>21</v>
      </c>
      <c r="E1350" t="s">
        <v>1613</v>
      </c>
      <c r="F1350" t="s">
        <v>1613</v>
      </c>
      <c r="G1350" s="2">
        <v>45733</v>
      </c>
      <c r="H1350" s="2">
        <v>45763</v>
      </c>
      <c r="I1350" s="1">
        <v>5324.4</v>
      </c>
      <c r="J1350">
        <v>5324.4</v>
      </c>
      <c r="K1350" t="s">
        <v>20</v>
      </c>
      <c r="L1350">
        <v>0</v>
      </c>
      <c r="M1350">
        <v>0</v>
      </c>
    </row>
    <row r="1351" spans="1:13">
      <c r="A1351" t="s">
        <v>1602</v>
      </c>
      <c r="B1351" t="s">
        <v>1603</v>
      </c>
      <c r="C1351" t="s">
        <v>16</v>
      </c>
      <c r="D1351" t="s">
        <v>21</v>
      </c>
      <c r="E1351" t="s">
        <v>1614</v>
      </c>
      <c r="F1351" t="s">
        <v>1614</v>
      </c>
      <c r="G1351" s="2">
        <v>45734</v>
      </c>
      <c r="H1351" s="2">
        <v>45764</v>
      </c>
      <c r="I1351" s="1">
        <v>15530</v>
      </c>
      <c r="J1351">
        <v>15530</v>
      </c>
      <c r="K1351" t="s">
        <v>20</v>
      </c>
      <c r="L1351">
        <v>0</v>
      </c>
      <c r="M1351">
        <v>0</v>
      </c>
    </row>
    <row r="1352" spans="1:13">
      <c r="A1352" t="s">
        <v>1602</v>
      </c>
      <c r="B1352" t="s">
        <v>1603</v>
      </c>
      <c r="C1352" t="s">
        <v>16</v>
      </c>
      <c r="D1352" t="s">
        <v>21</v>
      </c>
      <c r="E1352" t="s">
        <v>1615</v>
      </c>
      <c r="F1352" t="s">
        <v>1615</v>
      </c>
      <c r="G1352" s="2">
        <v>45740</v>
      </c>
      <c r="H1352" s="2">
        <v>45770</v>
      </c>
      <c r="I1352" s="1">
        <v>1784</v>
      </c>
      <c r="J1352">
        <v>1784</v>
      </c>
      <c r="K1352" t="s">
        <v>20</v>
      </c>
      <c r="L1352">
        <v>0</v>
      </c>
      <c r="M1352">
        <v>0</v>
      </c>
    </row>
    <row r="1353" spans="1:13">
      <c r="A1353" t="s">
        <v>1616</v>
      </c>
      <c r="B1353" t="s">
        <v>1617</v>
      </c>
      <c r="C1353" t="s">
        <v>213</v>
      </c>
      <c r="D1353" t="s">
        <v>55</v>
      </c>
      <c r="E1353" t="s">
        <v>19</v>
      </c>
      <c r="F1353" t="s">
        <v>19</v>
      </c>
      <c r="H1353" s="2">
        <v>45726</v>
      </c>
      <c r="I1353" s="1">
        <v>-8140</v>
      </c>
      <c r="J1353">
        <v>-8140</v>
      </c>
      <c r="K1353" t="s">
        <v>20</v>
      </c>
      <c r="L1353">
        <v>11</v>
      </c>
      <c r="M1353">
        <v>-8140</v>
      </c>
    </row>
    <row r="1354" spans="1:13">
      <c r="A1354" t="s">
        <v>1618</v>
      </c>
      <c r="B1354" t="s">
        <v>1619</v>
      </c>
      <c r="C1354" t="s">
        <v>16</v>
      </c>
      <c r="D1354" t="s">
        <v>17</v>
      </c>
      <c r="E1354" t="s">
        <v>1620</v>
      </c>
      <c r="F1354" t="s">
        <v>19</v>
      </c>
      <c r="H1354" s="2">
        <v>45455</v>
      </c>
      <c r="I1354" s="1">
        <v>-4132.5</v>
      </c>
      <c r="J1354">
        <v>-4132.5</v>
      </c>
      <c r="K1354" t="s">
        <v>20</v>
      </c>
      <c r="L1354">
        <v>0</v>
      </c>
      <c r="M1354">
        <v>-4132.5</v>
      </c>
    </row>
    <row r="1355" spans="1:13">
      <c r="A1355" t="s">
        <v>1618</v>
      </c>
      <c r="B1355" t="s">
        <v>1619</v>
      </c>
      <c r="C1355" t="s">
        <v>16</v>
      </c>
      <c r="D1355" t="s">
        <v>17</v>
      </c>
      <c r="E1355" t="s">
        <v>1621</v>
      </c>
      <c r="F1355" t="s">
        <v>19</v>
      </c>
      <c r="H1355" s="2">
        <v>45455</v>
      </c>
      <c r="I1355" s="1">
        <v>-15562.13</v>
      </c>
      <c r="J1355">
        <v>-15562.13</v>
      </c>
      <c r="K1355" t="s">
        <v>20</v>
      </c>
      <c r="L1355">
        <v>0</v>
      </c>
      <c r="M1355">
        <v>-15562.13</v>
      </c>
    </row>
    <row r="1356" spans="1:13">
      <c r="A1356" t="s">
        <v>1618</v>
      </c>
      <c r="B1356" t="s">
        <v>1619</v>
      </c>
      <c r="C1356" t="s">
        <v>16</v>
      </c>
      <c r="D1356" t="s">
        <v>21</v>
      </c>
      <c r="E1356" t="s">
        <v>1622</v>
      </c>
      <c r="F1356" t="s">
        <v>1622</v>
      </c>
      <c r="G1356" s="2">
        <v>45657</v>
      </c>
      <c r="H1356" s="2">
        <v>45687</v>
      </c>
      <c r="I1356" s="1">
        <v>41759.279999999999</v>
      </c>
      <c r="J1356">
        <v>96.96</v>
      </c>
      <c r="K1356" t="s">
        <v>20</v>
      </c>
      <c r="L1356">
        <v>0</v>
      </c>
      <c r="M1356">
        <v>96.96</v>
      </c>
    </row>
    <row r="1357" spans="1:13">
      <c r="A1357" t="s">
        <v>1618</v>
      </c>
      <c r="B1357" t="s">
        <v>1619</v>
      </c>
      <c r="C1357" t="s">
        <v>16</v>
      </c>
      <c r="D1357" t="s">
        <v>55</v>
      </c>
      <c r="E1357" t="s">
        <v>1622</v>
      </c>
      <c r="F1357" t="s">
        <v>1622</v>
      </c>
      <c r="H1357" s="2">
        <v>45673</v>
      </c>
      <c r="I1357" s="1">
        <v>-41662.32</v>
      </c>
      <c r="J1357" t="s">
        <v>86</v>
      </c>
      <c r="K1357" t="s">
        <v>20</v>
      </c>
      <c r="L1357">
        <v>0</v>
      </c>
      <c r="M1357" t="s">
        <v>86</v>
      </c>
    </row>
    <row r="1358" spans="1:13">
      <c r="A1358" t="s">
        <v>1618</v>
      </c>
      <c r="B1358" t="s">
        <v>1619</v>
      </c>
      <c r="C1358" t="s">
        <v>16</v>
      </c>
      <c r="D1358" t="s">
        <v>21</v>
      </c>
      <c r="E1358" t="s">
        <v>1623</v>
      </c>
      <c r="F1358" t="s">
        <v>1623</v>
      </c>
      <c r="G1358" s="2">
        <v>45713</v>
      </c>
      <c r="H1358" s="2">
        <v>45743</v>
      </c>
      <c r="I1358" s="1">
        <v>42300</v>
      </c>
      <c r="J1358">
        <v>42300</v>
      </c>
      <c r="K1358" t="s">
        <v>20</v>
      </c>
      <c r="L1358">
        <v>13</v>
      </c>
      <c r="M1358">
        <v>42300</v>
      </c>
    </row>
    <row r="1359" spans="1:13">
      <c r="A1359" t="s">
        <v>1624</v>
      </c>
      <c r="B1359" t="s">
        <v>1625</v>
      </c>
      <c r="C1359" t="s">
        <v>16</v>
      </c>
      <c r="D1359" t="s">
        <v>21</v>
      </c>
      <c r="E1359" t="s">
        <v>1626</v>
      </c>
      <c r="F1359" t="s">
        <v>1626</v>
      </c>
      <c r="G1359" s="2">
        <v>45596</v>
      </c>
      <c r="H1359" s="2">
        <v>45626</v>
      </c>
      <c r="I1359" s="1">
        <v>1323</v>
      </c>
      <c r="J1359">
        <v>1323</v>
      </c>
      <c r="K1359" t="s">
        <v>20</v>
      </c>
      <c r="L1359">
        <v>0</v>
      </c>
      <c r="M1359">
        <v>1323</v>
      </c>
    </row>
    <row r="1360" spans="1:13">
      <c r="A1360" t="s">
        <v>1627</v>
      </c>
      <c r="B1360" t="s">
        <v>1628</v>
      </c>
      <c r="C1360" t="s">
        <v>16</v>
      </c>
      <c r="D1360" t="s">
        <v>21</v>
      </c>
      <c r="E1360" t="s">
        <v>1629</v>
      </c>
      <c r="F1360" t="s">
        <v>1629</v>
      </c>
      <c r="G1360" s="2">
        <v>45005</v>
      </c>
      <c r="H1360" s="2">
        <v>45035</v>
      </c>
      <c r="I1360">
        <v>208.55</v>
      </c>
      <c r="J1360">
        <v>208.55</v>
      </c>
      <c r="K1360" t="s">
        <v>20</v>
      </c>
      <c r="L1360">
        <v>0</v>
      </c>
      <c r="M1360">
        <v>208.55</v>
      </c>
    </row>
    <row r="1361" spans="1:13">
      <c r="A1361" t="s">
        <v>1627</v>
      </c>
      <c r="B1361" t="s">
        <v>1628</v>
      </c>
      <c r="C1361" t="s">
        <v>16</v>
      </c>
      <c r="D1361" t="s">
        <v>21</v>
      </c>
      <c r="E1361" t="s">
        <v>1630</v>
      </c>
      <c r="F1361" t="s">
        <v>1630</v>
      </c>
      <c r="G1361" s="2">
        <v>45037</v>
      </c>
      <c r="H1361" s="2">
        <v>45067</v>
      </c>
      <c r="I1361">
        <v>96.89</v>
      </c>
      <c r="J1361">
        <v>96.89</v>
      </c>
      <c r="K1361" t="s">
        <v>20</v>
      </c>
      <c r="L1361">
        <v>0</v>
      </c>
      <c r="M1361">
        <v>96.89</v>
      </c>
    </row>
    <row r="1362" spans="1:13">
      <c r="A1362" t="s">
        <v>1627</v>
      </c>
      <c r="B1362" t="s">
        <v>1628</v>
      </c>
      <c r="C1362" t="s">
        <v>16</v>
      </c>
      <c r="D1362" t="s">
        <v>21</v>
      </c>
      <c r="E1362" t="s">
        <v>1631</v>
      </c>
      <c r="F1362" t="s">
        <v>1631</v>
      </c>
      <c r="G1362" s="2">
        <v>45047</v>
      </c>
      <c r="H1362" s="2">
        <v>45077</v>
      </c>
      <c r="I1362">
        <v>735.28</v>
      </c>
      <c r="J1362">
        <v>735.28</v>
      </c>
      <c r="K1362" t="s">
        <v>20</v>
      </c>
      <c r="L1362">
        <v>0</v>
      </c>
      <c r="M1362">
        <v>735.28</v>
      </c>
    </row>
    <row r="1363" spans="1:13">
      <c r="A1363" t="s">
        <v>1627</v>
      </c>
      <c r="B1363" t="s">
        <v>1628</v>
      </c>
      <c r="C1363" t="s">
        <v>16</v>
      </c>
      <c r="D1363" t="s">
        <v>21</v>
      </c>
      <c r="E1363" t="s">
        <v>1632</v>
      </c>
      <c r="F1363" t="s">
        <v>1632</v>
      </c>
      <c r="G1363" s="2">
        <v>45048</v>
      </c>
      <c r="H1363" s="2">
        <v>45078</v>
      </c>
      <c r="I1363">
        <v>300.48</v>
      </c>
      <c r="J1363">
        <v>300.48</v>
      </c>
      <c r="K1363" t="s">
        <v>20</v>
      </c>
      <c r="L1363">
        <v>0</v>
      </c>
      <c r="M1363">
        <v>300.48</v>
      </c>
    </row>
    <row r="1364" spans="1:13">
      <c r="A1364" t="s">
        <v>1627</v>
      </c>
      <c r="B1364" t="s">
        <v>1628</v>
      </c>
      <c r="C1364" t="s">
        <v>16</v>
      </c>
      <c r="D1364" t="s">
        <v>21</v>
      </c>
      <c r="E1364" t="s">
        <v>1633</v>
      </c>
      <c r="F1364" t="s">
        <v>1633</v>
      </c>
      <c r="G1364" s="2">
        <v>45061</v>
      </c>
      <c r="H1364" s="2">
        <v>45091</v>
      </c>
      <c r="I1364">
        <v>96.79</v>
      </c>
      <c r="J1364">
        <v>96.79</v>
      </c>
      <c r="K1364" t="s">
        <v>20</v>
      </c>
      <c r="L1364">
        <v>0</v>
      </c>
      <c r="M1364">
        <v>96.79</v>
      </c>
    </row>
    <row r="1365" spans="1:13">
      <c r="A1365" t="s">
        <v>1627</v>
      </c>
      <c r="B1365" t="s">
        <v>1628</v>
      </c>
      <c r="C1365" t="s">
        <v>16</v>
      </c>
      <c r="D1365" t="s">
        <v>21</v>
      </c>
      <c r="E1365" t="s">
        <v>1634</v>
      </c>
      <c r="F1365" t="s">
        <v>1634</v>
      </c>
      <c r="G1365" s="2">
        <v>45068</v>
      </c>
      <c r="H1365" s="2">
        <v>45098</v>
      </c>
      <c r="I1365">
        <v>545.29999999999995</v>
      </c>
      <c r="J1365">
        <v>545.29999999999995</v>
      </c>
      <c r="K1365" t="s">
        <v>20</v>
      </c>
      <c r="L1365">
        <v>0</v>
      </c>
      <c r="M1365">
        <v>545.29999999999995</v>
      </c>
    </row>
    <row r="1366" spans="1:13">
      <c r="A1366" t="s">
        <v>1627</v>
      </c>
      <c r="B1366" t="s">
        <v>1628</v>
      </c>
      <c r="C1366" t="s">
        <v>16</v>
      </c>
      <c r="D1366" t="s">
        <v>21</v>
      </c>
      <c r="E1366" t="s">
        <v>1635</v>
      </c>
      <c r="F1366" t="s">
        <v>1635</v>
      </c>
      <c r="G1366" s="2">
        <v>45077</v>
      </c>
      <c r="H1366" s="2">
        <v>45107</v>
      </c>
      <c r="I1366">
        <v>682.22</v>
      </c>
      <c r="J1366">
        <v>682.22</v>
      </c>
      <c r="K1366" t="s">
        <v>20</v>
      </c>
      <c r="L1366">
        <v>0</v>
      </c>
      <c r="M1366">
        <v>682.22</v>
      </c>
    </row>
    <row r="1367" spans="1:13">
      <c r="A1367" t="s">
        <v>1627</v>
      </c>
      <c r="B1367" t="s">
        <v>1628</v>
      </c>
      <c r="C1367" t="s">
        <v>16</v>
      </c>
      <c r="D1367" t="s">
        <v>21</v>
      </c>
      <c r="E1367" t="s">
        <v>1636</v>
      </c>
      <c r="F1367" t="s">
        <v>1636</v>
      </c>
      <c r="G1367" s="2">
        <v>45091</v>
      </c>
      <c r="H1367" s="2">
        <v>45121</v>
      </c>
      <c r="I1367">
        <v>262.91000000000003</v>
      </c>
      <c r="J1367">
        <v>262.91000000000003</v>
      </c>
      <c r="K1367" t="s">
        <v>20</v>
      </c>
      <c r="L1367">
        <v>0</v>
      </c>
      <c r="M1367">
        <v>262.91000000000003</v>
      </c>
    </row>
    <row r="1368" spans="1:13">
      <c r="A1368" t="s">
        <v>1627</v>
      </c>
      <c r="B1368" t="s">
        <v>1628</v>
      </c>
      <c r="C1368" t="s">
        <v>16</v>
      </c>
      <c r="D1368" t="s">
        <v>21</v>
      </c>
      <c r="E1368" t="s">
        <v>1637</v>
      </c>
      <c r="F1368" t="s">
        <v>1637</v>
      </c>
      <c r="G1368" s="2">
        <v>45107</v>
      </c>
      <c r="H1368" s="2">
        <v>45137</v>
      </c>
      <c r="I1368">
        <v>262.91000000000003</v>
      </c>
      <c r="J1368">
        <v>262.91000000000003</v>
      </c>
      <c r="K1368" t="s">
        <v>20</v>
      </c>
      <c r="L1368">
        <v>0</v>
      </c>
      <c r="M1368">
        <v>262.91000000000003</v>
      </c>
    </row>
    <row r="1369" spans="1:13">
      <c r="A1369" t="s">
        <v>1627</v>
      </c>
      <c r="B1369" t="s">
        <v>1628</v>
      </c>
      <c r="C1369" t="s">
        <v>16</v>
      </c>
      <c r="D1369" t="s">
        <v>21</v>
      </c>
      <c r="E1369" t="s">
        <v>1638</v>
      </c>
      <c r="F1369" t="s">
        <v>1638</v>
      </c>
      <c r="G1369" s="2">
        <v>45110</v>
      </c>
      <c r="H1369" s="2">
        <v>45140</v>
      </c>
      <c r="I1369">
        <v>246.11</v>
      </c>
      <c r="J1369">
        <v>246.11</v>
      </c>
      <c r="K1369" t="s">
        <v>20</v>
      </c>
      <c r="L1369">
        <v>0</v>
      </c>
      <c r="M1369">
        <v>246.11</v>
      </c>
    </row>
    <row r="1370" spans="1:13">
      <c r="A1370" t="s">
        <v>1627</v>
      </c>
      <c r="B1370" t="s">
        <v>1628</v>
      </c>
      <c r="C1370" t="s">
        <v>16</v>
      </c>
      <c r="D1370" t="s">
        <v>21</v>
      </c>
      <c r="E1370" t="s">
        <v>1639</v>
      </c>
      <c r="F1370" t="s">
        <v>1639</v>
      </c>
      <c r="G1370" s="2">
        <v>45112</v>
      </c>
      <c r="H1370" s="2">
        <v>45142</v>
      </c>
      <c r="I1370">
        <v>460</v>
      </c>
      <c r="J1370">
        <v>460</v>
      </c>
      <c r="K1370" t="s">
        <v>20</v>
      </c>
      <c r="L1370">
        <v>0</v>
      </c>
      <c r="M1370">
        <v>460</v>
      </c>
    </row>
    <row r="1371" spans="1:13">
      <c r="A1371" t="s">
        <v>1627</v>
      </c>
      <c r="B1371" t="s">
        <v>1628</v>
      </c>
      <c r="C1371" t="s">
        <v>16</v>
      </c>
      <c r="D1371" t="s">
        <v>21</v>
      </c>
      <c r="E1371" t="s">
        <v>1640</v>
      </c>
      <c r="F1371" t="s">
        <v>1640</v>
      </c>
      <c r="G1371" s="2">
        <v>45114</v>
      </c>
      <c r="H1371" s="2">
        <v>45144</v>
      </c>
      <c r="I1371">
        <v>304.87</v>
      </c>
      <c r="J1371">
        <v>304.87</v>
      </c>
      <c r="K1371" t="s">
        <v>20</v>
      </c>
      <c r="L1371">
        <v>0</v>
      </c>
      <c r="M1371">
        <v>304.87</v>
      </c>
    </row>
    <row r="1372" spans="1:13">
      <c r="A1372" t="s">
        <v>1627</v>
      </c>
      <c r="B1372" t="s">
        <v>1628</v>
      </c>
      <c r="C1372" t="s">
        <v>16</v>
      </c>
      <c r="D1372" t="s">
        <v>21</v>
      </c>
      <c r="E1372" t="s">
        <v>1641</v>
      </c>
      <c r="F1372" t="s">
        <v>1641</v>
      </c>
      <c r="G1372" s="2">
        <v>45149</v>
      </c>
      <c r="H1372" s="2">
        <v>45179</v>
      </c>
      <c r="I1372">
        <v>137.12</v>
      </c>
      <c r="J1372">
        <v>137.12</v>
      </c>
      <c r="K1372" t="s">
        <v>20</v>
      </c>
      <c r="L1372">
        <v>0</v>
      </c>
      <c r="M1372">
        <v>137.12</v>
      </c>
    </row>
    <row r="1373" spans="1:13">
      <c r="A1373" t="s">
        <v>1627</v>
      </c>
      <c r="B1373" t="s">
        <v>1628</v>
      </c>
      <c r="C1373" t="s">
        <v>16</v>
      </c>
      <c r="D1373" t="s">
        <v>21</v>
      </c>
      <c r="E1373" t="s">
        <v>1642</v>
      </c>
      <c r="F1373" t="s">
        <v>1642</v>
      </c>
      <c r="G1373" s="2">
        <v>45154</v>
      </c>
      <c r="H1373" s="2">
        <v>45184</v>
      </c>
      <c r="I1373">
        <v>216.33</v>
      </c>
      <c r="J1373">
        <v>216.33</v>
      </c>
      <c r="K1373" t="s">
        <v>20</v>
      </c>
      <c r="L1373">
        <v>0</v>
      </c>
      <c r="M1373">
        <v>216.33</v>
      </c>
    </row>
    <row r="1374" spans="1:13">
      <c r="A1374" t="s">
        <v>1627</v>
      </c>
      <c r="B1374" t="s">
        <v>1628</v>
      </c>
      <c r="C1374" t="s">
        <v>16</v>
      </c>
      <c r="D1374" t="s">
        <v>21</v>
      </c>
      <c r="E1374" t="s">
        <v>1643</v>
      </c>
      <c r="F1374" t="s">
        <v>1643</v>
      </c>
      <c r="G1374" s="2">
        <v>45167</v>
      </c>
      <c r="H1374" s="2">
        <v>45197</v>
      </c>
      <c r="I1374">
        <v>176.95</v>
      </c>
      <c r="J1374">
        <v>176.95</v>
      </c>
      <c r="K1374" t="s">
        <v>20</v>
      </c>
      <c r="L1374">
        <v>0</v>
      </c>
      <c r="M1374">
        <v>176.95</v>
      </c>
    </row>
    <row r="1375" spans="1:13">
      <c r="A1375" t="s">
        <v>1627</v>
      </c>
      <c r="B1375" t="s">
        <v>1628</v>
      </c>
      <c r="C1375" t="s">
        <v>16</v>
      </c>
      <c r="D1375" t="s">
        <v>21</v>
      </c>
      <c r="E1375" t="s">
        <v>1644</v>
      </c>
      <c r="F1375" t="s">
        <v>1644</v>
      </c>
      <c r="G1375" s="2">
        <v>45180</v>
      </c>
      <c r="H1375" s="2">
        <v>45210</v>
      </c>
      <c r="I1375">
        <v>94.52</v>
      </c>
      <c r="J1375">
        <v>94.52</v>
      </c>
      <c r="K1375" t="s">
        <v>20</v>
      </c>
      <c r="L1375">
        <v>0</v>
      </c>
      <c r="M1375">
        <v>94.52</v>
      </c>
    </row>
    <row r="1376" spans="1:13">
      <c r="A1376" t="s">
        <v>1627</v>
      </c>
      <c r="B1376" t="s">
        <v>1628</v>
      </c>
      <c r="C1376" t="s">
        <v>16</v>
      </c>
      <c r="D1376" t="s">
        <v>21</v>
      </c>
      <c r="E1376" t="s">
        <v>1645</v>
      </c>
      <c r="F1376" t="s">
        <v>1645</v>
      </c>
      <c r="G1376" s="2">
        <v>45180</v>
      </c>
      <c r="H1376" s="2">
        <v>45210</v>
      </c>
      <c r="I1376">
        <v>447.93</v>
      </c>
      <c r="J1376">
        <v>447.93</v>
      </c>
      <c r="K1376" t="s">
        <v>20</v>
      </c>
      <c r="L1376">
        <v>0</v>
      </c>
      <c r="M1376">
        <v>447.93</v>
      </c>
    </row>
    <row r="1377" spans="1:13">
      <c r="A1377" t="s">
        <v>1627</v>
      </c>
      <c r="B1377" t="s">
        <v>1628</v>
      </c>
      <c r="C1377" t="s">
        <v>16</v>
      </c>
      <c r="D1377" t="s">
        <v>21</v>
      </c>
      <c r="E1377" t="s">
        <v>1646</v>
      </c>
      <c r="F1377" t="s">
        <v>1646</v>
      </c>
      <c r="G1377" s="2">
        <v>45194</v>
      </c>
      <c r="H1377" s="2">
        <v>45224</v>
      </c>
      <c r="I1377">
        <v>203.03</v>
      </c>
      <c r="J1377">
        <v>203.03</v>
      </c>
      <c r="K1377" t="s">
        <v>20</v>
      </c>
      <c r="L1377">
        <v>0</v>
      </c>
      <c r="M1377">
        <v>203.03</v>
      </c>
    </row>
    <row r="1378" spans="1:13">
      <c r="A1378" t="s">
        <v>1627</v>
      </c>
      <c r="B1378" t="s">
        <v>1628</v>
      </c>
      <c r="C1378" t="s">
        <v>16</v>
      </c>
      <c r="D1378" t="s">
        <v>21</v>
      </c>
      <c r="E1378" t="s">
        <v>1647</v>
      </c>
      <c r="F1378" t="s">
        <v>1647</v>
      </c>
      <c r="G1378" s="2">
        <v>45215</v>
      </c>
      <c r="H1378" s="2">
        <v>45245</v>
      </c>
      <c r="I1378">
        <v>303.04000000000002</v>
      </c>
      <c r="J1378">
        <v>303.04000000000002</v>
      </c>
      <c r="K1378" t="s">
        <v>20</v>
      </c>
      <c r="L1378">
        <v>0</v>
      </c>
      <c r="M1378">
        <v>303.04000000000002</v>
      </c>
    </row>
    <row r="1379" spans="1:13">
      <c r="A1379" t="s">
        <v>1627</v>
      </c>
      <c r="B1379" t="s">
        <v>1628</v>
      </c>
      <c r="C1379" t="s">
        <v>16</v>
      </c>
      <c r="D1379" t="s">
        <v>21</v>
      </c>
      <c r="E1379" t="s">
        <v>1648</v>
      </c>
      <c r="F1379" t="s">
        <v>1648</v>
      </c>
      <c r="G1379" s="2">
        <v>45217</v>
      </c>
      <c r="H1379" s="2">
        <v>45247</v>
      </c>
      <c r="I1379">
        <v>568.86</v>
      </c>
      <c r="J1379">
        <v>568.86</v>
      </c>
      <c r="K1379" t="s">
        <v>20</v>
      </c>
      <c r="L1379">
        <v>0</v>
      </c>
      <c r="M1379">
        <v>568.86</v>
      </c>
    </row>
    <row r="1380" spans="1:13">
      <c r="A1380" t="s">
        <v>1627</v>
      </c>
      <c r="B1380" t="s">
        <v>1628</v>
      </c>
      <c r="C1380" t="s">
        <v>16</v>
      </c>
      <c r="D1380" t="s">
        <v>21</v>
      </c>
      <c r="E1380" t="s">
        <v>1649</v>
      </c>
      <c r="F1380" t="s">
        <v>1649</v>
      </c>
      <c r="G1380" s="2">
        <v>45217</v>
      </c>
      <c r="H1380" s="2">
        <v>45247</v>
      </c>
      <c r="I1380">
        <v>64.41</v>
      </c>
      <c r="J1380">
        <v>64.41</v>
      </c>
      <c r="K1380" t="s">
        <v>20</v>
      </c>
      <c r="L1380">
        <v>0</v>
      </c>
      <c r="M1380">
        <v>64.41</v>
      </c>
    </row>
    <row r="1381" spans="1:13">
      <c r="A1381" t="s">
        <v>1627</v>
      </c>
      <c r="B1381" t="s">
        <v>1628</v>
      </c>
      <c r="C1381" t="s">
        <v>16</v>
      </c>
      <c r="D1381" t="s">
        <v>21</v>
      </c>
      <c r="E1381" t="s">
        <v>1650</v>
      </c>
      <c r="F1381" t="s">
        <v>1650</v>
      </c>
      <c r="G1381" s="2">
        <v>45217</v>
      </c>
      <c r="H1381" s="2">
        <v>45247</v>
      </c>
      <c r="I1381">
        <v>265.66000000000003</v>
      </c>
      <c r="J1381">
        <v>265.66000000000003</v>
      </c>
      <c r="K1381" t="s">
        <v>20</v>
      </c>
      <c r="L1381">
        <v>0</v>
      </c>
      <c r="M1381">
        <v>265.66000000000003</v>
      </c>
    </row>
    <row r="1382" spans="1:13">
      <c r="A1382" t="s">
        <v>1627</v>
      </c>
      <c r="B1382" t="s">
        <v>1628</v>
      </c>
      <c r="C1382" t="s">
        <v>16</v>
      </c>
      <c r="D1382" t="s">
        <v>21</v>
      </c>
      <c r="E1382" t="s">
        <v>1651</v>
      </c>
      <c r="F1382" t="s">
        <v>1651</v>
      </c>
      <c r="G1382" s="2">
        <v>45231</v>
      </c>
      <c r="H1382" s="2">
        <v>45261</v>
      </c>
      <c r="I1382">
        <v>417.45</v>
      </c>
      <c r="J1382">
        <v>417.45</v>
      </c>
      <c r="K1382" t="s">
        <v>20</v>
      </c>
      <c r="L1382">
        <v>0</v>
      </c>
      <c r="M1382">
        <v>417.45</v>
      </c>
    </row>
    <row r="1383" spans="1:13">
      <c r="A1383" t="s">
        <v>1627</v>
      </c>
      <c r="B1383" t="s">
        <v>1628</v>
      </c>
      <c r="C1383" t="s">
        <v>16</v>
      </c>
      <c r="D1383" t="s">
        <v>21</v>
      </c>
      <c r="E1383" t="s">
        <v>1652</v>
      </c>
      <c r="F1383" t="s">
        <v>1652</v>
      </c>
      <c r="G1383" s="2">
        <v>45246</v>
      </c>
      <c r="H1383" s="2">
        <v>45276</v>
      </c>
      <c r="I1383">
        <v>516.13</v>
      </c>
      <c r="J1383">
        <v>516.13</v>
      </c>
      <c r="K1383" t="s">
        <v>20</v>
      </c>
      <c r="L1383">
        <v>0</v>
      </c>
      <c r="M1383">
        <v>516.13</v>
      </c>
    </row>
    <row r="1384" spans="1:13">
      <c r="A1384" t="s">
        <v>1627</v>
      </c>
      <c r="B1384" t="s">
        <v>1628</v>
      </c>
      <c r="C1384" t="s">
        <v>16</v>
      </c>
      <c r="D1384" t="s">
        <v>17</v>
      </c>
      <c r="E1384" t="s">
        <v>1653</v>
      </c>
      <c r="F1384" t="s">
        <v>19</v>
      </c>
      <c r="H1384" s="2">
        <v>45289</v>
      </c>
      <c r="I1384">
        <v>-6.15</v>
      </c>
      <c r="J1384">
        <v>-6.15</v>
      </c>
      <c r="K1384" t="s">
        <v>20</v>
      </c>
      <c r="L1384">
        <v>0</v>
      </c>
      <c r="M1384">
        <v>-6.15</v>
      </c>
    </row>
    <row r="1385" spans="1:13">
      <c r="A1385" t="s">
        <v>1627</v>
      </c>
      <c r="B1385" t="s">
        <v>1628</v>
      </c>
      <c r="C1385" t="s">
        <v>16</v>
      </c>
      <c r="D1385" t="s">
        <v>17</v>
      </c>
      <c r="E1385" t="s">
        <v>1654</v>
      </c>
      <c r="F1385" t="s">
        <v>19</v>
      </c>
      <c r="H1385" s="2">
        <v>45289</v>
      </c>
      <c r="I1385">
        <v>-24.86</v>
      </c>
      <c r="J1385">
        <v>-24.86</v>
      </c>
      <c r="K1385" t="s">
        <v>20</v>
      </c>
      <c r="L1385">
        <v>0</v>
      </c>
      <c r="M1385">
        <v>-24.86</v>
      </c>
    </row>
    <row r="1386" spans="1:13">
      <c r="A1386" t="s">
        <v>1627</v>
      </c>
      <c r="B1386" t="s">
        <v>1628</v>
      </c>
      <c r="C1386" t="s">
        <v>16</v>
      </c>
      <c r="D1386" t="s">
        <v>21</v>
      </c>
      <c r="E1386" t="s">
        <v>1655</v>
      </c>
      <c r="F1386" t="s">
        <v>1655</v>
      </c>
      <c r="G1386" s="2">
        <v>45279</v>
      </c>
      <c r="H1386" s="2">
        <v>45309</v>
      </c>
      <c r="I1386">
        <v>176.9</v>
      </c>
      <c r="J1386">
        <v>176.9</v>
      </c>
      <c r="K1386" t="s">
        <v>20</v>
      </c>
      <c r="L1386">
        <v>0</v>
      </c>
      <c r="M1386">
        <v>176.9</v>
      </c>
    </row>
    <row r="1387" spans="1:13">
      <c r="A1387" t="s">
        <v>1627</v>
      </c>
      <c r="B1387" t="s">
        <v>1628</v>
      </c>
      <c r="C1387" t="s">
        <v>16</v>
      </c>
      <c r="D1387" t="s">
        <v>21</v>
      </c>
      <c r="E1387" t="s">
        <v>1656</v>
      </c>
      <c r="F1387" t="s">
        <v>1656</v>
      </c>
      <c r="G1387" s="2">
        <v>45289</v>
      </c>
      <c r="H1387" s="2">
        <v>45319</v>
      </c>
      <c r="I1387">
        <v>229.17</v>
      </c>
      <c r="J1387">
        <v>229.17</v>
      </c>
      <c r="K1387" t="s">
        <v>20</v>
      </c>
      <c r="L1387">
        <v>0</v>
      </c>
      <c r="M1387">
        <v>229.17</v>
      </c>
    </row>
    <row r="1388" spans="1:13">
      <c r="A1388" t="s">
        <v>1627</v>
      </c>
      <c r="B1388" t="s">
        <v>1628</v>
      </c>
      <c r="C1388" t="s">
        <v>16</v>
      </c>
      <c r="D1388" t="s">
        <v>17</v>
      </c>
      <c r="E1388" t="s">
        <v>1657</v>
      </c>
      <c r="F1388" t="s">
        <v>19</v>
      </c>
      <c r="H1388" s="2">
        <v>45322</v>
      </c>
      <c r="I1388">
        <v>-30.87</v>
      </c>
      <c r="J1388">
        <v>-30.87</v>
      </c>
      <c r="K1388" t="s">
        <v>20</v>
      </c>
      <c r="L1388">
        <v>0</v>
      </c>
      <c r="M1388">
        <v>-30.87</v>
      </c>
    </row>
    <row r="1389" spans="1:13">
      <c r="A1389" t="s">
        <v>1627</v>
      </c>
      <c r="B1389" t="s">
        <v>1628</v>
      </c>
      <c r="C1389" t="s">
        <v>16</v>
      </c>
      <c r="D1389" t="s">
        <v>17</v>
      </c>
      <c r="E1389" t="s">
        <v>1658</v>
      </c>
      <c r="F1389" t="s">
        <v>19</v>
      </c>
      <c r="H1389" s="2">
        <v>45322</v>
      </c>
      <c r="I1389">
        <v>-6.94</v>
      </c>
      <c r="J1389">
        <v>-6.94</v>
      </c>
      <c r="K1389" t="s">
        <v>20</v>
      </c>
      <c r="L1389">
        <v>0</v>
      </c>
      <c r="M1389">
        <v>-6.94</v>
      </c>
    </row>
    <row r="1390" spans="1:13">
      <c r="A1390" t="s">
        <v>1627</v>
      </c>
      <c r="B1390" t="s">
        <v>1628</v>
      </c>
      <c r="C1390" t="s">
        <v>16</v>
      </c>
      <c r="D1390" t="s">
        <v>17</v>
      </c>
      <c r="E1390" t="s">
        <v>1659</v>
      </c>
      <c r="F1390" t="s">
        <v>19</v>
      </c>
      <c r="H1390" s="2">
        <v>45322</v>
      </c>
      <c r="I1390">
        <v>-13.72</v>
      </c>
      <c r="J1390">
        <v>-13.72</v>
      </c>
      <c r="K1390" t="s">
        <v>20</v>
      </c>
      <c r="L1390">
        <v>0</v>
      </c>
      <c r="M1390">
        <v>-13.72</v>
      </c>
    </row>
    <row r="1391" spans="1:13">
      <c r="A1391" t="s">
        <v>1627</v>
      </c>
      <c r="B1391" t="s">
        <v>1628</v>
      </c>
      <c r="C1391" t="s">
        <v>16</v>
      </c>
      <c r="D1391" t="s">
        <v>21</v>
      </c>
      <c r="E1391" t="s">
        <v>1660</v>
      </c>
      <c r="F1391" t="s">
        <v>1660</v>
      </c>
      <c r="G1391" s="2">
        <v>45294</v>
      </c>
      <c r="H1391" s="2">
        <v>45324</v>
      </c>
      <c r="I1391">
        <v>608.23</v>
      </c>
      <c r="J1391">
        <v>30.41</v>
      </c>
      <c r="K1391" t="s">
        <v>20</v>
      </c>
      <c r="L1391">
        <v>0</v>
      </c>
      <c r="M1391">
        <v>30.41</v>
      </c>
    </row>
    <row r="1392" spans="1:13">
      <c r="A1392" t="s">
        <v>1627</v>
      </c>
      <c r="B1392" t="s">
        <v>1628</v>
      </c>
      <c r="C1392" t="s">
        <v>16</v>
      </c>
      <c r="D1392" t="s">
        <v>55</v>
      </c>
      <c r="E1392" t="s">
        <v>1660</v>
      </c>
      <c r="F1392" t="s">
        <v>1660</v>
      </c>
      <c r="H1392" s="2">
        <v>45576</v>
      </c>
      <c r="I1392">
        <v>-577.82000000000005</v>
      </c>
      <c r="J1392" t="s">
        <v>86</v>
      </c>
      <c r="K1392" t="s">
        <v>20</v>
      </c>
      <c r="L1392">
        <v>0</v>
      </c>
      <c r="M1392" t="s">
        <v>86</v>
      </c>
    </row>
    <row r="1393" spans="1:13">
      <c r="A1393" t="s">
        <v>1627</v>
      </c>
      <c r="B1393" t="s">
        <v>1628</v>
      </c>
      <c r="C1393" t="s">
        <v>16</v>
      </c>
      <c r="D1393" t="s">
        <v>21</v>
      </c>
      <c r="E1393" t="s">
        <v>1661</v>
      </c>
      <c r="F1393" t="s">
        <v>1661</v>
      </c>
      <c r="G1393" s="2">
        <v>45295</v>
      </c>
      <c r="H1393" s="2">
        <v>45325</v>
      </c>
      <c r="I1393" s="1">
        <v>1559.91</v>
      </c>
      <c r="J1393">
        <v>78</v>
      </c>
      <c r="K1393" t="s">
        <v>20</v>
      </c>
      <c r="L1393">
        <v>0</v>
      </c>
      <c r="M1393">
        <v>78</v>
      </c>
    </row>
    <row r="1394" spans="1:13">
      <c r="A1394" t="s">
        <v>1627</v>
      </c>
      <c r="B1394" t="s">
        <v>1628</v>
      </c>
      <c r="C1394" t="s">
        <v>16</v>
      </c>
      <c r="D1394" t="s">
        <v>55</v>
      </c>
      <c r="E1394" t="s">
        <v>1661</v>
      </c>
      <c r="F1394" t="s">
        <v>1661</v>
      </c>
      <c r="H1394" s="2">
        <v>45576</v>
      </c>
      <c r="I1394" s="1">
        <v>-1481.91</v>
      </c>
      <c r="J1394" t="s">
        <v>86</v>
      </c>
      <c r="K1394" t="s">
        <v>20</v>
      </c>
      <c r="L1394">
        <v>0</v>
      </c>
      <c r="M1394" t="s">
        <v>86</v>
      </c>
    </row>
    <row r="1395" spans="1:13">
      <c r="A1395" t="s">
        <v>1627</v>
      </c>
      <c r="B1395" t="s">
        <v>1628</v>
      </c>
      <c r="C1395" t="s">
        <v>16</v>
      </c>
      <c r="D1395" t="s">
        <v>21</v>
      </c>
      <c r="E1395" t="s">
        <v>1662</v>
      </c>
      <c r="F1395" t="s">
        <v>1662</v>
      </c>
      <c r="G1395" s="2">
        <v>45296</v>
      </c>
      <c r="H1395" s="2">
        <v>45326</v>
      </c>
      <c r="I1395">
        <v>725.82</v>
      </c>
      <c r="J1395">
        <v>36.29</v>
      </c>
      <c r="K1395" t="s">
        <v>20</v>
      </c>
      <c r="L1395">
        <v>0</v>
      </c>
      <c r="M1395">
        <v>36.29</v>
      </c>
    </row>
    <row r="1396" spans="1:13">
      <c r="A1396" t="s">
        <v>1627</v>
      </c>
      <c r="B1396" t="s">
        <v>1628</v>
      </c>
      <c r="C1396" t="s">
        <v>16</v>
      </c>
      <c r="D1396" t="s">
        <v>55</v>
      </c>
      <c r="E1396" t="s">
        <v>1662</v>
      </c>
      <c r="F1396" t="s">
        <v>1662</v>
      </c>
      <c r="H1396" s="2">
        <v>45576</v>
      </c>
      <c r="I1396">
        <v>-689.53</v>
      </c>
      <c r="J1396" t="s">
        <v>86</v>
      </c>
      <c r="K1396" t="s">
        <v>20</v>
      </c>
      <c r="L1396">
        <v>0</v>
      </c>
      <c r="M1396" t="s">
        <v>86</v>
      </c>
    </row>
    <row r="1397" spans="1:13">
      <c r="A1397" t="s">
        <v>1627</v>
      </c>
      <c r="B1397" t="s">
        <v>1628</v>
      </c>
      <c r="C1397" t="s">
        <v>16</v>
      </c>
      <c r="D1397" t="s">
        <v>21</v>
      </c>
      <c r="E1397" t="s">
        <v>1663</v>
      </c>
      <c r="F1397" t="s">
        <v>1663</v>
      </c>
      <c r="G1397" s="2">
        <v>45301</v>
      </c>
      <c r="H1397" s="2">
        <v>45331</v>
      </c>
      <c r="I1397">
        <v>95.74</v>
      </c>
      <c r="J1397">
        <v>95.74</v>
      </c>
      <c r="K1397" t="s">
        <v>20</v>
      </c>
      <c r="L1397">
        <v>0</v>
      </c>
      <c r="M1397">
        <v>95.74</v>
      </c>
    </row>
    <row r="1398" spans="1:13">
      <c r="A1398" t="s">
        <v>1627</v>
      </c>
      <c r="B1398" t="s">
        <v>1628</v>
      </c>
      <c r="C1398" t="s">
        <v>16</v>
      </c>
      <c r="D1398" t="s">
        <v>21</v>
      </c>
      <c r="E1398" t="s">
        <v>1664</v>
      </c>
      <c r="F1398" t="s">
        <v>1664</v>
      </c>
      <c r="G1398" s="2">
        <v>45303</v>
      </c>
      <c r="H1398" s="2">
        <v>45333</v>
      </c>
      <c r="I1398">
        <v>649.98</v>
      </c>
      <c r="J1398">
        <v>649.98</v>
      </c>
      <c r="K1398" t="s">
        <v>20</v>
      </c>
      <c r="L1398">
        <v>0</v>
      </c>
      <c r="M1398">
        <v>649.98</v>
      </c>
    </row>
    <row r="1399" spans="1:13">
      <c r="A1399" t="s">
        <v>1627</v>
      </c>
      <c r="B1399" t="s">
        <v>1628</v>
      </c>
      <c r="C1399" t="s">
        <v>16</v>
      </c>
      <c r="D1399" t="s">
        <v>21</v>
      </c>
      <c r="E1399" t="s">
        <v>1665</v>
      </c>
      <c r="F1399" t="s">
        <v>1665</v>
      </c>
      <c r="G1399" s="2">
        <v>45315</v>
      </c>
      <c r="H1399" s="2">
        <v>45345</v>
      </c>
      <c r="I1399">
        <v>270.68</v>
      </c>
      <c r="J1399">
        <v>270.68</v>
      </c>
      <c r="K1399" t="s">
        <v>20</v>
      </c>
      <c r="L1399">
        <v>0</v>
      </c>
      <c r="M1399">
        <v>270.68</v>
      </c>
    </row>
    <row r="1400" spans="1:13">
      <c r="A1400" t="s">
        <v>1627</v>
      </c>
      <c r="B1400" t="s">
        <v>1628</v>
      </c>
      <c r="C1400" t="s">
        <v>16</v>
      </c>
      <c r="D1400" t="s">
        <v>21</v>
      </c>
      <c r="E1400" t="s">
        <v>1666</v>
      </c>
      <c r="F1400" t="s">
        <v>1666</v>
      </c>
      <c r="G1400" s="2">
        <v>45320</v>
      </c>
      <c r="H1400" s="2">
        <v>45350</v>
      </c>
      <c r="I1400">
        <v>178.74</v>
      </c>
      <c r="J1400">
        <v>178.74</v>
      </c>
      <c r="K1400" t="s">
        <v>20</v>
      </c>
      <c r="L1400">
        <v>0</v>
      </c>
      <c r="M1400">
        <v>178.74</v>
      </c>
    </row>
    <row r="1401" spans="1:13">
      <c r="A1401" t="s">
        <v>1627</v>
      </c>
      <c r="B1401" t="s">
        <v>1628</v>
      </c>
      <c r="C1401" t="s">
        <v>16</v>
      </c>
      <c r="D1401" t="s">
        <v>17</v>
      </c>
      <c r="E1401" t="s">
        <v>1667</v>
      </c>
      <c r="F1401" t="s">
        <v>19</v>
      </c>
      <c r="H1401" s="2">
        <v>45351</v>
      </c>
      <c r="I1401">
        <v>-99.66</v>
      </c>
      <c r="J1401">
        <v>-99.66</v>
      </c>
      <c r="K1401" t="s">
        <v>20</v>
      </c>
      <c r="L1401">
        <v>0</v>
      </c>
      <c r="M1401">
        <v>-99.66</v>
      </c>
    </row>
    <row r="1402" spans="1:13">
      <c r="A1402" t="s">
        <v>1627</v>
      </c>
      <c r="B1402" t="s">
        <v>1628</v>
      </c>
      <c r="C1402" t="s">
        <v>16</v>
      </c>
      <c r="D1402" t="s">
        <v>21</v>
      </c>
      <c r="E1402" t="s">
        <v>1668</v>
      </c>
      <c r="F1402" t="s">
        <v>1668</v>
      </c>
      <c r="G1402" s="2">
        <v>45321</v>
      </c>
      <c r="H1402" s="2">
        <v>45351</v>
      </c>
      <c r="I1402">
        <v>91.08</v>
      </c>
      <c r="J1402">
        <v>91.08</v>
      </c>
      <c r="K1402" t="s">
        <v>20</v>
      </c>
      <c r="L1402">
        <v>0</v>
      </c>
      <c r="M1402">
        <v>91.08</v>
      </c>
    </row>
    <row r="1403" spans="1:13">
      <c r="A1403" t="s">
        <v>1627</v>
      </c>
      <c r="B1403" t="s">
        <v>1628</v>
      </c>
      <c r="C1403" t="s">
        <v>16</v>
      </c>
      <c r="D1403" t="s">
        <v>21</v>
      </c>
      <c r="E1403" t="s">
        <v>1669</v>
      </c>
      <c r="F1403" t="s">
        <v>1669</v>
      </c>
      <c r="G1403" s="2">
        <v>45324</v>
      </c>
      <c r="H1403" s="2">
        <v>45354</v>
      </c>
      <c r="I1403">
        <v>270.36</v>
      </c>
      <c r="J1403">
        <v>270.36</v>
      </c>
      <c r="K1403" t="s">
        <v>20</v>
      </c>
      <c r="L1403">
        <v>0</v>
      </c>
      <c r="M1403">
        <v>270.36</v>
      </c>
    </row>
    <row r="1404" spans="1:13">
      <c r="A1404" t="s">
        <v>1627</v>
      </c>
      <c r="B1404" t="s">
        <v>1628</v>
      </c>
      <c r="C1404" t="s">
        <v>16</v>
      </c>
      <c r="D1404" t="s">
        <v>21</v>
      </c>
      <c r="E1404" t="s">
        <v>1670</v>
      </c>
      <c r="F1404" t="s">
        <v>1670</v>
      </c>
      <c r="G1404" s="2">
        <v>45331</v>
      </c>
      <c r="H1404" s="2">
        <v>45361</v>
      </c>
      <c r="I1404">
        <v>469.86</v>
      </c>
      <c r="J1404">
        <v>469.86</v>
      </c>
      <c r="K1404" t="s">
        <v>20</v>
      </c>
      <c r="L1404">
        <v>0</v>
      </c>
      <c r="M1404">
        <v>469.86</v>
      </c>
    </row>
    <row r="1405" spans="1:13">
      <c r="A1405" t="s">
        <v>1627</v>
      </c>
      <c r="B1405" t="s">
        <v>1628</v>
      </c>
      <c r="C1405" t="s">
        <v>16</v>
      </c>
      <c r="D1405" t="s">
        <v>17</v>
      </c>
      <c r="E1405" t="s">
        <v>1671</v>
      </c>
      <c r="F1405" t="s">
        <v>19</v>
      </c>
      <c r="H1405" s="2">
        <v>45380</v>
      </c>
      <c r="I1405">
        <v>-30.02</v>
      </c>
      <c r="J1405">
        <v>-30.02</v>
      </c>
      <c r="K1405" t="s">
        <v>20</v>
      </c>
      <c r="L1405">
        <v>0</v>
      </c>
      <c r="M1405">
        <v>-30.02</v>
      </c>
    </row>
    <row r="1406" spans="1:13">
      <c r="A1406" t="s">
        <v>1627</v>
      </c>
      <c r="B1406" t="s">
        <v>1628</v>
      </c>
      <c r="C1406" t="s">
        <v>16</v>
      </c>
      <c r="D1406" t="s">
        <v>17</v>
      </c>
      <c r="E1406" t="s">
        <v>1672</v>
      </c>
      <c r="F1406" t="s">
        <v>19</v>
      </c>
      <c r="H1406" s="2">
        <v>45380</v>
      </c>
      <c r="I1406">
        <v>-6.1</v>
      </c>
      <c r="J1406">
        <v>-6.1</v>
      </c>
      <c r="K1406" t="s">
        <v>20</v>
      </c>
      <c r="L1406">
        <v>0</v>
      </c>
      <c r="M1406">
        <v>-6.1</v>
      </c>
    </row>
    <row r="1407" spans="1:13">
      <c r="A1407" t="s">
        <v>1627</v>
      </c>
      <c r="B1407" t="s">
        <v>1628</v>
      </c>
      <c r="C1407" t="s">
        <v>16</v>
      </c>
      <c r="D1407" t="s">
        <v>21</v>
      </c>
      <c r="E1407" t="s">
        <v>1673</v>
      </c>
      <c r="F1407" t="s">
        <v>1673</v>
      </c>
      <c r="G1407" s="2">
        <v>45359</v>
      </c>
      <c r="H1407" s="2">
        <v>45389</v>
      </c>
      <c r="I1407">
        <v>258.72000000000003</v>
      </c>
      <c r="J1407">
        <v>258.72000000000003</v>
      </c>
      <c r="K1407" t="s">
        <v>20</v>
      </c>
      <c r="L1407">
        <v>0</v>
      </c>
      <c r="M1407">
        <v>258.72000000000003</v>
      </c>
    </row>
    <row r="1408" spans="1:13">
      <c r="A1408" t="s">
        <v>1627</v>
      </c>
      <c r="B1408" t="s">
        <v>1628</v>
      </c>
      <c r="C1408" t="s">
        <v>16</v>
      </c>
      <c r="D1408" t="s">
        <v>21</v>
      </c>
      <c r="E1408" t="s">
        <v>1674</v>
      </c>
      <c r="F1408" t="s">
        <v>1674</v>
      </c>
      <c r="G1408" s="2">
        <v>45378</v>
      </c>
      <c r="H1408" s="2">
        <v>45408</v>
      </c>
      <c r="I1408">
        <v>177.29</v>
      </c>
      <c r="J1408">
        <v>177.29</v>
      </c>
      <c r="K1408" t="s">
        <v>20</v>
      </c>
      <c r="L1408">
        <v>0</v>
      </c>
      <c r="M1408">
        <v>177.29</v>
      </c>
    </row>
    <row r="1409" spans="1:13">
      <c r="A1409" t="s">
        <v>1627</v>
      </c>
      <c r="B1409" t="s">
        <v>1628</v>
      </c>
      <c r="C1409" t="s">
        <v>16</v>
      </c>
      <c r="D1409" t="s">
        <v>17</v>
      </c>
      <c r="E1409" t="s">
        <v>1675</v>
      </c>
      <c r="F1409" t="s">
        <v>19</v>
      </c>
      <c r="H1409" s="2">
        <v>45412</v>
      </c>
      <c r="I1409">
        <v>-16.53</v>
      </c>
      <c r="J1409">
        <v>-16.53</v>
      </c>
      <c r="K1409" t="s">
        <v>20</v>
      </c>
      <c r="L1409">
        <v>0</v>
      </c>
      <c r="M1409">
        <v>-16.53</v>
      </c>
    </row>
    <row r="1410" spans="1:13">
      <c r="A1410" t="s">
        <v>1627</v>
      </c>
      <c r="B1410" t="s">
        <v>1628</v>
      </c>
      <c r="C1410" t="s">
        <v>16</v>
      </c>
      <c r="D1410" t="s">
        <v>17</v>
      </c>
      <c r="E1410" t="s">
        <v>1676</v>
      </c>
      <c r="F1410" t="s">
        <v>19</v>
      </c>
      <c r="H1410" s="2">
        <v>45412</v>
      </c>
      <c r="I1410">
        <v>-12.21</v>
      </c>
      <c r="J1410">
        <v>-12.21</v>
      </c>
      <c r="K1410" t="s">
        <v>20</v>
      </c>
      <c r="L1410">
        <v>0</v>
      </c>
      <c r="M1410">
        <v>-12.21</v>
      </c>
    </row>
    <row r="1411" spans="1:13">
      <c r="A1411" t="s">
        <v>1627</v>
      </c>
      <c r="B1411" t="s">
        <v>1628</v>
      </c>
      <c r="C1411" t="s">
        <v>16</v>
      </c>
      <c r="D1411" t="s">
        <v>17</v>
      </c>
      <c r="E1411" t="s">
        <v>1677</v>
      </c>
      <c r="F1411" t="s">
        <v>19</v>
      </c>
      <c r="H1411" s="2">
        <v>45412</v>
      </c>
      <c r="I1411">
        <v>-6.11</v>
      </c>
      <c r="J1411">
        <v>-6.11</v>
      </c>
      <c r="K1411" t="s">
        <v>20</v>
      </c>
      <c r="L1411">
        <v>0</v>
      </c>
      <c r="M1411">
        <v>-6.11</v>
      </c>
    </row>
    <row r="1412" spans="1:13">
      <c r="A1412" t="s">
        <v>1627</v>
      </c>
      <c r="B1412" t="s">
        <v>1628</v>
      </c>
      <c r="C1412" t="s">
        <v>16</v>
      </c>
      <c r="D1412" t="s">
        <v>21</v>
      </c>
      <c r="E1412" t="s">
        <v>1678</v>
      </c>
      <c r="F1412" t="s">
        <v>1678</v>
      </c>
      <c r="G1412" s="2">
        <v>45413</v>
      </c>
      <c r="H1412" s="2">
        <v>45443</v>
      </c>
      <c r="I1412">
        <v>349.52</v>
      </c>
      <c r="J1412">
        <v>349.52</v>
      </c>
      <c r="K1412" t="s">
        <v>20</v>
      </c>
      <c r="L1412">
        <v>0</v>
      </c>
      <c r="M1412">
        <v>349.52</v>
      </c>
    </row>
    <row r="1413" spans="1:13">
      <c r="A1413" t="s">
        <v>1627</v>
      </c>
      <c r="B1413" t="s">
        <v>1628</v>
      </c>
      <c r="C1413" t="s">
        <v>16</v>
      </c>
      <c r="D1413" t="s">
        <v>21</v>
      </c>
      <c r="E1413" t="s">
        <v>1679</v>
      </c>
      <c r="F1413" t="s">
        <v>1679</v>
      </c>
      <c r="G1413" s="2">
        <v>45420</v>
      </c>
      <c r="H1413" s="2">
        <v>45450</v>
      </c>
      <c r="I1413">
        <v>330.76</v>
      </c>
      <c r="J1413">
        <v>330.76</v>
      </c>
      <c r="K1413" t="s">
        <v>20</v>
      </c>
      <c r="L1413">
        <v>0</v>
      </c>
      <c r="M1413">
        <v>330.76</v>
      </c>
    </row>
    <row r="1414" spans="1:13">
      <c r="A1414" t="s">
        <v>1627</v>
      </c>
      <c r="B1414" t="s">
        <v>1628</v>
      </c>
      <c r="C1414" t="s">
        <v>16</v>
      </c>
      <c r="D1414" t="s">
        <v>21</v>
      </c>
      <c r="E1414" t="s">
        <v>1680</v>
      </c>
      <c r="F1414" t="s">
        <v>1680</v>
      </c>
      <c r="G1414" s="2">
        <v>45421</v>
      </c>
      <c r="H1414" s="2">
        <v>45451</v>
      </c>
      <c r="I1414">
        <v>270.33999999999997</v>
      </c>
      <c r="J1414">
        <v>270.33999999999997</v>
      </c>
      <c r="K1414" t="s">
        <v>20</v>
      </c>
      <c r="L1414">
        <v>0</v>
      </c>
      <c r="M1414">
        <v>270.33999999999997</v>
      </c>
    </row>
    <row r="1415" spans="1:13">
      <c r="A1415" t="s">
        <v>1627</v>
      </c>
      <c r="B1415" t="s">
        <v>1628</v>
      </c>
      <c r="C1415" t="s">
        <v>16</v>
      </c>
      <c r="D1415" t="s">
        <v>17</v>
      </c>
      <c r="E1415" t="s">
        <v>1681</v>
      </c>
      <c r="F1415" t="s">
        <v>19</v>
      </c>
      <c r="H1415" s="2">
        <v>45468</v>
      </c>
      <c r="I1415">
        <v>-17.27</v>
      </c>
      <c r="J1415">
        <v>-17.27</v>
      </c>
      <c r="K1415" t="s">
        <v>20</v>
      </c>
      <c r="L1415">
        <v>0</v>
      </c>
      <c r="M1415">
        <v>-17.27</v>
      </c>
    </row>
    <row r="1416" spans="1:13">
      <c r="A1416" t="s">
        <v>1627</v>
      </c>
      <c r="B1416" t="s">
        <v>1628</v>
      </c>
      <c r="C1416" t="s">
        <v>16</v>
      </c>
      <c r="D1416" t="s">
        <v>21</v>
      </c>
      <c r="E1416" t="s">
        <v>1682</v>
      </c>
      <c r="F1416" t="s">
        <v>1682</v>
      </c>
      <c r="G1416" s="2">
        <v>45495</v>
      </c>
      <c r="H1416" s="2">
        <v>45525</v>
      </c>
      <c r="I1416">
        <v>177.43</v>
      </c>
      <c r="J1416">
        <v>177.43</v>
      </c>
      <c r="K1416" t="s">
        <v>20</v>
      </c>
      <c r="L1416">
        <v>0</v>
      </c>
      <c r="M1416">
        <v>177.43</v>
      </c>
    </row>
    <row r="1417" spans="1:13">
      <c r="A1417" t="s">
        <v>1627</v>
      </c>
      <c r="B1417" t="s">
        <v>1628</v>
      </c>
      <c r="C1417" t="s">
        <v>16</v>
      </c>
      <c r="D1417" t="s">
        <v>21</v>
      </c>
      <c r="E1417" t="s">
        <v>1683</v>
      </c>
      <c r="F1417" t="s">
        <v>1683</v>
      </c>
      <c r="G1417" s="2">
        <v>45517</v>
      </c>
      <c r="H1417" s="2">
        <v>45547</v>
      </c>
      <c r="I1417">
        <v>331.81</v>
      </c>
      <c r="J1417">
        <v>331.81</v>
      </c>
      <c r="K1417" t="s">
        <v>20</v>
      </c>
      <c r="L1417">
        <v>0</v>
      </c>
      <c r="M1417">
        <v>331.81</v>
      </c>
    </row>
    <row r="1418" spans="1:13">
      <c r="A1418" t="s">
        <v>1627</v>
      </c>
      <c r="B1418" t="s">
        <v>1628</v>
      </c>
      <c r="C1418" t="s">
        <v>16</v>
      </c>
      <c r="D1418" t="s">
        <v>21</v>
      </c>
      <c r="E1418" t="s">
        <v>1684</v>
      </c>
      <c r="F1418" t="s">
        <v>1684</v>
      </c>
      <c r="G1418" s="2">
        <v>45555</v>
      </c>
      <c r="H1418" s="2">
        <v>45585</v>
      </c>
      <c r="I1418">
        <v>68.7</v>
      </c>
      <c r="J1418">
        <v>68.7</v>
      </c>
      <c r="K1418" t="s">
        <v>20</v>
      </c>
      <c r="L1418">
        <v>0</v>
      </c>
      <c r="M1418">
        <v>68.7</v>
      </c>
    </row>
    <row r="1419" spans="1:13">
      <c r="A1419" t="s">
        <v>1627</v>
      </c>
      <c r="B1419" t="s">
        <v>1628</v>
      </c>
      <c r="C1419" t="s">
        <v>16</v>
      </c>
      <c r="D1419" t="s">
        <v>21</v>
      </c>
      <c r="E1419" t="s">
        <v>1685</v>
      </c>
      <c r="F1419" t="s">
        <v>1685</v>
      </c>
      <c r="G1419" s="2">
        <v>45558</v>
      </c>
      <c r="H1419" s="2">
        <v>45588</v>
      </c>
      <c r="I1419">
        <v>213.11</v>
      </c>
      <c r="J1419">
        <v>213.11</v>
      </c>
      <c r="K1419" t="s">
        <v>20</v>
      </c>
      <c r="L1419">
        <v>0</v>
      </c>
      <c r="M1419">
        <v>213.11</v>
      </c>
    </row>
    <row r="1420" spans="1:13">
      <c r="A1420" t="s">
        <v>1627</v>
      </c>
      <c r="B1420" t="s">
        <v>1628</v>
      </c>
      <c r="C1420" t="s">
        <v>16</v>
      </c>
      <c r="D1420" t="s">
        <v>21</v>
      </c>
      <c r="E1420" t="s">
        <v>1686</v>
      </c>
      <c r="F1420" t="s">
        <v>1686</v>
      </c>
      <c r="G1420" s="2">
        <v>45559</v>
      </c>
      <c r="H1420" s="2">
        <v>45589</v>
      </c>
      <c r="I1420">
        <v>155.57</v>
      </c>
      <c r="J1420">
        <v>155.57</v>
      </c>
      <c r="K1420" t="s">
        <v>20</v>
      </c>
      <c r="L1420">
        <v>0</v>
      </c>
      <c r="M1420">
        <v>155.57</v>
      </c>
    </row>
    <row r="1421" spans="1:13">
      <c r="A1421" t="s">
        <v>1627</v>
      </c>
      <c r="B1421" t="s">
        <v>1628</v>
      </c>
      <c r="C1421" t="s">
        <v>16</v>
      </c>
      <c r="D1421" t="s">
        <v>21</v>
      </c>
      <c r="E1421" t="s">
        <v>1687</v>
      </c>
      <c r="F1421" t="s">
        <v>1687</v>
      </c>
      <c r="G1421" s="2">
        <v>45562</v>
      </c>
      <c r="H1421" s="2">
        <v>45592</v>
      </c>
      <c r="I1421">
        <v>173.11</v>
      </c>
      <c r="J1421">
        <v>173.11</v>
      </c>
      <c r="K1421" t="s">
        <v>20</v>
      </c>
      <c r="L1421">
        <v>0</v>
      </c>
      <c r="M1421">
        <v>173.11</v>
      </c>
    </row>
    <row r="1422" spans="1:13">
      <c r="A1422" t="s">
        <v>1627</v>
      </c>
      <c r="B1422" t="s">
        <v>1628</v>
      </c>
      <c r="C1422" t="s">
        <v>16</v>
      </c>
      <c r="D1422" t="s">
        <v>21</v>
      </c>
      <c r="E1422" t="s">
        <v>1688</v>
      </c>
      <c r="F1422" t="s">
        <v>1688</v>
      </c>
      <c r="G1422" s="2">
        <v>45562</v>
      </c>
      <c r="H1422" s="2">
        <v>45592</v>
      </c>
      <c r="I1422">
        <v>275</v>
      </c>
      <c r="J1422">
        <v>275</v>
      </c>
      <c r="K1422" t="s">
        <v>20</v>
      </c>
      <c r="L1422">
        <v>0</v>
      </c>
      <c r="M1422">
        <v>275</v>
      </c>
    </row>
    <row r="1423" spans="1:13">
      <c r="A1423" t="s">
        <v>1627</v>
      </c>
      <c r="B1423" t="s">
        <v>1628</v>
      </c>
      <c r="C1423" t="s">
        <v>16</v>
      </c>
      <c r="D1423" t="s">
        <v>21</v>
      </c>
      <c r="E1423" t="s">
        <v>1689</v>
      </c>
      <c r="F1423" t="s">
        <v>1689</v>
      </c>
      <c r="G1423" s="2">
        <v>45572</v>
      </c>
      <c r="H1423" s="2">
        <v>45602</v>
      </c>
      <c r="I1423">
        <v>67.97</v>
      </c>
      <c r="J1423">
        <v>67.97</v>
      </c>
      <c r="K1423" t="s">
        <v>20</v>
      </c>
      <c r="L1423">
        <v>0</v>
      </c>
      <c r="M1423">
        <v>67.97</v>
      </c>
    </row>
    <row r="1424" spans="1:13">
      <c r="A1424" t="s">
        <v>1627</v>
      </c>
      <c r="B1424" t="s">
        <v>1628</v>
      </c>
      <c r="C1424" t="s">
        <v>16</v>
      </c>
      <c r="D1424" t="s">
        <v>21</v>
      </c>
      <c r="E1424" t="s">
        <v>1690</v>
      </c>
      <c r="F1424" t="s">
        <v>1690</v>
      </c>
      <c r="G1424" s="2">
        <v>45589</v>
      </c>
      <c r="H1424" s="2">
        <v>45619</v>
      </c>
      <c r="I1424">
        <v>100.72</v>
      </c>
      <c r="J1424">
        <v>100.72</v>
      </c>
      <c r="K1424" t="s">
        <v>20</v>
      </c>
      <c r="L1424">
        <v>0</v>
      </c>
      <c r="M1424">
        <v>100.72</v>
      </c>
    </row>
    <row r="1425" spans="1:13">
      <c r="A1425" t="s">
        <v>1627</v>
      </c>
      <c r="B1425" t="s">
        <v>1628</v>
      </c>
      <c r="C1425" t="s">
        <v>16</v>
      </c>
      <c r="D1425" t="s">
        <v>21</v>
      </c>
      <c r="E1425" t="s">
        <v>1691</v>
      </c>
      <c r="F1425" t="s">
        <v>1691</v>
      </c>
      <c r="G1425" s="2">
        <v>45594</v>
      </c>
      <c r="H1425" s="2">
        <v>45624</v>
      </c>
      <c r="I1425">
        <v>242.54</v>
      </c>
      <c r="J1425">
        <v>242.54</v>
      </c>
      <c r="K1425" t="s">
        <v>20</v>
      </c>
      <c r="L1425">
        <v>0</v>
      </c>
      <c r="M1425">
        <v>242.54</v>
      </c>
    </row>
    <row r="1426" spans="1:13">
      <c r="A1426" t="s">
        <v>1627</v>
      </c>
      <c r="B1426" t="s">
        <v>1628</v>
      </c>
      <c r="C1426" t="s">
        <v>16</v>
      </c>
      <c r="D1426" t="s">
        <v>21</v>
      </c>
      <c r="E1426" t="s">
        <v>1692</v>
      </c>
      <c r="F1426" t="s">
        <v>1692</v>
      </c>
      <c r="G1426" s="2">
        <v>45594</v>
      </c>
      <c r="H1426" s="2">
        <v>45624</v>
      </c>
      <c r="I1426">
        <v>376.36</v>
      </c>
      <c r="J1426">
        <v>376.36</v>
      </c>
      <c r="K1426" t="s">
        <v>20</v>
      </c>
      <c r="L1426">
        <v>0</v>
      </c>
      <c r="M1426">
        <v>376.36</v>
      </c>
    </row>
    <row r="1427" spans="1:13">
      <c r="A1427" t="s">
        <v>1627</v>
      </c>
      <c r="B1427" t="s">
        <v>1628</v>
      </c>
      <c r="C1427" t="s">
        <v>16</v>
      </c>
      <c r="D1427" t="s">
        <v>21</v>
      </c>
      <c r="E1427" t="s">
        <v>1693</v>
      </c>
      <c r="F1427" t="s">
        <v>1693</v>
      </c>
      <c r="G1427" s="2">
        <v>45594</v>
      </c>
      <c r="H1427" s="2">
        <v>45624</v>
      </c>
      <c r="I1427">
        <v>489.46</v>
      </c>
      <c r="J1427">
        <v>489.46</v>
      </c>
      <c r="K1427" t="s">
        <v>20</v>
      </c>
      <c r="L1427">
        <v>0</v>
      </c>
      <c r="M1427">
        <v>489.46</v>
      </c>
    </row>
    <row r="1428" spans="1:13">
      <c r="A1428" t="s">
        <v>1627</v>
      </c>
      <c r="B1428" t="s">
        <v>1628</v>
      </c>
      <c r="C1428" t="s">
        <v>16</v>
      </c>
      <c r="D1428" t="s">
        <v>21</v>
      </c>
      <c r="E1428" t="s">
        <v>1694</v>
      </c>
      <c r="F1428" t="s">
        <v>1694</v>
      </c>
      <c r="G1428" s="2">
        <v>45596</v>
      </c>
      <c r="H1428" s="2">
        <v>45626</v>
      </c>
      <c r="I1428">
        <v>257.81</v>
      </c>
      <c r="J1428">
        <v>257.81</v>
      </c>
      <c r="K1428" t="s">
        <v>20</v>
      </c>
      <c r="L1428">
        <v>0</v>
      </c>
      <c r="M1428">
        <v>257.81</v>
      </c>
    </row>
    <row r="1429" spans="1:13">
      <c r="A1429" t="s">
        <v>1627</v>
      </c>
      <c r="B1429" t="s">
        <v>1628</v>
      </c>
      <c r="C1429" t="s">
        <v>16</v>
      </c>
      <c r="D1429" t="s">
        <v>21</v>
      </c>
      <c r="E1429" t="s">
        <v>1695</v>
      </c>
      <c r="F1429" t="s">
        <v>1695</v>
      </c>
      <c r="G1429" s="2">
        <v>45596</v>
      </c>
      <c r="H1429" s="2">
        <v>45626</v>
      </c>
      <c r="I1429">
        <v>692.26</v>
      </c>
      <c r="J1429">
        <v>692.26</v>
      </c>
      <c r="K1429" t="s">
        <v>20</v>
      </c>
      <c r="L1429">
        <v>0</v>
      </c>
      <c r="M1429">
        <v>692.26</v>
      </c>
    </row>
    <row r="1430" spans="1:13">
      <c r="A1430" t="s">
        <v>1627</v>
      </c>
      <c r="B1430" t="s">
        <v>1628</v>
      </c>
      <c r="C1430" t="s">
        <v>16</v>
      </c>
      <c r="D1430" t="s">
        <v>21</v>
      </c>
      <c r="E1430" t="s">
        <v>1696</v>
      </c>
      <c r="F1430" t="s">
        <v>1696</v>
      </c>
      <c r="G1430" s="2">
        <v>45597</v>
      </c>
      <c r="H1430" s="2">
        <v>45627</v>
      </c>
      <c r="I1430">
        <v>602.39</v>
      </c>
      <c r="J1430">
        <v>602.39</v>
      </c>
      <c r="K1430" t="s">
        <v>20</v>
      </c>
      <c r="L1430">
        <v>0</v>
      </c>
      <c r="M1430">
        <v>602.39</v>
      </c>
    </row>
    <row r="1431" spans="1:13">
      <c r="A1431" t="s">
        <v>1627</v>
      </c>
      <c r="B1431" t="s">
        <v>1628</v>
      </c>
      <c r="C1431" t="s">
        <v>16</v>
      </c>
      <c r="D1431" t="s">
        <v>21</v>
      </c>
      <c r="E1431" t="s">
        <v>1697</v>
      </c>
      <c r="F1431" t="s">
        <v>1697</v>
      </c>
      <c r="G1431" s="2">
        <v>45600</v>
      </c>
      <c r="H1431" s="2">
        <v>45630</v>
      </c>
      <c r="I1431">
        <v>253.03</v>
      </c>
      <c r="J1431">
        <v>253.03</v>
      </c>
      <c r="K1431" t="s">
        <v>20</v>
      </c>
      <c r="L1431">
        <v>0</v>
      </c>
      <c r="M1431">
        <v>253.03</v>
      </c>
    </row>
    <row r="1432" spans="1:13">
      <c r="A1432" t="s">
        <v>1627</v>
      </c>
      <c r="B1432" t="s">
        <v>1628</v>
      </c>
      <c r="C1432" t="s">
        <v>16</v>
      </c>
      <c r="D1432" t="s">
        <v>21</v>
      </c>
      <c r="E1432" t="s">
        <v>1698</v>
      </c>
      <c r="F1432" t="s">
        <v>1698</v>
      </c>
      <c r="G1432" s="2">
        <v>45600</v>
      </c>
      <c r="H1432" s="2">
        <v>45630</v>
      </c>
      <c r="I1432">
        <v>441.81</v>
      </c>
      <c r="J1432">
        <v>441.81</v>
      </c>
      <c r="K1432" t="s">
        <v>20</v>
      </c>
      <c r="L1432">
        <v>0</v>
      </c>
      <c r="M1432">
        <v>441.81</v>
      </c>
    </row>
    <row r="1433" spans="1:13">
      <c r="A1433" t="s">
        <v>1627</v>
      </c>
      <c r="B1433" t="s">
        <v>1628</v>
      </c>
      <c r="C1433" t="s">
        <v>16</v>
      </c>
      <c r="D1433" t="s">
        <v>21</v>
      </c>
      <c r="E1433" t="s">
        <v>1699</v>
      </c>
      <c r="F1433" t="s">
        <v>1699</v>
      </c>
      <c r="G1433" s="2">
        <v>45602</v>
      </c>
      <c r="H1433" s="2">
        <v>45632</v>
      </c>
      <c r="I1433">
        <v>170.6</v>
      </c>
      <c r="J1433">
        <v>170.6</v>
      </c>
      <c r="K1433" t="s">
        <v>20</v>
      </c>
      <c r="L1433">
        <v>0</v>
      </c>
      <c r="M1433">
        <v>170.6</v>
      </c>
    </row>
    <row r="1434" spans="1:13">
      <c r="A1434" t="s">
        <v>1627</v>
      </c>
      <c r="B1434" t="s">
        <v>1628</v>
      </c>
      <c r="C1434" t="s">
        <v>16</v>
      </c>
      <c r="D1434" t="s">
        <v>21</v>
      </c>
      <c r="E1434" t="s">
        <v>1700</v>
      </c>
      <c r="F1434" t="s">
        <v>1700</v>
      </c>
      <c r="G1434" s="2">
        <v>45602</v>
      </c>
      <c r="H1434" s="2">
        <v>45632</v>
      </c>
      <c r="I1434">
        <v>426.14</v>
      </c>
      <c r="J1434">
        <v>426.14</v>
      </c>
      <c r="K1434" t="s">
        <v>20</v>
      </c>
      <c r="L1434">
        <v>0</v>
      </c>
      <c r="M1434">
        <v>426.14</v>
      </c>
    </row>
    <row r="1435" spans="1:13">
      <c r="A1435" t="s">
        <v>1627</v>
      </c>
      <c r="B1435" t="s">
        <v>1628</v>
      </c>
      <c r="C1435" t="s">
        <v>16</v>
      </c>
      <c r="D1435" t="s">
        <v>21</v>
      </c>
      <c r="E1435" t="s">
        <v>1701</v>
      </c>
      <c r="F1435" t="s">
        <v>1701</v>
      </c>
      <c r="G1435" s="2">
        <v>45602</v>
      </c>
      <c r="H1435" s="2">
        <v>45632</v>
      </c>
      <c r="I1435">
        <v>93.56</v>
      </c>
      <c r="J1435">
        <v>93.56</v>
      </c>
      <c r="K1435" t="s">
        <v>20</v>
      </c>
      <c r="L1435">
        <v>0</v>
      </c>
      <c r="M1435">
        <v>93.56</v>
      </c>
    </row>
    <row r="1436" spans="1:13">
      <c r="A1436" t="s">
        <v>1627</v>
      </c>
      <c r="B1436" t="s">
        <v>1628</v>
      </c>
      <c r="C1436" t="s">
        <v>16</v>
      </c>
      <c r="D1436" t="s">
        <v>21</v>
      </c>
      <c r="E1436" t="s">
        <v>1702</v>
      </c>
      <c r="F1436" t="s">
        <v>1702</v>
      </c>
      <c r="G1436" s="2">
        <v>45665</v>
      </c>
      <c r="H1436" s="2">
        <v>45695</v>
      </c>
      <c r="I1436">
        <v>735.33</v>
      </c>
      <c r="J1436">
        <v>735.33</v>
      </c>
      <c r="K1436" t="s">
        <v>20</v>
      </c>
      <c r="L1436">
        <v>0</v>
      </c>
      <c r="M1436">
        <v>735.33</v>
      </c>
    </row>
    <row r="1437" spans="1:13">
      <c r="A1437" t="s">
        <v>1627</v>
      </c>
      <c r="B1437" t="s">
        <v>1628</v>
      </c>
      <c r="C1437" t="s">
        <v>16</v>
      </c>
      <c r="D1437" t="s">
        <v>21</v>
      </c>
      <c r="E1437" t="s">
        <v>1703</v>
      </c>
      <c r="F1437" t="s">
        <v>1703</v>
      </c>
      <c r="G1437" s="2">
        <v>45670</v>
      </c>
      <c r="H1437" s="2">
        <v>45700</v>
      </c>
      <c r="I1437" s="1">
        <v>1246.5</v>
      </c>
      <c r="J1437">
        <v>62.33</v>
      </c>
      <c r="K1437" t="s">
        <v>20</v>
      </c>
      <c r="L1437">
        <v>0</v>
      </c>
      <c r="M1437">
        <v>62.33</v>
      </c>
    </row>
    <row r="1438" spans="1:13">
      <c r="A1438" t="s">
        <v>1627</v>
      </c>
      <c r="B1438" t="s">
        <v>1628</v>
      </c>
      <c r="C1438" t="s">
        <v>16</v>
      </c>
      <c r="D1438" t="s">
        <v>55</v>
      </c>
      <c r="E1438" t="s">
        <v>1703</v>
      </c>
      <c r="F1438" t="s">
        <v>1703</v>
      </c>
      <c r="H1438" s="2">
        <v>45714</v>
      </c>
      <c r="I1438" s="1">
        <v>-1184.17</v>
      </c>
      <c r="J1438" t="s">
        <v>86</v>
      </c>
      <c r="K1438" t="s">
        <v>20</v>
      </c>
      <c r="L1438">
        <v>0</v>
      </c>
      <c r="M1438" t="s">
        <v>86</v>
      </c>
    </row>
    <row r="1439" spans="1:13">
      <c r="A1439" t="s">
        <v>1627</v>
      </c>
      <c r="B1439" t="s">
        <v>1628</v>
      </c>
      <c r="C1439" t="s">
        <v>16</v>
      </c>
      <c r="D1439" t="s">
        <v>21</v>
      </c>
      <c r="E1439" t="s">
        <v>1704</v>
      </c>
      <c r="F1439" t="s">
        <v>1704</v>
      </c>
      <c r="G1439" s="2">
        <v>45671</v>
      </c>
      <c r="H1439" s="2">
        <v>45701</v>
      </c>
      <c r="I1439" s="1">
        <v>1334.63</v>
      </c>
      <c r="J1439">
        <v>66.73</v>
      </c>
      <c r="K1439" t="s">
        <v>20</v>
      </c>
      <c r="L1439">
        <v>0</v>
      </c>
      <c r="M1439">
        <v>66.73</v>
      </c>
    </row>
    <row r="1440" spans="1:13">
      <c r="A1440" t="s">
        <v>1627</v>
      </c>
      <c r="B1440" t="s">
        <v>1628</v>
      </c>
      <c r="C1440" t="s">
        <v>16</v>
      </c>
      <c r="D1440" t="s">
        <v>55</v>
      </c>
      <c r="E1440" t="s">
        <v>1704</v>
      </c>
      <c r="F1440" t="s">
        <v>1704</v>
      </c>
      <c r="H1440" s="2">
        <v>45714</v>
      </c>
      <c r="I1440" s="1">
        <v>-1267.9000000000001</v>
      </c>
      <c r="J1440" t="s">
        <v>86</v>
      </c>
      <c r="K1440" t="s">
        <v>20</v>
      </c>
      <c r="L1440">
        <v>0</v>
      </c>
      <c r="M1440" t="s">
        <v>86</v>
      </c>
    </row>
    <row r="1441" spans="1:13">
      <c r="A1441" t="s">
        <v>1627</v>
      </c>
      <c r="B1441" t="s">
        <v>1628</v>
      </c>
      <c r="C1441" t="s">
        <v>16</v>
      </c>
      <c r="D1441" t="s">
        <v>55</v>
      </c>
      <c r="E1441" t="s">
        <v>19</v>
      </c>
      <c r="F1441" t="s">
        <v>19</v>
      </c>
      <c r="H1441" s="2">
        <v>45714</v>
      </c>
      <c r="I1441">
        <v>-698.56</v>
      </c>
      <c r="J1441">
        <v>-698.56</v>
      </c>
      <c r="K1441" t="s">
        <v>20</v>
      </c>
      <c r="L1441">
        <v>0</v>
      </c>
      <c r="M1441">
        <v>-698.56</v>
      </c>
    </row>
    <row r="1442" spans="1:13">
      <c r="A1442" t="s">
        <v>1627</v>
      </c>
      <c r="B1442" t="s">
        <v>1628</v>
      </c>
      <c r="C1442" t="s">
        <v>16</v>
      </c>
      <c r="D1442" t="s">
        <v>21</v>
      </c>
      <c r="E1442" t="s">
        <v>1705</v>
      </c>
      <c r="F1442" t="s">
        <v>1705</v>
      </c>
      <c r="G1442" s="2">
        <v>45687</v>
      </c>
      <c r="H1442" s="2">
        <v>45717</v>
      </c>
      <c r="I1442" s="1">
        <v>1111.29</v>
      </c>
      <c r="J1442">
        <v>1111.29</v>
      </c>
      <c r="K1442" t="s">
        <v>20</v>
      </c>
      <c r="L1442">
        <v>10</v>
      </c>
      <c r="M1442">
        <v>1111.29</v>
      </c>
    </row>
    <row r="1443" spans="1:13">
      <c r="A1443" t="s">
        <v>1627</v>
      </c>
      <c r="B1443" t="s">
        <v>1628</v>
      </c>
      <c r="C1443" t="s">
        <v>16</v>
      </c>
      <c r="D1443" t="s">
        <v>21</v>
      </c>
      <c r="E1443" t="s">
        <v>1706</v>
      </c>
      <c r="F1443" t="s">
        <v>1706</v>
      </c>
      <c r="G1443" s="2">
        <v>45693</v>
      </c>
      <c r="H1443" s="2">
        <v>45723</v>
      </c>
      <c r="I1443">
        <v>635.64</v>
      </c>
      <c r="J1443">
        <v>635.64</v>
      </c>
      <c r="K1443" t="s">
        <v>20</v>
      </c>
      <c r="L1443">
        <v>10</v>
      </c>
      <c r="M1443">
        <v>635.64</v>
      </c>
    </row>
    <row r="1444" spans="1:13">
      <c r="A1444" t="s">
        <v>1627</v>
      </c>
      <c r="B1444" t="s">
        <v>1628</v>
      </c>
      <c r="C1444" t="s">
        <v>16</v>
      </c>
      <c r="D1444" t="s">
        <v>21</v>
      </c>
      <c r="E1444" t="s">
        <v>1707</v>
      </c>
      <c r="F1444" t="s">
        <v>1707</v>
      </c>
      <c r="G1444" s="2">
        <v>45708</v>
      </c>
      <c r="H1444" s="2">
        <v>45738</v>
      </c>
      <c r="I1444">
        <v>120.14</v>
      </c>
      <c r="J1444">
        <v>120.14</v>
      </c>
      <c r="K1444" t="s">
        <v>20</v>
      </c>
      <c r="L1444">
        <v>12</v>
      </c>
      <c r="M1444">
        <v>120.14</v>
      </c>
    </row>
    <row r="1445" spans="1:13">
      <c r="A1445" t="s">
        <v>1627</v>
      </c>
      <c r="B1445" t="s">
        <v>1628</v>
      </c>
      <c r="C1445" t="s">
        <v>16</v>
      </c>
      <c r="D1445" t="s">
        <v>21</v>
      </c>
      <c r="E1445" t="s">
        <v>1708</v>
      </c>
      <c r="F1445" t="s">
        <v>1708</v>
      </c>
      <c r="G1445" s="2">
        <v>45708</v>
      </c>
      <c r="H1445" s="2">
        <v>45738</v>
      </c>
      <c r="I1445">
        <v>255.65</v>
      </c>
      <c r="J1445">
        <v>255.65</v>
      </c>
      <c r="K1445" t="s">
        <v>20</v>
      </c>
      <c r="L1445">
        <v>12</v>
      </c>
      <c r="M1445">
        <v>255.65</v>
      </c>
    </row>
    <row r="1446" spans="1:13">
      <c r="A1446" t="s">
        <v>1627</v>
      </c>
      <c r="B1446" t="s">
        <v>1628</v>
      </c>
      <c r="C1446" t="s">
        <v>16</v>
      </c>
      <c r="D1446" t="s">
        <v>21</v>
      </c>
      <c r="E1446" t="s">
        <v>1709</v>
      </c>
      <c r="F1446" t="s">
        <v>1709</v>
      </c>
      <c r="G1446" s="2">
        <v>45713</v>
      </c>
      <c r="H1446" s="2">
        <v>45743</v>
      </c>
      <c r="I1446">
        <v>277</v>
      </c>
      <c r="J1446">
        <v>277</v>
      </c>
      <c r="K1446" t="s">
        <v>20</v>
      </c>
      <c r="L1446">
        <v>13</v>
      </c>
      <c r="M1446">
        <v>277</v>
      </c>
    </row>
    <row r="1447" spans="1:13">
      <c r="A1447" t="s">
        <v>1627</v>
      </c>
      <c r="B1447" t="s">
        <v>1628</v>
      </c>
      <c r="C1447" t="s">
        <v>16</v>
      </c>
      <c r="D1447" t="s">
        <v>21</v>
      </c>
      <c r="E1447" t="s">
        <v>1710</v>
      </c>
      <c r="F1447" t="s">
        <v>1710</v>
      </c>
      <c r="G1447" s="2">
        <v>45716</v>
      </c>
      <c r="H1447" s="2">
        <v>45746</v>
      </c>
      <c r="I1447">
        <v>242.54</v>
      </c>
      <c r="J1447">
        <v>242.54</v>
      </c>
      <c r="K1447" t="s">
        <v>20</v>
      </c>
      <c r="L1447">
        <v>13</v>
      </c>
      <c r="M1447">
        <v>242.54</v>
      </c>
    </row>
    <row r="1448" spans="1:13">
      <c r="A1448" t="s">
        <v>1627</v>
      </c>
      <c r="B1448" t="s">
        <v>1628</v>
      </c>
      <c r="C1448" t="s">
        <v>16</v>
      </c>
      <c r="D1448" t="s">
        <v>21</v>
      </c>
      <c r="E1448" t="s">
        <v>1711</v>
      </c>
      <c r="F1448" t="s">
        <v>1711</v>
      </c>
      <c r="G1448" s="2">
        <v>45716</v>
      </c>
      <c r="H1448" s="2">
        <v>45746</v>
      </c>
      <c r="I1448">
        <v>571</v>
      </c>
      <c r="J1448">
        <v>571</v>
      </c>
      <c r="K1448" t="s">
        <v>20</v>
      </c>
      <c r="L1448">
        <v>13</v>
      </c>
      <c r="M1448">
        <v>571</v>
      </c>
    </row>
    <row r="1449" spans="1:13">
      <c r="A1449" t="s">
        <v>1627</v>
      </c>
      <c r="B1449" t="s">
        <v>1628</v>
      </c>
      <c r="C1449" t="s">
        <v>16</v>
      </c>
      <c r="D1449" t="s">
        <v>21</v>
      </c>
      <c r="E1449" t="s">
        <v>1712</v>
      </c>
      <c r="F1449" t="s">
        <v>1712</v>
      </c>
      <c r="G1449" s="2">
        <v>45728</v>
      </c>
      <c r="H1449" s="2">
        <v>45758</v>
      </c>
      <c r="I1449">
        <v>352.96</v>
      </c>
      <c r="J1449">
        <v>352.96</v>
      </c>
      <c r="K1449" t="s">
        <v>20</v>
      </c>
      <c r="L1449">
        <v>0</v>
      </c>
      <c r="M1449">
        <v>0</v>
      </c>
    </row>
    <row r="1450" spans="1:13">
      <c r="A1450" t="s">
        <v>1627</v>
      </c>
      <c r="B1450" t="s">
        <v>1628</v>
      </c>
      <c r="C1450" t="s">
        <v>16</v>
      </c>
      <c r="D1450" t="s">
        <v>21</v>
      </c>
      <c r="E1450" t="s">
        <v>1713</v>
      </c>
      <c r="F1450" t="s">
        <v>1713</v>
      </c>
      <c r="G1450" s="2">
        <v>45735</v>
      </c>
      <c r="H1450" s="2">
        <v>45765</v>
      </c>
      <c r="I1450">
        <v>90.09</v>
      </c>
      <c r="J1450">
        <v>90.09</v>
      </c>
      <c r="K1450" t="s">
        <v>20</v>
      </c>
      <c r="L1450">
        <v>0</v>
      </c>
      <c r="M1450">
        <v>0</v>
      </c>
    </row>
    <row r="1451" spans="1:13">
      <c r="A1451" t="s">
        <v>1627</v>
      </c>
      <c r="B1451" t="s">
        <v>1628</v>
      </c>
      <c r="C1451" t="s">
        <v>16</v>
      </c>
      <c r="D1451" t="s">
        <v>21</v>
      </c>
      <c r="E1451" t="s">
        <v>1714</v>
      </c>
      <c r="F1451" t="s">
        <v>1714</v>
      </c>
      <c r="G1451" s="2">
        <v>45737</v>
      </c>
      <c r="H1451" s="2">
        <v>45767</v>
      </c>
      <c r="I1451">
        <v>333.34</v>
      </c>
      <c r="J1451">
        <v>333.34</v>
      </c>
      <c r="K1451" t="s">
        <v>20</v>
      </c>
      <c r="L1451">
        <v>0</v>
      </c>
      <c r="M1451">
        <v>0</v>
      </c>
    </row>
    <row r="1452" spans="1:13">
      <c r="A1452" t="s">
        <v>1715</v>
      </c>
      <c r="B1452" t="s">
        <v>1716</v>
      </c>
      <c r="C1452" t="s">
        <v>16</v>
      </c>
      <c r="D1452" t="s">
        <v>17</v>
      </c>
      <c r="E1452" t="s">
        <v>1717</v>
      </c>
      <c r="F1452" t="s">
        <v>19</v>
      </c>
      <c r="H1452" s="2">
        <v>45345</v>
      </c>
      <c r="I1452">
        <v>-118</v>
      </c>
      <c r="J1452">
        <v>-118</v>
      </c>
      <c r="K1452" t="s">
        <v>20</v>
      </c>
      <c r="L1452">
        <v>0</v>
      </c>
      <c r="M1452">
        <v>-118</v>
      </c>
    </row>
    <row r="1453" spans="1:13">
      <c r="A1453" t="s">
        <v>1715</v>
      </c>
      <c r="B1453" t="s">
        <v>1716</v>
      </c>
      <c r="C1453" t="s">
        <v>16</v>
      </c>
      <c r="D1453" t="s">
        <v>21</v>
      </c>
      <c r="E1453" t="s">
        <v>1718</v>
      </c>
      <c r="F1453" t="s">
        <v>1718</v>
      </c>
      <c r="G1453" s="2">
        <v>45532</v>
      </c>
      <c r="H1453" s="2">
        <v>45562</v>
      </c>
      <c r="I1453" s="1">
        <v>10523.4</v>
      </c>
      <c r="J1453">
        <v>490</v>
      </c>
      <c r="K1453" t="s">
        <v>20</v>
      </c>
      <c r="L1453">
        <v>0</v>
      </c>
      <c r="M1453">
        <v>490</v>
      </c>
    </row>
    <row r="1454" spans="1:13">
      <c r="A1454" t="s">
        <v>1715</v>
      </c>
      <c r="B1454" t="s">
        <v>1716</v>
      </c>
      <c r="C1454" t="s">
        <v>16</v>
      </c>
      <c r="D1454" t="s">
        <v>55</v>
      </c>
      <c r="E1454" t="s">
        <v>1718</v>
      </c>
      <c r="F1454" t="s">
        <v>1718</v>
      </c>
      <c r="H1454" s="2">
        <v>45575</v>
      </c>
      <c r="I1454" s="1">
        <v>-10033.4</v>
      </c>
      <c r="J1454" t="s">
        <v>86</v>
      </c>
      <c r="K1454" t="s">
        <v>20</v>
      </c>
      <c r="L1454">
        <v>0</v>
      </c>
      <c r="M1454" t="s">
        <v>86</v>
      </c>
    </row>
    <row r="1455" spans="1:13">
      <c r="A1455" t="s">
        <v>1715</v>
      </c>
      <c r="B1455" t="s">
        <v>1716</v>
      </c>
      <c r="C1455" t="s">
        <v>16</v>
      </c>
      <c r="D1455" t="s">
        <v>21</v>
      </c>
      <c r="E1455" t="s">
        <v>1719</v>
      </c>
      <c r="F1455" t="s">
        <v>1719</v>
      </c>
      <c r="G1455" s="2">
        <v>45546</v>
      </c>
      <c r="H1455" s="2">
        <v>45576</v>
      </c>
      <c r="I1455">
        <v>270</v>
      </c>
      <c r="J1455">
        <v>270</v>
      </c>
      <c r="K1455" t="s">
        <v>20</v>
      </c>
      <c r="L1455">
        <v>0</v>
      </c>
      <c r="M1455">
        <v>270</v>
      </c>
    </row>
    <row r="1456" spans="1:13">
      <c r="A1456" t="s">
        <v>1715</v>
      </c>
      <c r="B1456" t="s">
        <v>1716</v>
      </c>
      <c r="C1456" t="s">
        <v>16</v>
      </c>
      <c r="D1456" t="s">
        <v>21</v>
      </c>
      <c r="E1456" t="s">
        <v>1720</v>
      </c>
      <c r="F1456" t="s">
        <v>1720</v>
      </c>
      <c r="G1456" s="2">
        <v>45708</v>
      </c>
      <c r="H1456" s="2">
        <v>45738</v>
      </c>
      <c r="I1456" s="1">
        <v>4276</v>
      </c>
      <c r="J1456">
        <v>4276</v>
      </c>
      <c r="K1456" t="s">
        <v>20</v>
      </c>
      <c r="L1456">
        <v>12</v>
      </c>
      <c r="M1456">
        <v>4276</v>
      </c>
    </row>
    <row r="1457" spans="1:13">
      <c r="A1457" t="s">
        <v>1715</v>
      </c>
      <c r="B1457" t="s">
        <v>1716</v>
      </c>
      <c r="C1457" t="s">
        <v>16</v>
      </c>
      <c r="D1457" t="s">
        <v>21</v>
      </c>
      <c r="E1457" t="s">
        <v>1721</v>
      </c>
      <c r="F1457" t="s">
        <v>1721</v>
      </c>
      <c r="G1457" s="2">
        <v>45708</v>
      </c>
      <c r="H1457" s="2">
        <v>45738</v>
      </c>
      <c r="I1457" s="1">
        <v>7940</v>
      </c>
      <c r="J1457">
        <v>7940</v>
      </c>
      <c r="K1457" t="s">
        <v>20</v>
      </c>
      <c r="L1457">
        <v>12</v>
      </c>
      <c r="M1457">
        <v>7940</v>
      </c>
    </row>
    <row r="1458" spans="1:13">
      <c r="A1458" t="s">
        <v>1715</v>
      </c>
      <c r="B1458" t="s">
        <v>1716</v>
      </c>
      <c r="C1458" t="s">
        <v>16</v>
      </c>
      <c r="D1458" t="s">
        <v>21</v>
      </c>
      <c r="E1458" t="s">
        <v>1722</v>
      </c>
      <c r="F1458" t="s">
        <v>1722</v>
      </c>
      <c r="G1458" s="2">
        <v>45708</v>
      </c>
      <c r="H1458" s="2">
        <v>45738</v>
      </c>
      <c r="I1458">
        <v>150</v>
      </c>
      <c r="J1458">
        <v>150</v>
      </c>
      <c r="K1458" t="s">
        <v>20</v>
      </c>
      <c r="L1458">
        <v>12</v>
      </c>
      <c r="M1458">
        <v>150</v>
      </c>
    </row>
    <row r="1459" spans="1:13">
      <c r="A1459" t="s">
        <v>1715</v>
      </c>
      <c r="B1459" t="s">
        <v>1716</v>
      </c>
      <c r="C1459" t="s">
        <v>16</v>
      </c>
      <c r="D1459" t="s">
        <v>21</v>
      </c>
      <c r="E1459" t="s">
        <v>1723</v>
      </c>
      <c r="F1459" t="s">
        <v>1723</v>
      </c>
      <c r="G1459" s="2">
        <v>45713</v>
      </c>
      <c r="H1459" s="2">
        <v>45743</v>
      </c>
      <c r="I1459" s="1">
        <v>1290</v>
      </c>
      <c r="J1459">
        <v>1290</v>
      </c>
      <c r="K1459" t="s">
        <v>20</v>
      </c>
      <c r="L1459">
        <v>13</v>
      </c>
      <c r="M1459">
        <v>1290</v>
      </c>
    </row>
    <row r="1460" spans="1:13">
      <c r="A1460" t="s">
        <v>1715</v>
      </c>
      <c r="B1460" t="s">
        <v>1716</v>
      </c>
      <c r="C1460" t="s">
        <v>16</v>
      </c>
      <c r="D1460" t="s">
        <v>21</v>
      </c>
      <c r="E1460" t="s">
        <v>1724</v>
      </c>
      <c r="F1460" t="s">
        <v>1724</v>
      </c>
      <c r="G1460" s="2">
        <v>45733</v>
      </c>
      <c r="H1460" s="2">
        <v>45763</v>
      </c>
      <c r="I1460" s="1">
        <v>3926.25</v>
      </c>
      <c r="J1460">
        <v>3926.25</v>
      </c>
      <c r="K1460" t="s">
        <v>20</v>
      </c>
      <c r="L1460">
        <v>0</v>
      </c>
      <c r="M1460">
        <v>0</v>
      </c>
    </row>
    <row r="1461" spans="1:13">
      <c r="A1461" t="s">
        <v>1715</v>
      </c>
      <c r="B1461" t="s">
        <v>1716</v>
      </c>
      <c r="C1461" t="s">
        <v>16</v>
      </c>
      <c r="D1461" t="s">
        <v>21</v>
      </c>
      <c r="E1461" t="s">
        <v>1725</v>
      </c>
      <c r="F1461" t="s">
        <v>1725</v>
      </c>
      <c r="G1461" s="2">
        <v>45733</v>
      </c>
      <c r="H1461" s="2">
        <v>45763</v>
      </c>
      <c r="I1461" s="1">
        <v>2166</v>
      </c>
      <c r="J1461">
        <v>2166</v>
      </c>
      <c r="K1461" t="s">
        <v>20</v>
      </c>
      <c r="L1461">
        <v>0</v>
      </c>
      <c r="M1461">
        <v>0</v>
      </c>
    </row>
    <row r="1462" spans="1:13">
      <c r="A1462" t="s">
        <v>1726</v>
      </c>
      <c r="B1462" t="s">
        <v>1727</v>
      </c>
      <c r="C1462" t="s">
        <v>16</v>
      </c>
      <c r="D1462" t="s">
        <v>17</v>
      </c>
      <c r="E1462" t="s">
        <v>1728</v>
      </c>
      <c r="F1462" t="s">
        <v>19</v>
      </c>
      <c r="H1462" s="2">
        <v>45688</v>
      </c>
      <c r="I1462">
        <v>-13.23</v>
      </c>
      <c r="J1462">
        <v>-13.23</v>
      </c>
      <c r="K1462" t="s">
        <v>20</v>
      </c>
      <c r="L1462">
        <v>0</v>
      </c>
      <c r="M1462">
        <v>-13.23</v>
      </c>
    </row>
    <row r="1463" spans="1:13">
      <c r="A1463" t="s">
        <v>1729</v>
      </c>
      <c r="B1463" t="s">
        <v>1730</v>
      </c>
      <c r="C1463" t="s">
        <v>16</v>
      </c>
      <c r="D1463" t="s">
        <v>21</v>
      </c>
      <c r="E1463" t="s">
        <v>1731</v>
      </c>
      <c r="F1463" t="s">
        <v>1731</v>
      </c>
      <c r="G1463" s="2">
        <v>45701</v>
      </c>
      <c r="H1463" s="2">
        <v>45731</v>
      </c>
      <c r="I1463" s="1">
        <v>1172.8699999999999</v>
      </c>
      <c r="J1463">
        <v>1172.8699999999999</v>
      </c>
      <c r="K1463" t="s">
        <v>20</v>
      </c>
      <c r="L1463">
        <v>11</v>
      </c>
      <c r="M1463">
        <v>1172.8699999999999</v>
      </c>
    </row>
    <row r="1464" spans="1:13">
      <c r="A1464" t="s">
        <v>1729</v>
      </c>
      <c r="B1464" t="s">
        <v>1730</v>
      </c>
      <c r="C1464" t="s">
        <v>16</v>
      </c>
      <c r="D1464" t="s">
        <v>21</v>
      </c>
      <c r="E1464" t="s">
        <v>1732</v>
      </c>
      <c r="F1464" t="s">
        <v>1732</v>
      </c>
      <c r="G1464" s="2">
        <v>45705</v>
      </c>
      <c r="H1464" s="2">
        <v>45735</v>
      </c>
      <c r="I1464">
        <v>675</v>
      </c>
      <c r="J1464">
        <v>675</v>
      </c>
      <c r="K1464" t="s">
        <v>20</v>
      </c>
      <c r="L1464">
        <v>12</v>
      </c>
      <c r="M1464">
        <v>675</v>
      </c>
    </row>
    <row r="1465" spans="1:13">
      <c r="A1465" t="s">
        <v>1729</v>
      </c>
      <c r="B1465" t="s">
        <v>1730</v>
      </c>
      <c r="C1465" t="s">
        <v>16</v>
      </c>
      <c r="D1465" t="s">
        <v>21</v>
      </c>
      <c r="E1465" t="s">
        <v>1733</v>
      </c>
      <c r="F1465" t="s">
        <v>1733</v>
      </c>
      <c r="G1465" s="2">
        <v>45706</v>
      </c>
      <c r="H1465" s="2">
        <v>45736</v>
      </c>
      <c r="I1465" s="1">
        <v>13125</v>
      </c>
      <c r="J1465">
        <v>13125</v>
      </c>
      <c r="K1465" t="s">
        <v>20</v>
      </c>
      <c r="L1465">
        <v>12</v>
      </c>
      <c r="M1465">
        <v>13125</v>
      </c>
    </row>
    <row r="1466" spans="1:13">
      <c r="A1466" t="s">
        <v>1729</v>
      </c>
      <c r="B1466" t="s">
        <v>1730</v>
      </c>
      <c r="C1466" t="s">
        <v>16</v>
      </c>
      <c r="D1466" t="s">
        <v>21</v>
      </c>
      <c r="E1466" t="s">
        <v>1734</v>
      </c>
      <c r="F1466" t="s">
        <v>1734</v>
      </c>
      <c r="G1466" s="2">
        <v>45713</v>
      </c>
      <c r="H1466" s="2">
        <v>45743</v>
      </c>
      <c r="I1466" s="1">
        <v>12000</v>
      </c>
      <c r="J1466">
        <v>12000</v>
      </c>
      <c r="K1466" t="s">
        <v>20</v>
      </c>
      <c r="L1466">
        <v>13</v>
      </c>
      <c r="M1466">
        <v>12000</v>
      </c>
    </row>
    <row r="1467" spans="1:13">
      <c r="A1467" t="s">
        <v>1729</v>
      </c>
      <c r="B1467" t="s">
        <v>1730</v>
      </c>
      <c r="C1467" t="s">
        <v>16</v>
      </c>
      <c r="D1467" t="s">
        <v>21</v>
      </c>
      <c r="E1467" t="s">
        <v>1735</v>
      </c>
      <c r="F1467" t="s">
        <v>1735</v>
      </c>
      <c r="G1467" s="2">
        <v>45726</v>
      </c>
      <c r="H1467" s="2">
        <v>45756</v>
      </c>
      <c r="I1467" s="1">
        <v>4060</v>
      </c>
      <c r="J1467">
        <v>4060</v>
      </c>
      <c r="K1467" t="s">
        <v>20</v>
      </c>
      <c r="L1467">
        <v>0</v>
      </c>
      <c r="M1467">
        <v>0</v>
      </c>
    </row>
    <row r="1468" spans="1:13">
      <c r="A1468" t="s">
        <v>1729</v>
      </c>
      <c r="B1468" t="s">
        <v>1730</v>
      </c>
      <c r="C1468" t="s">
        <v>16</v>
      </c>
      <c r="D1468" t="s">
        <v>21</v>
      </c>
      <c r="E1468" t="s">
        <v>1736</v>
      </c>
      <c r="F1468" t="s">
        <v>1736</v>
      </c>
      <c r="G1468" s="2">
        <v>45726</v>
      </c>
      <c r="H1468" s="2">
        <v>45756</v>
      </c>
      <c r="I1468" s="1">
        <v>2325</v>
      </c>
      <c r="J1468">
        <v>2325</v>
      </c>
      <c r="K1468" t="s">
        <v>20</v>
      </c>
      <c r="L1468">
        <v>0</v>
      </c>
      <c r="M1468">
        <v>0</v>
      </c>
    </row>
    <row r="1469" spans="1:13">
      <c r="A1469" t="s">
        <v>1729</v>
      </c>
      <c r="B1469" t="s">
        <v>1730</v>
      </c>
      <c r="C1469" t="s">
        <v>16</v>
      </c>
      <c r="D1469" t="s">
        <v>21</v>
      </c>
      <c r="E1469" t="s">
        <v>1737</v>
      </c>
      <c r="F1469" t="s">
        <v>1737</v>
      </c>
      <c r="G1469" s="2">
        <v>45728</v>
      </c>
      <c r="H1469" s="2">
        <v>45758</v>
      </c>
      <c r="I1469" s="1">
        <v>9540</v>
      </c>
      <c r="J1469">
        <v>9540</v>
      </c>
      <c r="K1469" t="s">
        <v>20</v>
      </c>
      <c r="L1469">
        <v>0</v>
      </c>
      <c r="M1469">
        <v>0</v>
      </c>
    </row>
    <row r="1470" spans="1:13">
      <c r="A1470" t="s">
        <v>1729</v>
      </c>
      <c r="B1470" t="s">
        <v>1730</v>
      </c>
      <c r="C1470" t="s">
        <v>16</v>
      </c>
      <c r="D1470" t="s">
        <v>21</v>
      </c>
      <c r="E1470" t="s">
        <v>1738</v>
      </c>
      <c r="F1470" t="s">
        <v>1738</v>
      </c>
      <c r="G1470" s="2">
        <v>45734</v>
      </c>
      <c r="H1470" s="2">
        <v>45764</v>
      </c>
      <c r="I1470" s="1">
        <v>3609</v>
      </c>
      <c r="J1470">
        <v>3609</v>
      </c>
      <c r="K1470" t="s">
        <v>20</v>
      </c>
      <c r="L1470">
        <v>0</v>
      </c>
      <c r="M1470">
        <v>0</v>
      </c>
    </row>
    <row r="1471" spans="1:13">
      <c r="A1471" t="s">
        <v>1729</v>
      </c>
      <c r="B1471" t="s">
        <v>1730</v>
      </c>
      <c r="C1471" t="s">
        <v>16</v>
      </c>
      <c r="D1471" t="s">
        <v>21</v>
      </c>
      <c r="E1471" t="s">
        <v>1739</v>
      </c>
      <c r="F1471" t="s">
        <v>1739</v>
      </c>
      <c r="G1471" s="2">
        <v>45736</v>
      </c>
      <c r="H1471" s="2">
        <v>45766</v>
      </c>
      <c r="I1471" s="1">
        <v>8422</v>
      </c>
      <c r="J1471">
        <v>8422</v>
      </c>
      <c r="K1471" t="s">
        <v>20</v>
      </c>
      <c r="L1471">
        <v>0</v>
      </c>
      <c r="M1471">
        <v>0</v>
      </c>
    </row>
    <row r="1472" spans="1:13">
      <c r="A1472" t="s">
        <v>1729</v>
      </c>
      <c r="B1472" t="s">
        <v>1730</v>
      </c>
      <c r="C1472" t="s">
        <v>16</v>
      </c>
      <c r="D1472" t="s">
        <v>21</v>
      </c>
      <c r="E1472" t="s">
        <v>1740</v>
      </c>
      <c r="F1472" t="s">
        <v>1740</v>
      </c>
      <c r="G1472" s="2">
        <v>45740</v>
      </c>
      <c r="H1472" s="2">
        <v>45770</v>
      </c>
      <c r="I1472" s="1">
        <v>1488</v>
      </c>
      <c r="J1472">
        <v>1488</v>
      </c>
      <c r="K1472" t="s">
        <v>20</v>
      </c>
      <c r="L1472">
        <v>0</v>
      </c>
      <c r="M1472">
        <v>0</v>
      </c>
    </row>
    <row r="1473" spans="1:13">
      <c r="A1473" t="s">
        <v>1741</v>
      </c>
      <c r="B1473" t="s">
        <v>1742</v>
      </c>
      <c r="C1473" t="s">
        <v>213</v>
      </c>
      <c r="D1473" t="s">
        <v>55</v>
      </c>
      <c r="E1473" t="s">
        <v>19</v>
      </c>
      <c r="F1473" t="s">
        <v>19</v>
      </c>
      <c r="H1473" s="2">
        <v>45737</v>
      </c>
      <c r="I1473">
        <v>-28.72</v>
      </c>
      <c r="J1473">
        <v>-28.72</v>
      </c>
      <c r="K1473" t="s">
        <v>20</v>
      </c>
      <c r="L1473">
        <v>12</v>
      </c>
      <c r="M1473">
        <v>-28.72</v>
      </c>
    </row>
    <row r="1474" spans="1:13">
      <c r="A1474" t="s">
        <v>1743</v>
      </c>
      <c r="B1474" t="s">
        <v>1744</v>
      </c>
      <c r="C1474" t="s">
        <v>213</v>
      </c>
      <c r="D1474" t="s">
        <v>21</v>
      </c>
      <c r="E1474" t="s">
        <v>1745</v>
      </c>
      <c r="F1474" t="s">
        <v>1745</v>
      </c>
      <c r="G1474" s="2">
        <v>45716</v>
      </c>
      <c r="H1474" s="2">
        <v>45716</v>
      </c>
      <c r="I1474">
        <v>569.72</v>
      </c>
      <c r="J1474">
        <v>569.72</v>
      </c>
      <c r="K1474" t="s">
        <v>20</v>
      </c>
      <c r="L1474">
        <v>0</v>
      </c>
      <c r="M1474">
        <v>569.72</v>
      </c>
    </row>
    <row r="1475" spans="1:13">
      <c r="A1475" t="s">
        <v>1746</v>
      </c>
      <c r="B1475" t="s">
        <v>1747</v>
      </c>
      <c r="C1475" t="s">
        <v>16</v>
      </c>
      <c r="D1475" t="s">
        <v>21</v>
      </c>
      <c r="E1475" t="s">
        <v>1748</v>
      </c>
      <c r="F1475" t="s">
        <v>1748</v>
      </c>
      <c r="G1475" s="2">
        <v>45565</v>
      </c>
      <c r="H1475" s="2">
        <v>45595</v>
      </c>
      <c r="I1475" s="1">
        <v>3424</v>
      </c>
      <c r="J1475">
        <v>224</v>
      </c>
      <c r="K1475" t="s">
        <v>20</v>
      </c>
      <c r="L1475">
        <v>0</v>
      </c>
      <c r="M1475">
        <v>224</v>
      </c>
    </row>
    <row r="1476" spans="1:13">
      <c r="A1476" t="s">
        <v>1746</v>
      </c>
      <c r="B1476" t="s">
        <v>1747</v>
      </c>
      <c r="C1476" t="s">
        <v>16</v>
      </c>
      <c r="D1476" t="s">
        <v>55</v>
      </c>
      <c r="E1476" t="s">
        <v>1748</v>
      </c>
      <c r="F1476" t="s">
        <v>1748</v>
      </c>
      <c r="H1476" s="2">
        <v>45601</v>
      </c>
      <c r="I1476" s="1">
        <v>-3200</v>
      </c>
      <c r="J1476" t="s">
        <v>86</v>
      </c>
      <c r="K1476" t="s">
        <v>20</v>
      </c>
      <c r="L1476">
        <v>0</v>
      </c>
      <c r="M1476" t="s">
        <v>86</v>
      </c>
    </row>
    <row r="1477" spans="1:13">
      <c r="A1477" t="s">
        <v>1746</v>
      </c>
      <c r="B1477" t="s">
        <v>1747</v>
      </c>
      <c r="C1477" t="s">
        <v>16</v>
      </c>
      <c r="D1477" t="s">
        <v>21</v>
      </c>
      <c r="E1477" t="s">
        <v>1749</v>
      </c>
      <c r="F1477" t="s">
        <v>1749</v>
      </c>
      <c r="G1477" s="2">
        <v>45707</v>
      </c>
      <c r="H1477" s="2">
        <v>45737</v>
      </c>
      <c r="I1477" s="1">
        <v>2550</v>
      </c>
      <c r="J1477">
        <v>170.71</v>
      </c>
      <c r="K1477" t="s">
        <v>20</v>
      </c>
      <c r="L1477">
        <v>12</v>
      </c>
      <c r="M1477">
        <v>170.71</v>
      </c>
    </row>
    <row r="1478" spans="1:13">
      <c r="A1478" t="s">
        <v>1746</v>
      </c>
      <c r="B1478" t="s">
        <v>1747</v>
      </c>
      <c r="C1478" t="s">
        <v>16</v>
      </c>
      <c r="D1478" t="s">
        <v>17</v>
      </c>
      <c r="E1478" t="s">
        <v>1750</v>
      </c>
      <c r="F1478" t="s">
        <v>1749</v>
      </c>
      <c r="H1478" s="2">
        <v>45741</v>
      </c>
      <c r="I1478">
        <v>-150</v>
      </c>
      <c r="J1478" t="s">
        <v>86</v>
      </c>
      <c r="K1478" t="s">
        <v>20</v>
      </c>
      <c r="L1478">
        <v>13</v>
      </c>
      <c r="M1478" t="s">
        <v>86</v>
      </c>
    </row>
    <row r="1479" spans="1:13">
      <c r="A1479" t="s">
        <v>1746</v>
      </c>
      <c r="B1479" t="s">
        <v>1747</v>
      </c>
      <c r="C1479" t="s">
        <v>16</v>
      </c>
      <c r="D1479" t="s">
        <v>55</v>
      </c>
      <c r="E1479" t="s">
        <v>1749</v>
      </c>
      <c r="F1479" t="s">
        <v>1749</v>
      </c>
      <c r="H1479" s="2">
        <v>45741</v>
      </c>
      <c r="I1479" s="1">
        <v>-2229.29</v>
      </c>
      <c r="J1479" t="s">
        <v>86</v>
      </c>
      <c r="K1479" t="s">
        <v>20</v>
      </c>
      <c r="L1479">
        <v>13</v>
      </c>
      <c r="M1479" t="s">
        <v>86</v>
      </c>
    </row>
    <row r="1480" spans="1:13">
      <c r="A1480" t="s">
        <v>1751</v>
      </c>
      <c r="B1480" t="s">
        <v>1752</v>
      </c>
      <c r="C1480" t="s">
        <v>16</v>
      </c>
      <c r="D1480" t="s">
        <v>55</v>
      </c>
      <c r="E1480" t="s">
        <v>19</v>
      </c>
      <c r="F1480" t="s">
        <v>19</v>
      </c>
      <c r="H1480" s="2">
        <v>45653</v>
      </c>
      <c r="I1480" s="1">
        <v>-14244</v>
      </c>
      <c r="J1480">
        <v>-14244</v>
      </c>
      <c r="K1480" t="s">
        <v>20</v>
      </c>
      <c r="L1480">
        <v>0</v>
      </c>
      <c r="M1480">
        <v>-14244</v>
      </c>
    </row>
    <row r="1481" spans="1:13">
      <c r="A1481" t="s">
        <v>1751</v>
      </c>
      <c r="B1481" t="s">
        <v>1752</v>
      </c>
      <c r="C1481" t="s">
        <v>16</v>
      </c>
      <c r="D1481" t="s">
        <v>55</v>
      </c>
      <c r="E1481" t="s">
        <v>19</v>
      </c>
      <c r="F1481" t="s">
        <v>19</v>
      </c>
      <c r="H1481" s="2">
        <v>45663</v>
      </c>
      <c r="I1481" s="1">
        <v>-1870</v>
      </c>
      <c r="J1481">
        <v>-1870</v>
      </c>
      <c r="K1481" t="s">
        <v>20</v>
      </c>
      <c r="L1481">
        <v>0</v>
      </c>
      <c r="M1481">
        <v>-1870</v>
      </c>
    </row>
    <row r="1482" spans="1:13">
      <c r="A1482" t="s">
        <v>1751</v>
      </c>
      <c r="B1482" t="s">
        <v>1752</v>
      </c>
      <c r="C1482" t="s">
        <v>16</v>
      </c>
      <c r="D1482" t="s">
        <v>21</v>
      </c>
      <c r="E1482" t="s">
        <v>1753</v>
      </c>
      <c r="F1482" t="s">
        <v>1753</v>
      </c>
      <c r="G1482" s="2">
        <v>45646</v>
      </c>
      <c r="H1482" s="2">
        <v>45676</v>
      </c>
      <c r="I1482" s="1">
        <v>12603.03</v>
      </c>
      <c r="J1482">
        <v>12603.03</v>
      </c>
      <c r="K1482" t="s">
        <v>20</v>
      </c>
      <c r="L1482">
        <v>0</v>
      </c>
      <c r="M1482">
        <v>12603.03</v>
      </c>
    </row>
    <row r="1483" spans="1:13">
      <c r="A1483" t="s">
        <v>1751</v>
      </c>
      <c r="B1483" t="s">
        <v>1752</v>
      </c>
      <c r="C1483" t="s">
        <v>16</v>
      </c>
      <c r="D1483" t="s">
        <v>21</v>
      </c>
      <c r="E1483" t="s">
        <v>1754</v>
      </c>
      <c r="F1483" t="s">
        <v>1754</v>
      </c>
      <c r="G1483" s="2">
        <v>45679</v>
      </c>
      <c r="H1483" s="2">
        <v>45709</v>
      </c>
      <c r="I1483" s="1">
        <v>2000.9</v>
      </c>
      <c r="J1483">
        <v>2000.9</v>
      </c>
      <c r="K1483" t="s">
        <v>20</v>
      </c>
      <c r="L1483">
        <v>0</v>
      </c>
      <c r="M1483">
        <v>2000.9</v>
      </c>
    </row>
    <row r="1484" spans="1:13">
      <c r="A1484" t="s">
        <v>1751</v>
      </c>
      <c r="B1484" t="s">
        <v>1752</v>
      </c>
      <c r="C1484" t="s">
        <v>16</v>
      </c>
      <c r="D1484" t="s">
        <v>21</v>
      </c>
      <c r="E1484" t="s">
        <v>1755</v>
      </c>
      <c r="F1484" t="s">
        <v>1755</v>
      </c>
      <c r="G1484" s="2">
        <v>45728</v>
      </c>
      <c r="H1484" s="2">
        <v>45758</v>
      </c>
      <c r="I1484" s="1">
        <v>1134</v>
      </c>
      <c r="J1484">
        <v>1134</v>
      </c>
      <c r="K1484" t="s">
        <v>20</v>
      </c>
      <c r="L1484">
        <v>0</v>
      </c>
      <c r="M1484">
        <v>0</v>
      </c>
    </row>
    <row r="1485" spans="1:13">
      <c r="A1485" t="s">
        <v>1751</v>
      </c>
      <c r="B1485" t="s">
        <v>1752</v>
      </c>
      <c r="C1485" t="s">
        <v>16</v>
      </c>
      <c r="D1485" t="s">
        <v>21</v>
      </c>
      <c r="E1485" t="s">
        <v>1756</v>
      </c>
      <c r="F1485" t="s">
        <v>1756</v>
      </c>
      <c r="G1485" s="2">
        <v>45728</v>
      </c>
      <c r="H1485" s="2">
        <v>45758</v>
      </c>
      <c r="I1485" s="1">
        <v>4800</v>
      </c>
      <c r="J1485">
        <v>4800</v>
      </c>
      <c r="K1485" t="s">
        <v>20</v>
      </c>
      <c r="L1485">
        <v>0</v>
      </c>
      <c r="M1485">
        <v>0</v>
      </c>
    </row>
    <row r="1486" spans="1:13">
      <c r="A1486" t="s">
        <v>1757</v>
      </c>
      <c r="B1486" t="s">
        <v>1758</v>
      </c>
      <c r="C1486" t="s">
        <v>16</v>
      </c>
      <c r="D1486" t="s">
        <v>21</v>
      </c>
      <c r="E1486" t="s">
        <v>1759</v>
      </c>
      <c r="F1486" t="s">
        <v>1759</v>
      </c>
      <c r="G1486" s="2">
        <v>45279</v>
      </c>
      <c r="H1486" s="2">
        <v>45309</v>
      </c>
      <c r="I1486" s="1">
        <v>6732.37</v>
      </c>
      <c r="J1486">
        <v>4958.12</v>
      </c>
      <c r="K1486" t="s">
        <v>20</v>
      </c>
      <c r="L1486">
        <v>0</v>
      </c>
      <c r="M1486">
        <v>4958.12</v>
      </c>
    </row>
    <row r="1487" spans="1:13">
      <c r="A1487" t="s">
        <v>1757</v>
      </c>
      <c r="B1487" t="s">
        <v>1758</v>
      </c>
      <c r="C1487" t="s">
        <v>16</v>
      </c>
      <c r="D1487" t="s">
        <v>17</v>
      </c>
      <c r="E1487" t="s">
        <v>1760</v>
      </c>
      <c r="F1487" t="s">
        <v>1759</v>
      </c>
      <c r="H1487" s="2">
        <v>45636</v>
      </c>
      <c r="I1487" s="1">
        <v>-1774.25</v>
      </c>
      <c r="J1487" t="s">
        <v>86</v>
      </c>
      <c r="K1487" t="s">
        <v>20</v>
      </c>
      <c r="L1487">
        <v>0</v>
      </c>
      <c r="M1487" t="s">
        <v>86</v>
      </c>
    </row>
    <row r="1488" spans="1:13">
      <c r="A1488" t="s">
        <v>1757</v>
      </c>
      <c r="B1488" t="s">
        <v>1758</v>
      </c>
      <c r="C1488" t="s">
        <v>16</v>
      </c>
      <c r="D1488" t="s">
        <v>17</v>
      </c>
      <c r="E1488" t="s">
        <v>1761</v>
      </c>
      <c r="F1488" t="s">
        <v>19</v>
      </c>
      <c r="H1488" s="2">
        <v>45345</v>
      </c>
      <c r="I1488" s="1">
        <v>-6724.08</v>
      </c>
      <c r="J1488">
        <v>-6724.08</v>
      </c>
      <c r="K1488" t="s">
        <v>20</v>
      </c>
      <c r="L1488">
        <v>0</v>
      </c>
      <c r="M1488">
        <v>-6724.08</v>
      </c>
    </row>
    <row r="1489" spans="1:13">
      <c r="A1489" t="s">
        <v>1757</v>
      </c>
      <c r="B1489" t="s">
        <v>1758</v>
      </c>
      <c r="C1489" t="s">
        <v>16</v>
      </c>
      <c r="D1489" t="s">
        <v>21</v>
      </c>
      <c r="E1489" t="s">
        <v>1762</v>
      </c>
      <c r="F1489" t="s">
        <v>1762</v>
      </c>
      <c r="G1489" s="2">
        <v>45316</v>
      </c>
      <c r="H1489" s="2">
        <v>45346</v>
      </c>
      <c r="I1489">
        <v>728.5</v>
      </c>
      <c r="J1489">
        <v>728.5</v>
      </c>
      <c r="K1489" t="s">
        <v>20</v>
      </c>
      <c r="L1489">
        <v>0</v>
      </c>
      <c r="M1489">
        <v>728.5</v>
      </c>
    </row>
    <row r="1490" spans="1:13">
      <c r="A1490" t="s">
        <v>1757</v>
      </c>
      <c r="B1490" t="s">
        <v>1758</v>
      </c>
      <c r="C1490" t="s">
        <v>16</v>
      </c>
      <c r="D1490" t="s">
        <v>21</v>
      </c>
      <c r="E1490" t="s">
        <v>1763</v>
      </c>
      <c r="F1490" t="s">
        <v>1763</v>
      </c>
      <c r="G1490" s="2">
        <v>45317</v>
      </c>
      <c r="H1490" s="2">
        <v>45347</v>
      </c>
      <c r="I1490" s="1">
        <v>1873</v>
      </c>
      <c r="J1490">
        <v>1873</v>
      </c>
      <c r="K1490" t="s">
        <v>20</v>
      </c>
      <c r="L1490">
        <v>0</v>
      </c>
      <c r="M1490">
        <v>1873</v>
      </c>
    </row>
    <row r="1491" spans="1:13">
      <c r="A1491" t="s">
        <v>1757</v>
      </c>
      <c r="B1491" t="s">
        <v>1758</v>
      </c>
      <c r="C1491" t="s">
        <v>16</v>
      </c>
      <c r="D1491" t="s">
        <v>21</v>
      </c>
      <c r="E1491" t="s">
        <v>1764</v>
      </c>
      <c r="F1491" t="s">
        <v>1764</v>
      </c>
      <c r="G1491" s="2">
        <v>45322</v>
      </c>
      <c r="H1491" s="2">
        <v>45352</v>
      </c>
      <c r="I1491" s="1">
        <v>17544</v>
      </c>
      <c r="J1491">
        <v>17544</v>
      </c>
      <c r="K1491" t="s">
        <v>20</v>
      </c>
      <c r="L1491">
        <v>0</v>
      </c>
      <c r="M1491">
        <v>17544</v>
      </c>
    </row>
    <row r="1492" spans="1:13">
      <c r="A1492" t="s">
        <v>1757</v>
      </c>
      <c r="B1492" t="s">
        <v>1758</v>
      </c>
      <c r="C1492" t="s">
        <v>16</v>
      </c>
      <c r="D1492" t="s">
        <v>21</v>
      </c>
      <c r="E1492" t="s">
        <v>1765</v>
      </c>
      <c r="F1492" t="s">
        <v>1765</v>
      </c>
      <c r="G1492" s="2">
        <v>45377</v>
      </c>
      <c r="H1492" s="2">
        <v>45407</v>
      </c>
      <c r="I1492" s="1">
        <v>11214.68</v>
      </c>
      <c r="J1492">
        <v>11214.68</v>
      </c>
      <c r="K1492" t="s">
        <v>20</v>
      </c>
      <c r="L1492">
        <v>0</v>
      </c>
      <c r="M1492">
        <v>11214.68</v>
      </c>
    </row>
    <row r="1493" spans="1:13">
      <c r="A1493" t="s">
        <v>1757</v>
      </c>
      <c r="B1493" t="s">
        <v>1758</v>
      </c>
      <c r="C1493" t="s">
        <v>16</v>
      </c>
      <c r="D1493" t="s">
        <v>17</v>
      </c>
      <c r="E1493" t="s">
        <v>1766</v>
      </c>
      <c r="F1493" t="s">
        <v>19</v>
      </c>
      <c r="H1493" s="2">
        <v>45412</v>
      </c>
      <c r="I1493">
        <v>-142</v>
      </c>
      <c r="J1493">
        <v>-142</v>
      </c>
      <c r="K1493" t="s">
        <v>20</v>
      </c>
      <c r="L1493">
        <v>0</v>
      </c>
      <c r="M1493">
        <v>-142</v>
      </c>
    </row>
    <row r="1494" spans="1:13">
      <c r="A1494" t="s">
        <v>1757</v>
      </c>
      <c r="B1494" t="s">
        <v>1758</v>
      </c>
      <c r="C1494" t="s">
        <v>16</v>
      </c>
      <c r="D1494" t="s">
        <v>21</v>
      </c>
      <c r="E1494" t="s">
        <v>1767</v>
      </c>
      <c r="F1494" t="s">
        <v>1767</v>
      </c>
      <c r="G1494" s="2">
        <v>45383</v>
      </c>
      <c r="H1494" s="2">
        <v>45413</v>
      </c>
      <c r="I1494" s="1">
        <v>11544</v>
      </c>
      <c r="J1494">
        <v>11544</v>
      </c>
      <c r="K1494" t="s">
        <v>20</v>
      </c>
      <c r="L1494">
        <v>0</v>
      </c>
      <c r="M1494">
        <v>11544</v>
      </c>
    </row>
    <row r="1495" spans="1:13">
      <c r="A1495" t="s">
        <v>1757</v>
      </c>
      <c r="B1495" t="s">
        <v>1758</v>
      </c>
      <c r="C1495" t="s">
        <v>16</v>
      </c>
      <c r="D1495" t="s">
        <v>17</v>
      </c>
      <c r="E1495" t="s">
        <v>1768</v>
      </c>
      <c r="F1495" t="s">
        <v>19</v>
      </c>
      <c r="H1495" s="2">
        <v>45462</v>
      </c>
      <c r="I1495">
        <v>-24.4</v>
      </c>
      <c r="J1495">
        <v>-24.4</v>
      </c>
      <c r="K1495" t="s">
        <v>20</v>
      </c>
      <c r="L1495">
        <v>0</v>
      </c>
      <c r="M1495">
        <v>-24.4</v>
      </c>
    </row>
    <row r="1496" spans="1:13">
      <c r="A1496" t="s">
        <v>1757</v>
      </c>
      <c r="B1496" t="s">
        <v>1758</v>
      </c>
      <c r="C1496" t="s">
        <v>16</v>
      </c>
      <c r="D1496" t="s">
        <v>1422</v>
      </c>
      <c r="E1496" t="s">
        <v>1769</v>
      </c>
      <c r="F1496" t="s">
        <v>19</v>
      </c>
      <c r="G1496" s="2">
        <v>45517</v>
      </c>
      <c r="H1496" s="2">
        <v>45517</v>
      </c>
      <c r="I1496">
        <v>250</v>
      </c>
      <c r="J1496">
        <v>250</v>
      </c>
      <c r="K1496" t="s">
        <v>20</v>
      </c>
      <c r="L1496">
        <v>0</v>
      </c>
      <c r="M1496">
        <v>250</v>
      </c>
    </row>
    <row r="1497" spans="1:13">
      <c r="A1497" t="s">
        <v>1757</v>
      </c>
      <c r="B1497" t="s">
        <v>1758</v>
      </c>
      <c r="C1497" t="s">
        <v>16</v>
      </c>
      <c r="D1497" t="s">
        <v>1422</v>
      </c>
      <c r="E1497" t="s">
        <v>1770</v>
      </c>
      <c r="F1497" t="s">
        <v>19</v>
      </c>
      <c r="G1497" s="2">
        <v>45517</v>
      </c>
      <c r="H1497" s="2">
        <v>45517</v>
      </c>
      <c r="I1497">
        <v>100</v>
      </c>
      <c r="J1497">
        <v>100</v>
      </c>
      <c r="K1497" t="s">
        <v>20</v>
      </c>
      <c r="L1497">
        <v>0</v>
      </c>
      <c r="M1497">
        <v>100</v>
      </c>
    </row>
    <row r="1498" spans="1:13">
      <c r="A1498" t="s">
        <v>1757</v>
      </c>
      <c r="B1498" t="s">
        <v>1758</v>
      </c>
      <c r="C1498" t="s">
        <v>16</v>
      </c>
      <c r="D1498" t="s">
        <v>21</v>
      </c>
      <c r="E1498" t="s">
        <v>1771</v>
      </c>
      <c r="F1498" t="s">
        <v>1771</v>
      </c>
      <c r="G1498" s="2">
        <v>45488</v>
      </c>
      <c r="H1498" s="2">
        <v>45518</v>
      </c>
      <c r="I1498" s="1">
        <v>1988.1</v>
      </c>
      <c r="J1498">
        <v>1988.1</v>
      </c>
      <c r="K1498" t="s">
        <v>20</v>
      </c>
      <c r="L1498">
        <v>0</v>
      </c>
      <c r="M1498">
        <v>1988.1</v>
      </c>
    </row>
    <row r="1499" spans="1:13">
      <c r="A1499" t="s">
        <v>1757</v>
      </c>
      <c r="B1499" t="s">
        <v>1758</v>
      </c>
      <c r="C1499" t="s">
        <v>16</v>
      </c>
      <c r="D1499" t="s">
        <v>21</v>
      </c>
      <c r="E1499" t="s">
        <v>1772</v>
      </c>
      <c r="F1499" t="s">
        <v>1772</v>
      </c>
      <c r="G1499" s="2">
        <v>45492</v>
      </c>
      <c r="H1499" s="2">
        <v>45522</v>
      </c>
      <c r="I1499">
        <v>432</v>
      </c>
      <c r="J1499">
        <v>432</v>
      </c>
      <c r="K1499" t="s">
        <v>20</v>
      </c>
      <c r="L1499">
        <v>0</v>
      </c>
      <c r="M1499">
        <v>432</v>
      </c>
    </row>
    <row r="1500" spans="1:13">
      <c r="A1500" t="s">
        <v>1757</v>
      </c>
      <c r="B1500" t="s">
        <v>1758</v>
      </c>
      <c r="C1500" t="s">
        <v>16</v>
      </c>
      <c r="D1500" t="s">
        <v>17</v>
      </c>
      <c r="E1500" t="s">
        <v>1773</v>
      </c>
      <c r="F1500" t="s">
        <v>19</v>
      </c>
      <c r="H1500" s="2">
        <v>45531</v>
      </c>
      <c r="I1500">
        <v>-250</v>
      </c>
      <c r="J1500">
        <v>-250</v>
      </c>
      <c r="K1500" t="s">
        <v>20</v>
      </c>
      <c r="L1500">
        <v>0</v>
      </c>
      <c r="M1500">
        <v>-250</v>
      </c>
    </row>
    <row r="1501" spans="1:13">
      <c r="A1501" t="s">
        <v>1757</v>
      </c>
      <c r="B1501" t="s">
        <v>1758</v>
      </c>
      <c r="C1501" t="s">
        <v>16</v>
      </c>
      <c r="D1501" t="s">
        <v>1422</v>
      </c>
      <c r="E1501" t="s">
        <v>1774</v>
      </c>
      <c r="F1501" t="s">
        <v>19</v>
      </c>
      <c r="G1501" s="2">
        <v>45532</v>
      </c>
      <c r="H1501" s="2">
        <v>45532</v>
      </c>
      <c r="I1501">
        <v>250</v>
      </c>
      <c r="J1501">
        <v>250</v>
      </c>
      <c r="K1501" t="s">
        <v>20</v>
      </c>
      <c r="L1501">
        <v>0</v>
      </c>
      <c r="M1501">
        <v>250</v>
      </c>
    </row>
    <row r="1502" spans="1:13">
      <c r="A1502" t="s">
        <v>1757</v>
      </c>
      <c r="B1502" t="s">
        <v>1758</v>
      </c>
      <c r="C1502" t="s">
        <v>16</v>
      </c>
      <c r="D1502" t="s">
        <v>1422</v>
      </c>
      <c r="E1502" t="s">
        <v>1775</v>
      </c>
      <c r="F1502" t="s">
        <v>19</v>
      </c>
      <c r="G1502" s="2">
        <v>45532</v>
      </c>
      <c r="H1502" s="2">
        <v>45532</v>
      </c>
      <c r="I1502">
        <v>500</v>
      </c>
      <c r="J1502">
        <v>500</v>
      </c>
      <c r="K1502" t="s">
        <v>20</v>
      </c>
      <c r="L1502">
        <v>0</v>
      </c>
      <c r="M1502">
        <v>500</v>
      </c>
    </row>
    <row r="1503" spans="1:13">
      <c r="A1503" t="s">
        <v>1757</v>
      </c>
      <c r="B1503" t="s">
        <v>1758</v>
      </c>
      <c r="C1503" t="s">
        <v>16</v>
      </c>
      <c r="D1503" t="s">
        <v>1422</v>
      </c>
      <c r="E1503" t="s">
        <v>1776</v>
      </c>
      <c r="F1503" t="s">
        <v>19</v>
      </c>
      <c r="G1503" s="2">
        <v>45532</v>
      </c>
      <c r="H1503" s="2">
        <v>45532</v>
      </c>
      <c r="I1503">
        <v>250</v>
      </c>
      <c r="J1503">
        <v>250</v>
      </c>
      <c r="K1503" t="s">
        <v>20</v>
      </c>
      <c r="L1503">
        <v>0</v>
      </c>
      <c r="M1503">
        <v>250</v>
      </c>
    </row>
    <row r="1504" spans="1:13">
      <c r="A1504" t="s">
        <v>1757</v>
      </c>
      <c r="B1504" t="s">
        <v>1758</v>
      </c>
      <c r="C1504" t="s">
        <v>16</v>
      </c>
      <c r="D1504" t="s">
        <v>1422</v>
      </c>
      <c r="E1504" t="s">
        <v>1777</v>
      </c>
      <c r="F1504" t="s">
        <v>19</v>
      </c>
      <c r="G1504" s="2">
        <v>45532</v>
      </c>
      <c r="H1504" s="2">
        <v>45532</v>
      </c>
      <c r="I1504">
        <v>250</v>
      </c>
      <c r="J1504">
        <v>250</v>
      </c>
      <c r="K1504" t="s">
        <v>20</v>
      </c>
      <c r="L1504">
        <v>0</v>
      </c>
      <c r="M1504">
        <v>250</v>
      </c>
    </row>
    <row r="1505" spans="1:13">
      <c r="A1505" t="s">
        <v>1757</v>
      </c>
      <c r="B1505" t="s">
        <v>1758</v>
      </c>
      <c r="C1505" t="s">
        <v>16</v>
      </c>
      <c r="D1505" t="s">
        <v>21</v>
      </c>
      <c r="E1505" t="s">
        <v>1778</v>
      </c>
      <c r="F1505" t="s">
        <v>1778</v>
      </c>
      <c r="G1505" s="2">
        <v>45510</v>
      </c>
      <c r="H1505" s="2">
        <v>45540</v>
      </c>
      <c r="I1505" s="1">
        <v>10672.32</v>
      </c>
      <c r="J1505">
        <v>650</v>
      </c>
      <c r="K1505" t="s">
        <v>20</v>
      </c>
      <c r="L1505">
        <v>0</v>
      </c>
      <c r="M1505">
        <v>650</v>
      </c>
    </row>
    <row r="1506" spans="1:13">
      <c r="A1506" t="s">
        <v>1757</v>
      </c>
      <c r="B1506" t="s">
        <v>1758</v>
      </c>
      <c r="C1506" t="s">
        <v>16</v>
      </c>
      <c r="D1506" t="s">
        <v>55</v>
      </c>
      <c r="E1506" t="s">
        <v>1778</v>
      </c>
      <c r="F1506" t="s">
        <v>1778</v>
      </c>
      <c r="H1506" s="2">
        <v>45547</v>
      </c>
      <c r="I1506" s="1">
        <v>-10022.32</v>
      </c>
      <c r="J1506" t="s">
        <v>86</v>
      </c>
      <c r="K1506" t="s">
        <v>20</v>
      </c>
      <c r="L1506">
        <v>0</v>
      </c>
      <c r="M1506" t="s">
        <v>86</v>
      </c>
    </row>
    <row r="1507" spans="1:13">
      <c r="A1507" t="s">
        <v>1757</v>
      </c>
      <c r="B1507" t="s">
        <v>1758</v>
      </c>
      <c r="C1507" t="s">
        <v>16</v>
      </c>
      <c r="D1507" t="s">
        <v>21</v>
      </c>
      <c r="E1507" t="s">
        <v>1779</v>
      </c>
      <c r="F1507" t="s">
        <v>1779</v>
      </c>
      <c r="G1507" s="2">
        <v>45569</v>
      </c>
      <c r="H1507" s="2">
        <v>45599</v>
      </c>
      <c r="I1507" s="1">
        <v>60696.54</v>
      </c>
      <c r="J1507">
        <v>425.35</v>
      </c>
      <c r="K1507" t="s">
        <v>20</v>
      </c>
      <c r="L1507">
        <v>0</v>
      </c>
      <c r="M1507">
        <v>425.35</v>
      </c>
    </row>
    <row r="1508" spans="1:13">
      <c r="A1508" t="s">
        <v>1757</v>
      </c>
      <c r="B1508" t="s">
        <v>1758</v>
      </c>
      <c r="C1508" t="s">
        <v>16</v>
      </c>
      <c r="D1508" t="s">
        <v>55</v>
      </c>
      <c r="E1508" t="s">
        <v>1779</v>
      </c>
      <c r="F1508" t="s">
        <v>1779</v>
      </c>
      <c r="H1508" s="2">
        <v>45699</v>
      </c>
      <c r="I1508" s="1">
        <v>-60271.19</v>
      </c>
      <c r="J1508" t="s">
        <v>86</v>
      </c>
      <c r="K1508" t="s">
        <v>20</v>
      </c>
      <c r="L1508">
        <v>0</v>
      </c>
      <c r="M1508" t="s">
        <v>86</v>
      </c>
    </row>
    <row r="1509" spans="1:13">
      <c r="A1509" t="s">
        <v>1757</v>
      </c>
      <c r="B1509" t="s">
        <v>1758</v>
      </c>
      <c r="C1509" t="s">
        <v>16</v>
      </c>
      <c r="D1509" t="s">
        <v>21</v>
      </c>
      <c r="E1509" t="s">
        <v>1780</v>
      </c>
      <c r="F1509" t="s">
        <v>1780</v>
      </c>
      <c r="G1509" s="2">
        <v>45583</v>
      </c>
      <c r="H1509" s="2">
        <v>45613</v>
      </c>
      <c r="I1509" s="1">
        <v>52854.559999999998</v>
      </c>
      <c r="J1509">
        <v>480.15</v>
      </c>
      <c r="K1509" t="s">
        <v>20</v>
      </c>
      <c r="L1509">
        <v>0</v>
      </c>
      <c r="M1509">
        <v>480.15</v>
      </c>
    </row>
    <row r="1510" spans="1:13">
      <c r="A1510" t="s">
        <v>1757</v>
      </c>
      <c r="B1510" t="s">
        <v>1758</v>
      </c>
      <c r="C1510" t="s">
        <v>16</v>
      </c>
      <c r="D1510" t="s">
        <v>55</v>
      </c>
      <c r="E1510" t="s">
        <v>1780</v>
      </c>
      <c r="F1510" t="s">
        <v>1780</v>
      </c>
      <c r="H1510" s="2">
        <v>45671</v>
      </c>
      <c r="I1510" s="1">
        <v>-52374.41</v>
      </c>
      <c r="J1510" t="s">
        <v>86</v>
      </c>
      <c r="K1510" t="s">
        <v>20</v>
      </c>
      <c r="L1510">
        <v>0</v>
      </c>
      <c r="M1510" t="s">
        <v>86</v>
      </c>
    </row>
    <row r="1511" spans="1:13">
      <c r="A1511" t="s">
        <v>1757</v>
      </c>
      <c r="B1511" t="s">
        <v>1758</v>
      </c>
      <c r="C1511" t="s">
        <v>16</v>
      </c>
      <c r="D1511" t="s">
        <v>21</v>
      </c>
      <c r="E1511" t="s">
        <v>1781</v>
      </c>
      <c r="F1511" t="s">
        <v>1781</v>
      </c>
      <c r="G1511" s="2">
        <v>45594</v>
      </c>
      <c r="H1511" s="2">
        <v>45624</v>
      </c>
      <c r="I1511" s="1">
        <v>39056.07</v>
      </c>
      <c r="J1511">
        <v>3055.57</v>
      </c>
      <c r="K1511" t="s">
        <v>20</v>
      </c>
      <c r="L1511">
        <v>0</v>
      </c>
      <c r="M1511">
        <v>3055.57</v>
      </c>
    </row>
    <row r="1512" spans="1:13">
      <c r="A1512" t="s">
        <v>1757</v>
      </c>
      <c r="B1512" t="s">
        <v>1758</v>
      </c>
      <c r="C1512" t="s">
        <v>16</v>
      </c>
      <c r="D1512" t="s">
        <v>55</v>
      </c>
      <c r="E1512" t="s">
        <v>1781</v>
      </c>
      <c r="F1512" t="s">
        <v>1781</v>
      </c>
      <c r="H1512" s="2">
        <v>45699</v>
      </c>
      <c r="I1512" s="1">
        <v>-36000.5</v>
      </c>
      <c r="J1512" t="s">
        <v>86</v>
      </c>
      <c r="K1512" t="s">
        <v>20</v>
      </c>
      <c r="L1512">
        <v>0</v>
      </c>
      <c r="M1512" t="s">
        <v>86</v>
      </c>
    </row>
    <row r="1513" spans="1:13">
      <c r="A1513" t="s">
        <v>1757</v>
      </c>
      <c r="B1513" t="s">
        <v>1758</v>
      </c>
      <c r="C1513" t="s">
        <v>16</v>
      </c>
      <c r="D1513" t="s">
        <v>21</v>
      </c>
      <c r="E1513" t="s">
        <v>1782</v>
      </c>
      <c r="F1513" t="s">
        <v>1782</v>
      </c>
      <c r="G1513" s="2">
        <v>45646</v>
      </c>
      <c r="H1513" s="2">
        <v>45676</v>
      </c>
      <c r="I1513" s="1">
        <v>16467.53</v>
      </c>
      <c r="J1513">
        <v>4358.1000000000004</v>
      </c>
      <c r="K1513" t="s">
        <v>20</v>
      </c>
      <c r="L1513">
        <v>0</v>
      </c>
      <c r="M1513">
        <v>4358.1000000000004</v>
      </c>
    </row>
    <row r="1514" spans="1:13">
      <c r="A1514" t="s">
        <v>1757</v>
      </c>
      <c r="B1514" t="s">
        <v>1758</v>
      </c>
      <c r="C1514" t="s">
        <v>16</v>
      </c>
      <c r="D1514" t="s">
        <v>55</v>
      </c>
      <c r="E1514" t="s">
        <v>1782</v>
      </c>
      <c r="F1514" t="s">
        <v>1782</v>
      </c>
      <c r="H1514" s="2">
        <v>45692</v>
      </c>
      <c r="I1514" s="1">
        <v>-12109.43</v>
      </c>
      <c r="J1514" t="s">
        <v>86</v>
      </c>
      <c r="K1514" t="s">
        <v>20</v>
      </c>
      <c r="L1514">
        <v>0</v>
      </c>
      <c r="M1514" t="s">
        <v>86</v>
      </c>
    </row>
    <row r="1515" spans="1:13">
      <c r="A1515" t="s">
        <v>1757</v>
      </c>
      <c r="B1515" t="s">
        <v>1758</v>
      </c>
      <c r="C1515" t="s">
        <v>16</v>
      </c>
      <c r="D1515" t="s">
        <v>21</v>
      </c>
      <c r="E1515" t="s">
        <v>1783</v>
      </c>
      <c r="F1515" t="s">
        <v>1783</v>
      </c>
      <c r="G1515" s="2">
        <v>45646</v>
      </c>
      <c r="H1515" s="2">
        <v>45676</v>
      </c>
      <c r="I1515" s="1">
        <v>7200</v>
      </c>
      <c r="J1515">
        <v>200</v>
      </c>
      <c r="K1515" t="s">
        <v>20</v>
      </c>
      <c r="L1515">
        <v>0</v>
      </c>
      <c r="M1515">
        <v>200</v>
      </c>
    </row>
    <row r="1516" spans="1:13">
      <c r="A1516" t="s">
        <v>1757</v>
      </c>
      <c r="B1516" t="s">
        <v>1758</v>
      </c>
      <c r="C1516" t="s">
        <v>16</v>
      </c>
      <c r="D1516" t="s">
        <v>55</v>
      </c>
      <c r="E1516" t="s">
        <v>1783</v>
      </c>
      <c r="F1516" t="s">
        <v>1783</v>
      </c>
      <c r="H1516" s="2">
        <v>45684</v>
      </c>
      <c r="I1516" s="1">
        <v>-7000</v>
      </c>
      <c r="J1516" t="s">
        <v>86</v>
      </c>
      <c r="K1516" t="s">
        <v>20</v>
      </c>
      <c r="L1516">
        <v>0</v>
      </c>
      <c r="M1516" t="s">
        <v>86</v>
      </c>
    </row>
    <row r="1517" spans="1:13">
      <c r="A1517" t="s">
        <v>1757</v>
      </c>
      <c r="B1517" t="s">
        <v>1758</v>
      </c>
      <c r="C1517" t="s">
        <v>16</v>
      </c>
      <c r="D1517" t="s">
        <v>21</v>
      </c>
      <c r="E1517" t="s">
        <v>1784</v>
      </c>
      <c r="F1517" t="s">
        <v>1784</v>
      </c>
      <c r="G1517" s="2">
        <v>45652</v>
      </c>
      <c r="H1517" s="2">
        <v>45682</v>
      </c>
      <c r="I1517" s="1">
        <v>19698</v>
      </c>
      <c r="J1517">
        <v>98</v>
      </c>
      <c r="K1517" t="s">
        <v>20</v>
      </c>
      <c r="L1517">
        <v>0</v>
      </c>
      <c r="M1517">
        <v>98</v>
      </c>
    </row>
    <row r="1518" spans="1:13">
      <c r="A1518" t="s">
        <v>1757</v>
      </c>
      <c r="B1518" t="s">
        <v>1758</v>
      </c>
      <c r="C1518" t="s">
        <v>16</v>
      </c>
      <c r="D1518" t="s">
        <v>55</v>
      </c>
      <c r="E1518" t="s">
        <v>1784</v>
      </c>
      <c r="F1518" t="s">
        <v>1784</v>
      </c>
      <c r="H1518" s="2">
        <v>45688</v>
      </c>
      <c r="I1518" s="1">
        <v>-19600</v>
      </c>
      <c r="J1518" t="s">
        <v>86</v>
      </c>
      <c r="K1518" t="s">
        <v>20</v>
      </c>
      <c r="L1518">
        <v>0</v>
      </c>
      <c r="M1518" t="s">
        <v>86</v>
      </c>
    </row>
    <row r="1519" spans="1:13">
      <c r="A1519" t="s">
        <v>1757</v>
      </c>
      <c r="B1519" t="s">
        <v>1758</v>
      </c>
      <c r="C1519" t="s">
        <v>16</v>
      </c>
      <c r="D1519" t="s">
        <v>21</v>
      </c>
      <c r="E1519" t="s">
        <v>1785</v>
      </c>
      <c r="F1519" t="s">
        <v>1785</v>
      </c>
      <c r="G1519" s="2">
        <v>45664</v>
      </c>
      <c r="H1519" s="2">
        <v>45694</v>
      </c>
      <c r="I1519" s="1">
        <v>17880</v>
      </c>
      <c r="J1519">
        <v>44</v>
      </c>
      <c r="K1519" t="s">
        <v>20</v>
      </c>
      <c r="L1519">
        <v>0</v>
      </c>
      <c r="M1519">
        <v>44</v>
      </c>
    </row>
    <row r="1520" spans="1:13">
      <c r="A1520" t="s">
        <v>1757</v>
      </c>
      <c r="B1520" t="s">
        <v>1758</v>
      </c>
      <c r="C1520" t="s">
        <v>16</v>
      </c>
      <c r="D1520" t="s">
        <v>17</v>
      </c>
      <c r="E1520" t="s">
        <v>1786</v>
      </c>
      <c r="F1520" t="s">
        <v>1785</v>
      </c>
      <c r="H1520" s="2">
        <v>45693</v>
      </c>
      <c r="I1520" s="1">
        <v>-6556</v>
      </c>
      <c r="J1520" t="s">
        <v>86</v>
      </c>
      <c r="K1520" t="s">
        <v>20</v>
      </c>
      <c r="L1520">
        <v>0</v>
      </c>
      <c r="M1520" t="s">
        <v>86</v>
      </c>
    </row>
    <row r="1521" spans="1:13">
      <c r="A1521" t="s">
        <v>1757</v>
      </c>
      <c r="B1521" t="s">
        <v>1758</v>
      </c>
      <c r="C1521" t="s">
        <v>16</v>
      </c>
      <c r="D1521" t="s">
        <v>55</v>
      </c>
      <c r="E1521" t="s">
        <v>1785</v>
      </c>
      <c r="F1521" t="s">
        <v>1785</v>
      </c>
      <c r="H1521" s="2">
        <v>45719</v>
      </c>
      <c r="I1521" s="1">
        <v>-11280</v>
      </c>
      <c r="J1521" t="s">
        <v>86</v>
      </c>
      <c r="K1521" t="s">
        <v>20</v>
      </c>
      <c r="L1521">
        <v>10</v>
      </c>
      <c r="M1521" t="s">
        <v>86</v>
      </c>
    </row>
    <row r="1522" spans="1:13">
      <c r="A1522" t="s">
        <v>1757</v>
      </c>
      <c r="B1522" t="s">
        <v>1758</v>
      </c>
      <c r="C1522" t="s">
        <v>16</v>
      </c>
      <c r="D1522" t="s">
        <v>21</v>
      </c>
      <c r="E1522" t="s">
        <v>1787</v>
      </c>
      <c r="F1522" t="s">
        <v>1787</v>
      </c>
      <c r="G1522" s="2">
        <v>45666</v>
      </c>
      <c r="H1522" s="2">
        <v>45696</v>
      </c>
      <c r="I1522" s="1">
        <v>55387.43</v>
      </c>
      <c r="J1522">
        <v>1195.75</v>
      </c>
      <c r="K1522" t="s">
        <v>20</v>
      </c>
      <c r="L1522">
        <v>0</v>
      </c>
      <c r="M1522">
        <v>1195.75</v>
      </c>
    </row>
    <row r="1523" spans="1:13">
      <c r="A1523" t="s">
        <v>1757</v>
      </c>
      <c r="B1523" t="s">
        <v>1758</v>
      </c>
      <c r="C1523" t="s">
        <v>16</v>
      </c>
      <c r="D1523" t="s">
        <v>17</v>
      </c>
      <c r="E1523" t="s">
        <v>1788</v>
      </c>
      <c r="F1523" t="s">
        <v>1787</v>
      </c>
      <c r="H1523" s="2">
        <v>45688</v>
      </c>
      <c r="I1523" s="1">
        <v>-4221.2299999999996</v>
      </c>
      <c r="J1523" t="s">
        <v>86</v>
      </c>
      <c r="K1523" t="s">
        <v>20</v>
      </c>
      <c r="L1523">
        <v>0</v>
      </c>
      <c r="M1523" t="s">
        <v>86</v>
      </c>
    </row>
    <row r="1524" spans="1:13">
      <c r="A1524" t="s">
        <v>1757</v>
      </c>
      <c r="B1524" t="s">
        <v>1758</v>
      </c>
      <c r="C1524" t="s">
        <v>16</v>
      </c>
      <c r="D1524" t="s">
        <v>55</v>
      </c>
      <c r="E1524" t="s">
        <v>1787</v>
      </c>
      <c r="F1524" t="s">
        <v>1787</v>
      </c>
      <c r="H1524" s="2">
        <v>45709</v>
      </c>
      <c r="I1524" s="1">
        <v>-49970.45</v>
      </c>
      <c r="J1524" t="s">
        <v>86</v>
      </c>
      <c r="K1524" t="s">
        <v>20</v>
      </c>
      <c r="L1524">
        <v>0</v>
      </c>
      <c r="M1524" t="s">
        <v>86</v>
      </c>
    </row>
    <row r="1525" spans="1:13">
      <c r="A1525" t="s">
        <v>1757</v>
      </c>
      <c r="B1525" t="s">
        <v>1758</v>
      </c>
      <c r="C1525" t="s">
        <v>16</v>
      </c>
      <c r="D1525" t="s">
        <v>21</v>
      </c>
      <c r="E1525" t="s">
        <v>1789</v>
      </c>
      <c r="F1525" t="s">
        <v>1789</v>
      </c>
      <c r="G1525" s="2">
        <v>45670</v>
      </c>
      <c r="H1525" s="2">
        <v>45700</v>
      </c>
      <c r="I1525" s="1">
        <v>22092</v>
      </c>
      <c r="J1525">
        <v>8477.2000000000007</v>
      </c>
      <c r="K1525" t="s">
        <v>20</v>
      </c>
      <c r="L1525">
        <v>0</v>
      </c>
      <c r="M1525">
        <v>8477.2000000000007</v>
      </c>
    </row>
    <row r="1526" spans="1:13">
      <c r="A1526" t="s">
        <v>1757</v>
      </c>
      <c r="B1526" t="s">
        <v>1758</v>
      </c>
      <c r="C1526" t="s">
        <v>16</v>
      </c>
      <c r="D1526" t="s">
        <v>55</v>
      </c>
      <c r="E1526" t="s">
        <v>1789</v>
      </c>
      <c r="F1526" t="s">
        <v>1789</v>
      </c>
      <c r="H1526" s="2">
        <v>45714</v>
      </c>
      <c r="I1526" s="1">
        <v>-13614.8</v>
      </c>
      <c r="J1526" t="s">
        <v>86</v>
      </c>
      <c r="K1526" t="s">
        <v>20</v>
      </c>
      <c r="L1526">
        <v>0</v>
      </c>
      <c r="M1526" t="s">
        <v>86</v>
      </c>
    </row>
    <row r="1527" spans="1:13">
      <c r="A1527" t="s">
        <v>1757</v>
      </c>
      <c r="B1527" t="s">
        <v>1758</v>
      </c>
      <c r="C1527" t="s">
        <v>16</v>
      </c>
      <c r="D1527" t="s">
        <v>21</v>
      </c>
      <c r="E1527" t="s">
        <v>1790</v>
      </c>
      <c r="F1527" t="s">
        <v>1790</v>
      </c>
      <c r="G1527" s="2">
        <v>45677</v>
      </c>
      <c r="H1527" s="2">
        <v>45707</v>
      </c>
      <c r="I1527" s="1">
        <v>46384.13</v>
      </c>
      <c r="J1527">
        <v>318.39999999999998</v>
      </c>
      <c r="K1527" t="s">
        <v>20</v>
      </c>
      <c r="L1527">
        <v>0</v>
      </c>
      <c r="M1527">
        <v>318.39999999999998</v>
      </c>
    </row>
    <row r="1528" spans="1:13">
      <c r="A1528" t="s">
        <v>1757</v>
      </c>
      <c r="B1528" t="s">
        <v>1758</v>
      </c>
      <c r="C1528" t="s">
        <v>16</v>
      </c>
      <c r="D1528" t="s">
        <v>17</v>
      </c>
      <c r="E1528" t="s">
        <v>1791</v>
      </c>
      <c r="F1528" t="s">
        <v>1790</v>
      </c>
      <c r="H1528" s="2">
        <v>45688</v>
      </c>
      <c r="I1528" s="1">
        <v>-2728.48</v>
      </c>
      <c r="J1528" t="s">
        <v>86</v>
      </c>
      <c r="K1528" t="s">
        <v>20</v>
      </c>
      <c r="L1528">
        <v>0</v>
      </c>
      <c r="M1528" t="s">
        <v>86</v>
      </c>
    </row>
    <row r="1529" spans="1:13">
      <c r="A1529" t="s">
        <v>1757</v>
      </c>
      <c r="B1529" t="s">
        <v>1758</v>
      </c>
      <c r="C1529" t="s">
        <v>16</v>
      </c>
      <c r="D1529" t="s">
        <v>55</v>
      </c>
      <c r="E1529" t="s">
        <v>1790</v>
      </c>
      <c r="F1529" t="s">
        <v>1790</v>
      </c>
      <c r="H1529" s="2">
        <v>45715</v>
      </c>
      <c r="I1529" s="1">
        <v>-43337.25</v>
      </c>
      <c r="J1529" t="s">
        <v>86</v>
      </c>
      <c r="K1529" t="s">
        <v>20</v>
      </c>
      <c r="L1529">
        <v>0</v>
      </c>
      <c r="M1529" t="s">
        <v>86</v>
      </c>
    </row>
    <row r="1530" spans="1:13">
      <c r="A1530" t="s">
        <v>1757</v>
      </c>
      <c r="B1530" t="s">
        <v>1758</v>
      </c>
      <c r="C1530" t="s">
        <v>16</v>
      </c>
      <c r="D1530" t="s">
        <v>21</v>
      </c>
      <c r="E1530" t="s">
        <v>1792</v>
      </c>
      <c r="F1530" t="s">
        <v>1792</v>
      </c>
      <c r="G1530" s="2">
        <v>45678</v>
      </c>
      <c r="H1530" s="2">
        <v>45708</v>
      </c>
      <c r="I1530">
        <v>849</v>
      </c>
      <c r="J1530">
        <v>849</v>
      </c>
      <c r="K1530" t="s">
        <v>20</v>
      </c>
      <c r="L1530">
        <v>0</v>
      </c>
      <c r="M1530">
        <v>849</v>
      </c>
    </row>
    <row r="1531" spans="1:13">
      <c r="A1531" t="s">
        <v>1757</v>
      </c>
      <c r="B1531" t="s">
        <v>1758</v>
      </c>
      <c r="C1531" t="s">
        <v>16</v>
      </c>
      <c r="D1531" t="s">
        <v>21</v>
      </c>
      <c r="E1531" t="s">
        <v>1793</v>
      </c>
      <c r="F1531" t="s">
        <v>1793</v>
      </c>
      <c r="G1531" s="2">
        <v>45699</v>
      </c>
      <c r="H1531" s="2">
        <v>45729</v>
      </c>
      <c r="I1531" s="1">
        <v>11830</v>
      </c>
      <c r="J1531">
        <v>11830</v>
      </c>
      <c r="K1531" t="s">
        <v>20</v>
      </c>
      <c r="L1531">
        <v>11</v>
      </c>
      <c r="M1531">
        <v>11830</v>
      </c>
    </row>
    <row r="1532" spans="1:13">
      <c r="A1532" t="s">
        <v>1757</v>
      </c>
      <c r="B1532" t="s">
        <v>1758</v>
      </c>
      <c r="C1532" t="s">
        <v>16</v>
      </c>
      <c r="D1532" t="s">
        <v>21</v>
      </c>
      <c r="E1532" t="s">
        <v>1794</v>
      </c>
      <c r="F1532" t="s">
        <v>1794</v>
      </c>
      <c r="G1532" s="2">
        <v>45699</v>
      </c>
      <c r="H1532" s="2">
        <v>45729</v>
      </c>
      <c r="I1532" s="1">
        <v>2300</v>
      </c>
      <c r="J1532">
        <v>2300</v>
      </c>
      <c r="K1532" t="s">
        <v>20</v>
      </c>
      <c r="L1532">
        <v>11</v>
      </c>
      <c r="M1532">
        <v>2300</v>
      </c>
    </row>
    <row r="1533" spans="1:13">
      <c r="A1533" t="s">
        <v>1757</v>
      </c>
      <c r="B1533" t="s">
        <v>1758</v>
      </c>
      <c r="C1533" t="s">
        <v>16</v>
      </c>
      <c r="D1533" t="s">
        <v>17</v>
      </c>
      <c r="E1533" t="s">
        <v>1795</v>
      </c>
      <c r="F1533" t="s">
        <v>19</v>
      </c>
      <c r="H1533" s="2">
        <v>45735</v>
      </c>
      <c r="I1533">
        <v>-200</v>
      </c>
      <c r="J1533">
        <v>-200</v>
      </c>
      <c r="K1533" t="s">
        <v>20</v>
      </c>
      <c r="L1533">
        <v>12</v>
      </c>
      <c r="M1533">
        <v>-200</v>
      </c>
    </row>
    <row r="1534" spans="1:13">
      <c r="A1534" t="s">
        <v>1757</v>
      </c>
      <c r="B1534" t="s">
        <v>1758</v>
      </c>
      <c r="C1534" t="s">
        <v>16</v>
      </c>
      <c r="D1534" t="s">
        <v>55</v>
      </c>
      <c r="E1534" t="s">
        <v>19</v>
      </c>
      <c r="F1534" t="s">
        <v>19</v>
      </c>
      <c r="H1534" s="2">
        <v>45736</v>
      </c>
      <c r="I1534">
        <v>-52.5</v>
      </c>
      <c r="J1534">
        <v>-52.5</v>
      </c>
      <c r="K1534" t="s">
        <v>20</v>
      </c>
      <c r="L1534">
        <v>12</v>
      </c>
      <c r="M1534">
        <v>-52.5</v>
      </c>
    </row>
    <row r="1535" spans="1:13">
      <c r="A1535" t="s">
        <v>1757</v>
      </c>
      <c r="B1535" t="s">
        <v>1758</v>
      </c>
      <c r="C1535" t="s">
        <v>16</v>
      </c>
      <c r="D1535" t="s">
        <v>17</v>
      </c>
      <c r="E1535" t="s">
        <v>1796</v>
      </c>
      <c r="F1535" t="s">
        <v>19</v>
      </c>
      <c r="H1535" s="2">
        <v>45736</v>
      </c>
      <c r="I1535">
        <v>-200</v>
      </c>
      <c r="J1535">
        <v>-200</v>
      </c>
      <c r="K1535" t="s">
        <v>20</v>
      </c>
      <c r="L1535">
        <v>12</v>
      </c>
      <c r="M1535">
        <v>-200</v>
      </c>
    </row>
    <row r="1536" spans="1:13">
      <c r="A1536" t="s">
        <v>1757</v>
      </c>
      <c r="B1536" t="s">
        <v>1758</v>
      </c>
      <c r="C1536" t="s">
        <v>16</v>
      </c>
      <c r="D1536" t="s">
        <v>21</v>
      </c>
      <c r="E1536" t="s">
        <v>1797</v>
      </c>
      <c r="F1536" t="s">
        <v>1797</v>
      </c>
      <c r="G1536" s="2">
        <v>45707</v>
      </c>
      <c r="H1536" s="2">
        <v>45737</v>
      </c>
      <c r="I1536" s="1">
        <v>1701</v>
      </c>
      <c r="J1536">
        <v>1701</v>
      </c>
      <c r="K1536" t="s">
        <v>20</v>
      </c>
      <c r="L1536">
        <v>12</v>
      </c>
      <c r="M1536">
        <v>1701</v>
      </c>
    </row>
    <row r="1537" spans="1:13">
      <c r="A1537" t="s">
        <v>1757</v>
      </c>
      <c r="B1537" t="s">
        <v>1758</v>
      </c>
      <c r="C1537" t="s">
        <v>16</v>
      </c>
      <c r="D1537" t="s">
        <v>21</v>
      </c>
      <c r="E1537" t="s">
        <v>1798</v>
      </c>
      <c r="F1537" t="s">
        <v>1798</v>
      </c>
      <c r="G1537" s="2">
        <v>45714</v>
      </c>
      <c r="H1537" s="2">
        <v>45744</v>
      </c>
      <c r="I1537" s="1">
        <v>4680</v>
      </c>
      <c r="J1537">
        <v>4680</v>
      </c>
      <c r="K1537" t="s">
        <v>20</v>
      </c>
      <c r="L1537">
        <v>13</v>
      </c>
      <c r="M1537">
        <v>4680</v>
      </c>
    </row>
    <row r="1538" spans="1:13">
      <c r="A1538" t="s">
        <v>1757</v>
      </c>
      <c r="B1538" t="s">
        <v>1758</v>
      </c>
      <c r="C1538" t="s">
        <v>16</v>
      </c>
      <c r="D1538" t="s">
        <v>21</v>
      </c>
      <c r="E1538" t="s">
        <v>1799</v>
      </c>
      <c r="F1538" t="s">
        <v>1799</v>
      </c>
      <c r="G1538" s="2">
        <v>45715</v>
      </c>
      <c r="H1538" s="2">
        <v>45745</v>
      </c>
      <c r="I1538" s="1">
        <v>9437.5</v>
      </c>
      <c r="J1538">
        <v>9437.5</v>
      </c>
      <c r="K1538" t="s">
        <v>20</v>
      </c>
      <c r="L1538">
        <v>13</v>
      </c>
      <c r="M1538">
        <v>9437.5</v>
      </c>
    </row>
    <row r="1539" spans="1:13">
      <c r="A1539" t="s">
        <v>1757</v>
      </c>
      <c r="B1539" t="s">
        <v>1758</v>
      </c>
      <c r="C1539" t="s">
        <v>16</v>
      </c>
      <c r="D1539" t="s">
        <v>21</v>
      </c>
      <c r="E1539" t="s">
        <v>1800</v>
      </c>
      <c r="F1539" t="s">
        <v>1800</v>
      </c>
      <c r="G1539" s="2">
        <v>45720</v>
      </c>
      <c r="H1539" s="2">
        <v>45750</v>
      </c>
      <c r="I1539" s="1">
        <v>20651.2</v>
      </c>
      <c r="J1539">
        <v>20651.2</v>
      </c>
      <c r="K1539" t="s">
        <v>20</v>
      </c>
      <c r="L1539">
        <v>0</v>
      </c>
      <c r="M1539">
        <v>0</v>
      </c>
    </row>
    <row r="1540" spans="1:13">
      <c r="A1540" t="s">
        <v>1757</v>
      </c>
      <c r="B1540" t="s">
        <v>1758</v>
      </c>
      <c r="C1540" t="s">
        <v>16</v>
      </c>
      <c r="D1540" t="s">
        <v>21</v>
      </c>
      <c r="E1540" t="s">
        <v>1801</v>
      </c>
      <c r="F1540" t="s">
        <v>1801</v>
      </c>
      <c r="G1540" s="2">
        <v>45730</v>
      </c>
      <c r="H1540" s="2">
        <v>45760</v>
      </c>
      <c r="I1540" s="1">
        <v>7128</v>
      </c>
      <c r="J1540">
        <v>7128</v>
      </c>
      <c r="K1540" t="s">
        <v>20</v>
      </c>
      <c r="L1540">
        <v>0</v>
      </c>
      <c r="M1540">
        <v>0</v>
      </c>
    </row>
    <row r="1541" spans="1:13">
      <c r="A1541" t="s">
        <v>1757</v>
      </c>
      <c r="B1541" t="s">
        <v>1758</v>
      </c>
      <c r="C1541" t="s">
        <v>16</v>
      </c>
      <c r="D1541" t="s">
        <v>21</v>
      </c>
      <c r="E1541" t="s">
        <v>1802</v>
      </c>
      <c r="F1541" t="s">
        <v>1802</v>
      </c>
      <c r="G1541" s="2">
        <v>45730</v>
      </c>
      <c r="H1541" s="2">
        <v>45760</v>
      </c>
      <c r="I1541" s="1">
        <v>8242.56</v>
      </c>
      <c r="J1541">
        <v>8242.56</v>
      </c>
      <c r="K1541" t="s">
        <v>20</v>
      </c>
      <c r="L1541">
        <v>0</v>
      </c>
      <c r="M1541">
        <v>0</v>
      </c>
    </row>
    <row r="1542" spans="1:13">
      <c r="A1542" t="s">
        <v>1757</v>
      </c>
      <c r="B1542" t="s">
        <v>1758</v>
      </c>
      <c r="C1542" t="s">
        <v>16</v>
      </c>
      <c r="D1542" t="s">
        <v>21</v>
      </c>
      <c r="E1542" t="s">
        <v>1803</v>
      </c>
      <c r="F1542" t="s">
        <v>1803</v>
      </c>
      <c r="G1542" s="2">
        <v>45730</v>
      </c>
      <c r="H1542" s="2">
        <v>45760</v>
      </c>
      <c r="I1542" s="1">
        <v>89687.83</v>
      </c>
      <c r="J1542">
        <v>89687.83</v>
      </c>
      <c r="K1542" t="s">
        <v>20</v>
      </c>
      <c r="L1542">
        <v>0</v>
      </c>
      <c r="M1542">
        <v>0</v>
      </c>
    </row>
    <row r="1543" spans="1:13">
      <c r="A1543" t="s">
        <v>1757</v>
      </c>
      <c r="B1543" t="s">
        <v>1758</v>
      </c>
      <c r="C1543" t="s">
        <v>16</v>
      </c>
      <c r="D1543" t="s">
        <v>21</v>
      </c>
      <c r="E1543" t="s">
        <v>1804</v>
      </c>
      <c r="F1543" t="s">
        <v>1804</v>
      </c>
      <c r="G1543" s="2">
        <v>45733</v>
      </c>
      <c r="H1543" s="2">
        <v>45763</v>
      </c>
      <c r="I1543" s="1">
        <v>50642.16</v>
      </c>
      <c r="J1543">
        <v>50642.16</v>
      </c>
      <c r="K1543" t="s">
        <v>20</v>
      </c>
      <c r="L1543">
        <v>0</v>
      </c>
      <c r="M1543">
        <v>0</v>
      </c>
    </row>
    <row r="1544" spans="1:13">
      <c r="A1544" t="s">
        <v>1757</v>
      </c>
      <c r="B1544" t="s">
        <v>1758</v>
      </c>
      <c r="C1544" t="s">
        <v>16</v>
      </c>
      <c r="D1544" t="s">
        <v>21</v>
      </c>
      <c r="E1544" t="s">
        <v>1805</v>
      </c>
      <c r="F1544" t="s">
        <v>1805</v>
      </c>
      <c r="G1544" s="2">
        <v>45734</v>
      </c>
      <c r="H1544" s="2">
        <v>45764</v>
      </c>
      <c r="I1544" s="1">
        <v>24187.5</v>
      </c>
      <c r="J1544">
        <v>24187.5</v>
      </c>
      <c r="K1544" t="s">
        <v>20</v>
      </c>
      <c r="L1544">
        <v>0</v>
      </c>
      <c r="M1544">
        <v>0</v>
      </c>
    </row>
    <row r="1545" spans="1:13">
      <c r="A1545" t="s">
        <v>1757</v>
      </c>
      <c r="B1545" t="s">
        <v>1758</v>
      </c>
      <c r="C1545" t="s">
        <v>16</v>
      </c>
      <c r="D1545" t="s">
        <v>21</v>
      </c>
      <c r="E1545" t="s">
        <v>1806</v>
      </c>
      <c r="F1545" t="s">
        <v>1806</v>
      </c>
      <c r="G1545" s="2">
        <v>45734</v>
      </c>
      <c r="H1545" s="2">
        <v>45764</v>
      </c>
      <c r="I1545" s="1">
        <v>14400</v>
      </c>
      <c r="J1545">
        <v>14400</v>
      </c>
      <c r="K1545" t="s">
        <v>20</v>
      </c>
      <c r="L1545">
        <v>0</v>
      </c>
      <c r="M1545">
        <v>0</v>
      </c>
    </row>
    <row r="1546" spans="1:13">
      <c r="A1546" t="s">
        <v>1757</v>
      </c>
      <c r="B1546" t="s">
        <v>1758</v>
      </c>
      <c r="C1546" t="s">
        <v>16</v>
      </c>
      <c r="D1546" t="s">
        <v>21</v>
      </c>
      <c r="E1546" t="s">
        <v>1807</v>
      </c>
      <c r="F1546" t="s">
        <v>1807</v>
      </c>
      <c r="G1546" s="2">
        <v>45735</v>
      </c>
      <c r="H1546" s="2">
        <v>45765</v>
      </c>
      <c r="I1546" s="1">
        <v>9932.7099999999991</v>
      </c>
      <c r="J1546">
        <v>9932.7099999999991</v>
      </c>
      <c r="K1546" t="s">
        <v>20</v>
      </c>
      <c r="L1546">
        <v>0</v>
      </c>
      <c r="M1546">
        <v>0</v>
      </c>
    </row>
    <row r="1547" spans="1:13">
      <c r="A1547" t="s">
        <v>1808</v>
      </c>
      <c r="B1547" t="s">
        <v>1809</v>
      </c>
      <c r="C1547" t="s">
        <v>16</v>
      </c>
      <c r="D1547" t="s">
        <v>21</v>
      </c>
      <c r="E1547" t="s">
        <v>1810</v>
      </c>
      <c r="F1547" t="s">
        <v>1810</v>
      </c>
      <c r="G1547" s="2">
        <v>45575</v>
      </c>
      <c r="H1547" s="2">
        <v>45605</v>
      </c>
      <c r="I1547">
        <v>994.63</v>
      </c>
      <c r="J1547">
        <v>994.63</v>
      </c>
      <c r="K1547" t="s">
        <v>20</v>
      </c>
      <c r="L1547">
        <v>0</v>
      </c>
      <c r="M1547">
        <v>994.63</v>
      </c>
    </row>
    <row r="1548" spans="1:13">
      <c r="A1548" t="s">
        <v>1811</v>
      </c>
      <c r="B1548" t="s">
        <v>1812</v>
      </c>
      <c r="C1548" t="s">
        <v>16</v>
      </c>
      <c r="D1548" t="s">
        <v>17</v>
      </c>
      <c r="E1548" t="s">
        <v>1813</v>
      </c>
      <c r="F1548" t="s">
        <v>19</v>
      </c>
      <c r="H1548" s="2">
        <v>45345</v>
      </c>
      <c r="I1548">
        <v>-77.7</v>
      </c>
      <c r="J1548">
        <v>-77.7</v>
      </c>
      <c r="K1548" t="s">
        <v>20</v>
      </c>
      <c r="L1548">
        <v>0</v>
      </c>
      <c r="M1548">
        <v>-77.7</v>
      </c>
    </row>
    <row r="1549" spans="1:13">
      <c r="A1549" t="s">
        <v>1811</v>
      </c>
      <c r="B1549" t="s">
        <v>1812</v>
      </c>
      <c r="C1549" t="s">
        <v>16</v>
      </c>
      <c r="D1549" t="s">
        <v>21</v>
      </c>
      <c r="E1549" t="s">
        <v>1814</v>
      </c>
      <c r="F1549" t="s">
        <v>1814</v>
      </c>
      <c r="G1549" s="2">
        <v>45432</v>
      </c>
      <c r="H1549" s="2">
        <v>45462</v>
      </c>
      <c r="I1549" s="1">
        <v>1647.24</v>
      </c>
      <c r="J1549">
        <v>1647.24</v>
      </c>
      <c r="K1549" t="s">
        <v>20</v>
      </c>
      <c r="L1549">
        <v>0</v>
      </c>
      <c r="M1549">
        <v>1647.24</v>
      </c>
    </row>
    <row r="1550" spans="1:13">
      <c r="A1550" t="s">
        <v>1811</v>
      </c>
      <c r="B1550" t="s">
        <v>1812</v>
      </c>
      <c r="C1550" t="s">
        <v>16</v>
      </c>
      <c r="D1550" t="s">
        <v>21</v>
      </c>
      <c r="E1550" t="s">
        <v>1815</v>
      </c>
      <c r="F1550" t="s">
        <v>1815</v>
      </c>
      <c r="G1550" s="2">
        <v>45440</v>
      </c>
      <c r="H1550" s="2">
        <v>45470</v>
      </c>
      <c r="I1550" s="1">
        <v>1864.8</v>
      </c>
      <c r="J1550">
        <v>1864.8</v>
      </c>
      <c r="K1550" t="s">
        <v>20</v>
      </c>
      <c r="L1550">
        <v>0</v>
      </c>
      <c r="M1550">
        <v>1864.8</v>
      </c>
    </row>
    <row r="1551" spans="1:13">
      <c r="A1551" t="s">
        <v>1811</v>
      </c>
      <c r="B1551" t="s">
        <v>1812</v>
      </c>
      <c r="C1551" t="s">
        <v>16</v>
      </c>
      <c r="D1551" t="s">
        <v>21</v>
      </c>
      <c r="E1551" t="s">
        <v>1816</v>
      </c>
      <c r="F1551" t="s">
        <v>1816</v>
      </c>
      <c r="G1551" s="2">
        <v>45475</v>
      </c>
      <c r="H1551" s="2">
        <v>45505</v>
      </c>
      <c r="I1551">
        <v>264</v>
      </c>
      <c r="J1551">
        <v>264</v>
      </c>
      <c r="K1551" t="s">
        <v>20</v>
      </c>
      <c r="L1551">
        <v>0</v>
      </c>
      <c r="M1551">
        <v>264</v>
      </c>
    </row>
    <row r="1552" spans="1:13">
      <c r="A1552" t="s">
        <v>1811</v>
      </c>
      <c r="B1552" t="s">
        <v>1812</v>
      </c>
      <c r="C1552" t="s">
        <v>16</v>
      </c>
      <c r="D1552" t="s">
        <v>21</v>
      </c>
      <c r="E1552" t="s">
        <v>1817</v>
      </c>
      <c r="F1552" t="s">
        <v>1817</v>
      </c>
      <c r="G1552" s="2">
        <v>45497</v>
      </c>
      <c r="H1552" s="2">
        <v>45527</v>
      </c>
      <c r="I1552" s="1">
        <v>3108</v>
      </c>
      <c r="J1552">
        <v>31.08</v>
      </c>
      <c r="K1552" t="s">
        <v>20</v>
      </c>
      <c r="L1552">
        <v>0</v>
      </c>
      <c r="M1552">
        <v>31.08</v>
      </c>
    </row>
    <row r="1553" spans="1:13">
      <c r="A1553" t="s">
        <v>1811</v>
      </c>
      <c r="B1553" t="s">
        <v>1812</v>
      </c>
      <c r="C1553" t="s">
        <v>16</v>
      </c>
      <c r="D1553" t="s">
        <v>55</v>
      </c>
      <c r="E1553" t="s">
        <v>1817</v>
      </c>
      <c r="F1553" t="s">
        <v>1817</v>
      </c>
      <c r="H1553" s="2">
        <v>45538</v>
      </c>
      <c r="I1553" s="1">
        <v>-3076.92</v>
      </c>
      <c r="J1553" t="s">
        <v>86</v>
      </c>
      <c r="K1553" t="s">
        <v>20</v>
      </c>
      <c r="L1553">
        <v>0</v>
      </c>
      <c r="M1553" t="s">
        <v>86</v>
      </c>
    </row>
    <row r="1554" spans="1:13">
      <c r="A1554" t="s">
        <v>1811</v>
      </c>
      <c r="B1554" t="s">
        <v>1812</v>
      </c>
      <c r="C1554" t="s">
        <v>16</v>
      </c>
      <c r="D1554" t="s">
        <v>21</v>
      </c>
      <c r="E1554" t="s">
        <v>1818</v>
      </c>
      <c r="F1554" t="s">
        <v>1818</v>
      </c>
      <c r="G1554" s="2">
        <v>45497</v>
      </c>
      <c r="H1554" s="2">
        <v>45527</v>
      </c>
      <c r="I1554" s="1">
        <v>3108</v>
      </c>
      <c r="J1554">
        <v>62.16</v>
      </c>
      <c r="K1554" t="s">
        <v>20</v>
      </c>
      <c r="L1554">
        <v>0</v>
      </c>
      <c r="M1554">
        <v>62.16</v>
      </c>
    </row>
    <row r="1555" spans="1:13">
      <c r="A1555" t="s">
        <v>1811</v>
      </c>
      <c r="B1555" t="s">
        <v>1812</v>
      </c>
      <c r="C1555" t="s">
        <v>16</v>
      </c>
      <c r="D1555" t="s">
        <v>55</v>
      </c>
      <c r="E1555" t="s">
        <v>1818</v>
      </c>
      <c r="F1555" t="s">
        <v>1818</v>
      </c>
      <c r="H1555" s="2">
        <v>45559</v>
      </c>
      <c r="I1555" s="1">
        <v>-3045.84</v>
      </c>
      <c r="J1555" t="s">
        <v>86</v>
      </c>
      <c r="K1555" t="s">
        <v>20</v>
      </c>
      <c r="L1555">
        <v>0</v>
      </c>
      <c r="M1555" t="s">
        <v>86</v>
      </c>
    </row>
    <row r="1556" spans="1:13">
      <c r="A1556" t="s">
        <v>1811</v>
      </c>
      <c r="B1556" t="s">
        <v>1812</v>
      </c>
      <c r="C1556" t="s">
        <v>16</v>
      </c>
      <c r="D1556" t="s">
        <v>21</v>
      </c>
      <c r="E1556" t="s">
        <v>1819</v>
      </c>
      <c r="F1556" t="s">
        <v>1819</v>
      </c>
      <c r="G1556" s="2">
        <v>45523</v>
      </c>
      <c r="H1556" s="2">
        <v>45553</v>
      </c>
      <c r="I1556" s="1">
        <v>3108</v>
      </c>
      <c r="J1556">
        <v>62.16</v>
      </c>
      <c r="K1556" t="s">
        <v>20</v>
      </c>
      <c r="L1556">
        <v>0</v>
      </c>
      <c r="M1556">
        <v>62.16</v>
      </c>
    </row>
    <row r="1557" spans="1:13">
      <c r="A1557" t="s">
        <v>1811</v>
      </c>
      <c r="B1557" t="s">
        <v>1812</v>
      </c>
      <c r="C1557" t="s">
        <v>16</v>
      </c>
      <c r="D1557" t="s">
        <v>55</v>
      </c>
      <c r="E1557" t="s">
        <v>1819</v>
      </c>
      <c r="F1557" t="s">
        <v>1819</v>
      </c>
      <c r="H1557" s="2">
        <v>45559</v>
      </c>
      <c r="I1557" s="1">
        <v>-3045.84</v>
      </c>
      <c r="J1557" t="s">
        <v>86</v>
      </c>
      <c r="K1557" t="s">
        <v>20</v>
      </c>
      <c r="L1557">
        <v>0</v>
      </c>
      <c r="M1557" t="s">
        <v>86</v>
      </c>
    </row>
    <row r="1558" spans="1:13">
      <c r="A1558" t="s">
        <v>1811</v>
      </c>
      <c r="B1558" t="s">
        <v>1812</v>
      </c>
      <c r="C1558" t="s">
        <v>16</v>
      </c>
      <c r="D1558" t="s">
        <v>17</v>
      </c>
      <c r="E1558" t="s">
        <v>1820</v>
      </c>
      <c r="F1558" t="s">
        <v>19</v>
      </c>
      <c r="H1558" s="2">
        <v>45574</v>
      </c>
      <c r="I1558">
        <v>-137.6</v>
      </c>
      <c r="J1558">
        <v>-137.6</v>
      </c>
      <c r="K1558" t="s">
        <v>20</v>
      </c>
      <c r="L1558">
        <v>0</v>
      </c>
      <c r="M1558">
        <v>-137.6</v>
      </c>
    </row>
    <row r="1559" spans="1:13">
      <c r="A1559" t="s">
        <v>1811</v>
      </c>
      <c r="B1559" t="s">
        <v>1812</v>
      </c>
      <c r="C1559" t="s">
        <v>16</v>
      </c>
      <c r="D1559" t="s">
        <v>17</v>
      </c>
      <c r="E1559" t="s">
        <v>1821</v>
      </c>
      <c r="F1559" t="s">
        <v>19</v>
      </c>
      <c r="H1559" s="2">
        <v>45574</v>
      </c>
      <c r="I1559">
        <v>-69.84</v>
      </c>
      <c r="J1559">
        <v>-69.84</v>
      </c>
      <c r="K1559" t="s">
        <v>20</v>
      </c>
      <c r="L1559">
        <v>0</v>
      </c>
      <c r="M1559">
        <v>-69.84</v>
      </c>
    </row>
    <row r="1560" spans="1:13">
      <c r="A1560" t="s">
        <v>1811</v>
      </c>
      <c r="B1560" t="s">
        <v>1812</v>
      </c>
      <c r="C1560" t="s">
        <v>16</v>
      </c>
      <c r="D1560" t="s">
        <v>21</v>
      </c>
      <c r="E1560" t="s">
        <v>1822</v>
      </c>
      <c r="F1560" t="s">
        <v>1822</v>
      </c>
      <c r="G1560" s="2">
        <v>45576</v>
      </c>
      <c r="H1560" s="2">
        <v>45606</v>
      </c>
      <c r="I1560" s="1">
        <v>5727</v>
      </c>
      <c r="J1560">
        <v>66</v>
      </c>
      <c r="K1560" t="s">
        <v>20</v>
      </c>
      <c r="L1560">
        <v>0</v>
      </c>
      <c r="M1560">
        <v>66</v>
      </c>
    </row>
    <row r="1561" spans="1:13">
      <c r="A1561" t="s">
        <v>1811</v>
      </c>
      <c r="B1561" t="s">
        <v>1812</v>
      </c>
      <c r="C1561" t="s">
        <v>16</v>
      </c>
      <c r="D1561" t="s">
        <v>55</v>
      </c>
      <c r="E1561" t="s">
        <v>1822</v>
      </c>
      <c r="F1561" t="s">
        <v>1822</v>
      </c>
      <c r="H1561" s="2">
        <v>45615</v>
      </c>
      <c r="I1561" s="1">
        <v>1864.8</v>
      </c>
      <c r="J1561" t="s">
        <v>86</v>
      </c>
      <c r="K1561" t="s">
        <v>20</v>
      </c>
      <c r="L1561">
        <v>0</v>
      </c>
      <c r="M1561" t="s">
        <v>86</v>
      </c>
    </row>
    <row r="1562" spans="1:13">
      <c r="A1562" t="s">
        <v>1811</v>
      </c>
      <c r="B1562" t="s">
        <v>1812</v>
      </c>
      <c r="C1562" t="s">
        <v>16</v>
      </c>
      <c r="D1562" t="s">
        <v>55</v>
      </c>
      <c r="E1562" t="s">
        <v>1822</v>
      </c>
      <c r="F1562" t="s">
        <v>1822</v>
      </c>
      <c r="H1562" s="2">
        <v>45614</v>
      </c>
      <c r="I1562" s="1">
        <v>-5661</v>
      </c>
      <c r="J1562" t="s">
        <v>86</v>
      </c>
      <c r="K1562" t="s">
        <v>20</v>
      </c>
      <c r="L1562">
        <v>0</v>
      </c>
      <c r="M1562" t="s">
        <v>86</v>
      </c>
    </row>
    <row r="1563" spans="1:13">
      <c r="A1563" t="s">
        <v>1811</v>
      </c>
      <c r="B1563" t="s">
        <v>1812</v>
      </c>
      <c r="C1563" t="s">
        <v>16</v>
      </c>
      <c r="D1563" t="s">
        <v>55</v>
      </c>
      <c r="E1563" t="s">
        <v>1822</v>
      </c>
      <c r="F1563" t="s">
        <v>1822</v>
      </c>
      <c r="H1563" s="2">
        <v>45615</v>
      </c>
      <c r="I1563" s="1">
        <v>-1864.8</v>
      </c>
      <c r="J1563" t="s">
        <v>86</v>
      </c>
      <c r="K1563" t="s">
        <v>20</v>
      </c>
      <c r="L1563">
        <v>0</v>
      </c>
      <c r="M1563" t="s">
        <v>86</v>
      </c>
    </row>
    <row r="1564" spans="1:13">
      <c r="A1564" t="s">
        <v>1811</v>
      </c>
      <c r="B1564" t="s">
        <v>1812</v>
      </c>
      <c r="C1564" t="s">
        <v>16</v>
      </c>
      <c r="D1564" t="s">
        <v>21</v>
      </c>
      <c r="E1564" t="s">
        <v>1823</v>
      </c>
      <c r="F1564" t="s">
        <v>1823</v>
      </c>
      <c r="G1564" s="2">
        <v>45579</v>
      </c>
      <c r="H1564" s="2">
        <v>45609</v>
      </c>
      <c r="I1564" s="1">
        <v>4138.8</v>
      </c>
      <c r="J1564">
        <v>248.64</v>
      </c>
      <c r="K1564" t="s">
        <v>20</v>
      </c>
      <c r="L1564">
        <v>0</v>
      </c>
      <c r="M1564">
        <v>248.64</v>
      </c>
    </row>
    <row r="1565" spans="1:13">
      <c r="A1565" t="s">
        <v>1811</v>
      </c>
      <c r="B1565" t="s">
        <v>1812</v>
      </c>
      <c r="C1565" t="s">
        <v>16</v>
      </c>
      <c r="D1565" t="s">
        <v>55</v>
      </c>
      <c r="E1565" t="s">
        <v>1823</v>
      </c>
      <c r="F1565" t="s">
        <v>1823</v>
      </c>
      <c r="H1565" s="2">
        <v>45615</v>
      </c>
      <c r="I1565" s="1">
        <v>4053.6</v>
      </c>
      <c r="J1565" t="s">
        <v>86</v>
      </c>
      <c r="K1565" t="s">
        <v>20</v>
      </c>
      <c r="L1565">
        <v>0</v>
      </c>
      <c r="M1565" t="s">
        <v>86</v>
      </c>
    </row>
    <row r="1566" spans="1:13">
      <c r="A1566" t="s">
        <v>1811</v>
      </c>
      <c r="B1566" t="s">
        <v>1812</v>
      </c>
      <c r="C1566" t="s">
        <v>16</v>
      </c>
      <c r="D1566" t="s">
        <v>55</v>
      </c>
      <c r="E1566" t="s">
        <v>1823</v>
      </c>
      <c r="F1566" t="s">
        <v>1823</v>
      </c>
      <c r="H1566" s="2">
        <v>45615</v>
      </c>
      <c r="I1566" s="1">
        <v>-4053.6</v>
      </c>
      <c r="J1566" t="s">
        <v>86</v>
      </c>
      <c r="K1566" t="s">
        <v>20</v>
      </c>
      <c r="L1566">
        <v>0</v>
      </c>
      <c r="M1566" t="s">
        <v>86</v>
      </c>
    </row>
    <row r="1567" spans="1:13">
      <c r="A1567" t="s">
        <v>1811</v>
      </c>
      <c r="B1567" t="s">
        <v>1812</v>
      </c>
      <c r="C1567" t="s">
        <v>16</v>
      </c>
      <c r="D1567" t="s">
        <v>55</v>
      </c>
      <c r="E1567" t="s">
        <v>1823</v>
      </c>
      <c r="F1567" t="s">
        <v>1823</v>
      </c>
      <c r="H1567" s="2">
        <v>45631</v>
      </c>
      <c r="I1567" s="1">
        <v>-3890.16</v>
      </c>
      <c r="J1567" t="s">
        <v>86</v>
      </c>
      <c r="K1567" t="s">
        <v>20</v>
      </c>
      <c r="L1567">
        <v>0</v>
      </c>
      <c r="M1567" t="s">
        <v>86</v>
      </c>
    </row>
    <row r="1568" spans="1:13">
      <c r="A1568" t="s">
        <v>1811</v>
      </c>
      <c r="B1568" t="s">
        <v>1812</v>
      </c>
      <c r="C1568" t="s">
        <v>16</v>
      </c>
      <c r="D1568" t="s">
        <v>17</v>
      </c>
      <c r="E1568" t="s">
        <v>1824</v>
      </c>
      <c r="F1568" t="s">
        <v>19</v>
      </c>
      <c r="H1568" s="2">
        <v>45614</v>
      </c>
      <c r="I1568">
        <v>-310.8</v>
      </c>
      <c r="J1568">
        <v>-310.8</v>
      </c>
      <c r="K1568" t="s">
        <v>20</v>
      </c>
      <c r="L1568">
        <v>0</v>
      </c>
      <c r="M1568">
        <v>-310.8</v>
      </c>
    </row>
    <row r="1569" spans="1:13">
      <c r="A1569" t="s">
        <v>1811</v>
      </c>
      <c r="B1569" t="s">
        <v>1812</v>
      </c>
      <c r="C1569" t="s">
        <v>16</v>
      </c>
      <c r="D1569" t="s">
        <v>21</v>
      </c>
      <c r="E1569" t="s">
        <v>1825</v>
      </c>
      <c r="F1569" t="s">
        <v>1825</v>
      </c>
      <c r="G1569" s="2">
        <v>45630</v>
      </c>
      <c r="H1569" s="2">
        <v>45660</v>
      </c>
      <c r="I1569" s="1">
        <v>3729.6</v>
      </c>
      <c r="J1569">
        <v>3729.6</v>
      </c>
      <c r="K1569" t="s">
        <v>20</v>
      </c>
      <c r="L1569">
        <v>0</v>
      </c>
      <c r="M1569">
        <v>3729.6</v>
      </c>
    </row>
    <row r="1570" spans="1:13">
      <c r="A1570" t="s">
        <v>1811</v>
      </c>
      <c r="B1570" t="s">
        <v>1812</v>
      </c>
      <c r="C1570" t="s">
        <v>16</v>
      </c>
      <c r="D1570" t="s">
        <v>21</v>
      </c>
      <c r="E1570" t="s">
        <v>1826</v>
      </c>
      <c r="F1570" t="s">
        <v>1826</v>
      </c>
      <c r="G1570" s="2">
        <v>45684</v>
      </c>
      <c r="H1570" s="2">
        <v>45714</v>
      </c>
      <c r="I1570" s="1">
        <v>4662</v>
      </c>
      <c r="J1570">
        <v>93.24</v>
      </c>
      <c r="K1570" t="s">
        <v>20</v>
      </c>
      <c r="L1570">
        <v>0</v>
      </c>
      <c r="M1570">
        <v>93.24</v>
      </c>
    </row>
    <row r="1571" spans="1:13">
      <c r="A1571" t="s">
        <v>1811</v>
      </c>
      <c r="B1571" t="s">
        <v>1812</v>
      </c>
      <c r="C1571" t="s">
        <v>16</v>
      </c>
      <c r="D1571" t="s">
        <v>55</v>
      </c>
      <c r="E1571" t="s">
        <v>1826</v>
      </c>
      <c r="F1571" t="s">
        <v>1826</v>
      </c>
      <c r="H1571" s="2">
        <v>45719</v>
      </c>
      <c r="I1571" s="1">
        <v>-4568.76</v>
      </c>
      <c r="J1571" t="s">
        <v>86</v>
      </c>
      <c r="K1571" t="s">
        <v>20</v>
      </c>
      <c r="L1571">
        <v>10</v>
      </c>
      <c r="M1571" t="s">
        <v>86</v>
      </c>
    </row>
    <row r="1572" spans="1:13">
      <c r="A1572" t="s">
        <v>1811</v>
      </c>
      <c r="B1572" t="s">
        <v>1812</v>
      </c>
      <c r="C1572" t="s">
        <v>16</v>
      </c>
      <c r="D1572" t="s">
        <v>21</v>
      </c>
      <c r="E1572" t="s">
        <v>1827</v>
      </c>
      <c r="F1572" t="s">
        <v>1827</v>
      </c>
      <c r="G1572" s="2">
        <v>45684</v>
      </c>
      <c r="H1572" s="2">
        <v>45714</v>
      </c>
      <c r="I1572" s="1">
        <v>9273.84</v>
      </c>
      <c r="J1572">
        <v>6071.84</v>
      </c>
      <c r="K1572" t="s">
        <v>20</v>
      </c>
      <c r="L1572">
        <v>0</v>
      </c>
      <c r="M1572">
        <v>6071.84</v>
      </c>
    </row>
    <row r="1573" spans="1:13">
      <c r="A1573" t="s">
        <v>1811</v>
      </c>
      <c r="B1573" t="s">
        <v>1812</v>
      </c>
      <c r="C1573" t="s">
        <v>16</v>
      </c>
      <c r="D1573" t="s">
        <v>55</v>
      </c>
      <c r="E1573" t="s">
        <v>1827</v>
      </c>
      <c r="F1573" t="s">
        <v>1827</v>
      </c>
      <c r="H1573" s="2">
        <v>45719</v>
      </c>
      <c r="I1573" s="1">
        <v>-3202</v>
      </c>
      <c r="J1573" t="s">
        <v>86</v>
      </c>
      <c r="K1573" t="s">
        <v>20</v>
      </c>
      <c r="L1573">
        <v>10</v>
      </c>
      <c r="M1573" t="s">
        <v>86</v>
      </c>
    </row>
    <row r="1574" spans="1:13">
      <c r="A1574" t="s">
        <v>1811</v>
      </c>
      <c r="B1574" t="s">
        <v>1812</v>
      </c>
      <c r="C1574" t="s">
        <v>16</v>
      </c>
      <c r="D1574" t="s">
        <v>21</v>
      </c>
      <c r="E1574" t="s">
        <v>1828</v>
      </c>
      <c r="F1574" t="s">
        <v>1828</v>
      </c>
      <c r="G1574" s="2">
        <v>45684</v>
      </c>
      <c r="H1574" s="2">
        <v>45714</v>
      </c>
      <c r="I1574" s="1">
        <v>9471.24</v>
      </c>
      <c r="J1574">
        <v>475.72</v>
      </c>
      <c r="K1574" t="s">
        <v>20</v>
      </c>
      <c r="L1574">
        <v>0</v>
      </c>
      <c r="M1574">
        <v>475.72</v>
      </c>
    </row>
    <row r="1575" spans="1:13">
      <c r="A1575" t="s">
        <v>1811</v>
      </c>
      <c r="B1575" t="s">
        <v>1812</v>
      </c>
      <c r="C1575" t="s">
        <v>16</v>
      </c>
      <c r="D1575" t="s">
        <v>55</v>
      </c>
      <c r="E1575" t="s">
        <v>1828</v>
      </c>
      <c r="F1575" t="s">
        <v>1828</v>
      </c>
      <c r="H1575" s="2">
        <v>45719</v>
      </c>
      <c r="I1575" s="1">
        <v>-8995.52</v>
      </c>
      <c r="J1575" t="s">
        <v>86</v>
      </c>
      <c r="K1575" t="s">
        <v>20</v>
      </c>
      <c r="L1575">
        <v>10</v>
      </c>
      <c r="M1575" t="s">
        <v>86</v>
      </c>
    </row>
    <row r="1576" spans="1:13">
      <c r="A1576" t="s">
        <v>1811</v>
      </c>
      <c r="B1576" t="s">
        <v>1812</v>
      </c>
      <c r="C1576" t="s">
        <v>16</v>
      </c>
      <c r="D1576" t="s">
        <v>21</v>
      </c>
      <c r="E1576" t="s">
        <v>1829</v>
      </c>
      <c r="F1576" t="s">
        <v>1829</v>
      </c>
      <c r="G1576" s="2">
        <v>45684</v>
      </c>
      <c r="H1576" s="2">
        <v>45714</v>
      </c>
      <c r="I1576" s="1">
        <v>3194.04</v>
      </c>
      <c r="J1576">
        <v>153.52000000000001</v>
      </c>
      <c r="K1576" t="s">
        <v>20</v>
      </c>
      <c r="L1576">
        <v>0</v>
      </c>
      <c r="M1576">
        <v>153.52000000000001</v>
      </c>
    </row>
    <row r="1577" spans="1:13">
      <c r="A1577" t="s">
        <v>1811</v>
      </c>
      <c r="B1577" t="s">
        <v>1812</v>
      </c>
      <c r="C1577" t="s">
        <v>16</v>
      </c>
      <c r="D1577" t="s">
        <v>55</v>
      </c>
      <c r="E1577" t="s">
        <v>1829</v>
      </c>
      <c r="F1577" t="s">
        <v>1829</v>
      </c>
      <c r="H1577" s="2">
        <v>45719</v>
      </c>
      <c r="I1577" s="1">
        <v>-3040.52</v>
      </c>
      <c r="J1577" t="s">
        <v>86</v>
      </c>
      <c r="K1577" t="s">
        <v>20</v>
      </c>
      <c r="L1577">
        <v>10</v>
      </c>
      <c r="M1577" t="s">
        <v>86</v>
      </c>
    </row>
    <row r="1578" spans="1:13">
      <c r="A1578" t="s">
        <v>1811</v>
      </c>
      <c r="B1578" t="s">
        <v>1812</v>
      </c>
      <c r="C1578" t="s">
        <v>16</v>
      </c>
      <c r="D1578" t="s">
        <v>21</v>
      </c>
      <c r="E1578" t="s">
        <v>1830</v>
      </c>
      <c r="F1578" t="s">
        <v>1830</v>
      </c>
      <c r="G1578" s="2">
        <v>45684</v>
      </c>
      <c r="H1578" s="2">
        <v>45714</v>
      </c>
      <c r="I1578" s="1">
        <v>3434.76</v>
      </c>
      <c r="J1578">
        <v>325.08</v>
      </c>
      <c r="K1578" t="s">
        <v>20</v>
      </c>
      <c r="L1578">
        <v>0</v>
      </c>
      <c r="M1578">
        <v>325.08</v>
      </c>
    </row>
    <row r="1579" spans="1:13">
      <c r="A1579" t="s">
        <v>1811</v>
      </c>
      <c r="B1579" t="s">
        <v>1812</v>
      </c>
      <c r="C1579" t="s">
        <v>16</v>
      </c>
      <c r="D1579" t="s">
        <v>55</v>
      </c>
      <c r="E1579" t="s">
        <v>1830</v>
      </c>
      <c r="F1579" t="s">
        <v>1830</v>
      </c>
      <c r="H1579" s="2">
        <v>45719</v>
      </c>
      <c r="I1579" s="1">
        <v>-3109.68</v>
      </c>
      <c r="J1579" t="s">
        <v>86</v>
      </c>
      <c r="K1579" t="s">
        <v>20</v>
      </c>
      <c r="L1579">
        <v>10</v>
      </c>
      <c r="M1579" t="s">
        <v>86</v>
      </c>
    </row>
    <row r="1580" spans="1:13">
      <c r="A1580" t="s">
        <v>1811</v>
      </c>
      <c r="B1580" t="s">
        <v>1812</v>
      </c>
      <c r="C1580" t="s">
        <v>16</v>
      </c>
      <c r="D1580" t="s">
        <v>21</v>
      </c>
      <c r="E1580" t="s">
        <v>1831</v>
      </c>
      <c r="F1580" t="s">
        <v>1831</v>
      </c>
      <c r="G1580" s="2">
        <v>45684</v>
      </c>
      <c r="H1580" s="2">
        <v>45714</v>
      </c>
      <c r="I1580" s="1">
        <v>8717.83</v>
      </c>
      <c r="J1580">
        <v>4873.6400000000003</v>
      </c>
      <c r="K1580" t="s">
        <v>20</v>
      </c>
      <c r="L1580">
        <v>0</v>
      </c>
      <c r="M1580">
        <v>4873.6400000000003</v>
      </c>
    </row>
    <row r="1581" spans="1:13">
      <c r="A1581" t="s">
        <v>1811</v>
      </c>
      <c r="B1581" t="s">
        <v>1812</v>
      </c>
      <c r="C1581" t="s">
        <v>16</v>
      </c>
      <c r="D1581" t="s">
        <v>17</v>
      </c>
      <c r="E1581" t="s">
        <v>1832</v>
      </c>
      <c r="F1581" t="s">
        <v>1831</v>
      </c>
      <c r="H1581" s="2">
        <v>45688</v>
      </c>
      <c r="I1581">
        <v>-741.79</v>
      </c>
      <c r="J1581" t="s">
        <v>86</v>
      </c>
      <c r="K1581" t="s">
        <v>20</v>
      </c>
      <c r="L1581">
        <v>0</v>
      </c>
      <c r="M1581" t="s">
        <v>86</v>
      </c>
    </row>
    <row r="1582" spans="1:13">
      <c r="A1582" t="s">
        <v>1811</v>
      </c>
      <c r="B1582" t="s">
        <v>1812</v>
      </c>
      <c r="C1582" t="s">
        <v>16</v>
      </c>
      <c r="D1582" t="s">
        <v>55</v>
      </c>
      <c r="E1582" t="s">
        <v>1831</v>
      </c>
      <c r="F1582" t="s">
        <v>1831</v>
      </c>
      <c r="H1582" s="2">
        <v>45719</v>
      </c>
      <c r="I1582" s="1">
        <v>-3102.4</v>
      </c>
      <c r="J1582" t="s">
        <v>86</v>
      </c>
      <c r="K1582" t="s">
        <v>20</v>
      </c>
      <c r="L1582">
        <v>10</v>
      </c>
      <c r="M1582" t="s">
        <v>86</v>
      </c>
    </row>
    <row r="1583" spans="1:13">
      <c r="A1583" t="s">
        <v>1811</v>
      </c>
      <c r="B1583" t="s">
        <v>1812</v>
      </c>
      <c r="C1583" t="s">
        <v>16</v>
      </c>
      <c r="D1583" t="s">
        <v>21</v>
      </c>
      <c r="E1583" t="s">
        <v>1833</v>
      </c>
      <c r="F1583" t="s">
        <v>1833</v>
      </c>
      <c r="G1583" s="2">
        <v>45684</v>
      </c>
      <c r="H1583" s="2">
        <v>45714</v>
      </c>
      <c r="I1583" s="1">
        <v>9517.92</v>
      </c>
      <c r="J1583">
        <v>5276.72</v>
      </c>
      <c r="K1583" t="s">
        <v>20</v>
      </c>
      <c r="L1583">
        <v>0</v>
      </c>
      <c r="M1583">
        <v>5276.72</v>
      </c>
    </row>
    <row r="1584" spans="1:13">
      <c r="A1584" t="s">
        <v>1811</v>
      </c>
      <c r="B1584" t="s">
        <v>1812</v>
      </c>
      <c r="C1584" t="s">
        <v>16</v>
      </c>
      <c r="D1584" t="s">
        <v>55</v>
      </c>
      <c r="E1584" t="s">
        <v>1833</v>
      </c>
      <c r="F1584" t="s">
        <v>1833</v>
      </c>
      <c r="H1584" s="2">
        <v>45716</v>
      </c>
      <c r="I1584" s="1">
        <v>-4241.2</v>
      </c>
      <c r="J1584" t="s">
        <v>86</v>
      </c>
      <c r="K1584" t="s">
        <v>20</v>
      </c>
      <c r="L1584">
        <v>0</v>
      </c>
      <c r="M1584" t="s">
        <v>86</v>
      </c>
    </row>
    <row r="1585" spans="1:13">
      <c r="A1585" t="s">
        <v>1811</v>
      </c>
      <c r="B1585" t="s">
        <v>1812</v>
      </c>
      <c r="C1585" t="s">
        <v>16</v>
      </c>
      <c r="D1585" t="s">
        <v>21</v>
      </c>
      <c r="E1585" t="s">
        <v>1834</v>
      </c>
      <c r="F1585" t="s">
        <v>1834</v>
      </c>
      <c r="G1585" s="2">
        <v>45684</v>
      </c>
      <c r="H1585" s="2">
        <v>45714</v>
      </c>
      <c r="I1585" s="1">
        <v>4773.84</v>
      </c>
      <c r="J1585">
        <v>405.92</v>
      </c>
      <c r="K1585" t="s">
        <v>20</v>
      </c>
      <c r="L1585">
        <v>0</v>
      </c>
      <c r="M1585">
        <v>405.92</v>
      </c>
    </row>
    <row r="1586" spans="1:13">
      <c r="A1586" t="s">
        <v>1811</v>
      </c>
      <c r="B1586" t="s">
        <v>1812</v>
      </c>
      <c r="C1586" t="s">
        <v>16</v>
      </c>
      <c r="D1586" t="s">
        <v>55</v>
      </c>
      <c r="E1586" t="s">
        <v>1834</v>
      </c>
      <c r="F1586" t="s">
        <v>1834</v>
      </c>
      <c r="H1586" s="2">
        <v>45719</v>
      </c>
      <c r="I1586" s="1">
        <v>-4367.92</v>
      </c>
      <c r="J1586" t="s">
        <v>86</v>
      </c>
      <c r="K1586" t="s">
        <v>20</v>
      </c>
      <c r="L1586">
        <v>10</v>
      </c>
      <c r="M1586" t="s">
        <v>86</v>
      </c>
    </row>
    <row r="1587" spans="1:13">
      <c r="A1587" t="s">
        <v>1811</v>
      </c>
      <c r="B1587" t="s">
        <v>1812</v>
      </c>
      <c r="C1587" t="s">
        <v>16</v>
      </c>
      <c r="D1587" t="s">
        <v>21</v>
      </c>
      <c r="E1587" t="s">
        <v>1835</v>
      </c>
      <c r="F1587" t="s">
        <v>1835</v>
      </c>
      <c r="G1587" s="2">
        <v>45684</v>
      </c>
      <c r="H1587" s="2">
        <v>45714</v>
      </c>
      <c r="I1587" s="1">
        <v>13115.64</v>
      </c>
      <c r="J1587">
        <v>6147.76</v>
      </c>
      <c r="K1587" t="s">
        <v>20</v>
      </c>
      <c r="L1587">
        <v>0</v>
      </c>
      <c r="M1587">
        <v>6147.76</v>
      </c>
    </row>
    <row r="1588" spans="1:13">
      <c r="A1588" t="s">
        <v>1811</v>
      </c>
      <c r="B1588" t="s">
        <v>1812</v>
      </c>
      <c r="C1588" t="s">
        <v>16</v>
      </c>
      <c r="D1588" t="s">
        <v>55</v>
      </c>
      <c r="E1588" t="s">
        <v>1835</v>
      </c>
      <c r="F1588" t="s">
        <v>1835</v>
      </c>
      <c r="H1588" s="2">
        <v>45726</v>
      </c>
      <c r="I1588" s="1">
        <v>-6967.88</v>
      </c>
      <c r="J1588" t="s">
        <v>86</v>
      </c>
      <c r="K1588" t="s">
        <v>20</v>
      </c>
      <c r="L1588">
        <v>11</v>
      </c>
      <c r="M1588" t="s">
        <v>86</v>
      </c>
    </row>
    <row r="1589" spans="1:13">
      <c r="A1589" t="s">
        <v>1811</v>
      </c>
      <c r="B1589" t="s">
        <v>1812</v>
      </c>
      <c r="C1589" t="s">
        <v>16</v>
      </c>
      <c r="D1589" t="s">
        <v>21</v>
      </c>
      <c r="E1589" t="s">
        <v>1836</v>
      </c>
      <c r="F1589" t="s">
        <v>1836</v>
      </c>
      <c r="G1589" s="2">
        <v>45684</v>
      </c>
      <c r="H1589" s="2">
        <v>45714</v>
      </c>
      <c r="I1589" s="1">
        <v>3108</v>
      </c>
      <c r="J1589">
        <v>248.64</v>
      </c>
      <c r="K1589" t="s">
        <v>20</v>
      </c>
      <c r="L1589">
        <v>0</v>
      </c>
      <c r="M1589">
        <v>248.64</v>
      </c>
    </row>
    <row r="1590" spans="1:13">
      <c r="A1590" t="s">
        <v>1811</v>
      </c>
      <c r="B1590" t="s">
        <v>1812</v>
      </c>
      <c r="C1590" t="s">
        <v>16</v>
      </c>
      <c r="D1590" t="s">
        <v>55</v>
      </c>
      <c r="E1590" t="s">
        <v>1836</v>
      </c>
      <c r="F1590" t="s">
        <v>1836</v>
      </c>
      <c r="H1590" s="2">
        <v>45719</v>
      </c>
      <c r="I1590" s="1">
        <v>-2859.36</v>
      </c>
      <c r="J1590" t="s">
        <v>86</v>
      </c>
      <c r="K1590" t="s">
        <v>20</v>
      </c>
      <c r="L1590">
        <v>10</v>
      </c>
      <c r="M1590" t="s">
        <v>86</v>
      </c>
    </row>
    <row r="1591" spans="1:13">
      <c r="A1591" t="s">
        <v>1811</v>
      </c>
      <c r="B1591" t="s">
        <v>1812</v>
      </c>
      <c r="C1591" t="s">
        <v>16</v>
      </c>
      <c r="D1591" t="s">
        <v>21</v>
      </c>
      <c r="E1591" t="s">
        <v>1837</v>
      </c>
      <c r="F1591" t="s">
        <v>1837</v>
      </c>
      <c r="G1591" s="2">
        <v>45685</v>
      </c>
      <c r="H1591" s="2">
        <v>45715</v>
      </c>
      <c r="I1591" s="1">
        <v>1947.48</v>
      </c>
      <c r="J1591">
        <v>77.84</v>
      </c>
      <c r="K1591" t="s">
        <v>20</v>
      </c>
      <c r="L1591">
        <v>0</v>
      </c>
      <c r="M1591">
        <v>77.84</v>
      </c>
    </row>
    <row r="1592" spans="1:13">
      <c r="A1592" t="s">
        <v>1811</v>
      </c>
      <c r="B1592" t="s">
        <v>1812</v>
      </c>
      <c r="C1592" t="s">
        <v>16</v>
      </c>
      <c r="D1592" t="s">
        <v>55</v>
      </c>
      <c r="E1592" t="s">
        <v>1837</v>
      </c>
      <c r="F1592" t="s">
        <v>1837</v>
      </c>
      <c r="H1592" s="2">
        <v>45720</v>
      </c>
      <c r="I1592" s="1">
        <v>-1869.64</v>
      </c>
      <c r="J1592" t="s">
        <v>86</v>
      </c>
      <c r="K1592" t="s">
        <v>20</v>
      </c>
      <c r="L1592">
        <v>10</v>
      </c>
      <c r="M1592" t="s">
        <v>86</v>
      </c>
    </row>
    <row r="1593" spans="1:13">
      <c r="A1593" t="s">
        <v>1811</v>
      </c>
      <c r="B1593" t="s">
        <v>1812</v>
      </c>
      <c r="C1593" t="s">
        <v>16</v>
      </c>
      <c r="D1593" t="s">
        <v>21</v>
      </c>
      <c r="E1593" t="s">
        <v>1838</v>
      </c>
      <c r="F1593" t="s">
        <v>1838</v>
      </c>
      <c r="G1593" s="2">
        <v>45685</v>
      </c>
      <c r="H1593" s="2">
        <v>45715</v>
      </c>
      <c r="I1593" s="1">
        <v>5339.52</v>
      </c>
      <c r="J1593">
        <v>82.16</v>
      </c>
      <c r="K1593" t="s">
        <v>20</v>
      </c>
      <c r="L1593">
        <v>0</v>
      </c>
      <c r="M1593">
        <v>82.16</v>
      </c>
    </row>
    <row r="1594" spans="1:13">
      <c r="A1594" t="s">
        <v>1811</v>
      </c>
      <c r="B1594" t="s">
        <v>1812</v>
      </c>
      <c r="C1594" t="s">
        <v>16</v>
      </c>
      <c r="D1594" t="s">
        <v>55</v>
      </c>
      <c r="E1594" t="s">
        <v>1838</v>
      </c>
      <c r="F1594" t="s">
        <v>1838</v>
      </c>
      <c r="H1594" s="2">
        <v>45720</v>
      </c>
      <c r="I1594" s="1">
        <v>-5257.36</v>
      </c>
      <c r="J1594" t="s">
        <v>86</v>
      </c>
      <c r="K1594" t="s">
        <v>20</v>
      </c>
      <c r="L1594">
        <v>10</v>
      </c>
      <c r="M1594" t="s">
        <v>86</v>
      </c>
    </row>
    <row r="1595" spans="1:13">
      <c r="A1595" t="s">
        <v>1811</v>
      </c>
      <c r="B1595" t="s">
        <v>1812</v>
      </c>
      <c r="C1595" t="s">
        <v>16</v>
      </c>
      <c r="D1595" t="s">
        <v>21</v>
      </c>
      <c r="E1595" t="s">
        <v>1839</v>
      </c>
      <c r="F1595" t="s">
        <v>1839</v>
      </c>
      <c r="G1595" s="2">
        <v>45685</v>
      </c>
      <c r="H1595" s="2">
        <v>45715</v>
      </c>
      <c r="I1595" s="1">
        <v>2977.19</v>
      </c>
      <c r="J1595">
        <v>187.44</v>
      </c>
      <c r="K1595" t="s">
        <v>20</v>
      </c>
      <c r="L1595">
        <v>0</v>
      </c>
      <c r="M1595">
        <v>187.44</v>
      </c>
    </row>
    <row r="1596" spans="1:13">
      <c r="A1596" t="s">
        <v>1811</v>
      </c>
      <c r="B1596" t="s">
        <v>1812</v>
      </c>
      <c r="C1596" t="s">
        <v>16</v>
      </c>
      <c r="D1596" t="s">
        <v>17</v>
      </c>
      <c r="E1596" t="s">
        <v>1840</v>
      </c>
      <c r="F1596" t="s">
        <v>1839</v>
      </c>
      <c r="H1596" s="2">
        <v>45688</v>
      </c>
      <c r="I1596">
        <v>-207.71</v>
      </c>
      <c r="J1596" t="s">
        <v>86</v>
      </c>
      <c r="K1596" t="s">
        <v>20</v>
      </c>
      <c r="L1596">
        <v>0</v>
      </c>
      <c r="M1596" t="s">
        <v>86</v>
      </c>
    </row>
    <row r="1597" spans="1:13">
      <c r="A1597" t="s">
        <v>1811</v>
      </c>
      <c r="B1597" t="s">
        <v>1812</v>
      </c>
      <c r="C1597" t="s">
        <v>16</v>
      </c>
      <c r="D1597" t="s">
        <v>55</v>
      </c>
      <c r="E1597" t="s">
        <v>1839</v>
      </c>
      <c r="F1597" t="s">
        <v>1839</v>
      </c>
      <c r="H1597" s="2">
        <v>45729</v>
      </c>
      <c r="I1597" s="1">
        <v>-2582.04</v>
      </c>
      <c r="J1597" t="s">
        <v>86</v>
      </c>
      <c r="K1597" t="s">
        <v>20</v>
      </c>
      <c r="L1597">
        <v>11</v>
      </c>
      <c r="M1597" t="s">
        <v>86</v>
      </c>
    </row>
    <row r="1598" spans="1:13">
      <c r="A1598" t="s">
        <v>1811</v>
      </c>
      <c r="B1598" t="s">
        <v>1812</v>
      </c>
      <c r="C1598" t="s">
        <v>16</v>
      </c>
      <c r="D1598" t="s">
        <v>21</v>
      </c>
      <c r="E1598" t="s">
        <v>1841</v>
      </c>
      <c r="F1598" t="s">
        <v>1841</v>
      </c>
      <c r="G1598" s="2">
        <v>45685</v>
      </c>
      <c r="H1598" s="2">
        <v>45715</v>
      </c>
      <c r="I1598" s="1">
        <v>5211</v>
      </c>
      <c r="J1598">
        <v>438</v>
      </c>
      <c r="K1598" t="s">
        <v>20</v>
      </c>
      <c r="L1598">
        <v>0</v>
      </c>
      <c r="M1598">
        <v>438</v>
      </c>
    </row>
    <row r="1599" spans="1:13">
      <c r="A1599" t="s">
        <v>1811</v>
      </c>
      <c r="B1599" t="s">
        <v>1812</v>
      </c>
      <c r="C1599" t="s">
        <v>16</v>
      </c>
      <c r="D1599" t="s">
        <v>55</v>
      </c>
      <c r="E1599" t="s">
        <v>1841</v>
      </c>
      <c r="F1599" t="s">
        <v>1841</v>
      </c>
      <c r="H1599" s="2">
        <v>45734</v>
      </c>
      <c r="I1599" s="1">
        <v>-4773</v>
      </c>
      <c r="J1599" t="s">
        <v>86</v>
      </c>
      <c r="K1599" t="s">
        <v>20</v>
      </c>
      <c r="L1599">
        <v>12</v>
      </c>
      <c r="M1599" t="s">
        <v>86</v>
      </c>
    </row>
    <row r="1600" spans="1:13">
      <c r="A1600" t="s">
        <v>1811</v>
      </c>
      <c r="B1600" t="s">
        <v>1812</v>
      </c>
      <c r="C1600" t="s">
        <v>16</v>
      </c>
      <c r="D1600" t="s">
        <v>21</v>
      </c>
      <c r="E1600" t="s">
        <v>1842</v>
      </c>
      <c r="F1600" t="s">
        <v>1842</v>
      </c>
      <c r="G1600" s="2">
        <v>45685</v>
      </c>
      <c r="H1600" s="2">
        <v>45715</v>
      </c>
      <c r="I1600" s="1">
        <v>3950.4</v>
      </c>
      <c r="J1600">
        <v>152.80000000000001</v>
      </c>
      <c r="K1600" t="s">
        <v>20</v>
      </c>
      <c r="L1600">
        <v>0</v>
      </c>
      <c r="M1600">
        <v>152.80000000000001</v>
      </c>
    </row>
    <row r="1601" spans="1:13">
      <c r="A1601" t="s">
        <v>1811</v>
      </c>
      <c r="B1601" t="s">
        <v>1812</v>
      </c>
      <c r="C1601" t="s">
        <v>16</v>
      </c>
      <c r="D1601" t="s">
        <v>55</v>
      </c>
      <c r="E1601" t="s">
        <v>1842</v>
      </c>
      <c r="F1601" t="s">
        <v>1842</v>
      </c>
      <c r="H1601" s="2">
        <v>45720</v>
      </c>
      <c r="I1601" s="1">
        <v>-3797.6</v>
      </c>
      <c r="J1601" t="s">
        <v>86</v>
      </c>
      <c r="K1601" t="s">
        <v>20</v>
      </c>
      <c r="L1601">
        <v>10</v>
      </c>
      <c r="M1601" t="s">
        <v>86</v>
      </c>
    </row>
    <row r="1602" spans="1:13">
      <c r="A1602" t="s">
        <v>1811</v>
      </c>
      <c r="B1602" t="s">
        <v>1812</v>
      </c>
      <c r="C1602" t="s">
        <v>16</v>
      </c>
      <c r="D1602" t="s">
        <v>21</v>
      </c>
      <c r="E1602" t="s">
        <v>1843</v>
      </c>
      <c r="F1602" t="s">
        <v>1843</v>
      </c>
      <c r="G1602" s="2">
        <v>45685</v>
      </c>
      <c r="H1602" s="2">
        <v>45715</v>
      </c>
      <c r="I1602" s="1">
        <v>3355.56</v>
      </c>
      <c r="J1602">
        <v>203.28</v>
      </c>
      <c r="K1602" t="s">
        <v>20</v>
      </c>
      <c r="L1602">
        <v>0</v>
      </c>
      <c r="M1602">
        <v>203.28</v>
      </c>
    </row>
    <row r="1603" spans="1:13">
      <c r="A1603" t="s">
        <v>1811</v>
      </c>
      <c r="B1603" t="s">
        <v>1812</v>
      </c>
      <c r="C1603" t="s">
        <v>16</v>
      </c>
      <c r="D1603" t="s">
        <v>55</v>
      </c>
      <c r="E1603" t="s">
        <v>1843</v>
      </c>
      <c r="F1603" t="s">
        <v>1843</v>
      </c>
      <c r="H1603" s="2">
        <v>45719</v>
      </c>
      <c r="I1603" s="1">
        <v>-3152.28</v>
      </c>
      <c r="J1603" t="s">
        <v>86</v>
      </c>
      <c r="K1603" t="s">
        <v>20</v>
      </c>
      <c r="L1603">
        <v>10</v>
      </c>
      <c r="M1603" t="s">
        <v>86</v>
      </c>
    </row>
    <row r="1604" spans="1:13">
      <c r="A1604" t="s">
        <v>1811</v>
      </c>
      <c r="B1604" t="s">
        <v>1812</v>
      </c>
      <c r="C1604" t="s">
        <v>16</v>
      </c>
      <c r="D1604" t="s">
        <v>21</v>
      </c>
      <c r="E1604" t="s">
        <v>1844</v>
      </c>
      <c r="F1604" t="s">
        <v>1844</v>
      </c>
      <c r="G1604" s="2">
        <v>45685</v>
      </c>
      <c r="H1604" s="2">
        <v>45715</v>
      </c>
      <c r="I1604" s="1">
        <v>3252.6</v>
      </c>
      <c r="J1604">
        <v>193.2</v>
      </c>
      <c r="K1604" t="s">
        <v>20</v>
      </c>
      <c r="L1604">
        <v>0</v>
      </c>
      <c r="M1604">
        <v>193.2</v>
      </c>
    </row>
    <row r="1605" spans="1:13">
      <c r="A1605" t="s">
        <v>1811</v>
      </c>
      <c r="B1605" t="s">
        <v>1812</v>
      </c>
      <c r="C1605" t="s">
        <v>16</v>
      </c>
      <c r="D1605" t="s">
        <v>55</v>
      </c>
      <c r="E1605" t="s">
        <v>1844</v>
      </c>
      <c r="F1605" t="s">
        <v>1844</v>
      </c>
      <c r="H1605" s="2">
        <v>45719</v>
      </c>
      <c r="I1605" s="1">
        <v>-3059.4</v>
      </c>
      <c r="J1605" t="s">
        <v>86</v>
      </c>
      <c r="K1605" t="s">
        <v>20</v>
      </c>
      <c r="L1605">
        <v>10</v>
      </c>
      <c r="M1605" t="s">
        <v>86</v>
      </c>
    </row>
    <row r="1606" spans="1:13">
      <c r="A1606" t="s">
        <v>1811</v>
      </c>
      <c r="B1606" t="s">
        <v>1812</v>
      </c>
      <c r="C1606" t="s">
        <v>16</v>
      </c>
      <c r="D1606" t="s">
        <v>21</v>
      </c>
      <c r="E1606" t="s">
        <v>1845</v>
      </c>
      <c r="F1606" t="s">
        <v>1845</v>
      </c>
      <c r="G1606" s="2">
        <v>45685</v>
      </c>
      <c r="H1606" s="2">
        <v>45715</v>
      </c>
      <c r="I1606" s="1">
        <v>11788.2</v>
      </c>
      <c r="J1606">
        <v>6337.6</v>
      </c>
      <c r="K1606" t="s">
        <v>20</v>
      </c>
      <c r="L1606">
        <v>0</v>
      </c>
      <c r="M1606">
        <v>6337.6</v>
      </c>
    </row>
    <row r="1607" spans="1:13">
      <c r="A1607" t="s">
        <v>1811</v>
      </c>
      <c r="B1607" t="s">
        <v>1812</v>
      </c>
      <c r="C1607" t="s">
        <v>16</v>
      </c>
      <c r="D1607" t="s">
        <v>55</v>
      </c>
      <c r="E1607" t="s">
        <v>1845</v>
      </c>
      <c r="F1607" t="s">
        <v>1845</v>
      </c>
      <c r="H1607" s="2">
        <v>45719</v>
      </c>
      <c r="I1607" s="1">
        <v>-5450.6</v>
      </c>
      <c r="J1607" t="s">
        <v>86</v>
      </c>
      <c r="K1607" t="s">
        <v>20</v>
      </c>
      <c r="L1607">
        <v>10</v>
      </c>
      <c r="M1607" t="s">
        <v>86</v>
      </c>
    </row>
    <row r="1608" spans="1:13">
      <c r="A1608" t="s">
        <v>1811</v>
      </c>
      <c r="B1608" t="s">
        <v>1812</v>
      </c>
      <c r="C1608" t="s">
        <v>16</v>
      </c>
      <c r="D1608" t="s">
        <v>21</v>
      </c>
      <c r="E1608" t="s">
        <v>1846</v>
      </c>
      <c r="F1608" t="s">
        <v>1846</v>
      </c>
      <c r="G1608" s="2">
        <v>45685</v>
      </c>
      <c r="H1608" s="2">
        <v>45715</v>
      </c>
      <c r="I1608" s="1">
        <v>6097.97</v>
      </c>
      <c r="J1608">
        <v>4048.64</v>
      </c>
      <c r="K1608" t="s">
        <v>20</v>
      </c>
      <c r="L1608">
        <v>0</v>
      </c>
      <c r="M1608">
        <v>4048.64</v>
      </c>
    </row>
    <row r="1609" spans="1:13">
      <c r="A1609" t="s">
        <v>1811</v>
      </c>
      <c r="B1609" t="s">
        <v>1812</v>
      </c>
      <c r="C1609" t="s">
        <v>16</v>
      </c>
      <c r="D1609" t="s">
        <v>17</v>
      </c>
      <c r="E1609" t="s">
        <v>1847</v>
      </c>
      <c r="F1609" t="s">
        <v>1846</v>
      </c>
      <c r="H1609" s="2">
        <v>45688</v>
      </c>
      <c r="I1609">
        <v>-398.93</v>
      </c>
      <c r="J1609" t="s">
        <v>86</v>
      </c>
      <c r="K1609" t="s">
        <v>20</v>
      </c>
      <c r="L1609">
        <v>0</v>
      </c>
      <c r="M1609" t="s">
        <v>86</v>
      </c>
    </row>
    <row r="1610" spans="1:13">
      <c r="A1610" t="s">
        <v>1811</v>
      </c>
      <c r="B1610" t="s">
        <v>1812</v>
      </c>
      <c r="C1610" t="s">
        <v>16</v>
      </c>
      <c r="D1610" t="s">
        <v>55</v>
      </c>
      <c r="E1610" t="s">
        <v>1846</v>
      </c>
      <c r="F1610" t="s">
        <v>1846</v>
      </c>
      <c r="H1610" s="2">
        <v>45720</v>
      </c>
      <c r="I1610" s="1">
        <v>-1650.4</v>
      </c>
      <c r="J1610" t="s">
        <v>86</v>
      </c>
      <c r="K1610" t="s">
        <v>20</v>
      </c>
      <c r="L1610">
        <v>10</v>
      </c>
      <c r="M1610" t="s">
        <v>86</v>
      </c>
    </row>
    <row r="1611" spans="1:13">
      <c r="A1611" t="s">
        <v>1811</v>
      </c>
      <c r="B1611" t="s">
        <v>1812</v>
      </c>
      <c r="C1611" t="s">
        <v>16</v>
      </c>
      <c r="D1611" t="s">
        <v>21</v>
      </c>
      <c r="E1611" t="s">
        <v>1848</v>
      </c>
      <c r="F1611" t="s">
        <v>1848</v>
      </c>
      <c r="G1611" s="2">
        <v>45685</v>
      </c>
      <c r="H1611" s="2">
        <v>45715</v>
      </c>
      <c r="I1611" s="1">
        <v>7300.92</v>
      </c>
      <c r="J1611">
        <v>622.96</v>
      </c>
      <c r="K1611" t="s">
        <v>20</v>
      </c>
      <c r="L1611">
        <v>0</v>
      </c>
      <c r="M1611">
        <v>622.96</v>
      </c>
    </row>
    <row r="1612" spans="1:13">
      <c r="A1612" t="s">
        <v>1811</v>
      </c>
      <c r="B1612" t="s">
        <v>1812</v>
      </c>
      <c r="C1612" t="s">
        <v>16</v>
      </c>
      <c r="D1612" t="s">
        <v>55</v>
      </c>
      <c r="E1612" t="s">
        <v>1848</v>
      </c>
      <c r="F1612" t="s">
        <v>1848</v>
      </c>
      <c r="H1612" s="2">
        <v>45720</v>
      </c>
      <c r="I1612" s="1">
        <v>-6677.96</v>
      </c>
      <c r="J1612" t="s">
        <v>86</v>
      </c>
      <c r="K1612" t="s">
        <v>20</v>
      </c>
      <c r="L1612">
        <v>10</v>
      </c>
      <c r="M1612" t="s">
        <v>86</v>
      </c>
    </row>
    <row r="1613" spans="1:13">
      <c r="A1613" t="s">
        <v>1811</v>
      </c>
      <c r="B1613" t="s">
        <v>1812</v>
      </c>
      <c r="C1613" t="s">
        <v>16</v>
      </c>
      <c r="D1613" t="s">
        <v>21</v>
      </c>
      <c r="E1613" t="s">
        <v>1849</v>
      </c>
      <c r="F1613" t="s">
        <v>1849</v>
      </c>
      <c r="G1613" s="2">
        <v>45685</v>
      </c>
      <c r="H1613" s="2">
        <v>45715</v>
      </c>
      <c r="I1613" s="1">
        <v>1838.88</v>
      </c>
      <c r="J1613">
        <v>176.64</v>
      </c>
      <c r="K1613" t="s">
        <v>20</v>
      </c>
      <c r="L1613">
        <v>0</v>
      </c>
      <c r="M1613">
        <v>176.64</v>
      </c>
    </row>
    <row r="1614" spans="1:13">
      <c r="A1614" t="s">
        <v>1811</v>
      </c>
      <c r="B1614" t="s">
        <v>1812</v>
      </c>
      <c r="C1614" t="s">
        <v>16</v>
      </c>
      <c r="D1614" t="s">
        <v>55</v>
      </c>
      <c r="E1614" t="s">
        <v>1849</v>
      </c>
      <c r="F1614" t="s">
        <v>1849</v>
      </c>
      <c r="H1614" s="2">
        <v>45719</v>
      </c>
      <c r="I1614" s="1">
        <v>-1662.24</v>
      </c>
      <c r="J1614" t="s">
        <v>86</v>
      </c>
      <c r="K1614" t="s">
        <v>20</v>
      </c>
      <c r="L1614">
        <v>10</v>
      </c>
      <c r="M1614" t="s">
        <v>86</v>
      </c>
    </row>
    <row r="1615" spans="1:13">
      <c r="A1615" t="s">
        <v>1811</v>
      </c>
      <c r="B1615" t="s">
        <v>1812</v>
      </c>
      <c r="C1615" t="s">
        <v>16</v>
      </c>
      <c r="D1615" t="s">
        <v>21</v>
      </c>
      <c r="E1615" t="s">
        <v>1850</v>
      </c>
      <c r="F1615" t="s">
        <v>1850</v>
      </c>
      <c r="G1615" s="2">
        <v>45685</v>
      </c>
      <c r="H1615" s="2">
        <v>45715</v>
      </c>
      <c r="I1615" s="1">
        <v>15035.04</v>
      </c>
      <c r="J1615">
        <v>1285.92</v>
      </c>
      <c r="K1615" t="s">
        <v>20</v>
      </c>
      <c r="L1615">
        <v>0</v>
      </c>
      <c r="M1615">
        <v>1285.92</v>
      </c>
    </row>
    <row r="1616" spans="1:13">
      <c r="A1616" t="s">
        <v>1811</v>
      </c>
      <c r="B1616" t="s">
        <v>1812</v>
      </c>
      <c r="C1616" t="s">
        <v>16</v>
      </c>
      <c r="D1616" t="s">
        <v>55</v>
      </c>
      <c r="E1616" t="s">
        <v>1850</v>
      </c>
      <c r="F1616" t="s">
        <v>1850</v>
      </c>
      <c r="H1616" s="2">
        <v>45719</v>
      </c>
      <c r="I1616" s="1">
        <v>-13749.12</v>
      </c>
      <c r="J1616" t="s">
        <v>86</v>
      </c>
      <c r="K1616" t="s">
        <v>20</v>
      </c>
      <c r="L1616">
        <v>10</v>
      </c>
      <c r="M1616" t="s">
        <v>86</v>
      </c>
    </row>
    <row r="1617" spans="1:13">
      <c r="A1617" t="s">
        <v>1811</v>
      </c>
      <c r="B1617" t="s">
        <v>1812</v>
      </c>
      <c r="C1617" t="s">
        <v>16</v>
      </c>
      <c r="D1617" t="s">
        <v>21</v>
      </c>
      <c r="E1617" t="s">
        <v>1851</v>
      </c>
      <c r="F1617" t="s">
        <v>1851</v>
      </c>
      <c r="G1617" s="2">
        <v>45692</v>
      </c>
      <c r="H1617" s="2">
        <v>45722</v>
      </c>
      <c r="I1617">
        <v>375.39</v>
      </c>
      <c r="J1617">
        <v>349.2</v>
      </c>
      <c r="K1617" t="s">
        <v>20</v>
      </c>
      <c r="L1617">
        <v>10</v>
      </c>
      <c r="M1617">
        <v>349.2</v>
      </c>
    </row>
    <row r="1618" spans="1:13">
      <c r="A1618" t="s">
        <v>1811</v>
      </c>
      <c r="B1618" t="s">
        <v>1812</v>
      </c>
      <c r="C1618" t="s">
        <v>16</v>
      </c>
      <c r="D1618" t="s">
        <v>17</v>
      </c>
      <c r="E1618" t="s">
        <v>1852</v>
      </c>
      <c r="F1618" t="s">
        <v>1851</v>
      </c>
      <c r="H1618" s="2">
        <v>45716</v>
      </c>
      <c r="I1618">
        <v>-28.15</v>
      </c>
      <c r="J1618" t="s">
        <v>86</v>
      </c>
      <c r="K1618" t="s">
        <v>20</v>
      </c>
      <c r="L1618">
        <v>0</v>
      </c>
      <c r="M1618" t="s">
        <v>86</v>
      </c>
    </row>
    <row r="1619" spans="1:13">
      <c r="A1619" t="s">
        <v>1811</v>
      </c>
      <c r="B1619" t="s">
        <v>1812</v>
      </c>
      <c r="C1619" t="s">
        <v>16</v>
      </c>
      <c r="D1619" t="s">
        <v>17</v>
      </c>
      <c r="E1619" t="s">
        <v>1853</v>
      </c>
      <c r="F1619" t="s">
        <v>1851</v>
      </c>
      <c r="H1619" s="2">
        <v>45716</v>
      </c>
      <c r="I1619">
        <v>-26.19</v>
      </c>
      <c r="J1619" t="s">
        <v>86</v>
      </c>
      <c r="K1619" t="s">
        <v>20</v>
      </c>
      <c r="L1619">
        <v>0</v>
      </c>
      <c r="M1619" t="s">
        <v>86</v>
      </c>
    </row>
    <row r="1620" spans="1:13">
      <c r="A1620" t="s">
        <v>1811</v>
      </c>
      <c r="B1620" t="s">
        <v>1812</v>
      </c>
      <c r="C1620" t="s">
        <v>16</v>
      </c>
      <c r="D1620" t="s">
        <v>1422</v>
      </c>
      <c r="E1620" t="s">
        <v>1854</v>
      </c>
      <c r="F1620" t="s">
        <v>1851</v>
      </c>
      <c r="G1620" s="2">
        <v>45716</v>
      </c>
      <c r="H1620" s="2">
        <v>45716</v>
      </c>
      <c r="I1620">
        <v>28.15</v>
      </c>
      <c r="J1620" t="s">
        <v>86</v>
      </c>
      <c r="K1620" t="s">
        <v>20</v>
      </c>
      <c r="L1620">
        <v>0</v>
      </c>
      <c r="M1620" t="s">
        <v>86</v>
      </c>
    </row>
    <row r="1621" spans="1:13">
      <c r="A1621" t="s">
        <v>1811</v>
      </c>
      <c r="B1621" t="s">
        <v>1812</v>
      </c>
      <c r="C1621" t="s">
        <v>16</v>
      </c>
      <c r="D1621" t="s">
        <v>21</v>
      </c>
      <c r="E1621" t="s">
        <v>1855</v>
      </c>
      <c r="F1621" t="s">
        <v>1855</v>
      </c>
      <c r="G1621" s="2">
        <v>45701</v>
      </c>
      <c r="H1621" s="2">
        <v>45731</v>
      </c>
      <c r="I1621" s="1">
        <v>7770</v>
      </c>
      <c r="J1621">
        <v>7770</v>
      </c>
      <c r="K1621" t="s">
        <v>20</v>
      </c>
      <c r="L1621">
        <v>11</v>
      </c>
      <c r="M1621">
        <v>7770</v>
      </c>
    </row>
    <row r="1622" spans="1:13">
      <c r="A1622" t="s">
        <v>1811</v>
      </c>
      <c r="B1622" t="s">
        <v>1812</v>
      </c>
      <c r="C1622" t="s">
        <v>16</v>
      </c>
      <c r="D1622" t="s">
        <v>21</v>
      </c>
      <c r="E1622" t="s">
        <v>1856</v>
      </c>
      <c r="F1622" t="s">
        <v>1856</v>
      </c>
      <c r="G1622" s="2">
        <v>45701</v>
      </c>
      <c r="H1622" s="2">
        <v>45731</v>
      </c>
      <c r="I1622" s="1">
        <v>5980.8</v>
      </c>
      <c r="J1622">
        <v>5980.8</v>
      </c>
      <c r="K1622" t="s">
        <v>20</v>
      </c>
      <c r="L1622">
        <v>11</v>
      </c>
      <c r="M1622">
        <v>5980.8</v>
      </c>
    </row>
    <row r="1623" spans="1:13">
      <c r="A1623" t="s">
        <v>1811</v>
      </c>
      <c r="B1623" t="s">
        <v>1812</v>
      </c>
      <c r="C1623" t="s">
        <v>16</v>
      </c>
      <c r="D1623" t="s">
        <v>21</v>
      </c>
      <c r="E1623" t="s">
        <v>1857</v>
      </c>
      <c r="F1623" t="s">
        <v>1857</v>
      </c>
      <c r="G1623" s="2">
        <v>45701</v>
      </c>
      <c r="H1623" s="2">
        <v>45731</v>
      </c>
      <c r="I1623" s="1">
        <v>5227.51</v>
      </c>
      <c r="J1623">
        <v>4782.72</v>
      </c>
      <c r="K1623" t="s">
        <v>20</v>
      </c>
      <c r="L1623">
        <v>11</v>
      </c>
      <c r="M1623">
        <v>4782.72</v>
      </c>
    </row>
    <row r="1624" spans="1:13">
      <c r="A1624" t="s">
        <v>1811</v>
      </c>
      <c r="B1624" t="s">
        <v>1812</v>
      </c>
      <c r="C1624" t="s">
        <v>16</v>
      </c>
      <c r="D1624" t="s">
        <v>17</v>
      </c>
      <c r="E1624" t="s">
        <v>1858</v>
      </c>
      <c r="F1624" t="s">
        <v>1857</v>
      </c>
      <c r="H1624" s="2">
        <v>45716</v>
      </c>
      <c r="I1624">
        <v>-486.15</v>
      </c>
      <c r="J1624" t="s">
        <v>86</v>
      </c>
      <c r="K1624" t="s">
        <v>20</v>
      </c>
      <c r="L1624">
        <v>0</v>
      </c>
      <c r="M1624" t="s">
        <v>86</v>
      </c>
    </row>
    <row r="1625" spans="1:13">
      <c r="A1625" t="s">
        <v>1811</v>
      </c>
      <c r="B1625" t="s">
        <v>1812</v>
      </c>
      <c r="C1625" t="s">
        <v>16</v>
      </c>
      <c r="D1625" t="s">
        <v>17</v>
      </c>
      <c r="E1625" t="s">
        <v>1859</v>
      </c>
      <c r="F1625" t="s">
        <v>1857</v>
      </c>
      <c r="H1625" s="2">
        <v>45716</v>
      </c>
      <c r="I1625">
        <v>-444.79</v>
      </c>
      <c r="J1625" t="s">
        <v>86</v>
      </c>
      <c r="K1625" t="s">
        <v>20</v>
      </c>
      <c r="L1625">
        <v>0</v>
      </c>
      <c r="M1625" t="s">
        <v>86</v>
      </c>
    </row>
    <row r="1626" spans="1:13">
      <c r="A1626" t="s">
        <v>1811</v>
      </c>
      <c r="B1626" t="s">
        <v>1812</v>
      </c>
      <c r="C1626" t="s">
        <v>16</v>
      </c>
      <c r="D1626" t="s">
        <v>1422</v>
      </c>
      <c r="E1626" t="s">
        <v>1860</v>
      </c>
      <c r="F1626" t="s">
        <v>1857</v>
      </c>
      <c r="G1626" s="2">
        <v>45716</v>
      </c>
      <c r="H1626" s="2">
        <v>45716</v>
      </c>
      <c r="I1626">
        <v>486.15</v>
      </c>
      <c r="J1626" t="s">
        <v>86</v>
      </c>
      <c r="K1626" t="s">
        <v>20</v>
      </c>
      <c r="L1626">
        <v>0</v>
      </c>
      <c r="M1626" t="s">
        <v>86</v>
      </c>
    </row>
    <row r="1627" spans="1:13">
      <c r="A1627" t="s">
        <v>1811</v>
      </c>
      <c r="B1627" t="s">
        <v>1812</v>
      </c>
      <c r="C1627" t="s">
        <v>16</v>
      </c>
      <c r="D1627" t="s">
        <v>21</v>
      </c>
      <c r="E1627" t="s">
        <v>1861</v>
      </c>
      <c r="F1627" t="s">
        <v>1861</v>
      </c>
      <c r="G1627" s="2">
        <v>45702</v>
      </c>
      <c r="H1627" s="2">
        <v>45732</v>
      </c>
      <c r="I1627" s="1">
        <v>1864.8</v>
      </c>
      <c r="J1627">
        <v>1864.8</v>
      </c>
      <c r="K1627" t="s">
        <v>20</v>
      </c>
      <c r="L1627">
        <v>12</v>
      </c>
      <c r="M1627">
        <v>1864.8</v>
      </c>
    </row>
    <row r="1628" spans="1:13">
      <c r="A1628" t="s">
        <v>1811</v>
      </c>
      <c r="B1628" t="s">
        <v>1812</v>
      </c>
      <c r="C1628" t="s">
        <v>16</v>
      </c>
      <c r="D1628" t="s">
        <v>21</v>
      </c>
      <c r="E1628" t="s">
        <v>1862</v>
      </c>
      <c r="F1628" t="s">
        <v>1862</v>
      </c>
      <c r="G1628" s="2">
        <v>45707</v>
      </c>
      <c r="H1628" s="2">
        <v>45737</v>
      </c>
      <c r="I1628">
        <v>621.6</v>
      </c>
      <c r="J1628">
        <v>621.6</v>
      </c>
      <c r="K1628" t="s">
        <v>20</v>
      </c>
      <c r="L1628">
        <v>12</v>
      </c>
      <c r="M1628">
        <v>621.6</v>
      </c>
    </row>
    <row r="1629" spans="1:13">
      <c r="A1629" t="s">
        <v>1811</v>
      </c>
      <c r="B1629" t="s">
        <v>1812</v>
      </c>
      <c r="C1629" t="s">
        <v>16</v>
      </c>
      <c r="D1629" t="s">
        <v>21</v>
      </c>
      <c r="E1629" t="s">
        <v>1863</v>
      </c>
      <c r="F1629" t="s">
        <v>1863</v>
      </c>
      <c r="G1629" s="2">
        <v>45712</v>
      </c>
      <c r="H1629" s="2">
        <v>45742</v>
      </c>
      <c r="I1629" s="1">
        <v>1864.8</v>
      </c>
      <c r="J1629">
        <v>1864.8</v>
      </c>
      <c r="K1629" t="s">
        <v>20</v>
      </c>
      <c r="L1629">
        <v>13</v>
      </c>
      <c r="M1629">
        <v>1864.8</v>
      </c>
    </row>
    <row r="1630" spans="1:13">
      <c r="A1630" t="s">
        <v>1811</v>
      </c>
      <c r="B1630" t="s">
        <v>1812</v>
      </c>
      <c r="C1630" t="s">
        <v>16</v>
      </c>
      <c r="D1630" t="s">
        <v>21</v>
      </c>
      <c r="E1630" t="s">
        <v>1864</v>
      </c>
      <c r="F1630" t="s">
        <v>1864</v>
      </c>
      <c r="G1630" s="2">
        <v>45716</v>
      </c>
      <c r="H1630" s="2">
        <v>45746</v>
      </c>
      <c r="I1630" s="1">
        <v>3108</v>
      </c>
      <c r="J1630">
        <v>3108</v>
      </c>
      <c r="K1630" t="s">
        <v>20</v>
      </c>
      <c r="L1630">
        <v>13</v>
      </c>
      <c r="M1630">
        <v>3108</v>
      </c>
    </row>
    <row r="1631" spans="1:13">
      <c r="A1631" t="s">
        <v>1811</v>
      </c>
      <c r="B1631" t="s">
        <v>1812</v>
      </c>
      <c r="C1631" t="s">
        <v>16</v>
      </c>
      <c r="D1631" t="s">
        <v>21</v>
      </c>
      <c r="E1631" t="s">
        <v>1865</v>
      </c>
      <c r="F1631" t="s">
        <v>1865</v>
      </c>
      <c r="G1631" s="2">
        <v>45716</v>
      </c>
      <c r="H1631" s="2">
        <v>45746</v>
      </c>
      <c r="I1631" s="1">
        <v>1864.8</v>
      </c>
      <c r="J1631">
        <v>1864.8</v>
      </c>
      <c r="K1631" t="s">
        <v>20</v>
      </c>
      <c r="L1631">
        <v>13</v>
      </c>
      <c r="M1631">
        <v>1864.8</v>
      </c>
    </row>
    <row r="1632" spans="1:13">
      <c r="A1632" t="s">
        <v>1811</v>
      </c>
      <c r="B1632" t="s">
        <v>1812</v>
      </c>
      <c r="C1632" t="s">
        <v>16</v>
      </c>
      <c r="D1632" t="s">
        <v>21</v>
      </c>
      <c r="E1632" t="s">
        <v>1866</v>
      </c>
      <c r="F1632" t="s">
        <v>1866</v>
      </c>
      <c r="G1632" s="2">
        <v>45716</v>
      </c>
      <c r="H1632" s="2">
        <v>45746</v>
      </c>
      <c r="I1632" s="1">
        <v>1864.8</v>
      </c>
      <c r="J1632">
        <v>1864.8</v>
      </c>
      <c r="K1632" t="s">
        <v>20</v>
      </c>
      <c r="L1632">
        <v>13</v>
      </c>
      <c r="M1632">
        <v>1864.8</v>
      </c>
    </row>
    <row r="1633" spans="1:13">
      <c r="A1633" t="s">
        <v>1811</v>
      </c>
      <c r="B1633" t="s">
        <v>1812</v>
      </c>
      <c r="C1633" t="s">
        <v>16</v>
      </c>
      <c r="D1633" t="s">
        <v>21</v>
      </c>
      <c r="E1633" t="s">
        <v>1867</v>
      </c>
      <c r="F1633" t="s">
        <v>1867</v>
      </c>
      <c r="G1633" s="2">
        <v>45716</v>
      </c>
      <c r="H1633" s="2">
        <v>45746</v>
      </c>
      <c r="I1633" s="1">
        <v>3108</v>
      </c>
      <c r="J1633">
        <v>3108</v>
      </c>
      <c r="K1633" t="s">
        <v>20</v>
      </c>
      <c r="L1633">
        <v>13</v>
      </c>
      <c r="M1633">
        <v>3108</v>
      </c>
    </row>
    <row r="1634" spans="1:13">
      <c r="A1634" t="s">
        <v>1811</v>
      </c>
      <c r="B1634" t="s">
        <v>1812</v>
      </c>
      <c r="C1634" t="s">
        <v>16</v>
      </c>
      <c r="D1634" t="s">
        <v>21</v>
      </c>
      <c r="E1634" t="s">
        <v>1868</v>
      </c>
      <c r="F1634" t="s">
        <v>1868</v>
      </c>
      <c r="G1634" s="2">
        <v>45716</v>
      </c>
      <c r="H1634" s="2">
        <v>45746</v>
      </c>
      <c r="I1634" s="1">
        <v>1995.34</v>
      </c>
      <c r="J1634">
        <v>1995.34</v>
      </c>
      <c r="K1634" t="s">
        <v>20</v>
      </c>
      <c r="L1634">
        <v>13</v>
      </c>
      <c r="M1634">
        <v>1995.34</v>
      </c>
    </row>
    <row r="1635" spans="1:13">
      <c r="A1635" t="s">
        <v>1811</v>
      </c>
      <c r="B1635" t="s">
        <v>1812</v>
      </c>
      <c r="C1635" t="s">
        <v>16</v>
      </c>
      <c r="D1635" t="s">
        <v>21</v>
      </c>
      <c r="E1635" t="s">
        <v>1869</v>
      </c>
      <c r="F1635" t="s">
        <v>1869</v>
      </c>
      <c r="G1635" s="2">
        <v>45716</v>
      </c>
      <c r="H1635" s="2">
        <v>45746</v>
      </c>
      <c r="I1635" s="1">
        <v>3108</v>
      </c>
      <c r="J1635">
        <v>3108</v>
      </c>
      <c r="K1635" t="s">
        <v>20</v>
      </c>
      <c r="L1635">
        <v>13</v>
      </c>
      <c r="M1635">
        <v>3108</v>
      </c>
    </row>
    <row r="1636" spans="1:13">
      <c r="A1636" t="s">
        <v>1811</v>
      </c>
      <c r="B1636" t="s">
        <v>1812</v>
      </c>
      <c r="C1636" t="s">
        <v>16</v>
      </c>
      <c r="D1636" t="s">
        <v>21</v>
      </c>
      <c r="E1636" t="s">
        <v>1870</v>
      </c>
      <c r="F1636" t="s">
        <v>1870</v>
      </c>
      <c r="G1636" s="2">
        <v>45716</v>
      </c>
      <c r="H1636" s="2">
        <v>45746</v>
      </c>
      <c r="I1636" s="1">
        <v>3108</v>
      </c>
      <c r="J1636">
        <v>3108</v>
      </c>
      <c r="K1636" t="s">
        <v>20</v>
      </c>
      <c r="L1636">
        <v>13</v>
      </c>
      <c r="M1636">
        <v>3108</v>
      </c>
    </row>
    <row r="1637" spans="1:13">
      <c r="A1637" t="s">
        <v>1811</v>
      </c>
      <c r="B1637" t="s">
        <v>1812</v>
      </c>
      <c r="C1637" t="s">
        <v>16</v>
      </c>
      <c r="D1637" t="s">
        <v>21</v>
      </c>
      <c r="E1637" t="s">
        <v>1871</v>
      </c>
      <c r="F1637" t="s">
        <v>1871</v>
      </c>
      <c r="G1637" s="2">
        <v>45716</v>
      </c>
      <c r="H1637" s="2">
        <v>45746</v>
      </c>
      <c r="I1637" s="1">
        <v>3108</v>
      </c>
      <c r="J1637">
        <v>3108</v>
      </c>
      <c r="K1637" t="s">
        <v>20</v>
      </c>
      <c r="L1637">
        <v>13</v>
      </c>
      <c r="M1637">
        <v>3108</v>
      </c>
    </row>
    <row r="1638" spans="1:13">
      <c r="A1638" t="s">
        <v>1811</v>
      </c>
      <c r="B1638" t="s">
        <v>1812</v>
      </c>
      <c r="C1638" t="s">
        <v>16</v>
      </c>
      <c r="D1638" t="s">
        <v>21</v>
      </c>
      <c r="E1638" t="s">
        <v>1872</v>
      </c>
      <c r="F1638" t="s">
        <v>1872</v>
      </c>
      <c r="G1638" s="2">
        <v>45719</v>
      </c>
      <c r="H1638" s="2">
        <v>45749</v>
      </c>
      <c r="I1638" s="1">
        <v>1864.8</v>
      </c>
      <c r="J1638">
        <v>1864.8</v>
      </c>
      <c r="K1638" t="s">
        <v>20</v>
      </c>
      <c r="L1638">
        <v>0</v>
      </c>
      <c r="M1638">
        <v>0</v>
      </c>
    </row>
    <row r="1639" spans="1:13">
      <c r="A1639" t="s">
        <v>1811</v>
      </c>
      <c r="B1639" t="s">
        <v>1812</v>
      </c>
      <c r="C1639" t="s">
        <v>16</v>
      </c>
      <c r="D1639" t="s">
        <v>21</v>
      </c>
      <c r="E1639" t="s">
        <v>1873</v>
      </c>
      <c r="F1639" t="s">
        <v>1873</v>
      </c>
      <c r="G1639" s="2">
        <v>45722</v>
      </c>
      <c r="H1639" s="2">
        <v>45752</v>
      </c>
      <c r="I1639">
        <v>540.6</v>
      </c>
      <c r="J1639">
        <v>540.6</v>
      </c>
      <c r="K1639" t="s">
        <v>20</v>
      </c>
      <c r="L1639">
        <v>0</v>
      </c>
      <c r="M1639">
        <v>0</v>
      </c>
    </row>
    <row r="1640" spans="1:13">
      <c r="A1640" t="s">
        <v>1811</v>
      </c>
      <c r="B1640" t="s">
        <v>1812</v>
      </c>
      <c r="C1640" t="s">
        <v>16</v>
      </c>
      <c r="D1640" t="s">
        <v>21</v>
      </c>
      <c r="E1640" t="s">
        <v>1874</v>
      </c>
      <c r="F1640" t="s">
        <v>1874</v>
      </c>
      <c r="G1640" s="2">
        <v>45722</v>
      </c>
      <c r="H1640" s="2">
        <v>45752</v>
      </c>
      <c r="I1640">
        <v>334.2</v>
      </c>
      <c r="J1640">
        <v>334.2</v>
      </c>
      <c r="K1640" t="s">
        <v>20</v>
      </c>
      <c r="L1640">
        <v>0</v>
      </c>
      <c r="M1640">
        <v>0</v>
      </c>
    </row>
    <row r="1641" spans="1:13">
      <c r="A1641" t="s">
        <v>1811</v>
      </c>
      <c r="B1641" t="s">
        <v>1812</v>
      </c>
      <c r="C1641" t="s">
        <v>16</v>
      </c>
      <c r="D1641" t="s">
        <v>21</v>
      </c>
      <c r="E1641" t="s">
        <v>1875</v>
      </c>
      <c r="F1641" t="s">
        <v>1875</v>
      </c>
      <c r="G1641" s="2">
        <v>45722</v>
      </c>
      <c r="H1641" s="2">
        <v>45752</v>
      </c>
      <c r="I1641">
        <v>545.85</v>
      </c>
      <c r="J1641">
        <v>545.85</v>
      </c>
      <c r="K1641" t="s">
        <v>20</v>
      </c>
      <c r="L1641">
        <v>0</v>
      </c>
      <c r="M1641">
        <v>0</v>
      </c>
    </row>
    <row r="1642" spans="1:13">
      <c r="A1642" t="s">
        <v>1811</v>
      </c>
      <c r="B1642" t="s">
        <v>1812</v>
      </c>
      <c r="C1642" t="s">
        <v>16</v>
      </c>
      <c r="D1642" t="s">
        <v>21</v>
      </c>
      <c r="E1642" t="s">
        <v>1876</v>
      </c>
      <c r="F1642" t="s">
        <v>1876</v>
      </c>
      <c r="G1642" s="2">
        <v>45722</v>
      </c>
      <c r="H1642" s="2">
        <v>45752</v>
      </c>
      <c r="I1642" s="1">
        <v>2059</v>
      </c>
      <c r="J1642">
        <v>2059</v>
      </c>
      <c r="K1642" t="s">
        <v>20</v>
      </c>
      <c r="L1642">
        <v>0</v>
      </c>
      <c r="M1642">
        <v>0</v>
      </c>
    </row>
    <row r="1643" spans="1:13">
      <c r="A1643" t="s">
        <v>1811</v>
      </c>
      <c r="B1643" t="s">
        <v>1812</v>
      </c>
      <c r="C1643" t="s">
        <v>16</v>
      </c>
      <c r="D1643" t="s">
        <v>21</v>
      </c>
      <c r="E1643" t="s">
        <v>1877</v>
      </c>
      <c r="F1643" t="s">
        <v>1877</v>
      </c>
      <c r="G1643" s="2">
        <v>45722</v>
      </c>
      <c r="H1643" s="2">
        <v>45752</v>
      </c>
      <c r="I1643" s="1">
        <v>1972.4</v>
      </c>
      <c r="J1643">
        <v>1972.4</v>
      </c>
      <c r="K1643" t="s">
        <v>20</v>
      </c>
      <c r="L1643">
        <v>0</v>
      </c>
      <c r="M1643">
        <v>0</v>
      </c>
    </row>
    <row r="1644" spans="1:13">
      <c r="A1644" t="s">
        <v>1811</v>
      </c>
      <c r="B1644" t="s">
        <v>1812</v>
      </c>
      <c r="C1644" t="s">
        <v>16</v>
      </c>
      <c r="D1644" t="s">
        <v>21</v>
      </c>
      <c r="E1644" t="s">
        <v>1878</v>
      </c>
      <c r="F1644" t="s">
        <v>1878</v>
      </c>
      <c r="G1644" s="2">
        <v>45722</v>
      </c>
      <c r="H1644" s="2">
        <v>45752</v>
      </c>
      <c r="I1644" s="1">
        <v>3108</v>
      </c>
      <c r="J1644">
        <v>3108</v>
      </c>
      <c r="K1644" t="s">
        <v>20</v>
      </c>
      <c r="L1644">
        <v>0</v>
      </c>
      <c r="M1644">
        <v>0</v>
      </c>
    </row>
    <row r="1645" spans="1:13">
      <c r="A1645" t="s">
        <v>1811</v>
      </c>
      <c r="B1645" t="s">
        <v>1812</v>
      </c>
      <c r="C1645" t="s">
        <v>16</v>
      </c>
      <c r="D1645" t="s">
        <v>21</v>
      </c>
      <c r="E1645" t="s">
        <v>1879</v>
      </c>
      <c r="F1645" t="s">
        <v>1879</v>
      </c>
      <c r="G1645" s="2">
        <v>45722</v>
      </c>
      <c r="H1645" s="2">
        <v>45752</v>
      </c>
      <c r="I1645" s="1">
        <v>1864.8</v>
      </c>
      <c r="J1645">
        <v>1864.8</v>
      </c>
      <c r="K1645" t="s">
        <v>20</v>
      </c>
      <c r="L1645">
        <v>0</v>
      </c>
      <c r="M1645">
        <v>0</v>
      </c>
    </row>
    <row r="1646" spans="1:13">
      <c r="A1646" t="s">
        <v>1811</v>
      </c>
      <c r="B1646" t="s">
        <v>1812</v>
      </c>
      <c r="C1646" t="s">
        <v>16</v>
      </c>
      <c r="D1646" t="s">
        <v>21</v>
      </c>
      <c r="E1646" t="s">
        <v>1880</v>
      </c>
      <c r="F1646" t="s">
        <v>1880</v>
      </c>
      <c r="G1646" s="2">
        <v>45722</v>
      </c>
      <c r="H1646" s="2">
        <v>45752</v>
      </c>
      <c r="I1646">
        <v>825.2</v>
      </c>
      <c r="J1646">
        <v>825.2</v>
      </c>
      <c r="K1646" t="s">
        <v>20</v>
      </c>
      <c r="L1646">
        <v>0</v>
      </c>
      <c r="M1646">
        <v>0</v>
      </c>
    </row>
    <row r="1647" spans="1:13">
      <c r="A1647" t="s">
        <v>1811</v>
      </c>
      <c r="B1647" t="s">
        <v>1812</v>
      </c>
      <c r="C1647" t="s">
        <v>16</v>
      </c>
      <c r="D1647" t="s">
        <v>21</v>
      </c>
      <c r="E1647" t="s">
        <v>1881</v>
      </c>
      <c r="F1647" t="s">
        <v>1881</v>
      </c>
      <c r="G1647" s="2">
        <v>45722</v>
      </c>
      <c r="H1647" s="2">
        <v>45752</v>
      </c>
      <c r="I1647">
        <v>136.19999999999999</v>
      </c>
      <c r="J1647">
        <v>136.19999999999999</v>
      </c>
      <c r="K1647" t="s">
        <v>20</v>
      </c>
      <c r="L1647">
        <v>0</v>
      </c>
      <c r="M1647">
        <v>0</v>
      </c>
    </row>
    <row r="1648" spans="1:13">
      <c r="A1648" t="s">
        <v>1811</v>
      </c>
      <c r="B1648" t="s">
        <v>1812</v>
      </c>
      <c r="C1648" t="s">
        <v>16</v>
      </c>
      <c r="D1648" t="s">
        <v>21</v>
      </c>
      <c r="E1648" t="s">
        <v>1882</v>
      </c>
      <c r="F1648" t="s">
        <v>1882</v>
      </c>
      <c r="G1648" s="2">
        <v>45722</v>
      </c>
      <c r="H1648" s="2">
        <v>45752</v>
      </c>
      <c r="I1648">
        <v>136.19999999999999</v>
      </c>
      <c r="J1648">
        <v>136.19999999999999</v>
      </c>
      <c r="K1648" t="s">
        <v>20</v>
      </c>
      <c r="L1648">
        <v>0</v>
      </c>
      <c r="M1648">
        <v>0</v>
      </c>
    </row>
    <row r="1649" spans="1:13">
      <c r="A1649" t="s">
        <v>1811</v>
      </c>
      <c r="B1649" t="s">
        <v>1812</v>
      </c>
      <c r="C1649" t="s">
        <v>16</v>
      </c>
      <c r="D1649" t="s">
        <v>21</v>
      </c>
      <c r="E1649" t="s">
        <v>1883</v>
      </c>
      <c r="F1649" t="s">
        <v>1883</v>
      </c>
      <c r="G1649" s="2">
        <v>45722</v>
      </c>
      <c r="H1649" s="2">
        <v>45752</v>
      </c>
      <c r="I1649">
        <v>730.2</v>
      </c>
      <c r="J1649">
        <v>730.2</v>
      </c>
      <c r="K1649" t="s">
        <v>20</v>
      </c>
      <c r="L1649">
        <v>0</v>
      </c>
      <c r="M1649">
        <v>0</v>
      </c>
    </row>
    <row r="1650" spans="1:13">
      <c r="A1650" t="s">
        <v>1811</v>
      </c>
      <c r="B1650" t="s">
        <v>1812</v>
      </c>
      <c r="C1650" t="s">
        <v>16</v>
      </c>
      <c r="D1650" t="s">
        <v>21</v>
      </c>
      <c r="E1650" t="s">
        <v>1884</v>
      </c>
      <c r="F1650" t="s">
        <v>1884</v>
      </c>
      <c r="G1650" s="2">
        <v>45722</v>
      </c>
      <c r="H1650" s="2">
        <v>45752</v>
      </c>
      <c r="I1650" s="1">
        <v>1044.2</v>
      </c>
      <c r="J1650">
        <v>1044.2</v>
      </c>
      <c r="K1650" t="s">
        <v>20</v>
      </c>
      <c r="L1650">
        <v>0</v>
      </c>
      <c r="M1650">
        <v>0</v>
      </c>
    </row>
    <row r="1651" spans="1:13">
      <c r="A1651" t="s">
        <v>1811</v>
      </c>
      <c r="B1651" t="s">
        <v>1812</v>
      </c>
      <c r="C1651" t="s">
        <v>16</v>
      </c>
      <c r="D1651" t="s">
        <v>21</v>
      </c>
      <c r="E1651" t="s">
        <v>1885</v>
      </c>
      <c r="F1651" t="s">
        <v>1885</v>
      </c>
      <c r="G1651" s="2">
        <v>45722</v>
      </c>
      <c r="H1651" s="2">
        <v>45752</v>
      </c>
      <c r="I1651">
        <v>136.19999999999999</v>
      </c>
      <c r="J1651">
        <v>136.19999999999999</v>
      </c>
      <c r="K1651" t="s">
        <v>20</v>
      </c>
      <c r="L1651">
        <v>0</v>
      </c>
      <c r="M1651">
        <v>0</v>
      </c>
    </row>
    <row r="1652" spans="1:13">
      <c r="A1652" t="s">
        <v>1811</v>
      </c>
      <c r="B1652" t="s">
        <v>1812</v>
      </c>
      <c r="C1652" t="s">
        <v>16</v>
      </c>
      <c r="D1652" t="s">
        <v>21</v>
      </c>
      <c r="E1652" t="s">
        <v>1886</v>
      </c>
      <c r="F1652" t="s">
        <v>1886</v>
      </c>
      <c r="G1652" s="2">
        <v>45722</v>
      </c>
      <c r="H1652" s="2">
        <v>45752</v>
      </c>
      <c r="I1652">
        <v>268.2</v>
      </c>
      <c r="J1652">
        <v>268.2</v>
      </c>
      <c r="K1652" t="s">
        <v>20</v>
      </c>
      <c r="L1652">
        <v>0</v>
      </c>
      <c r="M1652">
        <v>0</v>
      </c>
    </row>
    <row r="1653" spans="1:13">
      <c r="A1653" t="s">
        <v>1811</v>
      </c>
      <c r="B1653" t="s">
        <v>1812</v>
      </c>
      <c r="C1653" t="s">
        <v>16</v>
      </c>
      <c r="D1653" t="s">
        <v>21</v>
      </c>
      <c r="E1653" t="s">
        <v>1887</v>
      </c>
      <c r="F1653" t="s">
        <v>1887</v>
      </c>
      <c r="G1653" s="2">
        <v>45722</v>
      </c>
      <c r="H1653" s="2">
        <v>45752</v>
      </c>
      <c r="I1653" s="1">
        <v>3108</v>
      </c>
      <c r="J1653">
        <v>3108</v>
      </c>
      <c r="K1653" t="s">
        <v>20</v>
      </c>
      <c r="L1653">
        <v>0</v>
      </c>
      <c r="M1653">
        <v>0</v>
      </c>
    </row>
    <row r="1654" spans="1:13">
      <c r="A1654" t="s">
        <v>1811</v>
      </c>
      <c r="B1654" t="s">
        <v>1812</v>
      </c>
      <c r="C1654" t="s">
        <v>16</v>
      </c>
      <c r="D1654" t="s">
        <v>21</v>
      </c>
      <c r="E1654" t="s">
        <v>1888</v>
      </c>
      <c r="F1654" t="s">
        <v>1888</v>
      </c>
      <c r="G1654" s="2">
        <v>45726</v>
      </c>
      <c r="H1654" s="2">
        <v>45756</v>
      </c>
      <c r="I1654">
        <v>286.97000000000003</v>
      </c>
      <c r="J1654">
        <v>286.97000000000003</v>
      </c>
      <c r="K1654" t="s">
        <v>20</v>
      </c>
      <c r="L1654">
        <v>0</v>
      </c>
      <c r="M1654">
        <v>0</v>
      </c>
    </row>
    <row r="1655" spans="1:13">
      <c r="A1655" t="s">
        <v>1811</v>
      </c>
      <c r="B1655" t="s">
        <v>1812</v>
      </c>
      <c r="C1655" t="s">
        <v>16</v>
      </c>
      <c r="D1655" t="s">
        <v>21</v>
      </c>
      <c r="E1655" t="s">
        <v>1889</v>
      </c>
      <c r="F1655" t="s">
        <v>1889</v>
      </c>
      <c r="G1655" s="2">
        <v>45726</v>
      </c>
      <c r="H1655" s="2">
        <v>45756</v>
      </c>
      <c r="I1655">
        <v>602.4</v>
      </c>
      <c r="J1655">
        <v>602.4</v>
      </c>
      <c r="K1655" t="s">
        <v>20</v>
      </c>
      <c r="L1655">
        <v>0</v>
      </c>
      <c r="M1655">
        <v>0</v>
      </c>
    </row>
    <row r="1656" spans="1:13">
      <c r="A1656" t="s">
        <v>1811</v>
      </c>
      <c r="B1656" t="s">
        <v>1812</v>
      </c>
      <c r="C1656" t="s">
        <v>16</v>
      </c>
      <c r="D1656" t="s">
        <v>21</v>
      </c>
      <c r="E1656" t="s">
        <v>1890</v>
      </c>
      <c r="F1656" t="s">
        <v>1890</v>
      </c>
      <c r="G1656" s="2">
        <v>45726</v>
      </c>
      <c r="H1656" s="2">
        <v>45756</v>
      </c>
      <c r="I1656">
        <v>268.2</v>
      </c>
      <c r="J1656">
        <v>268.2</v>
      </c>
      <c r="K1656" t="s">
        <v>20</v>
      </c>
      <c r="L1656">
        <v>0</v>
      </c>
      <c r="M1656">
        <v>0</v>
      </c>
    </row>
    <row r="1657" spans="1:13">
      <c r="A1657" t="s">
        <v>1811</v>
      </c>
      <c r="B1657" t="s">
        <v>1812</v>
      </c>
      <c r="C1657" t="s">
        <v>16</v>
      </c>
      <c r="D1657" t="s">
        <v>21</v>
      </c>
      <c r="E1657" t="s">
        <v>1891</v>
      </c>
      <c r="F1657" t="s">
        <v>1891</v>
      </c>
      <c r="G1657" s="2">
        <v>45726</v>
      </c>
      <c r="H1657" s="2">
        <v>45756</v>
      </c>
      <c r="I1657">
        <v>404.4</v>
      </c>
      <c r="J1657">
        <v>404.4</v>
      </c>
      <c r="K1657" t="s">
        <v>20</v>
      </c>
      <c r="L1657">
        <v>0</v>
      </c>
      <c r="M1657">
        <v>0</v>
      </c>
    </row>
    <row r="1658" spans="1:13">
      <c r="A1658" t="s">
        <v>1811</v>
      </c>
      <c r="B1658" t="s">
        <v>1812</v>
      </c>
      <c r="C1658" t="s">
        <v>16</v>
      </c>
      <c r="D1658" t="s">
        <v>21</v>
      </c>
      <c r="E1658" t="s">
        <v>1892</v>
      </c>
      <c r="F1658" t="s">
        <v>1892</v>
      </c>
      <c r="G1658" s="2">
        <v>45726</v>
      </c>
      <c r="H1658" s="2">
        <v>45756</v>
      </c>
      <c r="I1658" s="1">
        <v>1204.8</v>
      </c>
      <c r="J1658">
        <v>1204.8</v>
      </c>
      <c r="K1658" t="s">
        <v>20</v>
      </c>
      <c r="L1658">
        <v>0</v>
      </c>
      <c r="M1658">
        <v>0</v>
      </c>
    </row>
    <row r="1659" spans="1:13">
      <c r="A1659" t="s">
        <v>1811</v>
      </c>
      <c r="B1659" t="s">
        <v>1812</v>
      </c>
      <c r="C1659" t="s">
        <v>16</v>
      </c>
      <c r="D1659" t="s">
        <v>21</v>
      </c>
      <c r="E1659" t="s">
        <v>1893</v>
      </c>
      <c r="F1659" t="s">
        <v>1893</v>
      </c>
      <c r="G1659" s="2">
        <v>45727</v>
      </c>
      <c r="H1659" s="2">
        <v>45757</v>
      </c>
      <c r="I1659" s="1">
        <v>1995.34</v>
      </c>
      <c r="J1659">
        <v>1995.34</v>
      </c>
      <c r="K1659" t="s">
        <v>20</v>
      </c>
      <c r="L1659">
        <v>0</v>
      </c>
      <c r="M1659">
        <v>0</v>
      </c>
    </row>
    <row r="1660" spans="1:13">
      <c r="A1660" t="s">
        <v>1811</v>
      </c>
      <c r="B1660" t="s">
        <v>1812</v>
      </c>
      <c r="C1660" t="s">
        <v>16</v>
      </c>
      <c r="D1660" t="s">
        <v>21</v>
      </c>
      <c r="E1660" t="s">
        <v>1894</v>
      </c>
      <c r="F1660" t="s">
        <v>1894</v>
      </c>
      <c r="G1660" s="2">
        <v>45735</v>
      </c>
      <c r="H1660" s="2">
        <v>45765</v>
      </c>
      <c r="I1660" s="1">
        <v>3108</v>
      </c>
      <c r="J1660">
        <v>3108</v>
      </c>
      <c r="K1660" t="s">
        <v>20</v>
      </c>
      <c r="L1660">
        <v>0</v>
      </c>
      <c r="M1660">
        <v>0</v>
      </c>
    </row>
    <row r="1661" spans="1:13">
      <c r="A1661" t="s">
        <v>1811</v>
      </c>
      <c r="B1661" t="s">
        <v>1812</v>
      </c>
      <c r="C1661" t="s">
        <v>16</v>
      </c>
      <c r="D1661" t="s">
        <v>21</v>
      </c>
      <c r="E1661" t="s">
        <v>1895</v>
      </c>
      <c r="F1661" t="s">
        <v>1895</v>
      </c>
      <c r="G1661" s="2">
        <v>45735</v>
      </c>
      <c r="H1661" s="2">
        <v>45765</v>
      </c>
      <c r="I1661" s="1">
        <v>1864.8</v>
      </c>
      <c r="J1661">
        <v>1864.8</v>
      </c>
      <c r="K1661" t="s">
        <v>20</v>
      </c>
      <c r="L1661">
        <v>0</v>
      </c>
      <c r="M1661">
        <v>0</v>
      </c>
    </row>
    <row r="1662" spans="1:13">
      <c r="A1662" t="s">
        <v>1811</v>
      </c>
      <c r="B1662" t="s">
        <v>1812</v>
      </c>
      <c r="C1662" t="s">
        <v>16</v>
      </c>
      <c r="D1662" t="s">
        <v>21</v>
      </c>
      <c r="E1662" t="s">
        <v>1896</v>
      </c>
      <c r="F1662" t="s">
        <v>1896</v>
      </c>
      <c r="G1662" s="2">
        <v>45735</v>
      </c>
      <c r="H1662" s="2">
        <v>45765</v>
      </c>
      <c r="I1662" s="1">
        <v>3108</v>
      </c>
      <c r="J1662">
        <v>3108</v>
      </c>
      <c r="K1662" t="s">
        <v>20</v>
      </c>
      <c r="L1662">
        <v>0</v>
      </c>
      <c r="M1662">
        <v>0</v>
      </c>
    </row>
    <row r="1663" spans="1:13">
      <c r="A1663" t="s">
        <v>1811</v>
      </c>
      <c r="B1663" t="s">
        <v>1812</v>
      </c>
      <c r="C1663" t="s">
        <v>16</v>
      </c>
      <c r="D1663" t="s">
        <v>21</v>
      </c>
      <c r="E1663" t="s">
        <v>1897</v>
      </c>
      <c r="F1663" t="s">
        <v>1897</v>
      </c>
      <c r="G1663" s="2">
        <v>45735</v>
      </c>
      <c r="H1663" s="2">
        <v>45765</v>
      </c>
      <c r="I1663" s="1">
        <v>1864.8</v>
      </c>
      <c r="J1663">
        <v>1864.8</v>
      </c>
      <c r="K1663" t="s">
        <v>20</v>
      </c>
      <c r="L1663">
        <v>0</v>
      </c>
      <c r="M1663">
        <v>0</v>
      </c>
    </row>
    <row r="1664" spans="1:13">
      <c r="A1664" t="s">
        <v>1811</v>
      </c>
      <c r="B1664" t="s">
        <v>1812</v>
      </c>
      <c r="C1664" t="s">
        <v>16</v>
      </c>
      <c r="D1664" t="s">
        <v>21</v>
      </c>
      <c r="E1664" t="s">
        <v>1898</v>
      </c>
      <c r="F1664" t="s">
        <v>1898</v>
      </c>
      <c r="G1664" s="2">
        <v>45736</v>
      </c>
      <c r="H1664" s="2">
        <v>45766</v>
      </c>
      <c r="I1664" s="1">
        <v>3108</v>
      </c>
      <c r="J1664">
        <v>3108</v>
      </c>
      <c r="K1664" t="s">
        <v>20</v>
      </c>
      <c r="L1664">
        <v>0</v>
      </c>
      <c r="M1664">
        <v>0</v>
      </c>
    </row>
    <row r="1665" spans="1:13">
      <c r="A1665" t="s">
        <v>1899</v>
      </c>
      <c r="B1665" t="s">
        <v>1900</v>
      </c>
      <c r="C1665" t="s">
        <v>16</v>
      </c>
      <c r="D1665" t="s">
        <v>21</v>
      </c>
      <c r="E1665" t="s">
        <v>1901</v>
      </c>
      <c r="F1665" t="s">
        <v>1901</v>
      </c>
      <c r="G1665" s="2">
        <v>45568</v>
      </c>
      <c r="H1665" s="2">
        <v>45598</v>
      </c>
      <c r="I1665">
        <v>362</v>
      </c>
      <c r="J1665">
        <v>362</v>
      </c>
      <c r="K1665" t="s">
        <v>20</v>
      </c>
      <c r="L1665">
        <v>0</v>
      </c>
      <c r="M1665">
        <v>362</v>
      </c>
    </row>
    <row r="1666" spans="1:13">
      <c r="A1666" t="s">
        <v>1902</v>
      </c>
      <c r="B1666" t="s">
        <v>1903</v>
      </c>
      <c r="C1666" t="s">
        <v>16</v>
      </c>
      <c r="D1666" t="s">
        <v>21</v>
      </c>
      <c r="E1666" t="s">
        <v>1904</v>
      </c>
      <c r="F1666" t="s">
        <v>1904</v>
      </c>
      <c r="G1666" s="2">
        <v>45446</v>
      </c>
      <c r="H1666" s="2">
        <v>45476</v>
      </c>
      <c r="I1666" s="1">
        <v>3284</v>
      </c>
      <c r="J1666">
        <v>32.840000000000003</v>
      </c>
      <c r="K1666" t="s">
        <v>20</v>
      </c>
      <c r="L1666">
        <v>0</v>
      </c>
      <c r="M1666">
        <v>32.840000000000003</v>
      </c>
    </row>
    <row r="1667" spans="1:13">
      <c r="A1667" t="s">
        <v>1902</v>
      </c>
      <c r="B1667" t="s">
        <v>1903</v>
      </c>
      <c r="C1667" t="s">
        <v>16</v>
      </c>
      <c r="D1667" t="s">
        <v>55</v>
      </c>
      <c r="E1667" t="s">
        <v>1904</v>
      </c>
      <c r="F1667" t="s">
        <v>1904</v>
      </c>
      <c r="H1667" s="2">
        <v>45714</v>
      </c>
      <c r="I1667" s="1">
        <v>-3251.16</v>
      </c>
      <c r="J1667" t="s">
        <v>86</v>
      </c>
      <c r="K1667" t="s">
        <v>20</v>
      </c>
      <c r="L1667">
        <v>0</v>
      </c>
      <c r="M1667" t="s">
        <v>86</v>
      </c>
    </row>
    <row r="1668" spans="1:13">
      <c r="A1668" t="s">
        <v>1902</v>
      </c>
      <c r="B1668" t="s">
        <v>1903</v>
      </c>
      <c r="C1668" t="s">
        <v>16</v>
      </c>
      <c r="D1668" t="s">
        <v>21</v>
      </c>
      <c r="E1668" t="s">
        <v>1905</v>
      </c>
      <c r="F1668" t="s">
        <v>1905</v>
      </c>
      <c r="G1668" s="2">
        <v>45512</v>
      </c>
      <c r="H1668" s="2">
        <v>45542</v>
      </c>
      <c r="I1668" s="1">
        <v>7299.9</v>
      </c>
      <c r="J1668">
        <v>72.989999999999995</v>
      </c>
      <c r="K1668" t="s">
        <v>20</v>
      </c>
      <c r="L1668">
        <v>0</v>
      </c>
      <c r="M1668">
        <v>72.989999999999995</v>
      </c>
    </row>
    <row r="1669" spans="1:13">
      <c r="A1669" t="s">
        <v>1902</v>
      </c>
      <c r="B1669" t="s">
        <v>1903</v>
      </c>
      <c r="C1669" t="s">
        <v>16</v>
      </c>
      <c r="D1669" t="s">
        <v>55</v>
      </c>
      <c r="E1669" t="s">
        <v>1905</v>
      </c>
      <c r="F1669" t="s">
        <v>1905</v>
      </c>
      <c r="H1669" s="2">
        <v>45714</v>
      </c>
      <c r="I1669" s="1">
        <v>-7226.91</v>
      </c>
      <c r="J1669" t="s">
        <v>86</v>
      </c>
      <c r="K1669" t="s">
        <v>20</v>
      </c>
      <c r="L1669">
        <v>0</v>
      </c>
      <c r="M1669" t="s">
        <v>86</v>
      </c>
    </row>
    <row r="1670" spans="1:13">
      <c r="A1670" t="s">
        <v>1902</v>
      </c>
      <c r="B1670" t="s">
        <v>1903</v>
      </c>
      <c r="C1670" t="s">
        <v>16</v>
      </c>
      <c r="D1670" t="s">
        <v>21</v>
      </c>
      <c r="E1670" t="s">
        <v>1906</v>
      </c>
      <c r="F1670" t="s">
        <v>1906</v>
      </c>
      <c r="G1670" s="2">
        <v>45582</v>
      </c>
      <c r="H1670" s="2">
        <v>45612</v>
      </c>
      <c r="I1670" s="1">
        <v>4220</v>
      </c>
      <c r="J1670">
        <v>42.2</v>
      </c>
      <c r="K1670" t="s">
        <v>20</v>
      </c>
      <c r="L1670">
        <v>0</v>
      </c>
      <c r="M1670">
        <v>42.2</v>
      </c>
    </row>
    <row r="1671" spans="1:13">
      <c r="A1671" t="s">
        <v>1902</v>
      </c>
      <c r="B1671" t="s">
        <v>1903</v>
      </c>
      <c r="C1671" t="s">
        <v>16</v>
      </c>
      <c r="D1671" t="s">
        <v>55</v>
      </c>
      <c r="E1671" t="s">
        <v>1906</v>
      </c>
      <c r="F1671" t="s">
        <v>1906</v>
      </c>
      <c r="H1671" s="2">
        <v>45714</v>
      </c>
      <c r="I1671" s="1">
        <v>-4177.8</v>
      </c>
      <c r="J1671" t="s">
        <v>86</v>
      </c>
      <c r="K1671" t="s">
        <v>20</v>
      </c>
      <c r="L1671">
        <v>0</v>
      </c>
      <c r="M1671" t="s">
        <v>86</v>
      </c>
    </row>
    <row r="1672" spans="1:13">
      <c r="A1672" t="s">
        <v>1902</v>
      </c>
      <c r="B1672" t="s">
        <v>1903</v>
      </c>
      <c r="C1672" t="s">
        <v>16</v>
      </c>
      <c r="D1672" t="s">
        <v>21</v>
      </c>
      <c r="E1672" t="s">
        <v>1907</v>
      </c>
      <c r="F1672" t="s">
        <v>1907</v>
      </c>
      <c r="G1672" s="2">
        <v>45631</v>
      </c>
      <c r="H1672" s="2">
        <v>45661</v>
      </c>
      <c r="I1672" s="1">
        <v>4076</v>
      </c>
      <c r="J1672">
        <v>40.770000000000003</v>
      </c>
      <c r="K1672" t="s">
        <v>20</v>
      </c>
      <c r="L1672">
        <v>0</v>
      </c>
      <c r="M1672">
        <v>40.770000000000003</v>
      </c>
    </row>
    <row r="1673" spans="1:13">
      <c r="A1673" t="s">
        <v>1902</v>
      </c>
      <c r="B1673" t="s">
        <v>1903</v>
      </c>
      <c r="C1673" t="s">
        <v>16</v>
      </c>
      <c r="D1673" t="s">
        <v>55</v>
      </c>
      <c r="E1673" t="s">
        <v>1907</v>
      </c>
      <c r="F1673" t="s">
        <v>1907</v>
      </c>
      <c r="H1673" s="2">
        <v>45714</v>
      </c>
      <c r="I1673" s="1">
        <v>-4035.23</v>
      </c>
      <c r="J1673" t="s">
        <v>86</v>
      </c>
      <c r="K1673" t="s">
        <v>20</v>
      </c>
      <c r="L1673">
        <v>0</v>
      </c>
      <c r="M1673" t="s">
        <v>86</v>
      </c>
    </row>
    <row r="1674" spans="1:13">
      <c r="A1674" t="s">
        <v>1902</v>
      </c>
      <c r="B1674" t="s">
        <v>1903</v>
      </c>
      <c r="C1674" t="s">
        <v>16</v>
      </c>
      <c r="D1674" t="s">
        <v>21</v>
      </c>
      <c r="E1674" t="s">
        <v>1908</v>
      </c>
      <c r="F1674" t="s">
        <v>1908</v>
      </c>
      <c r="G1674" s="2">
        <v>45659</v>
      </c>
      <c r="H1674" s="2">
        <v>45689</v>
      </c>
      <c r="I1674" s="1">
        <v>19274</v>
      </c>
      <c r="J1674">
        <v>98</v>
      </c>
      <c r="K1674" t="s">
        <v>20</v>
      </c>
      <c r="L1674">
        <v>0</v>
      </c>
      <c r="M1674">
        <v>98</v>
      </c>
    </row>
    <row r="1675" spans="1:13">
      <c r="A1675" t="s">
        <v>1902</v>
      </c>
      <c r="B1675" t="s">
        <v>1903</v>
      </c>
      <c r="C1675" t="s">
        <v>16</v>
      </c>
      <c r="D1675" t="s">
        <v>55</v>
      </c>
      <c r="E1675" t="s">
        <v>1908</v>
      </c>
      <c r="F1675" t="s">
        <v>1908</v>
      </c>
      <c r="H1675" s="2">
        <v>45706</v>
      </c>
      <c r="I1675" s="1">
        <v>-19176</v>
      </c>
      <c r="J1675" t="s">
        <v>86</v>
      </c>
      <c r="K1675" t="s">
        <v>20</v>
      </c>
      <c r="L1675">
        <v>0</v>
      </c>
      <c r="M1675" t="s">
        <v>86</v>
      </c>
    </row>
    <row r="1676" spans="1:13">
      <c r="A1676" t="s">
        <v>1902</v>
      </c>
      <c r="B1676" t="s">
        <v>1903</v>
      </c>
      <c r="C1676" t="s">
        <v>16</v>
      </c>
      <c r="D1676" t="s">
        <v>55</v>
      </c>
      <c r="E1676" t="s">
        <v>1908</v>
      </c>
      <c r="F1676" t="s">
        <v>1908</v>
      </c>
      <c r="H1676" s="2">
        <v>45706</v>
      </c>
      <c r="I1676" s="1">
        <v>19176</v>
      </c>
      <c r="J1676" t="s">
        <v>86</v>
      </c>
      <c r="K1676" t="s">
        <v>20</v>
      </c>
      <c r="L1676">
        <v>0</v>
      </c>
      <c r="M1676" t="s">
        <v>86</v>
      </c>
    </row>
    <row r="1677" spans="1:13">
      <c r="A1677" t="s">
        <v>1902</v>
      </c>
      <c r="B1677" t="s">
        <v>1903</v>
      </c>
      <c r="C1677" t="s">
        <v>16</v>
      </c>
      <c r="D1677" t="s">
        <v>55</v>
      </c>
      <c r="E1677" t="s">
        <v>1908</v>
      </c>
      <c r="F1677" t="s">
        <v>1908</v>
      </c>
      <c r="H1677" s="2">
        <v>45706</v>
      </c>
      <c r="I1677" s="1">
        <v>-19176</v>
      </c>
      <c r="J1677" t="s">
        <v>86</v>
      </c>
      <c r="K1677" t="s">
        <v>20</v>
      </c>
      <c r="L1677">
        <v>0</v>
      </c>
      <c r="M1677" t="s">
        <v>86</v>
      </c>
    </row>
    <row r="1678" spans="1:13">
      <c r="A1678" t="s">
        <v>1902</v>
      </c>
      <c r="B1678" t="s">
        <v>1903</v>
      </c>
      <c r="C1678" t="s">
        <v>16</v>
      </c>
      <c r="D1678" t="s">
        <v>21</v>
      </c>
      <c r="E1678" t="s">
        <v>1909</v>
      </c>
      <c r="F1678" t="s">
        <v>1909</v>
      </c>
      <c r="G1678" s="2">
        <v>45671</v>
      </c>
      <c r="H1678" s="2">
        <v>45701</v>
      </c>
      <c r="I1678" s="1">
        <v>8212</v>
      </c>
      <c r="J1678">
        <v>82.12</v>
      </c>
      <c r="K1678" t="s">
        <v>20</v>
      </c>
      <c r="L1678">
        <v>0</v>
      </c>
      <c r="M1678">
        <v>82.12</v>
      </c>
    </row>
    <row r="1679" spans="1:13">
      <c r="A1679" t="s">
        <v>1902</v>
      </c>
      <c r="B1679" t="s">
        <v>1903</v>
      </c>
      <c r="C1679" t="s">
        <v>16</v>
      </c>
      <c r="D1679" t="s">
        <v>55</v>
      </c>
      <c r="E1679" t="s">
        <v>1909</v>
      </c>
      <c r="F1679" t="s">
        <v>1909</v>
      </c>
      <c r="H1679" s="2">
        <v>45714</v>
      </c>
      <c r="I1679" s="1">
        <v>-8129.88</v>
      </c>
      <c r="J1679" t="s">
        <v>86</v>
      </c>
      <c r="K1679" t="s">
        <v>20</v>
      </c>
      <c r="L1679">
        <v>0</v>
      </c>
      <c r="M1679" t="s">
        <v>86</v>
      </c>
    </row>
    <row r="1680" spans="1:13">
      <c r="A1680" t="s">
        <v>1902</v>
      </c>
      <c r="B1680" t="s">
        <v>1903</v>
      </c>
      <c r="C1680" t="s">
        <v>16</v>
      </c>
      <c r="D1680" t="s">
        <v>21</v>
      </c>
      <c r="E1680" t="s">
        <v>1910</v>
      </c>
      <c r="F1680" t="s">
        <v>1910</v>
      </c>
      <c r="G1680" s="2">
        <v>45701</v>
      </c>
      <c r="H1680" s="2">
        <v>45731</v>
      </c>
      <c r="I1680" s="1">
        <v>2680</v>
      </c>
      <c r="J1680">
        <v>2680</v>
      </c>
      <c r="K1680" t="s">
        <v>20</v>
      </c>
      <c r="L1680">
        <v>11</v>
      </c>
      <c r="M1680">
        <v>2680</v>
      </c>
    </row>
    <row r="1681" spans="1:13">
      <c r="A1681" t="s">
        <v>1902</v>
      </c>
      <c r="B1681" t="s">
        <v>1903</v>
      </c>
      <c r="C1681" t="s">
        <v>16</v>
      </c>
      <c r="D1681" t="s">
        <v>21</v>
      </c>
      <c r="E1681" t="s">
        <v>1911</v>
      </c>
      <c r="F1681" t="s">
        <v>1911</v>
      </c>
      <c r="G1681" s="2">
        <v>45728</v>
      </c>
      <c r="H1681" s="2">
        <v>45758</v>
      </c>
      <c r="I1681" s="1">
        <v>2743</v>
      </c>
      <c r="J1681">
        <v>2743</v>
      </c>
      <c r="K1681" t="s">
        <v>20</v>
      </c>
      <c r="L1681">
        <v>0</v>
      </c>
      <c r="M1681">
        <v>0</v>
      </c>
    </row>
    <row r="1682" spans="1:13">
      <c r="A1682" t="s">
        <v>1912</v>
      </c>
      <c r="B1682" t="s">
        <v>1913</v>
      </c>
      <c r="C1682" t="s">
        <v>16</v>
      </c>
      <c r="D1682" t="s">
        <v>17</v>
      </c>
      <c r="E1682" t="s">
        <v>1914</v>
      </c>
      <c r="F1682" t="s">
        <v>19</v>
      </c>
      <c r="H1682" s="2">
        <v>45519</v>
      </c>
      <c r="I1682">
        <v>-47.94</v>
      </c>
      <c r="J1682">
        <v>-47.94</v>
      </c>
      <c r="K1682" t="s">
        <v>20</v>
      </c>
      <c r="L1682">
        <v>0</v>
      </c>
      <c r="M1682">
        <v>-47.94</v>
      </c>
    </row>
    <row r="1683" spans="1:13">
      <c r="A1683" t="s">
        <v>1912</v>
      </c>
      <c r="B1683" t="s">
        <v>1913</v>
      </c>
      <c r="C1683" t="s">
        <v>16</v>
      </c>
      <c r="D1683" t="s">
        <v>21</v>
      </c>
      <c r="E1683" t="s">
        <v>1915</v>
      </c>
      <c r="F1683" t="s">
        <v>1915</v>
      </c>
      <c r="G1683" s="2">
        <v>45721</v>
      </c>
      <c r="H1683" s="2">
        <v>45751</v>
      </c>
      <c r="I1683">
        <v>645.84</v>
      </c>
      <c r="J1683">
        <v>645.84</v>
      </c>
      <c r="K1683" t="s">
        <v>20</v>
      </c>
      <c r="L1683">
        <v>0</v>
      </c>
      <c r="M1683">
        <v>0</v>
      </c>
    </row>
    <row r="1684" spans="1:13">
      <c r="A1684" t="s">
        <v>1916</v>
      </c>
      <c r="B1684" t="s">
        <v>1917</v>
      </c>
      <c r="C1684" t="s">
        <v>16</v>
      </c>
      <c r="D1684" t="s">
        <v>21</v>
      </c>
      <c r="E1684" t="s">
        <v>1918</v>
      </c>
      <c r="F1684" t="s">
        <v>1918</v>
      </c>
      <c r="G1684" s="2">
        <v>45511</v>
      </c>
      <c r="H1684" s="2">
        <v>45541</v>
      </c>
      <c r="I1684">
        <v>197.25</v>
      </c>
      <c r="J1684">
        <v>197.25</v>
      </c>
      <c r="K1684" t="s">
        <v>20</v>
      </c>
      <c r="L1684">
        <v>0</v>
      </c>
      <c r="M1684">
        <v>197.25</v>
      </c>
    </row>
    <row r="1685" spans="1:13">
      <c r="A1685" t="s">
        <v>1916</v>
      </c>
      <c r="B1685" t="s">
        <v>1917</v>
      </c>
      <c r="C1685" t="s">
        <v>16</v>
      </c>
      <c r="D1685" t="s">
        <v>21</v>
      </c>
      <c r="E1685" t="s">
        <v>1919</v>
      </c>
      <c r="F1685" t="s">
        <v>1919</v>
      </c>
      <c r="G1685" s="2">
        <v>45726</v>
      </c>
      <c r="H1685" s="2">
        <v>45756</v>
      </c>
      <c r="I1685" s="1">
        <v>5386.49</v>
      </c>
      <c r="J1685">
        <v>592.15</v>
      </c>
      <c r="K1685" t="s">
        <v>20</v>
      </c>
      <c r="L1685">
        <v>0</v>
      </c>
      <c r="M1685">
        <v>0</v>
      </c>
    </row>
    <row r="1686" spans="1:13">
      <c r="A1686" t="s">
        <v>1916</v>
      </c>
      <c r="B1686" t="s">
        <v>1917</v>
      </c>
      <c r="C1686" t="s">
        <v>16</v>
      </c>
      <c r="D1686" t="s">
        <v>55</v>
      </c>
      <c r="E1686" t="s">
        <v>1919</v>
      </c>
      <c r="F1686" t="s">
        <v>1919</v>
      </c>
      <c r="H1686" s="2">
        <v>45740</v>
      </c>
      <c r="I1686" s="1">
        <v>-4794.34</v>
      </c>
      <c r="J1686" t="s">
        <v>86</v>
      </c>
      <c r="K1686" t="s">
        <v>20</v>
      </c>
      <c r="L1686">
        <v>13</v>
      </c>
      <c r="M1686" t="s">
        <v>86</v>
      </c>
    </row>
    <row r="1687" spans="1:13">
      <c r="A1687" t="s">
        <v>1920</v>
      </c>
      <c r="B1687" t="s">
        <v>1921</v>
      </c>
      <c r="C1687" t="s">
        <v>213</v>
      </c>
      <c r="D1687" t="s">
        <v>17</v>
      </c>
      <c r="E1687" t="s">
        <v>1922</v>
      </c>
      <c r="F1687" t="s">
        <v>19</v>
      </c>
      <c r="H1687" s="2">
        <v>45260</v>
      </c>
      <c r="I1687">
        <v>-169.96</v>
      </c>
      <c r="J1687">
        <v>-169.96</v>
      </c>
      <c r="K1687" t="s">
        <v>20</v>
      </c>
      <c r="L1687">
        <v>0</v>
      </c>
      <c r="M1687">
        <v>-169.96</v>
      </c>
    </row>
    <row r="1688" spans="1:13">
      <c r="A1688" t="s">
        <v>1920</v>
      </c>
      <c r="B1688" t="s">
        <v>1921</v>
      </c>
      <c r="C1688" t="s">
        <v>213</v>
      </c>
      <c r="D1688" t="s">
        <v>17</v>
      </c>
      <c r="E1688" t="s">
        <v>1923</v>
      </c>
      <c r="F1688" t="s">
        <v>19</v>
      </c>
      <c r="H1688" s="2">
        <v>45351</v>
      </c>
      <c r="I1688">
        <v>-178.85</v>
      </c>
      <c r="J1688">
        <v>-178.85</v>
      </c>
      <c r="K1688" t="s">
        <v>20</v>
      </c>
      <c r="L1688">
        <v>0</v>
      </c>
      <c r="M1688">
        <v>-178.85</v>
      </c>
    </row>
    <row r="1689" spans="1:13">
      <c r="A1689" t="s">
        <v>1924</v>
      </c>
      <c r="B1689" t="s">
        <v>1925</v>
      </c>
      <c r="C1689" t="s">
        <v>16</v>
      </c>
      <c r="D1689" t="s">
        <v>21</v>
      </c>
      <c r="E1689" t="s">
        <v>1926</v>
      </c>
      <c r="F1689" t="s">
        <v>1926</v>
      </c>
      <c r="G1689" s="2">
        <v>45698</v>
      </c>
      <c r="H1689" s="2">
        <v>45728</v>
      </c>
      <c r="I1689">
        <v>340.83</v>
      </c>
      <c r="J1689">
        <v>340.83</v>
      </c>
      <c r="K1689" t="s">
        <v>20</v>
      </c>
      <c r="L1689">
        <v>11</v>
      </c>
      <c r="M1689">
        <v>340.83</v>
      </c>
    </row>
    <row r="1690" spans="1:13">
      <c r="A1690" t="s">
        <v>1927</v>
      </c>
      <c r="B1690" t="s">
        <v>1928</v>
      </c>
      <c r="C1690" t="s">
        <v>16</v>
      </c>
      <c r="D1690" t="s">
        <v>17</v>
      </c>
      <c r="E1690" t="s">
        <v>1929</v>
      </c>
      <c r="F1690" t="s">
        <v>19</v>
      </c>
      <c r="H1690" s="2">
        <v>45260</v>
      </c>
      <c r="I1690">
        <v>-421.28</v>
      </c>
      <c r="J1690">
        <v>-421.28</v>
      </c>
      <c r="K1690" t="s">
        <v>20</v>
      </c>
      <c r="L1690">
        <v>0</v>
      </c>
      <c r="M1690">
        <v>-421.28</v>
      </c>
    </row>
    <row r="1691" spans="1:13">
      <c r="A1691" t="s">
        <v>1930</v>
      </c>
      <c r="B1691" t="s">
        <v>1931</v>
      </c>
      <c r="C1691" t="s">
        <v>16</v>
      </c>
      <c r="D1691" t="s">
        <v>55</v>
      </c>
      <c r="E1691" t="s">
        <v>19</v>
      </c>
      <c r="F1691" t="s">
        <v>19</v>
      </c>
      <c r="H1691" s="2">
        <v>45659</v>
      </c>
      <c r="I1691">
        <v>-359</v>
      </c>
      <c r="J1691">
        <v>-359</v>
      </c>
      <c r="K1691" t="s">
        <v>20</v>
      </c>
      <c r="L1691">
        <v>0</v>
      </c>
      <c r="M1691">
        <v>-359</v>
      </c>
    </row>
    <row r="1692" spans="1:13">
      <c r="A1692" t="s">
        <v>1930</v>
      </c>
      <c r="B1692" t="s">
        <v>1931</v>
      </c>
      <c r="C1692" t="s">
        <v>16</v>
      </c>
      <c r="D1692" t="s">
        <v>21</v>
      </c>
      <c r="E1692" t="s">
        <v>1932</v>
      </c>
      <c r="F1692" t="s">
        <v>1932</v>
      </c>
      <c r="G1692" s="2">
        <v>45716</v>
      </c>
      <c r="H1692" s="2">
        <v>45746</v>
      </c>
      <c r="I1692">
        <v>460</v>
      </c>
      <c r="J1692">
        <v>460</v>
      </c>
      <c r="K1692" t="s">
        <v>20</v>
      </c>
      <c r="L1692">
        <v>13</v>
      </c>
      <c r="M1692">
        <v>460</v>
      </c>
    </row>
    <row r="1693" spans="1:13">
      <c r="A1693" t="s">
        <v>1933</v>
      </c>
      <c r="B1693" t="s">
        <v>1934</v>
      </c>
      <c r="C1693" t="s">
        <v>16</v>
      </c>
      <c r="D1693" t="s">
        <v>21</v>
      </c>
      <c r="E1693" t="s">
        <v>1935</v>
      </c>
      <c r="F1693" t="s">
        <v>1935</v>
      </c>
      <c r="G1693" s="2">
        <v>45723</v>
      </c>
      <c r="H1693" s="2">
        <v>45753</v>
      </c>
      <c r="I1693" s="1">
        <v>21440</v>
      </c>
      <c r="J1693">
        <v>20100</v>
      </c>
      <c r="K1693" t="s">
        <v>20</v>
      </c>
      <c r="L1693">
        <v>0</v>
      </c>
      <c r="M1693">
        <v>0</v>
      </c>
    </row>
    <row r="1694" spans="1:13">
      <c r="A1694" t="s">
        <v>1933</v>
      </c>
      <c r="B1694" t="s">
        <v>1934</v>
      </c>
      <c r="C1694" t="s">
        <v>16</v>
      </c>
      <c r="D1694" t="s">
        <v>17</v>
      </c>
      <c r="E1694" t="s">
        <v>1936</v>
      </c>
      <c r="F1694" t="s">
        <v>1935</v>
      </c>
      <c r="H1694" s="2">
        <v>45735</v>
      </c>
      <c r="I1694" s="1">
        <v>-1340</v>
      </c>
      <c r="J1694" t="s">
        <v>86</v>
      </c>
      <c r="K1694" t="s">
        <v>20</v>
      </c>
      <c r="L1694">
        <v>12</v>
      </c>
      <c r="M1694" t="s">
        <v>86</v>
      </c>
    </row>
    <row r="1695" spans="1:13">
      <c r="A1695" t="s">
        <v>1933</v>
      </c>
      <c r="B1695" t="s">
        <v>1934</v>
      </c>
      <c r="C1695" t="s">
        <v>16</v>
      </c>
      <c r="D1695" t="s">
        <v>21</v>
      </c>
      <c r="E1695" t="s">
        <v>1937</v>
      </c>
      <c r="F1695" t="s">
        <v>1937</v>
      </c>
      <c r="G1695" s="2">
        <v>45735</v>
      </c>
      <c r="H1695" s="2">
        <v>45765</v>
      </c>
      <c r="I1695" s="1">
        <v>3450</v>
      </c>
      <c r="J1695">
        <v>3350</v>
      </c>
      <c r="K1695" t="s">
        <v>20</v>
      </c>
      <c r="L1695">
        <v>0</v>
      </c>
      <c r="M1695">
        <v>0</v>
      </c>
    </row>
    <row r="1696" spans="1:13">
      <c r="A1696" t="s">
        <v>1933</v>
      </c>
      <c r="B1696" t="s">
        <v>1934</v>
      </c>
      <c r="C1696" t="s">
        <v>16</v>
      </c>
      <c r="D1696" t="s">
        <v>17</v>
      </c>
      <c r="E1696" t="s">
        <v>1938</v>
      </c>
      <c r="F1696" t="s">
        <v>1937</v>
      </c>
      <c r="H1696" s="2">
        <v>45741</v>
      </c>
      <c r="I1696">
        <v>-100</v>
      </c>
      <c r="J1696" t="s">
        <v>86</v>
      </c>
      <c r="K1696" t="s">
        <v>20</v>
      </c>
      <c r="L1696">
        <v>13</v>
      </c>
      <c r="M1696" t="s">
        <v>86</v>
      </c>
    </row>
    <row r="1697" spans="1:13">
      <c r="A1697" t="s">
        <v>1939</v>
      </c>
      <c r="B1697" t="s">
        <v>1940</v>
      </c>
      <c r="C1697" t="s">
        <v>16</v>
      </c>
      <c r="D1697" t="s">
        <v>21</v>
      </c>
      <c r="E1697" t="s">
        <v>1941</v>
      </c>
      <c r="F1697" t="s">
        <v>1941</v>
      </c>
      <c r="G1697" s="2">
        <v>45565</v>
      </c>
      <c r="H1697" s="2">
        <v>45595</v>
      </c>
      <c r="I1697" s="1">
        <v>3780</v>
      </c>
      <c r="J1697">
        <v>3780</v>
      </c>
      <c r="K1697" t="s">
        <v>20</v>
      </c>
      <c r="L1697">
        <v>0</v>
      </c>
      <c r="M1697">
        <v>3780</v>
      </c>
    </row>
    <row r="1698" spans="1:13">
      <c r="A1698" t="s">
        <v>1942</v>
      </c>
      <c r="B1698" t="s">
        <v>1943</v>
      </c>
      <c r="C1698" t="s">
        <v>16</v>
      </c>
      <c r="D1698" t="s">
        <v>21</v>
      </c>
      <c r="E1698" t="s">
        <v>1944</v>
      </c>
      <c r="F1698" t="s">
        <v>1944</v>
      </c>
      <c r="G1698" s="2">
        <v>45723</v>
      </c>
      <c r="H1698" s="2">
        <v>45753</v>
      </c>
      <c r="I1698" s="1">
        <v>2394</v>
      </c>
      <c r="J1698">
        <v>2394</v>
      </c>
      <c r="K1698" t="s">
        <v>20</v>
      </c>
      <c r="L1698">
        <v>0</v>
      </c>
      <c r="M1698">
        <v>0</v>
      </c>
    </row>
    <row r="1699" spans="1:13">
      <c r="A1699" t="s">
        <v>1942</v>
      </c>
      <c r="B1699" t="s">
        <v>1943</v>
      </c>
      <c r="C1699" t="s">
        <v>16</v>
      </c>
      <c r="D1699" t="s">
        <v>21</v>
      </c>
      <c r="E1699" t="s">
        <v>1945</v>
      </c>
      <c r="F1699" t="s">
        <v>1945</v>
      </c>
      <c r="G1699" s="2">
        <v>45733</v>
      </c>
      <c r="H1699" s="2">
        <v>45763</v>
      </c>
      <c r="I1699">
        <v>181.9</v>
      </c>
      <c r="J1699">
        <v>181.9</v>
      </c>
      <c r="K1699" t="s">
        <v>20</v>
      </c>
      <c r="L1699">
        <v>0</v>
      </c>
      <c r="M1699">
        <v>0</v>
      </c>
    </row>
    <row r="1700" spans="1:13">
      <c r="A1700" t="s">
        <v>1946</v>
      </c>
      <c r="B1700" t="s">
        <v>1947</v>
      </c>
      <c r="C1700" t="s">
        <v>16</v>
      </c>
      <c r="D1700" t="s">
        <v>21</v>
      </c>
      <c r="E1700" t="s">
        <v>1948</v>
      </c>
      <c r="F1700" t="s">
        <v>1948</v>
      </c>
      <c r="G1700" s="2">
        <v>45587</v>
      </c>
      <c r="H1700" s="2">
        <v>45617</v>
      </c>
      <c r="I1700">
        <v>420.12</v>
      </c>
      <c r="J1700">
        <v>420.12</v>
      </c>
      <c r="K1700" t="s">
        <v>20</v>
      </c>
      <c r="L1700">
        <v>0</v>
      </c>
      <c r="M1700">
        <v>420.12</v>
      </c>
    </row>
    <row r="1701" spans="1:13">
      <c r="A1701" t="s">
        <v>1949</v>
      </c>
      <c r="B1701" t="s">
        <v>1950</v>
      </c>
      <c r="C1701" t="s">
        <v>16</v>
      </c>
      <c r="D1701" t="s">
        <v>21</v>
      </c>
      <c r="E1701" t="s">
        <v>1951</v>
      </c>
      <c r="F1701" t="s">
        <v>1951</v>
      </c>
      <c r="G1701" s="2">
        <v>45575</v>
      </c>
      <c r="H1701" s="2">
        <v>45605</v>
      </c>
      <c r="I1701">
        <v>993</v>
      </c>
      <c r="J1701">
        <v>157</v>
      </c>
      <c r="K1701" t="s">
        <v>20</v>
      </c>
      <c r="L1701">
        <v>0</v>
      </c>
      <c r="M1701">
        <v>157</v>
      </c>
    </row>
    <row r="1702" spans="1:13">
      <c r="A1702" t="s">
        <v>1949</v>
      </c>
      <c r="B1702" t="s">
        <v>1950</v>
      </c>
      <c r="C1702" t="s">
        <v>16</v>
      </c>
      <c r="D1702" t="s">
        <v>55</v>
      </c>
      <c r="E1702" t="s">
        <v>1951</v>
      </c>
      <c r="F1702" t="s">
        <v>1951</v>
      </c>
      <c r="H1702" s="2">
        <v>45593</v>
      </c>
      <c r="I1702">
        <v>-836</v>
      </c>
      <c r="J1702" t="s">
        <v>86</v>
      </c>
      <c r="K1702" t="s">
        <v>20</v>
      </c>
      <c r="L1702">
        <v>0</v>
      </c>
      <c r="M1702" t="s">
        <v>86</v>
      </c>
    </row>
    <row r="1703" spans="1:13">
      <c r="A1703" t="s">
        <v>1949</v>
      </c>
      <c r="B1703" t="s">
        <v>1950</v>
      </c>
      <c r="C1703" t="s">
        <v>16</v>
      </c>
      <c r="D1703" t="s">
        <v>21</v>
      </c>
      <c r="E1703" t="s">
        <v>1952</v>
      </c>
      <c r="F1703" t="s">
        <v>1952</v>
      </c>
      <c r="G1703" s="2">
        <v>45596</v>
      </c>
      <c r="H1703" s="2">
        <v>45626</v>
      </c>
      <c r="I1703">
        <v>823.67</v>
      </c>
      <c r="J1703">
        <v>199.67</v>
      </c>
      <c r="K1703" t="s">
        <v>20</v>
      </c>
      <c r="L1703">
        <v>0</v>
      </c>
      <c r="M1703">
        <v>199.67</v>
      </c>
    </row>
    <row r="1704" spans="1:13">
      <c r="A1704" t="s">
        <v>1949</v>
      </c>
      <c r="B1704" t="s">
        <v>1950</v>
      </c>
      <c r="C1704" t="s">
        <v>16</v>
      </c>
      <c r="D1704" t="s">
        <v>55</v>
      </c>
      <c r="E1704" t="s">
        <v>1952</v>
      </c>
      <c r="F1704" t="s">
        <v>1952</v>
      </c>
      <c r="H1704" s="2">
        <v>45614</v>
      </c>
      <c r="I1704">
        <v>-624</v>
      </c>
      <c r="J1704" t="s">
        <v>86</v>
      </c>
      <c r="K1704" t="s">
        <v>20</v>
      </c>
      <c r="L1704">
        <v>0</v>
      </c>
      <c r="M1704" t="s">
        <v>86</v>
      </c>
    </row>
    <row r="1705" spans="1:13">
      <c r="A1705" t="s">
        <v>1953</v>
      </c>
      <c r="B1705" t="s">
        <v>1954</v>
      </c>
      <c r="C1705" t="s">
        <v>16</v>
      </c>
      <c r="D1705" t="s">
        <v>21</v>
      </c>
      <c r="E1705" t="s">
        <v>1955</v>
      </c>
      <c r="F1705" t="s">
        <v>1955</v>
      </c>
      <c r="G1705" s="2">
        <v>45716</v>
      </c>
      <c r="H1705" s="2">
        <v>45746</v>
      </c>
      <c r="I1705" s="1">
        <v>7088</v>
      </c>
      <c r="J1705">
        <v>7088</v>
      </c>
      <c r="K1705" t="s">
        <v>20</v>
      </c>
      <c r="L1705">
        <v>13</v>
      </c>
      <c r="M1705">
        <v>7088</v>
      </c>
    </row>
    <row r="1706" spans="1:13">
      <c r="A1706" t="s">
        <v>1953</v>
      </c>
      <c r="B1706" t="s">
        <v>1954</v>
      </c>
      <c r="C1706" t="s">
        <v>16</v>
      </c>
      <c r="D1706" t="s">
        <v>21</v>
      </c>
      <c r="E1706" t="s">
        <v>1956</v>
      </c>
      <c r="F1706" t="s">
        <v>1956</v>
      </c>
      <c r="G1706" s="2">
        <v>45716</v>
      </c>
      <c r="H1706" s="2">
        <v>45746</v>
      </c>
      <c r="I1706" s="1">
        <v>2813</v>
      </c>
      <c r="J1706">
        <v>2813</v>
      </c>
      <c r="K1706" t="s">
        <v>20</v>
      </c>
      <c r="L1706">
        <v>13</v>
      </c>
      <c r="M1706">
        <v>2813</v>
      </c>
    </row>
    <row r="1707" spans="1:13">
      <c r="A1707" t="s">
        <v>1953</v>
      </c>
      <c r="B1707" t="s">
        <v>1954</v>
      </c>
      <c r="C1707" t="s">
        <v>16</v>
      </c>
      <c r="D1707" t="s">
        <v>21</v>
      </c>
      <c r="E1707" t="s">
        <v>1957</v>
      </c>
      <c r="F1707" t="s">
        <v>1957</v>
      </c>
      <c r="G1707" s="2">
        <v>45716</v>
      </c>
      <c r="H1707" s="2">
        <v>45746</v>
      </c>
      <c r="I1707">
        <v>570</v>
      </c>
      <c r="J1707">
        <v>570</v>
      </c>
      <c r="K1707" t="s">
        <v>20</v>
      </c>
      <c r="L1707">
        <v>13</v>
      </c>
      <c r="M1707">
        <v>570</v>
      </c>
    </row>
    <row r="1708" spans="1:13">
      <c r="A1708" t="s">
        <v>1958</v>
      </c>
      <c r="B1708" t="s">
        <v>1959</v>
      </c>
      <c r="C1708" t="s">
        <v>16</v>
      </c>
      <c r="D1708" t="s">
        <v>17</v>
      </c>
      <c r="E1708" t="s">
        <v>1960</v>
      </c>
      <c r="F1708" t="s">
        <v>19</v>
      </c>
      <c r="H1708" s="2">
        <v>45401</v>
      </c>
      <c r="I1708">
        <v>-5.28</v>
      </c>
      <c r="J1708">
        <v>-5.28</v>
      </c>
      <c r="K1708" t="s">
        <v>20</v>
      </c>
      <c r="L1708">
        <v>0</v>
      </c>
      <c r="M1708">
        <v>-5.28</v>
      </c>
    </row>
    <row r="1709" spans="1:13">
      <c r="A1709" t="s">
        <v>1961</v>
      </c>
      <c r="B1709" t="s">
        <v>1962</v>
      </c>
      <c r="C1709" t="s">
        <v>16</v>
      </c>
      <c r="D1709" t="s">
        <v>21</v>
      </c>
      <c r="E1709" t="s">
        <v>1963</v>
      </c>
      <c r="F1709" t="s">
        <v>1963</v>
      </c>
      <c r="G1709" s="2">
        <v>45665</v>
      </c>
      <c r="H1709" s="2">
        <v>45695</v>
      </c>
      <c r="I1709" s="1">
        <v>31511.5</v>
      </c>
      <c r="J1709">
        <v>-29450</v>
      </c>
      <c r="K1709" t="s">
        <v>20</v>
      </c>
      <c r="L1709">
        <v>0</v>
      </c>
      <c r="M1709">
        <v>-29450</v>
      </c>
    </row>
    <row r="1710" spans="1:13">
      <c r="A1710" t="s">
        <v>1961</v>
      </c>
      <c r="B1710" t="s">
        <v>1962</v>
      </c>
      <c r="C1710" t="s">
        <v>16</v>
      </c>
      <c r="D1710" t="s">
        <v>17</v>
      </c>
      <c r="E1710" t="s">
        <v>1964</v>
      </c>
      <c r="F1710" t="s">
        <v>1963</v>
      </c>
      <c r="H1710" s="2">
        <v>45688</v>
      </c>
      <c r="I1710" s="1">
        <v>-2061.5</v>
      </c>
      <c r="J1710" t="s">
        <v>86</v>
      </c>
      <c r="K1710" t="s">
        <v>20</v>
      </c>
      <c r="L1710">
        <v>0</v>
      </c>
      <c r="M1710" t="s">
        <v>86</v>
      </c>
    </row>
    <row r="1711" spans="1:13">
      <c r="A1711" t="s">
        <v>1961</v>
      </c>
      <c r="B1711" t="s">
        <v>1962</v>
      </c>
      <c r="C1711" t="s">
        <v>16</v>
      </c>
      <c r="D1711" t="s">
        <v>17</v>
      </c>
      <c r="E1711" t="s">
        <v>1965</v>
      </c>
      <c r="F1711" t="s">
        <v>1963</v>
      </c>
      <c r="H1711" s="2">
        <v>45736</v>
      </c>
      <c r="I1711" s="1">
        <v>-29450</v>
      </c>
      <c r="J1711" t="s">
        <v>86</v>
      </c>
      <c r="K1711" t="s">
        <v>20</v>
      </c>
      <c r="L1711">
        <v>12</v>
      </c>
      <c r="M1711" t="s">
        <v>86</v>
      </c>
    </row>
    <row r="1712" spans="1:13">
      <c r="A1712" t="s">
        <v>1961</v>
      </c>
      <c r="B1712" t="s">
        <v>1962</v>
      </c>
      <c r="C1712" t="s">
        <v>16</v>
      </c>
      <c r="D1712" t="s">
        <v>55</v>
      </c>
      <c r="E1712" t="s">
        <v>1963</v>
      </c>
      <c r="F1712" t="s">
        <v>1963</v>
      </c>
      <c r="H1712" s="2">
        <v>45721</v>
      </c>
      <c r="I1712" s="1">
        <v>-29450</v>
      </c>
      <c r="J1712" t="s">
        <v>86</v>
      </c>
      <c r="K1712" t="s">
        <v>20</v>
      </c>
      <c r="L1712">
        <v>10</v>
      </c>
      <c r="M1712" t="s">
        <v>86</v>
      </c>
    </row>
    <row r="1713" spans="1:13">
      <c r="A1713" t="s">
        <v>1961</v>
      </c>
      <c r="B1713" t="s">
        <v>1962</v>
      </c>
      <c r="C1713" t="s">
        <v>16</v>
      </c>
      <c r="D1713" t="s">
        <v>21</v>
      </c>
      <c r="E1713" t="s">
        <v>1966</v>
      </c>
      <c r="F1713" t="s">
        <v>1966</v>
      </c>
      <c r="G1713" s="2">
        <v>45698</v>
      </c>
      <c r="H1713" s="2">
        <v>45728</v>
      </c>
      <c r="I1713" s="1">
        <v>14300</v>
      </c>
      <c r="J1713">
        <v>14300</v>
      </c>
      <c r="K1713" t="s">
        <v>20</v>
      </c>
      <c r="L1713">
        <v>11</v>
      </c>
      <c r="M1713">
        <v>14300</v>
      </c>
    </row>
    <row r="1714" spans="1:13">
      <c r="A1714" t="s">
        <v>1961</v>
      </c>
      <c r="B1714" t="s">
        <v>1962</v>
      </c>
      <c r="C1714" t="s">
        <v>16</v>
      </c>
      <c r="D1714" t="s">
        <v>21</v>
      </c>
      <c r="E1714" t="s">
        <v>1967</v>
      </c>
      <c r="F1714" t="s">
        <v>1967</v>
      </c>
      <c r="G1714" s="2">
        <v>45706</v>
      </c>
      <c r="H1714" s="2">
        <v>45736</v>
      </c>
      <c r="I1714" s="1">
        <v>2993.76</v>
      </c>
      <c r="J1714">
        <v>2993.76</v>
      </c>
      <c r="K1714" t="s">
        <v>20</v>
      </c>
      <c r="L1714">
        <v>12</v>
      </c>
      <c r="M1714">
        <v>2993.76</v>
      </c>
    </row>
    <row r="1715" spans="1:13">
      <c r="A1715" t="s">
        <v>1961</v>
      </c>
      <c r="B1715" t="s">
        <v>1962</v>
      </c>
      <c r="C1715" t="s">
        <v>16</v>
      </c>
      <c r="D1715" t="s">
        <v>21</v>
      </c>
      <c r="E1715" t="s">
        <v>1968</v>
      </c>
      <c r="F1715" t="s">
        <v>1968</v>
      </c>
      <c r="G1715" s="2">
        <v>45720</v>
      </c>
      <c r="H1715" s="2">
        <v>45750</v>
      </c>
      <c r="I1715" s="1">
        <v>37400</v>
      </c>
      <c r="J1715">
        <v>37400</v>
      </c>
      <c r="K1715" t="s">
        <v>20</v>
      </c>
      <c r="L1715">
        <v>0</v>
      </c>
      <c r="M1715">
        <v>0</v>
      </c>
    </row>
    <row r="1716" spans="1:13">
      <c r="A1716" t="s">
        <v>1961</v>
      </c>
      <c r="B1716" t="s">
        <v>1962</v>
      </c>
      <c r="C1716" t="s">
        <v>16</v>
      </c>
      <c r="D1716" t="s">
        <v>21</v>
      </c>
      <c r="E1716" t="s">
        <v>1969</v>
      </c>
      <c r="F1716" t="s">
        <v>1969</v>
      </c>
      <c r="G1716" s="2">
        <v>45720</v>
      </c>
      <c r="H1716" s="2">
        <v>45750</v>
      </c>
      <c r="I1716" s="1">
        <v>23400</v>
      </c>
      <c r="J1716">
        <v>23400</v>
      </c>
      <c r="K1716" t="s">
        <v>20</v>
      </c>
      <c r="L1716">
        <v>0</v>
      </c>
      <c r="M1716">
        <v>0</v>
      </c>
    </row>
    <row r="1717" spans="1:13">
      <c r="A1717" t="s">
        <v>1961</v>
      </c>
      <c r="B1717" t="s">
        <v>1962</v>
      </c>
      <c r="C1717" t="s">
        <v>16</v>
      </c>
      <c r="D1717" t="s">
        <v>21</v>
      </c>
      <c r="E1717" t="s">
        <v>1970</v>
      </c>
      <c r="F1717" t="s">
        <v>1970</v>
      </c>
      <c r="G1717" s="2">
        <v>45727</v>
      </c>
      <c r="H1717" s="2">
        <v>45757</v>
      </c>
      <c r="I1717" s="1">
        <v>14799.36</v>
      </c>
      <c r="J1717">
        <v>14799.36</v>
      </c>
      <c r="K1717" t="s">
        <v>20</v>
      </c>
      <c r="L1717">
        <v>0</v>
      </c>
      <c r="M1717">
        <v>0</v>
      </c>
    </row>
    <row r="1718" spans="1:13">
      <c r="A1718" t="s">
        <v>1961</v>
      </c>
      <c r="B1718" t="s">
        <v>1962</v>
      </c>
      <c r="C1718" t="s">
        <v>16</v>
      </c>
      <c r="D1718" t="s">
        <v>21</v>
      </c>
      <c r="E1718" t="s">
        <v>1971</v>
      </c>
      <c r="F1718" t="s">
        <v>1971</v>
      </c>
      <c r="G1718" s="2">
        <v>45728</v>
      </c>
      <c r="H1718" s="2">
        <v>45758</v>
      </c>
      <c r="I1718" s="1">
        <v>47040</v>
      </c>
      <c r="J1718">
        <v>47040</v>
      </c>
      <c r="K1718" t="s">
        <v>20</v>
      </c>
      <c r="L1718">
        <v>0</v>
      </c>
      <c r="M1718">
        <v>0</v>
      </c>
    </row>
    <row r="1719" spans="1:13">
      <c r="A1719" t="s">
        <v>1961</v>
      </c>
      <c r="B1719" t="s">
        <v>1962</v>
      </c>
      <c r="C1719" t="s">
        <v>16</v>
      </c>
      <c r="D1719" t="s">
        <v>21</v>
      </c>
      <c r="E1719" t="s">
        <v>1972</v>
      </c>
      <c r="F1719" t="s">
        <v>1972</v>
      </c>
      <c r="G1719" s="2">
        <v>45728</v>
      </c>
      <c r="H1719" s="2">
        <v>45758</v>
      </c>
      <c r="I1719">
        <v>391.04</v>
      </c>
      <c r="J1719">
        <v>391.04</v>
      </c>
      <c r="K1719" t="s">
        <v>20</v>
      </c>
      <c r="L1719">
        <v>0</v>
      </c>
      <c r="M1719">
        <v>0</v>
      </c>
    </row>
    <row r="1720" spans="1:13">
      <c r="A1720" t="s">
        <v>1961</v>
      </c>
      <c r="B1720" t="s">
        <v>1962</v>
      </c>
      <c r="C1720" t="s">
        <v>16</v>
      </c>
      <c r="D1720" t="s">
        <v>21</v>
      </c>
      <c r="E1720" t="s">
        <v>1973</v>
      </c>
      <c r="F1720" t="s">
        <v>1973</v>
      </c>
      <c r="G1720" s="2">
        <v>45736</v>
      </c>
      <c r="H1720" s="2">
        <v>45766</v>
      </c>
      <c r="I1720" s="1">
        <v>1713.6</v>
      </c>
      <c r="J1720">
        <v>1713.6</v>
      </c>
      <c r="K1720" t="s">
        <v>20</v>
      </c>
      <c r="L1720">
        <v>0</v>
      </c>
      <c r="M1720">
        <v>0</v>
      </c>
    </row>
    <row r="1721" spans="1:13">
      <c r="A1721" t="s">
        <v>1974</v>
      </c>
      <c r="B1721" t="s">
        <v>1975</v>
      </c>
      <c r="C1721" t="s">
        <v>213</v>
      </c>
      <c r="D1721" t="s">
        <v>55</v>
      </c>
      <c r="E1721" t="s">
        <v>19</v>
      </c>
      <c r="F1721" t="s">
        <v>19</v>
      </c>
      <c r="H1721" s="2">
        <v>45594</v>
      </c>
      <c r="I1721">
        <v>-29.26</v>
      </c>
      <c r="J1721">
        <v>-29.26</v>
      </c>
      <c r="K1721" t="s">
        <v>20</v>
      </c>
      <c r="L1721">
        <v>0</v>
      </c>
      <c r="M1721">
        <v>-29.26</v>
      </c>
    </row>
    <row r="1722" spans="1:13">
      <c r="A1722" t="s">
        <v>1974</v>
      </c>
      <c r="B1722" t="s">
        <v>1975</v>
      </c>
      <c r="C1722" t="s">
        <v>213</v>
      </c>
      <c r="D1722" t="s">
        <v>55</v>
      </c>
      <c r="E1722" t="s">
        <v>19</v>
      </c>
      <c r="F1722" t="s">
        <v>19</v>
      </c>
      <c r="H1722" s="2">
        <v>45618</v>
      </c>
      <c r="I1722">
        <v>-97.5</v>
      </c>
      <c r="J1722">
        <v>-97.5</v>
      </c>
      <c r="K1722" t="s">
        <v>20</v>
      </c>
      <c r="L1722">
        <v>0</v>
      </c>
      <c r="M1722">
        <v>-97.5</v>
      </c>
    </row>
    <row r="1723" spans="1:13">
      <c r="A1723" t="s">
        <v>1976</v>
      </c>
      <c r="B1723" t="s">
        <v>1977</v>
      </c>
      <c r="C1723" t="s">
        <v>16</v>
      </c>
      <c r="D1723" t="s">
        <v>21</v>
      </c>
      <c r="E1723" t="s">
        <v>1978</v>
      </c>
      <c r="F1723" t="s">
        <v>1978</v>
      </c>
      <c r="G1723" s="2">
        <v>45665</v>
      </c>
      <c r="H1723" s="2">
        <v>45695</v>
      </c>
      <c r="I1723" s="1">
        <v>1369.6</v>
      </c>
      <c r="J1723">
        <v>1280</v>
      </c>
      <c r="K1723" t="s">
        <v>20</v>
      </c>
      <c r="L1723">
        <v>0</v>
      </c>
      <c r="M1723">
        <v>1280</v>
      </c>
    </row>
    <row r="1724" spans="1:13">
      <c r="A1724" t="s">
        <v>1976</v>
      </c>
      <c r="B1724" t="s">
        <v>1977</v>
      </c>
      <c r="C1724" t="s">
        <v>16</v>
      </c>
      <c r="D1724" t="s">
        <v>17</v>
      </c>
      <c r="E1724" t="s">
        <v>1979</v>
      </c>
      <c r="F1724" t="s">
        <v>1978</v>
      </c>
      <c r="H1724" s="2">
        <v>45688</v>
      </c>
      <c r="I1724">
        <v>-89.6</v>
      </c>
      <c r="J1724" t="s">
        <v>86</v>
      </c>
      <c r="K1724" t="s">
        <v>20</v>
      </c>
      <c r="L1724">
        <v>0</v>
      </c>
      <c r="M1724" t="s">
        <v>86</v>
      </c>
    </row>
    <row r="1725" spans="1:13">
      <c r="A1725" t="s">
        <v>1976</v>
      </c>
      <c r="B1725" t="s">
        <v>1977</v>
      </c>
      <c r="C1725" t="s">
        <v>16</v>
      </c>
      <c r="D1725" t="s">
        <v>21</v>
      </c>
      <c r="E1725" t="s">
        <v>1980</v>
      </c>
      <c r="F1725" t="s">
        <v>1980</v>
      </c>
      <c r="G1725" s="2">
        <v>45671</v>
      </c>
      <c r="H1725" s="2">
        <v>45701</v>
      </c>
      <c r="I1725" s="1">
        <v>2574</v>
      </c>
      <c r="J1725">
        <v>2574</v>
      </c>
      <c r="K1725" t="s">
        <v>20</v>
      </c>
      <c r="L1725">
        <v>0</v>
      </c>
      <c r="M1725">
        <v>2574</v>
      </c>
    </row>
    <row r="1726" spans="1:13">
      <c r="A1726" t="s">
        <v>1976</v>
      </c>
      <c r="B1726" t="s">
        <v>1977</v>
      </c>
      <c r="C1726" t="s">
        <v>16</v>
      </c>
      <c r="D1726" t="s">
        <v>21</v>
      </c>
      <c r="E1726" t="s">
        <v>1981</v>
      </c>
      <c r="F1726" t="s">
        <v>1981</v>
      </c>
      <c r="G1726" s="2">
        <v>45671</v>
      </c>
      <c r="H1726" s="2">
        <v>45701</v>
      </c>
      <c r="I1726" s="1">
        <v>4600</v>
      </c>
      <c r="J1726">
        <v>4600</v>
      </c>
      <c r="K1726" t="s">
        <v>20</v>
      </c>
      <c r="L1726">
        <v>0</v>
      </c>
      <c r="M1726">
        <v>4600</v>
      </c>
    </row>
    <row r="1727" spans="1:13">
      <c r="A1727" t="s">
        <v>1976</v>
      </c>
      <c r="B1727" t="s">
        <v>1977</v>
      </c>
      <c r="C1727" t="s">
        <v>16</v>
      </c>
      <c r="D1727" t="s">
        <v>21</v>
      </c>
      <c r="E1727" t="s">
        <v>1982</v>
      </c>
      <c r="F1727" t="s">
        <v>1982</v>
      </c>
      <c r="G1727" s="2">
        <v>45681</v>
      </c>
      <c r="H1727" s="2">
        <v>45711</v>
      </c>
      <c r="I1727">
        <v>182.88</v>
      </c>
      <c r="J1727">
        <v>182.88</v>
      </c>
      <c r="K1727" t="s">
        <v>20</v>
      </c>
      <c r="L1727">
        <v>0</v>
      </c>
      <c r="M1727">
        <v>182.88</v>
      </c>
    </row>
    <row r="1728" spans="1:13">
      <c r="A1728" t="s">
        <v>1976</v>
      </c>
      <c r="B1728" t="s">
        <v>1977</v>
      </c>
      <c r="C1728" t="s">
        <v>16</v>
      </c>
      <c r="D1728" t="s">
        <v>21</v>
      </c>
      <c r="E1728" t="s">
        <v>1983</v>
      </c>
      <c r="F1728" t="s">
        <v>1983</v>
      </c>
      <c r="G1728" s="2">
        <v>45687</v>
      </c>
      <c r="H1728" s="2">
        <v>45717</v>
      </c>
      <c r="I1728" s="1">
        <v>5118.72</v>
      </c>
      <c r="J1728">
        <v>5118.72</v>
      </c>
      <c r="K1728" t="s">
        <v>20</v>
      </c>
      <c r="L1728">
        <v>10</v>
      </c>
      <c r="M1728">
        <v>5118.72</v>
      </c>
    </row>
    <row r="1729" spans="1:13">
      <c r="A1729" t="s">
        <v>1976</v>
      </c>
      <c r="B1729" t="s">
        <v>1977</v>
      </c>
      <c r="C1729" t="s">
        <v>16</v>
      </c>
      <c r="D1729" t="s">
        <v>21</v>
      </c>
      <c r="E1729" t="s">
        <v>1984</v>
      </c>
      <c r="F1729" t="s">
        <v>1984</v>
      </c>
      <c r="G1729" s="2">
        <v>45688</v>
      </c>
      <c r="H1729" s="2">
        <v>45718</v>
      </c>
      <c r="I1729" s="1">
        <v>3663</v>
      </c>
      <c r="J1729">
        <v>3663</v>
      </c>
      <c r="K1729" t="s">
        <v>20</v>
      </c>
      <c r="L1729">
        <v>10</v>
      </c>
      <c r="M1729">
        <v>3663</v>
      </c>
    </row>
    <row r="1730" spans="1:13">
      <c r="A1730" t="s">
        <v>1976</v>
      </c>
      <c r="B1730" t="s">
        <v>1977</v>
      </c>
      <c r="C1730" t="s">
        <v>16</v>
      </c>
      <c r="D1730" t="s">
        <v>21</v>
      </c>
      <c r="E1730" t="s">
        <v>1985</v>
      </c>
      <c r="F1730" t="s">
        <v>1985</v>
      </c>
      <c r="G1730" s="2">
        <v>45688</v>
      </c>
      <c r="H1730" s="2">
        <v>45718</v>
      </c>
      <c r="I1730">
        <v>108.96</v>
      </c>
      <c r="J1730">
        <v>108.96</v>
      </c>
      <c r="K1730" t="s">
        <v>20</v>
      </c>
      <c r="L1730">
        <v>10</v>
      </c>
      <c r="M1730">
        <v>108.96</v>
      </c>
    </row>
    <row r="1731" spans="1:13">
      <c r="A1731" t="s">
        <v>1976</v>
      </c>
      <c r="B1731" t="s">
        <v>1977</v>
      </c>
      <c r="C1731" t="s">
        <v>16</v>
      </c>
      <c r="D1731" t="s">
        <v>21</v>
      </c>
      <c r="E1731" t="s">
        <v>1986</v>
      </c>
      <c r="F1731" t="s">
        <v>1986</v>
      </c>
      <c r="G1731" s="2">
        <v>45701</v>
      </c>
      <c r="H1731" s="2">
        <v>45731</v>
      </c>
      <c r="I1731" s="1">
        <v>2760</v>
      </c>
      <c r="J1731">
        <v>2760</v>
      </c>
      <c r="K1731" t="s">
        <v>20</v>
      </c>
      <c r="L1731">
        <v>11</v>
      </c>
      <c r="M1731">
        <v>2760</v>
      </c>
    </row>
    <row r="1732" spans="1:13">
      <c r="A1732" t="s">
        <v>1976</v>
      </c>
      <c r="B1732" t="s">
        <v>1977</v>
      </c>
      <c r="C1732" t="s">
        <v>16</v>
      </c>
      <c r="D1732" t="s">
        <v>21</v>
      </c>
      <c r="E1732" t="s">
        <v>1987</v>
      </c>
      <c r="F1732" t="s">
        <v>1987</v>
      </c>
      <c r="G1732" s="2">
        <v>45701</v>
      </c>
      <c r="H1732" s="2">
        <v>45731</v>
      </c>
      <c r="I1732" s="1">
        <v>1152</v>
      </c>
      <c r="J1732">
        <v>1152</v>
      </c>
      <c r="K1732" t="s">
        <v>20</v>
      </c>
      <c r="L1732">
        <v>11</v>
      </c>
      <c r="M1732">
        <v>1152</v>
      </c>
    </row>
    <row r="1733" spans="1:13">
      <c r="A1733" t="s">
        <v>1976</v>
      </c>
      <c r="B1733" t="s">
        <v>1977</v>
      </c>
      <c r="C1733" t="s">
        <v>16</v>
      </c>
      <c r="D1733" t="s">
        <v>21</v>
      </c>
      <c r="E1733" t="s">
        <v>1988</v>
      </c>
      <c r="F1733" t="s">
        <v>1988</v>
      </c>
      <c r="G1733" s="2">
        <v>45701</v>
      </c>
      <c r="H1733" s="2">
        <v>45731</v>
      </c>
      <c r="I1733">
        <v>876</v>
      </c>
      <c r="J1733">
        <v>876</v>
      </c>
      <c r="K1733" t="s">
        <v>20</v>
      </c>
      <c r="L1733">
        <v>11</v>
      </c>
      <c r="M1733">
        <v>876</v>
      </c>
    </row>
    <row r="1734" spans="1:13">
      <c r="A1734" t="s">
        <v>1976</v>
      </c>
      <c r="B1734" t="s">
        <v>1977</v>
      </c>
      <c r="C1734" t="s">
        <v>16</v>
      </c>
      <c r="D1734" t="s">
        <v>21</v>
      </c>
      <c r="E1734" t="s">
        <v>1989</v>
      </c>
      <c r="F1734" t="s">
        <v>1989</v>
      </c>
      <c r="G1734" s="2">
        <v>45707</v>
      </c>
      <c r="H1734" s="2">
        <v>45737</v>
      </c>
      <c r="I1734" s="1">
        <v>1980</v>
      </c>
      <c r="J1734">
        <v>1980</v>
      </c>
      <c r="K1734" t="s">
        <v>20</v>
      </c>
      <c r="L1734">
        <v>12</v>
      </c>
      <c r="M1734">
        <v>1980</v>
      </c>
    </row>
    <row r="1735" spans="1:13">
      <c r="A1735" t="s">
        <v>1976</v>
      </c>
      <c r="B1735" t="s">
        <v>1977</v>
      </c>
      <c r="C1735" t="s">
        <v>16</v>
      </c>
      <c r="D1735" t="s">
        <v>21</v>
      </c>
      <c r="E1735" t="s">
        <v>1990</v>
      </c>
      <c r="F1735" t="s">
        <v>1990</v>
      </c>
      <c r="G1735" s="2">
        <v>45735</v>
      </c>
      <c r="H1735" s="2">
        <v>45765</v>
      </c>
      <c r="I1735">
        <v>604.79999999999995</v>
      </c>
      <c r="J1735">
        <v>604.79999999999995</v>
      </c>
      <c r="K1735" t="s">
        <v>20</v>
      </c>
      <c r="L1735">
        <v>0</v>
      </c>
      <c r="M1735">
        <v>0</v>
      </c>
    </row>
    <row r="1736" spans="1:13">
      <c r="A1736" t="s">
        <v>1976</v>
      </c>
      <c r="B1736" t="s">
        <v>1977</v>
      </c>
      <c r="C1736" t="s">
        <v>16</v>
      </c>
      <c r="D1736" t="s">
        <v>21</v>
      </c>
      <c r="E1736" t="s">
        <v>1991</v>
      </c>
      <c r="F1736" t="s">
        <v>1991</v>
      </c>
      <c r="G1736" s="2">
        <v>45736</v>
      </c>
      <c r="H1736" s="2">
        <v>45766</v>
      </c>
      <c r="I1736" s="1">
        <v>1106</v>
      </c>
      <c r="J1736">
        <v>1106</v>
      </c>
      <c r="K1736" t="s">
        <v>20</v>
      </c>
      <c r="L1736">
        <v>0</v>
      </c>
      <c r="M1736">
        <v>0</v>
      </c>
    </row>
    <row r="1737" spans="1:13">
      <c r="A1737" t="s">
        <v>1976</v>
      </c>
      <c r="B1737" t="s">
        <v>1977</v>
      </c>
      <c r="C1737" t="s">
        <v>16</v>
      </c>
      <c r="D1737" t="s">
        <v>21</v>
      </c>
      <c r="E1737" t="s">
        <v>1992</v>
      </c>
      <c r="F1737" t="s">
        <v>1992</v>
      </c>
      <c r="G1737" s="2">
        <v>45736</v>
      </c>
      <c r="H1737" s="2">
        <v>45766</v>
      </c>
      <c r="I1737" s="1">
        <v>2760</v>
      </c>
      <c r="J1737">
        <v>2760</v>
      </c>
      <c r="K1737" t="s">
        <v>20</v>
      </c>
      <c r="L1737">
        <v>0</v>
      </c>
      <c r="M1737">
        <v>0</v>
      </c>
    </row>
    <row r="1738" spans="1:13">
      <c r="A1738" t="s">
        <v>1993</v>
      </c>
      <c r="B1738" t="s">
        <v>1994</v>
      </c>
      <c r="C1738" t="s">
        <v>16</v>
      </c>
      <c r="D1738" t="s">
        <v>17</v>
      </c>
      <c r="E1738" t="s">
        <v>1995</v>
      </c>
      <c r="F1738" t="s">
        <v>19</v>
      </c>
      <c r="H1738" s="2">
        <v>45471</v>
      </c>
      <c r="I1738">
        <v>-85.32</v>
      </c>
      <c r="J1738">
        <v>-85.32</v>
      </c>
      <c r="K1738" t="s">
        <v>20</v>
      </c>
      <c r="L1738">
        <v>0</v>
      </c>
      <c r="M1738">
        <v>-85.32</v>
      </c>
    </row>
    <row r="1739" spans="1:13">
      <c r="A1739" t="s">
        <v>1996</v>
      </c>
      <c r="B1739" t="s">
        <v>1997</v>
      </c>
      <c r="C1739" t="s">
        <v>16</v>
      </c>
      <c r="D1739" t="s">
        <v>21</v>
      </c>
      <c r="E1739" t="s">
        <v>1998</v>
      </c>
      <c r="F1739" t="s">
        <v>1998</v>
      </c>
      <c r="G1739" s="2">
        <v>45716</v>
      </c>
      <c r="H1739" s="2">
        <v>45746</v>
      </c>
      <c r="I1739">
        <v>929.8</v>
      </c>
      <c r="J1739">
        <v>929.8</v>
      </c>
      <c r="K1739" t="s">
        <v>20</v>
      </c>
      <c r="L1739">
        <v>13</v>
      </c>
      <c r="M1739">
        <v>929.8</v>
      </c>
    </row>
    <row r="1740" spans="1:13">
      <c r="A1740" t="s">
        <v>1996</v>
      </c>
      <c r="B1740" t="s">
        <v>1997</v>
      </c>
      <c r="C1740" t="s">
        <v>16</v>
      </c>
      <c r="D1740" t="s">
        <v>21</v>
      </c>
      <c r="E1740" t="s">
        <v>1999</v>
      </c>
      <c r="F1740" t="s">
        <v>1999</v>
      </c>
      <c r="G1740" s="2">
        <v>45716</v>
      </c>
      <c r="H1740" s="2">
        <v>45746</v>
      </c>
      <c r="I1740">
        <v>454</v>
      </c>
      <c r="J1740">
        <v>454</v>
      </c>
      <c r="K1740" t="s">
        <v>20</v>
      </c>
      <c r="L1740">
        <v>13</v>
      </c>
      <c r="M1740">
        <v>454</v>
      </c>
    </row>
    <row r="1741" spans="1:13">
      <c r="A1741" t="s">
        <v>1996</v>
      </c>
      <c r="B1741" t="s">
        <v>1997</v>
      </c>
      <c r="C1741" t="s">
        <v>16</v>
      </c>
      <c r="D1741" t="s">
        <v>21</v>
      </c>
      <c r="E1741" t="s">
        <v>2000</v>
      </c>
      <c r="F1741" t="s">
        <v>2000</v>
      </c>
      <c r="G1741" s="2">
        <v>45716</v>
      </c>
      <c r="H1741" s="2">
        <v>45746</v>
      </c>
      <c r="I1741">
        <v>454</v>
      </c>
      <c r="J1741">
        <v>454</v>
      </c>
      <c r="K1741" t="s">
        <v>20</v>
      </c>
      <c r="L1741">
        <v>13</v>
      </c>
      <c r="M1741">
        <v>454</v>
      </c>
    </row>
    <row r="1742" spans="1:13">
      <c r="A1742" t="s">
        <v>1996</v>
      </c>
      <c r="B1742" t="s">
        <v>1997</v>
      </c>
      <c r="C1742" t="s">
        <v>16</v>
      </c>
      <c r="D1742" t="s">
        <v>21</v>
      </c>
      <c r="E1742" t="s">
        <v>2001</v>
      </c>
      <c r="F1742" t="s">
        <v>2001</v>
      </c>
      <c r="G1742" s="2">
        <v>45716</v>
      </c>
      <c r="H1742" s="2">
        <v>45746</v>
      </c>
      <c r="I1742">
        <v>928</v>
      </c>
      <c r="J1742">
        <v>928</v>
      </c>
      <c r="K1742" t="s">
        <v>20</v>
      </c>
      <c r="L1742">
        <v>13</v>
      </c>
      <c r="M1742">
        <v>928</v>
      </c>
    </row>
    <row r="1743" spans="1:13">
      <c r="A1743" t="s">
        <v>2002</v>
      </c>
      <c r="B1743" t="s">
        <v>2003</v>
      </c>
      <c r="C1743" t="s">
        <v>382</v>
      </c>
      <c r="D1743" t="s">
        <v>21</v>
      </c>
      <c r="E1743" t="s">
        <v>2004</v>
      </c>
      <c r="F1743" t="s">
        <v>2004</v>
      </c>
      <c r="G1743" s="2">
        <v>45686</v>
      </c>
      <c r="H1743" s="2">
        <v>45746</v>
      </c>
      <c r="I1743" s="1">
        <v>32210.75</v>
      </c>
      <c r="J1743">
        <v>32210.75</v>
      </c>
      <c r="K1743" t="s">
        <v>20</v>
      </c>
      <c r="L1743">
        <v>13</v>
      </c>
      <c r="M1743">
        <v>32210.75</v>
      </c>
    </row>
    <row r="1744" spans="1:13">
      <c r="A1744" t="s">
        <v>2005</v>
      </c>
      <c r="B1744" t="s">
        <v>2006</v>
      </c>
      <c r="C1744" t="s">
        <v>16</v>
      </c>
      <c r="D1744" t="s">
        <v>21</v>
      </c>
      <c r="E1744" t="s">
        <v>2007</v>
      </c>
      <c r="F1744" t="s">
        <v>2007</v>
      </c>
      <c r="G1744" s="2">
        <v>45582</v>
      </c>
      <c r="H1744" s="2">
        <v>45612</v>
      </c>
      <c r="I1744" s="1">
        <v>68320</v>
      </c>
      <c r="J1744">
        <v>-3189.87</v>
      </c>
      <c r="K1744" t="s">
        <v>20</v>
      </c>
      <c r="L1744">
        <v>0</v>
      </c>
      <c r="M1744">
        <v>-3189.87</v>
      </c>
    </row>
    <row r="1745" spans="1:13">
      <c r="A1745" t="s">
        <v>2005</v>
      </c>
      <c r="B1745" t="s">
        <v>2006</v>
      </c>
      <c r="C1745" t="s">
        <v>16</v>
      </c>
      <c r="D1745" t="s">
        <v>17</v>
      </c>
      <c r="E1745" t="s">
        <v>2008</v>
      </c>
      <c r="F1745" t="s">
        <v>2007</v>
      </c>
      <c r="H1745" s="2">
        <v>45686</v>
      </c>
      <c r="I1745" s="1">
        <v>-3189.87</v>
      </c>
      <c r="J1745" t="s">
        <v>86</v>
      </c>
      <c r="K1745" t="s">
        <v>20</v>
      </c>
      <c r="L1745">
        <v>0</v>
      </c>
      <c r="M1745" t="s">
        <v>86</v>
      </c>
    </row>
    <row r="1746" spans="1:13">
      <c r="A1746" t="s">
        <v>2005</v>
      </c>
      <c r="B1746" t="s">
        <v>2006</v>
      </c>
      <c r="C1746" t="s">
        <v>16</v>
      </c>
      <c r="D1746" t="s">
        <v>55</v>
      </c>
      <c r="E1746" t="s">
        <v>2007</v>
      </c>
      <c r="F1746" t="s">
        <v>2007</v>
      </c>
      <c r="H1746" s="2">
        <v>45637</v>
      </c>
      <c r="I1746" s="1">
        <v>-68320</v>
      </c>
      <c r="J1746" t="s">
        <v>86</v>
      </c>
      <c r="K1746" t="s">
        <v>20</v>
      </c>
      <c r="L1746">
        <v>0</v>
      </c>
      <c r="M1746" t="s">
        <v>86</v>
      </c>
    </row>
    <row r="1747" spans="1:13">
      <c r="A1747" t="s">
        <v>2009</v>
      </c>
      <c r="B1747" t="s">
        <v>2010</v>
      </c>
      <c r="C1747" t="s">
        <v>16</v>
      </c>
      <c r="D1747" t="s">
        <v>21</v>
      </c>
      <c r="E1747" t="s">
        <v>2011</v>
      </c>
      <c r="F1747" t="s">
        <v>2011</v>
      </c>
      <c r="G1747" s="2">
        <v>45729</v>
      </c>
      <c r="H1747" s="2">
        <v>45759</v>
      </c>
      <c r="I1747">
        <v>351.79</v>
      </c>
      <c r="J1747">
        <v>351.79</v>
      </c>
      <c r="K1747" t="s">
        <v>20</v>
      </c>
      <c r="L1747">
        <v>0</v>
      </c>
      <c r="M1747">
        <v>0</v>
      </c>
    </row>
    <row r="1748" spans="1:13">
      <c r="A1748" t="s">
        <v>2012</v>
      </c>
      <c r="B1748" t="s">
        <v>2013</v>
      </c>
      <c r="C1748" t="s">
        <v>16</v>
      </c>
      <c r="D1748" t="s">
        <v>21</v>
      </c>
      <c r="E1748" t="s">
        <v>2014</v>
      </c>
      <c r="F1748" t="s">
        <v>2014</v>
      </c>
      <c r="G1748" s="2">
        <v>45684</v>
      </c>
      <c r="H1748" s="2">
        <v>45714</v>
      </c>
      <c r="I1748" s="1">
        <v>7089</v>
      </c>
      <c r="J1748">
        <v>7089</v>
      </c>
      <c r="K1748" t="s">
        <v>20</v>
      </c>
      <c r="L1748">
        <v>0</v>
      </c>
      <c r="M1748">
        <v>7089</v>
      </c>
    </row>
    <row r="1749" spans="1:13">
      <c r="A1749" t="s">
        <v>2012</v>
      </c>
      <c r="B1749" t="s">
        <v>2013</v>
      </c>
      <c r="C1749" t="s">
        <v>16</v>
      </c>
      <c r="D1749" t="s">
        <v>21</v>
      </c>
      <c r="E1749" t="s">
        <v>2015</v>
      </c>
      <c r="F1749" t="s">
        <v>2015</v>
      </c>
      <c r="G1749" s="2">
        <v>45687</v>
      </c>
      <c r="H1749" s="2">
        <v>45717</v>
      </c>
      <c r="I1749" s="1">
        <v>2589</v>
      </c>
      <c r="J1749">
        <v>2589</v>
      </c>
      <c r="K1749" t="s">
        <v>20</v>
      </c>
      <c r="L1749">
        <v>10</v>
      </c>
      <c r="M1749">
        <v>2589</v>
      </c>
    </row>
    <row r="1750" spans="1:13">
      <c r="A1750" t="s">
        <v>2012</v>
      </c>
      <c r="B1750" t="s">
        <v>2013</v>
      </c>
      <c r="C1750" t="s">
        <v>16</v>
      </c>
      <c r="D1750" t="s">
        <v>21</v>
      </c>
      <c r="E1750" t="s">
        <v>2016</v>
      </c>
      <c r="F1750" t="s">
        <v>2016</v>
      </c>
      <c r="G1750" s="2">
        <v>45687</v>
      </c>
      <c r="H1750" s="2">
        <v>45717</v>
      </c>
      <c r="I1750">
        <v>360</v>
      </c>
      <c r="J1750">
        <v>360</v>
      </c>
      <c r="K1750" t="s">
        <v>20</v>
      </c>
      <c r="L1750">
        <v>10</v>
      </c>
      <c r="M1750">
        <v>360</v>
      </c>
    </row>
    <row r="1751" spans="1:13">
      <c r="A1751" t="s">
        <v>2012</v>
      </c>
      <c r="B1751" t="s">
        <v>2013</v>
      </c>
      <c r="C1751" t="s">
        <v>16</v>
      </c>
      <c r="D1751" t="s">
        <v>21</v>
      </c>
      <c r="E1751" t="s">
        <v>2017</v>
      </c>
      <c r="F1751" t="s">
        <v>2017</v>
      </c>
      <c r="G1751" s="2">
        <v>45688</v>
      </c>
      <c r="H1751" s="2">
        <v>45718</v>
      </c>
      <c r="I1751">
        <v>289</v>
      </c>
      <c r="J1751">
        <v>289</v>
      </c>
      <c r="K1751" t="s">
        <v>20</v>
      </c>
      <c r="L1751">
        <v>10</v>
      </c>
      <c r="M1751">
        <v>289</v>
      </c>
    </row>
    <row r="1752" spans="1:13">
      <c r="A1752" t="s">
        <v>2012</v>
      </c>
      <c r="B1752" t="s">
        <v>2013</v>
      </c>
      <c r="C1752" t="s">
        <v>16</v>
      </c>
      <c r="D1752" t="s">
        <v>21</v>
      </c>
      <c r="E1752" t="s">
        <v>2018</v>
      </c>
      <c r="F1752" t="s">
        <v>2018</v>
      </c>
      <c r="G1752" s="2">
        <v>45688</v>
      </c>
      <c r="H1752" s="2">
        <v>45718</v>
      </c>
      <c r="I1752" s="1">
        <v>1156</v>
      </c>
      <c r="J1752">
        <v>1156</v>
      </c>
      <c r="K1752" t="s">
        <v>20</v>
      </c>
      <c r="L1752">
        <v>10</v>
      </c>
      <c r="M1752">
        <v>1156</v>
      </c>
    </row>
    <row r="1753" spans="1:13">
      <c r="A1753" t="s">
        <v>2012</v>
      </c>
      <c r="B1753" t="s">
        <v>2013</v>
      </c>
      <c r="C1753" t="s">
        <v>16</v>
      </c>
      <c r="D1753" t="s">
        <v>21</v>
      </c>
      <c r="E1753" t="s">
        <v>2019</v>
      </c>
      <c r="F1753" t="s">
        <v>2019</v>
      </c>
      <c r="G1753" s="2">
        <v>45689</v>
      </c>
      <c r="H1753" s="2">
        <v>45719</v>
      </c>
      <c r="I1753">
        <v>360</v>
      </c>
      <c r="J1753">
        <v>360</v>
      </c>
      <c r="K1753" t="s">
        <v>20</v>
      </c>
      <c r="L1753">
        <v>10</v>
      </c>
      <c r="M1753">
        <v>360</v>
      </c>
    </row>
    <row r="1754" spans="1:13">
      <c r="A1754" t="s">
        <v>2012</v>
      </c>
      <c r="B1754" t="s">
        <v>2013</v>
      </c>
      <c r="C1754" t="s">
        <v>16</v>
      </c>
      <c r="D1754" t="s">
        <v>21</v>
      </c>
      <c r="E1754" t="s">
        <v>2020</v>
      </c>
      <c r="F1754" t="s">
        <v>2020</v>
      </c>
      <c r="G1754" s="2">
        <v>45691</v>
      </c>
      <c r="H1754" s="2">
        <v>45721</v>
      </c>
      <c r="I1754" s="1">
        <v>1812</v>
      </c>
      <c r="J1754">
        <v>1812</v>
      </c>
      <c r="K1754" t="s">
        <v>20</v>
      </c>
      <c r="L1754">
        <v>10</v>
      </c>
      <c r="M1754">
        <v>1812</v>
      </c>
    </row>
    <row r="1755" spans="1:13">
      <c r="A1755" t="s">
        <v>2012</v>
      </c>
      <c r="B1755" t="s">
        <v>2013</v>
      </c>
      <c r="C1755" t="s">
        <v>16</v>
      </c>
      <c r="D1755" t="s">
        <v>21</v>
      </c>
      <c r="E1755" t="s">
        <v>2021</v>
      </c>
      <c r="F1755" t="s">
        <v>2021</v>
      </c>
      <c r="G1755" s="2">
        <v>45691</v>
      </c>
      <c r="H1755" s="2">
        <v>45721</v>
      </c>
      <c r="I1755">
        <v>840</v>
      </c>
      <c r="J1755">
        <v>840</v>
      </c>
      <c r="K1755" t="s">
        <v>20</v>
      </c>
      <c r="L1755">
        <v>10</v>
      </c>
      <c r="M1755">
        <v>840</v>
      </c>
    </row>
    <row r="1756" spans="1:13">
      <c r="A1756" t="s">
        <v>2012</v>
      </c>
      <c r="B1756" t="s">
        <v>2013</v>
      </c>
      <c r="C1756" t="s">
        <v>16</v>
      </c>
      <c r="D1756" t="s">
        <v>21</v>
      </c>
      <c r="E1756" t="s">
        <v>2022</v>
      </c>
      <c r="F1756" t="s">
        <v>2022</v>
      </c>
      <c r="G1756" s="2">
        <v>45691</v>
      </c>
      <c r="H1756" s="2">
        <v>45721</v>
      </c>
      <c r="I1756">
        <v>525</v>
      </c>
      <c r="J1756">
        <v>525</v>
      </c>
      <c r="K1756" t="s">
        <v>20</v>
      </c>
      <c r="L1756">
        <v>10</v>
      </c>
      <c r="M1756">
        <v>525</v>
      </c>
    </row>
    <row r="1757" spans="1:13">
      <c r="A1757" t="s">
        <v>2012</v>
      </c>
      <c r="B1757" t="s">
        <v>2013</v>
      </c>
      <c r="C1757" t="s">
        <v>16</v>
      </c>
      <c r="D1757" t="s">
        <v>21</v>
      </c>
      <c r="E1757" t="s">
        <v>2023</v>
      </c>
      <c r="F1757" t="s">
        <v>2023</v>
      </c>
      <c r="G1757" s="2">
        <v>45692</v>
      </c>
      <c r="H1757" s="2">
        <v>45722</v>
      </c>
      <c r="I1757" s="1">
        <v>1728</v>
      </c>
      <c r="J1757">
        <v>1728</v>
      </c>
      <c r="K1757" t="s">
        <v>20</v>
      </c>
      <c r="L1757">
        <v>10</v>
      </c>
      <c r="M1757">
        <v>1728</v>
      </c>
    </row>
    <row r="1758" spans="1:13">
      <c r="A1758" t="s">
        <v>2012</v>
      </c>
      <c r="B1758" t="s">
        <v>2013</v>
      </c>
      <c r="C1758" t="s">
        <v>16</v>
      </c>
      <c r="D1758" t="s">
        <v>21</v>
      </c>
      <c r="E1758" t="s">
        <v>2024</v>
      </c>
      <c r="F1758" t="s">
        <v>2024</v>
      </c>
      <c r="G1758" s="2">
        <v>45692</v>
      </c>
      <c r="H1758" s="2">
        <v>45722</v>
      </c>
      <c r="I1758">
        <v>510</v>
      </c>
      <c r="J1758">
        <v>510</v>
      </c>
      <c r="K1758" t="s">
        <v>20</v>
      </c>
      <c r="L1758">
        <v>10</v>
      </c>
      <c r="M1758">
        <v>510</v>
      </c>
    </row>
    <row r="1759" spans="1:13">
      <c r="A1759" t="s">
        <v>2012</v>
      </c>
      <c r="B1759" t="s">
        <v>2013</v>
      </c>
      <c r="C1759" t="s">
        <v>16</v>
      </c>
      <c r="D1759" t="s">
        <v>21</v>
      </c>
      <c r="E1759" t="s">
        <v>2025</v>
      </c>
      <c r="F1759" t="s">
        <v>2025</v>
      </c>
      <c r="G1759" s="2">
        <v>45694</v>
      </c>
      <c r="H1759" s="2">
        <v>45724</v>
      </c>
      <c r="I1759">
        <v>540</v>
      </c>
      <c r="J1759">
        <v>540</v>
      </c>
      <c r="K1759" t="s">
        <v>20</v>
      </c>
      <c r="L1759">
        <v>10</v>
      </c>
      <c r="M1759">
        <v>540</v>
      </c>
    </row>
    <row r="1760" spans="1:13">
      <c r="A1760" t="s">
        <v>2012</v>
      </c>
      <c r="B1760" t="s">
        <v>2013</v>
      </c>
      <c r="C1760" t="s">
        <v>16</v>
      </c>
      <c r="D1760" t="s">
        <v>21</v>
      </c>
      <c r="E1760" t="s">
        <v>2026</v>
      </c>
      <c r="F1760" t="s">
        <v>2026</v>
      </c>
      <c r="G1760" s="2">
        <v>45695</v>
      </c>
      <c r="H1760" s="2">
        <v>45725</v>
      </c>
      <c r="I1760">
        <v>609.70000000000005</v>
      </c>
      <c r="J1760">
        <v>609.70000000000005</v>
      </c>
      <c r="K1760" t="s">
        <v>20</v>
      </c>
      <c r="L1760">
        <v>11</v>
      </c>
      <c r="M1760">
        <v>609.70000000000005</v>
      </c>
    </row>
    <row r="1761" spans="1:13">
      <c r="A1761" t="s">
        <v>2012</v>
      </c>
      <c r="B1761" t="s">
        <v>2013</v>
      </c>
      <c r="C1761" t="s">
        <v>16</v>
      </c>
      <c r="D1761" t="s">
        <v>21</v>
      </c>
      <c r="E1761" t="s">
        <v>2027</v>
      </c>
      <c r="F1761" t="s">
        <v>2027</v>
      </c>
      <c r="G1761" s="2">
        <v>45695</v>
      </c>
      <c r="H1761" s="2">
        <v>45725</v>
      </c>
      <c r="I1761">
        <v>97.65</v>
      </c>
      <c r="J1761">
        <v>97.65</v>
      </c>
      <c r="K1761" t="s">
        <v>20</v>
      </c>
      <c r="L1761">
        <v>11</v>
      </c>
      <c r="M1761">
        <v>97.65</v>
      </c>
    </row>
    <row r="1762" spans="1:13">
      <c r="A1762" t="s">
        <v>2012</v>
      </c>
      <c r="B1762" t="s">
        <v>2013</v>
      </c>
      <c r="C1762" t="s">
        <v>16</v>
      </c>
      <c r="D1762" t="s">
        <v>21</v>
      </c>
      <c r="E1762" t="s">
        <v>2028</v>
      </c>
      <c r="F1762" t="s">
        <v>2028</v>
      </c>
      <c r="G1762" s="2">
        <v>45698</v>
      </c>
      <c r="H1762" s="2">
        <v>45728</v>
      </c>
      <c r="I1762" s="1">
        <v>1080</v>
      </c>
      <c r="J1762">
        <v>1080</v>
      </c>
      <c r="K1762" t="s">
        <v>20</v>
      </c>
      <c r="L1762">
        <v>11</v>
      </c>
      <c r="M1762">
        <v>1080</v>
      </c>
    </row>
    <row r="1763" spans="1:13">
      <c r="A1763" t="s">
        <v>2012</v>
      </c>
      <c r="B1763" t="s">
        <v>2013</v>
      </c>
      <c r="C1763" t="s">
        <v>16</v>
      </c>
      <c r="D1763" t="s">
        <v>21</v>
      </c>
      <c r="E1763" t="s">
        <v>2029</v>
      </c>
      <c r="F1763" t="s">
        <v>2029</v>
      </c>
      <c r="G1763" s="2">
        <v>45698</v>
      </c>
      <c r="H1763" s="2">
        <v>45728</v>
      </c>
      <c r="I1763">
        <v>720</v>
      </c>
      <c r="J1763">
        <v>720</v>
      </c>
      <c r="K1763" t="s">
        <v>20</v>
      </c>
      <c r="L1763">
        <v>11</v>
      </c>
      <c r="M1763">
        <v>720</v>
      </c>
    </row>
    <row r="1764" spans="1:13">
      <c r="A1764" t="s">
        <v>2012</v>
      </c>
      <c r="B1764" t="s">
        <v>2013</v>
      </c>
      <c r="C1764" t="s">
        <v>16</v>
      </c>
      <c r="D1764" t="s">
        <v>21</v>
      </c>
      <c r="E1764" t="s">
        <v>2030</v>
      </c>
      <c r="F1764" t="s">
        <v>2030</v>
      </c>
      <c r="G1764" s="2">
        <v>45698</v>
      </c>
      <c r="H1764" s="2">
        <v>45728</v>
      </c>
      <c r="I1764">
        <v>597</v>
      </c>
      <c r="J1764">
        <v>597</v>
      </c>
      <c r="K1764" t="s">
        <v>20</v>
      </c>
      <c r="L1764">
        <v>11</v>
      </c>
      <c r="M1764">
        <v>597</v>
      </c>
    </row>
    <row r="1765" spans="1:13">
      <c r="A1765" t="s">
        <v>2012</v>
      </c>
      <c r="B1765" t="s">
        <v>2013</v>
      </c>
      <c r="C1765" t="s">
        <v>16</v>
      </c>
      <c r="D1765" t="s">
        <v>21</v>
      </c>
      <c r="E1765" t="s">
        <v>2031</v>
      </c>
      <c r="F1765" t="s">
        <v>2031</v>
      </c>
      <c r="G1765" s="2">
        <v>45701</v>
      </c>
      <c r="H1765" s="2">
        <v>45731</v>
      </c>
      <c r="I1765">
        <v>560</v>
      </c>
      <c r="J1765">
        <v>560</v>
      </c>
      <c r="K1765" t="s">
        <v>20</v>
      </c>
      <c r="L1765">
        <v>11</v>
      </c>
      <c r="M1765">
        <v>560</v>
      </c>
    </row>
    <row r="1766" spans="1:13">
      <c r="A1766" t="s">
        <v>2012</v>
      </c>
      <c r="B1766" t="s">
        <v>2013</v>
      </c>
      <c r="C1766" t="s">
        <v>16</v>
      </c>
      <c r="D1766" t="s">
        <v>21</v>
      </c>
      <c r="E1766" t="s">
        <v>2032</v>
      </c>
      <c r="F1766" t="s">
        <v>2032</v>
      </c>
      <c r="G1766" s="2">
        <v>45706</v>
      </c>
      <c r="H1766" s="2">
        <v>45736</v>
      </c>
      <c r="I1766">
        <v>425</v>
      </c>
      <c r="J1766">
        <v>425</v>
      </c>
      <c r="K1766" t="s">
        <v>20</v>
      </c>
      <c r="L1766">
        <v>12</v>
      </c>
      <c r="M1766">
        <v>425</v>
      </c>
    </row>
    <row r="1767" spans="1:13">
      <c r="A1767" t="s">
        <v>2012</v>
      </c>
      <c r="B1767" t="s">
        <v>2013</v>
      </c>
      <c r="C1767" t="s">
        <v>16</v>
      </c>
      <c r="D1767" t="s">
        <v>21</v>
      </c>
      <c r="E1767" t="s">
        <v>2033</v>
      </c>
      <c r="F1767" t="s">
        <v>2033</v>
      </c>
      <c r="G1767" s="2">
        <v>45707</v>
      </c>
      <c r="H1767" s="2">
        <v>45737</v>
      </c>
      <c r="I1767">
        <v>728</v>
      </c>
      <c r="J1767">
        <v>728</v>
      </c>
      <c r="K1767" t="s">
        <v>20</v>
      </c>
      <c r="L1767">
        <v>12</v>
      </c>
      <c r="M1767">
        <v>728</v>
      </c>
    </row>
    <row r="1768" spans="1:13">
      <c r="A1768" t="s">
        <v>2012</v>
      </c>
      <c r="B1768" t="s">
        <v>2013</v>
      </c>
      <c r="C1768" t="s">
        <v>16</v>
      </c>
      <c r="D1768" t="s">
        <v>21</v>
      </c>
      <c r="E1768" t="s">
        <v>2034</v>
      </c>
      <c r="F1768" t="s">
        <v>2034</v>
      </c>
      <c r="G1768" s="2">
        <v>45708</v>
      </c>
      <c r="H1768" s="2">
        <v>45738</v>
      </c>
      <c r="I1768">
        <v>728</v>
      </c>
      <c r="J1768">
        <v>728</v>
      </c>
      <c r="K1768" t="s">
        <v>20</v>
      </c>
      <c r="L1768">
        <v>12</v>
      </c>
      <c r="M1768">
        <v>728</v>
      </c>
    </row>
    <row r="1769" spans="1:13">
      <c r="A1769" t="s">
        <v>2012</v>
      </c>
      <c r="B1769" t="s">
        <v>2013</v>
      </c>
      <c r="C1769" t="s">
        <v>16</v>
      </c>
      <c r="D1769" t="s">
        <v>21</v>
      </c>
      <c r="E1769" t="s">
        <v>2035</v>
      </c>
      <c r="F1769" t="s">
        <v>2035</v>
      </c>
      <c r="G1769" s="2">
        <v>45708</v>
      </c>
      <c r="H1769" s="2">
        <v>45738</v>
      </c>
      <c r="I1769" s="1">
        <v>7202</v>
      </c>
      <c r="J1769">
        <v>7202</v>
      </c>
      <c r="K1769" t="s">
        <v>20</v>
      </c>
      <c r="L1769">
        <v>12</v>
      </c>
      <c r="M1769">
        <v>7202</v>
      </c>
    </row>
    <row r="1770" spans="1:13">
      <c r="A1770" t="s">
        <v>2012</v>
      </c>
      <c r="B1770" t="s">
        <v>2013</v>
      </c>
      <c r="C1770" t="s">
        <v>16</v>
      </c>
      <c r="D1770" t="s">
        <v>21</v>
      </c>
      <c r="E1770" t="s">
        <v>2036</v>
      </c>
      <c r="F1770" t="s">
        <v>2036</v>
      </c>
      <c r="G1770" s="2">
        <v>45708</v>
      </c>
      <c r="H1770" s="2">
        <v>45738</v>
      </c>
      <c r="I1770">
        <v>204</v>
      </c>
      <c r="J1770">
        <v>204</v>
      </c>
      <c r="K1770" t="s">
        <v>20</v>
      </c>
      <c r="L1770">
        <v>12</v>
      </c>
      <c r="M1770">
        <v>204</v>
      </c>
    </row>
    <row r="1771" spans="1:13">
      <c r="A1771" t="s">
        <v>2012</v>
      </c>
      <c r="B1771" t="s">
        <v>2013</v>
      </c>
      <c r="C1771" t="s">
        <v>16</v>
      </c>
      <c r="D1771" t="s">
        <v>21</v>
      </c>
      <c r="E1771" t="s">
        <v>2037</v>
      </c>
      <c r="F1771" t="s">
        <v>2037</v>
      </c>
      <c r="G1771" s="2">
        <v>45714</v>
      </c>
      <c r="H1771" s="2">
        <v>45744</v>
      </c>
      <c r="I1771">
        <v>560</v>
      </c>
      <c r="J1771">
        <v>560</v>
      </c>
      <c r="K1771" t="s">
        <v>20</v>
      </c>
      <c r="L1771">
        <v>13</v>
      </c>
      <c r="M1771">
        <v>560</v>
      </c>
    </row>
    <row r="1772" spans="1:13">
      <c r="A1772" t="s">
        <v>2012</v>
      </c>
      <c r="B1772" t="s">
        <v>2013</v>
      </c>
      <c r="C1772" t="s">
        <v>16</v>
      </c>
      <c r="D1772" t="s">
        <v>21</v>
      </c>
      <c r="E1772" t="s">
        <v>2038</v>
      </c>
      <c r="F1772" t="s">
        <v>2038</v>
      </c>
      <c r="G1772" s="2">
        <v>45714</v>
      </c>
      <c r="H1772" s="2">
        <v>45744</v>
      </c>
      <c r="I1772" s="1">
        <v>1632</v>
      </c>
      <c r="J1772">
        <v>1632</v>
      </c>
      <c r="K1772" t="s">
        <v>20</v>
      </c>
      <c r="L1772">
        <v>13</v>
      </c>
      <c r="M1772">
        <v>1632</v>
      </c>
    </row>
    <row r="1773" spans="1:13">
      <c r="A1773" t="s">
        <v>2012</v>
      </c>
      <c r="B1773" t="s">
        <v>2013</v>
      </c>
      <c r="C1773" t="s">
        <v>16</v>
      </c>
      <c r="D1773" t="s">
        <v>21</v>
      </c>
      <c r="E1773" t="s">
        <v>2039</v>
      </c>
      <c r="F1773" t="s">
        <v>2039</v>
      </c>
      <c r="G1773" s="2">
        <v>45714</v>
      </c>
      <c r="H1773" s="2">
        <v>45744</v>
      </c>
      <c r="I1773">
        <v>139.5</v>
      </c>
      <c r="J1773">
        <v>139.5</v>
      </c>
      <c r="K1773" t="s">
        <v>20</v>
      </c>
      <c r="L1773">
        <v>13</v>
      </c>
      <c r="M1773">
        <v>139.5</v>
      </c>
    </row>
    <row r="1774" spans="1:13">
      <c r="A1774" t="s">
        <v>2012</v>
      </c>
      <c r="B1774" t="s">
        <v>2013</v>
      </c>
      <c r="C1774" t="s">
        <v>16</v>
      </c>
      <c r="D1774" t="s">
        <v>21</v>
      </c>
      <c r="E1774" t="s">
        <v>2040</v>
      </c>
      <c r="F1774" t="s">
        <v>2040</v>
      </c>
      <c r="G1774" s="2">
        <v>45715</v>
      </c>
      <c r="H1774" s="2">
        <v>45745</v>
      </c>
      <c r="I1774">
        <v>546</v>
      </c>
      <c r="J1774">
        <v>546</v>
      </c>
      <c r="K1774" t="s">
        <v>20</v>
      </c>
      <c r="L1774">
        <v>13</v>
      </c>
      <c r="M1774">
        <v>546</v>
      </c>
    </row>
    <row r="1775" spans="1:13">
      <c r="A1775" t="s">
        <v>2012</v>
      </c>
      <c r="B1775" t="s">
        <v>2013</v>
      </c>
      <c r="C1775" t="s">
        <v>16</v>
      </c>
      <c r="D1775" t="s">
        <v>21</v>
      </c>
      <c r="E1775" t="s">
        <v>2041</v>
      </c>
      <c r="F1775" t="s">
        <v>2041</v>
      </c>
      <c r="G1775" s="2">
        <v>45716</v>
      </c>
      <c r="H1775" s="2">
        <v>45746</v>
      </c>
      <c r="I1775">
        <v>850</v>
      </c>
      <c r="J1775">
        <v>850</v>
      </c>
      <c r="K1775" t="s">
        <v>20</v>
      </c>
      <c r="L1775">
        <v>13</v>
      </c>
      <c r="M1775">
        <v>850</v>
      </c>
    </row>
    <row r="1776" spans="1:13">
      <c r="A1776" t="s">
        <v>2012</v>
      </c>
      <c r="B1776" t="s">
        <v>2013</v>
      </c>
      <c r="C1776" t="s">
        <v>16</v>
      </c>
      <c r="D1776" t="s">
        <v>21</v>
      </c>
      <c r="E1776" t="s">
        <v>2042</v>
      </c>
      <c r="F1776" t="s">
        <v>2042</v>
      </c>
      <c r="G1776" s="2">
        <v>45719</v>
      </c>
      <c r="H1776" s="2">
        <v>45749</v>
      </c>
      <c r="I1776" s="1">
        <v>1650</v>
      </c>
      <c r="J1776">
        <v>1650</v>
      </c>
      <c r="K1776" t="s">
        <v>20</v>
      </c>
      <c r="L1776">
        <v>0</v>
      </c>
      <c r="M1776">
        <v>0</v>
      </c>
    </row>
    <row r="1777" spans="1:13">
      <c r="A1777" t="s">
        <v>2012</v>
      </c>
      <c r="B1777" t="s">
        <v>2013</v>
      </c>
      <c r="C1777" t="s">
        <v>16</v>
      </c>
      <c r="D1777" t="s">
        <v>21</v>
      </c>
      <c r="E1777" t="s">
        <v>2043</v>
      </c>
      <c r="F1777" t="s">
        <v>2043</v>
      </c>
      <c r="G1777" s="2">
        <v>45722</v>
      </c>
      <c r="H1777" s="2">
        <v>45752</v>
      </c>
      <c r="I1777">
        <v>735</v>
      </c>
      <c r="J1777">
        <v>735</v>
      </c>
      <c r="K1777" t="s">
        <v>20</v>
      </c>
      <c r="L1777">
        <v>0</v>
      </c>
      <c r="M1777">
        <v>0</v>
      </c>
    </row>
    <row r="1778" spans="1:13">
      <c r="A1778" t="s">
        <v>2012</v>
      </c>
      <c r="B1778" t="s">
        <v>2013</v>
      </c>
      <c r="C1778" t="s">
        <v>16</v>
      </c>
      <c r="D1778" t="s">
        <v>21</v>
      </c>
      <c r="E1778" t="s">
        <v>2044</v>
      </c>
      <c r="F1778" t="s">
        <v>2044</v>
      </c>
      <c r="G1778" s="2">
        <v>45723</v>
      </c>
      <c r="H1778" s="2">
        <v>45753</v>
      </c>
      <c r="I1778" s="1">
        <v>3040</v>
      </c>
      <c r="J1778">
        <v>3040</v>
      </c>
      <c r="K1778" t="s">
        <v>20</v>
      </c>
      <c r="L1778">
        <v>0</v>
      </c>
      <c r="M1778">
        <v>0</v>
      </c>
    </row>
    <row r="1779" spans="1:13">
      <c r="A1779" t="s">
        <v>2012</v>
      </c>
      <c r="B1779" t="s">
        <v>2013</v>
      </c>
      <c r="C1779" t="s">
        <v>16</v>
      </c>
      <c r="D1779" t="s">
        <v>21</v>
      </c>
      <c r="E1779" t="s">
        <v>2045</v>
      </c>
      <c r="F1779" t="s">
        <v>2045</v>
      </c>
      <c r="G1779" s="2">
        <v>45723</v>
      </c>
      <c r="H1779" s="2">
        <v>45753</v>
      </c>
      <c r="I1779">
        <v>182</v>
      </c>
      <c r="J1779">
        <v>182</v>
      </c>
      <c r="K1779" t="s">
        <v>20</v>
      </c>
      <c r="L1779">
        <v>0</v>
      </c>
      <c r="M1779">
        <v>0</v>
      </c>
    </row>
    <row r="1780" spans="1:13">
      <c r="A1780" t="s">
        <v>2012</v>
      </c>
      <c r="B1780" t="s">
        <v>2013</v>
      </c>
      <c r="C1780" t="s">
        <v>16</v>
      </c>
      <c r="D1780" t="s">
        <v>21</v>
      </c>
      <c r="E1780" t="s">
        <v>2046</v>
      </c>
      <c r="F1780" t="s">
        <v>2046</v>
      </c>
      <c r="G1780" s="2">
        <v>45727</v>
      </c>
      <c r="H1780" s="2">
        <v>45757</v>
      </c>
      <c r="I1780" s="1">
        <v>1400</v>
      </c>
      <c r="J1780">
        <v>1400</v>
      </c>
      <c r="K1780" t="s">
        <v>20</v>
      </c>
      <c r="L1780">
        <v>0</v>
      </c>
      <c r="M1780">
        <v>0</v>
      </c>
    </row>
    <row r="1781" spans="1:13">
      <c r="A1781" t="s">
        <v>2012</v>
      </c>
      <c r="B1781" t="s">
        <v>2013</v>
      </c>
      <c r="C1781" t="s">
        <v>16</v>
      </c>
      <c r="D1781" t="s">
        <v>21</v>
      </c>
      <c r="E1781" t="s">
        <v>2047</v>
      </c>
      <c r="F1781" t="s">
        <v>2047</v>
      </c>
      <c r="G1781" s="2">
        <v>45728</v>
      </c>
      <c r="H1781" s="2">
        <v>45758</v>
      </c>
      <c r="I1781">
        <v>270</v>
      </c>
      <c r="J1781">
        <v>270</v>
      </c>
      <c r="K1781" t="s">
        <v>20</v>
      </c>
      <c r="L1781">
        <v>0</v>
      </c>
      <c r="M1781">
        <v>0</v>
      </c>
    </row>
    <row r="1782" spans="1:13">
      <c r="A1782" t="s">
        <v>2012</v>
      </c>
      <c r="B1782" t="s">
        <v>2013</v>
      </c>
      <c r="C1782" t="s">
        <v>16</v>
      </c>
      <c r="D1782" t="s">
        <v>21</v>
      </c>
      <c r="E1782" t="s">
        <v>2048</v>
      </c>
      <c r="F1782" t="s">
        <v>2048</v>
      </c>
      <c r="G1782" s="2">
        <v>45728</v>
      </c>
      <c r="H1782" s="2">
        <v>45758</v>
      </c>
      <c r="I1782">
        <v>234</v>
      </c>
      <c r="J1782">
        <v>234</v>
      </c>
      <c r="K1782" t="s">
        <v>20</v>
      </c>
      <c r="L1782">
        <v>0</v>
      </c>
      <c r="M1782">
        <v>0</v>
      </c>
    </row>
    <row r="1783" spans="1:13">
      <c r="A1783" t="s">
        <v>2012</v>
      </c>
      <c r="B1783" t="s">
        <v>2013</v>
      </c>
      <c r="C1783" t="s">
        <v>16</v>
      </c>
      <c r="D1783" t="s">
        <v>21</v>
      </c>
      <c r="E1783" t="s">
        <v>2049</v>
      </c>
      <c r="F1783" t="s">
        <v>2049</v>
      </c>
      <c r="G1783" s="2">
        <v>45728</v>
      </c>
      <c r="H1783" s="2">
        <v>45758</v>
      </c>
      <c r="I1783">
        <v>728</v>
      </c>
      <c r="J1783">
        <v>728</v>
      </c>
      <c r="K1783" t="s">
        <v>20</v>
      </c>
      <c r="L1783">
        <v>0</v>
      </c>
      <c r="M1783">
        <v>0</v>
      </c>
    </row>
    <row r="1784" spans="1:13">
      <c r="A1784" t="s">
        <v>2012</v>
      </c>
      <c r="B1784" t="s">
        <v>2013</v>
      </c>
      <c r="C1784" t="s">
        <v>16</v>
      </c>
      <c r="D1784" t="s">
        <v>21</v>
      </c>
      <c r="E1784" t="s">
        <v>2050</v>
      </c>
      <c r="F1784" t="s">
        <v>2050</v>
      </c>
      <c r="G1784" s="2">
        <v>45729</v>
      </c>
      <c r="H1784" s="2">
        <v>45759</v>
      </c>
      <c r="I1784">
        <v>904</v>
      </c>
      <c r="J1784">
        <v>904</v>
      </c>
      <c r="K1784" t="s">
        <v>20</v>
      </c>
      <c r="L1784">
        <v>0</v>
      </c>
      <c r="M1784">
        <v>0</v>
      </c>
    </row>
    <row r="1785" spans="1:13">
      <c r="A1785" t="s">
        <v>2012</v>
      </c>
      <c r="B1785" t="s">
        <v>2013</v>
      </c>
      <c r="C1785" t="s">
        <v>16</v>
      </c>
      <c r="D1785" t="s">
        <v>21</v>
      </c>
      <c r="E1785" t="s">
        <v>2051</v>
      </c>
      <c r="F1785" t="s">
        <v>2051</v>
      </c>
      <c r="G1785" s="2">
        <v>45733</v>
      </c>
      <c r="H1785" s="2">
        <v>45763</v>
      </c>
      <c r="I1785" s="1">
        <v>3673.6</v>
      </c>
      <c r="J1785">
        <v>3673.6</v>
      </c>
      <c r="K1785" t="s">
        <v>20</v>
      </c>
      <c r="L1785">
        <v>0</v>
      </c>
      <c r="M1785">
        <v>0</v>
      </c>
    </row>
    <row r="1786" spans="1:13">
      <c r="A1786" t="s">
        <v>2012</v>
      </c>
      <c r="B1786" t="s">
        <v>2013</v>
      </c>
      <c r="C1786" t="s">
        <v>16</v>
      </c>
      <c r="D1786" t="s">
        <v>21</v>
      </c>
      <c r="E1786" t="s">
        <v>2052</v>
      </c>
      <c r="F1786" t="s">
        <v>2052</v>
      </c>
      <c r="G1786" s="2">
        <v>45733</v>
      </c>
      <c r="H1786" s="2">
        <v>45763</v>
      </c>
      <c r="I1786">
        <v>867</v>
      </c>
      <c r="J1786">
        <v>867</v>
      </c>
      <c r="K1786" t="s">
        <v>20</v>
      </c>
      <c r="L1786">
        <v>0</v>
      </c>
      <c r="M1786">
        <v>0</v>
      </c>
    </row>
    <row r="1787" spans="1:13">
      <c r="A1787" t="s">
        <v>2012</v>
      </c>
      <c r="B1787" t="s">
        <v>2013</v>
      </c>
      <c r="C1787" t="s">
        <v>16</v>
      </c>
      <c r="D1787" t="s">
        <v>21</v>
      </c>
      <c r="E1787" t="s">
        <v>2053</v>
      </c>
      <c r="F1787" t="s">
        <v>2053</v>
      </c>
      <c r="G1787" s="2">
        <v>45736</v>
      </c>
      <c r="H1787" s="2">
        <v>45766</v>
      </c>
      <c r="I1787" s="1">
        <v>1435</v>
      </c>
      <c r="J1787">
        <v>1435</v>
      </c>
      <c r="K1787" t="s">
        <v>20</v>
      </c>
      <c r="L1787">
        <v>0</v>
      </c>
      <c r="M1787">
        <v>0</v>
      </c>
    </row>
    <row r="1788" spans="1:13">
      <c r="A1788" t="s">
        <v>2012</v>
      </c>
      <c r="B1788" t="s">
        <v>2013</v>
      </c>
      <c r="C1788" t="s">
        <v>16</v>
      </c>
      <c r="D1788" t="s">
        <v>21</v>
      </c>
      <c r="E1788" t="s">
        <v>2054</v>
      </c>
      <c r="F1788" t="s">
        <v>2054</v>
      </c>
      <c r="G1788" s="2">
        <v>45737</v>
      </c>
      <c r="H1788" s="2">
        <v>45767</v>
      </c>
      <c r="I1788" s="1">
        <v>5769.63</v>
      </c>
      <c r="J1788">
        <v>5769.63</v>
      </c>
      <c r="K1788" t="s">
        <v>20</v>
      </c>
      <c r="L1788">
        <v>0</v>
      </c>
      <c r="M1788">
        <v>0</v>
      </c>
    </row>
    <row r="1789" spans="1:13">
      <c r="A1789" t="s">
        <v>2012</v>
      </c>
      <c r="B1789" t="s">
        <v>2013</v>
      </c>
      <c r="C1789" t="s">
        <v>16</v>
      </c>
      <c r="D1789" t="s">
        <v>21</v>
      </c>
      <c r="E1789" t="s">
        <v>2055</v>
      </c>
      <c r="F1789" t="s">
        <v>2055</v>
      </c>
      <c r="G1789" s="2">
        <v>45737</v>
      </c>
      <c r="H1789" s="2">
        <v>45767</v>
      </c>
      <c r="I1789">
        <v>216</v>
      </c>
      <c r="J1789">
        <v>216</v>
      </c>
      <c r="K1789" t="s">
        <v>20</v>
      </c>
      <c r="L1789">
        <v>0</v>
      </c>
      <c r="M1789">
        <v>0</v>
      </c>
    </row>
    <row r="1790" spans="1:13">
      <c r="A1790" t="s">
        <v>2012</v>
      </c>
      <c r="B1790" t="s">
        <v>2013</v>
      </c>
      <c r="C1790" t="s">
        <v>16</v>
      </c>
      <c r="D1790" t="s">
        <v>21</v>
      </c>
      <c r="E1790" t="s">
        <v>2056</v>
      </c>
      <c r="F1790" t="s">
        <v>2056</v>
      </c>
      <c r="G1790" s="2">
        <v>45741</v>
      </c>
      <c r="H1790" s="2">
        <v>45771</v>
      </c>
      <c r="I1790" s="1">
        <v>1670</v>
      </c>
      <c r="J1790">
        <v>1670</v>
      </c>
      <c r="K1790" t="s">
        <v>20</v>
      </c>
      <c r="L1790">
        <v>0</v>
      </c>
      <c r="M1790">
        <v>0</v>
      </c>
    </row>
    <row r="1791" spans="1:13">
      <c r="A1791" t="s">
        <v>2057</v>
      </c>
      <c r="B1791" t="s">
        <v>2058</v>
      </c>
      <c r="C1791" t="s">
        <v>213</v>
      </c>
      <c r="D1791" t="s">
        <v>21</v>
      </c>
      <c r="E1791" t="s">
        <v>2059</v>
      </c>
      <c r="F1791" t="s">
        <v>2059</v>
      </c>
      <c r="G1791" s="2">
        <v>45666</v>
      </c>
      <c r="H1791" s="2">
        <v>45666</v>
      </c>
      <c r="I1791">
        <v>466</v>
      </c>
      <c r="J1791">
        <v>466</v>
      </c>
      <c r="K1791" t="s">
        <v>20</v>
      </c>
      <c r="L1791">
        <v>0</v>
      </c>
      <c r="M1791">
        <v>466</v>
      </c>
    </row>
    <row r="1792" spans="1:13">
      <c r="A1792" t="s">
        <v>2060</v>
      </c>
      <c r="B1792" t="s">
        <v>2061</v>
      </c>
      <c r="C1792" t="s">
        <v>16</v>
      </c>
      <c r="D1792" t="s">
        <v>55</v>
      </c>
      <c r="E1792" t="s">
        <v>19</v>
      </c>
      <c r="F1792" t="s">
        <v>19</v>
      </c>
      <c r="H1792" s="2">
        <v>45471</v>
      </c>
      <c r="I1792">
        <v>-536.64</v>
      </c>
      <c r="J1792">
        <v>-536.64</v>
      </c>
      <c r="K1792" t="s">
        <v>20</v>
      </c>
      <c r="L1792">
        <v>0</v>
      </c>
      <c r="M1792">
        <v>-536.64</v>
      </c>
    </row>
    <row r="1793" spans="1:13">
      <c r="A1793" t="s">
        <v>2062</v>
      </c>
      <c r="B1793" t="s">
        <v>2063</v>
      </c>
      <c r="C1793" t="s">
        <v>16</v>
      </c>
      <c r="D1793" t="s">
        <v>21</v>
      </c>
      <c r="E1793" t="s">
        <v>2064</v>
      </c>
      <c r="F1793" t="s">
        <v>2064</v>
      </c>
      <c r="G1793" s="2">
        <v>45672</v>
      </c>
      <c r="H1793" s="2">
        <v>45702</v>
      </c>
      <c r="I1793" s="1">
        <v>6331</v>
      </c>
      <c r="J1793">
        <v>6331</v>
      </c>
      <c r="K1793" t="s">
        <v>20</v>
      </c>
      <c r="L1793">
        <v>0</v>
      </c>
      <c r="M1793">
        <v>6331</v>
      </c>
    </row>
    <row r="1794" spans="1:13">
      <c r="A1794" t="s">
        <v>2065</v>
      </c>
      <c r="B1794" t="s">
        <v>2066</v>
      </c>
      <c r="C1794" t="s">
        <v>16</v>
      </c>
      <c r="D1794" t="s">
        <v>21</v>
      </c>
      <c r="E1794" t="s">
        <v>2067</v>
      </c>
      <c r="F1794" t="s">
        <v>2067</v>
      </c>
      <c r="G1794" s="2">
        <v>45303</v>
      </c>
      <c r="H1794" s="2">
        <v>45333</v>
      </c>
      <c r="I1794">
        <v>300</v>
      </c>
      <c r="J1794">
        <v>300</v>
      </c>
      <c r="K1794" t="s">
        <v>20</v>
      </c>
      <c r="L1794">
        <v>0</v>
      </c>
      <c r="M1794">
        <v>300</v>
      </c>
    </row>
    <row r="1795" spans="1:13">
      <c r="A1795" t="s">
        <v>2065</v>
      </c>
      <c r="B1795" t="s">
        <v>2066</v>
      </c>
      <c r="C1795" t="s">
        <v>16</v>
      </c>
      <c r="D1795" t="s">
        <v>21</v>
      </c>
      <c r="E1795" t="s">
        <v>2068</v>
      </c>
      <c r="F1795" t="s">
        <v>2068</v>
      </c>
      <c r="G1795" s="2">
        <v>45419</v>
      </c>
      <c r="H1795" s="2">
        <v>45449</v>
      </c>
      <c r="I1795" s="1">
        <v>5270</v>
      </c>
      <c r="J1795">
        <v>5270</v>
      </c>
      <c r="K1795" t="s">
        <v>20</v>
      </c>
      <c r="L1795">
        <v>0</v>
      </c>
      <c r="M1795">
        <v>5270</v>
      </c>
    </row>
    <row r="1796" spans="1:13">
      <c r="A1796" t="s">
        <v>2065</v>
      </c>
      <c r="B1796" t="s">
        <v>2066</v>
      </c>
      <c r="C1796" t="s">
        <v>16</v>
      </c>
      <c r="D1796" t="s">
        <v>21</v>
      </c>
      <c r="E1796" t="s">
        <v>2069</v>
      </c>
      <c r="F1796" t="s">
        <v>2069</v>
      </c>
      <c r="G1796" s="2">
        <v>45479</v>
      </c>
      <c r="H1796" s="2">
        <v>45509</v>
      </c>
      <c r="I1796" s="1">
        <v>3620</v>
      </c>
      <c r="J1796">
        <v>3620</v>
      </c>
      <c r="K1796" t="s">
        <v>20</v>
      </c>
      <c r="L1796">
        <v>0</v>
      </c>
      <c r="M1796">
        <v>3620</v>
      </c>
    </row>
    <row r="1797" spans="1:13">
      <c r="A1797" t="s">
        <v>2065</v>
      </c>
      <c r="B1797" t="s">
        <v>2066</v>
      </c>
      <c r="C1797" t="s">
        <v>16</v>
      </c>
      <c r="D1797" t="s">
        <v>21</v>
      </c>
      <c r="E1797" t="s">
        <v>2070</v>
      </c>
      <c r="F1797" t="s">
        <v>2070</v>
      </c>
      <c r="G1797" s="2">
        <v>45572</v>
      </c>
      <c r="H1797" s="2">
        <v>45602</v>
      </c>
      <c r="I1797" s="1">
        <v>10318.84</v>
      </c>
      <c r="J1797">
        <v>120</v>
      </c>
      <c r="K1797" t="s">
        <v>20</v>
      </c>
      <c r="L1797">
        <v>0</v>
      </c>
      <c r="M1797">
        <v>120</v>
      </c>
    </row>
    <row r="1798" spans="1:13">
      <c r="A1798" t="s">
        <v>2065</v>
      </c>
      <c r="B1798" t="s">
        <v>2066</v>
      </c>
      <c r="C1798" t="s">
        <v>16</v>
      </c>
      <c r="D1798" t="s">
        <v>17</v>
      </c>
      <c r="E1798" t="s">
        <v>2071</v>
      </c>
      <c r="F1798" t="s">
        <v>2070</v>
      </c>
      <c r="H1798" s="2">
        <v>45671</v>
      </c>
      <c r="I1798">
        <v>-24.41</v>
      </c>
      <c r="J1798" t="s">
        <v>86</v>
      </c>
      <c r="K1798" t="s">
        <v>20</v>
      </c>
      <c r="L1798">
        <v>0</v>
      </c>
      <c r="M1798" t="s">
        <v>86</v>
      </c>
    </row>
    <row r="1799" spans="1:13">
      <c r="A1799" t="s">
        <v>2065</v>
      </c>
      <c r="B1799" t="s">
        <v>2066</v>
      </c>
      <c r="C1799" t="s">
        <v>16</v>
      </c>
      <c r="D1799" t="s">
        <v>55</v>
      </c>
      <c r="E1799" t="s">
        <v>2070</v>
      </c>
      <c r="F1799" t="s">
        <v>2070</v>
      </c>
      <c r="H1799" s="2">
        <v>45610</v>
      </c>
      <c r="I1799" s="1">
        <v>-10174.43</v>
      </c>
      <c r="J1799" t="s">
        <v>86</v>
      </c>
      <c r="K1799" t="s">
        <v>20</v>
      </c>
      <c r="L1799">
        <v>0</v>
      </c>
      <c r="M1799" t="s">
        <v>86</v>
      </c>
    </row>
    <row r="1800" spans="1:13">
      <c r="A1800" t="s">
        <v>2065</v>
      </c>
      <c r="B1800" t="s">
        <v>2066</v>
      </c>
      <c r="C1800" t="s">
        <v>16</v>
      </c>
      <c r="D1800" t="s">
        <v>21</v>
      </c>
      <c r="E1800" t="s">
        <v>2072</v>
      </c>
      <c r="F1800" t="s">
        <v>2072</v>
      </c>
      <c r="G1800" s="2">
        <v>45574</v>
      </c>
      <c r="H1800" s="2">
        <v>45604</v>
      </c>
      <c r="I1800">
        <v>156</v>
      </c>
      <c r="J1800">
        <v>156</v>
      </c>
      <c r="K1800" t="s">
        <v>20</v>
      </c>
      <c r="L1800">
        <v>0</v>
      </c>
      <c r="M1800">
        <v>156</v>
      </c>
    </row>
    <row r="1801" spans="1:13">
      <c r="A1801" t="s">
        <v>2065</v>
      </c>
      <c r="B1801" t="s">
        <v>2066</v>
      </c>
      <c r="C1801" t="s">
        <v>16</v>
      </c>
      <c r="D1801" t="s">
        <v>21</v>
      </c>
      <c r="E1801" t="s">
        <v>2073</v>
      </c>
      <c r="F1801" t="s">
        <v>2073</v>
      </c>
      <c r="G1801" s="2">
        <v>45588</v>
      </c>
      <c r="H1801" s="2">
        <v>45618</v>
      </c>
      <c r="I1801" s="1">
        <v>21056</v>
      </c>
      <c r="J1801">
        <v>324</v>
      </c>
      <c r="K1801" t="s">
        <v>20</v>
      </c>
      <c r="L1801">
        <v>0</v>
      </c>
      <c r="M1801">
        <v>324</v>
      </c>
    </row>
    <row r="1802" spans="1:13">
      <c r="A1802" t="s">
        <v>2065</v>
      </c>
      <c r="B1802" t="s">
        <v>2066</v>
      </c>
      <c r="C1802" t="s">
        <v>16</v>
      </c>
      <c r="D1802" t="s">
        <v>55</v>
      </c>
      <c r="E1802" t="s">
        <v>2073</v>
      </c>
      <c r="F1802" t="s">
        <v>2073</v>
      </c>
      <c r="H1802" s="2">
        <v>45587</v>
      </c>
      <c r="I1802" s="1">
        <v>-20732</v>
      </c>
      <c r="J1802" t="s">
        <v>86</v>
      </c>
      <c r="K1802" t="s">
        <v>20</v>
      </c>
      <c r="L1802">
        <v>0</v>
      </c>
      <c r="M1802" t="s">
        <v>86</v>
      </c>
    </row>
    <row r="1803" spans="1:13">
      <c r="A1803" t="s">
        <v>2065</v>
      </c>
      <c r="B1803" t="s">
        <v>2066</v>
      </c>
      <c r="C1803" t="s">
        <v>16</v>
      </c>
      <c r="D1803" t="s">
        <v>21</v>
      </c>
      <c r="E1803" t="s">
        <v>2074</v>
      </c>
      <c r="F1803" t="s">
        <v>2074</v>
      </c>
      <c r="G1803" s="2">
        <v>45602</v>
      </c>
      <c r="H1803" s="2">
        <v>45632</v>
      </c>
      <c r="I1803" s="1">
        <v>5292</v>
      </c>
      <c r="J1803">
        <v>88.8</v>
      </c>
      <c r="K1803" t="s">
        <v>20</v>
      </c>
      <c r="L1803">
        <v>0</v>
      </c>
      <c r="M1803">
        <v>88.8</v>
      </c>
    </row>
    <row r="1804" spans="1:13">
      <c r="A1804" t="s">
        <v>2065</v>
      </c>
      <c r="B1804" t="s">
        <v>2066</v>
      </c>
      <c r="C1804" t="s">
        <v>16</v>
      </c>
      <c r="D1804" t="s">
        <v>55</v>
      </c>
      <c r="E1804" t="s">
        <v>2074</v>
      </c>
      <c r="F1804" t="s">
        <v>2074</v>
      </c>
      <c r="H1804" s="2">
        <v>45642</v>
      </c>
      <c r="I1804" s="1">
        <v>-5203.2</v>
      </c>
      <c r="J1804" t="s">
        <v>86</v>
      </c>
      <c r="K1804" t="s">
        <v>20</v>
      </c>
      <c r="L1804">
        <v>0</v>
      </c>
      <c r="M1804" t="s">
        <v>86</v>
      </c>
    </row>
    <row r="1805" spans="1:13">
      <c r="A1805" t="s">
        <v>2065</v>
      </c>
      <c r="B1805" t="s">
        <v>2066</v>
      </c>
      <c r="C1805" t="s">
        <v>16</v>
      </c>
      <c r="D1805" t="s">
        <v>21</v>
      </c>
      <c r="E1805" t="s">
        <v>2075</v>
      </c>
      <c r="F1805" t="s">
        <v>2075</v>
      </c>
      <c r="G1805" s="2">
        <v>45646</v>
      </c>
      <c r="H1805" s="2">
        <v>45676</v>
      </c>
      <c r="I1805" s="1">
        <v>13175.01</v>
      </c>
      <c r="J1805">
        <v>13175.01</v>
      </c>
      <c r="K1805" t="s">
        <v>20</v>
      </c>
      <c r="L1805">
        <v>0</v>
      </c>
      <c r="M1805">
        <v>13175.01</v>
      </c>
    </row>
    <row r="1806" spans="1:13">
      <c r="A1806" t="s">
        <v>2065</v>
      </c>
      <c r="B1806" t="s">
        <v>2066</v>
      </c>
      <c r="C1806" t="s">
        <v>16</v>
      </c>
      <c r="D1806" t="s">
        <v>21</v>
      </c>
      <c r="E1806" t="s">
        <v>2076</v>
      </c>
      <c r="F1806" t="s">
        <v>2076</v>
      </c>
      <c r="G1806" s="2">
        <v>45649</v>
      </c>
      <c r="H1806" s="2">
        <v>45679</v>
      </c>
      <c r="I1806" s="1">
        <v>5328</v>
      </c>
      <c r="J1806">
        <v>830</v>
      </c>
      <c r="K1806" t="s">
        <v>20</v>
      </c>
      <c r="L1806">
        <v>0</v>
      </c>
      <c r="M1806">
        <v>830</v>
      </c>
    </row>
    <row r="1807" spans="1:13">
      <c r="A1807" t="s">
        <v>2065</v>
      </c>
      <c r="B1807" t="s">
        <v>2066</v>
      </c>
      <c r="C1807" t="s">
        <v>16</v>
      </c>
      <c r="D1807" t="s">
        <v>55</v>
      </c>
      <c r="E1807" t="s">
        <v>2076</v>
      </c>
      <c r="F1807" t="s">
        <v>2076</v>
      </c>
      <c r="H1807" s="2">
        <v>45687</v>
      </c>
      <c r="I1807" s="1">
        <v>-4498</v>
      </c>
      <c r="J1807" t="s">
        <v>86</v>
      </c>
      <c r="K1807" t="s">
        <v>20</v>
      </c>
      <c r="L1807">
        <v>0</v>
      </c>
      <c r="M1807" t="s">
        <v>86</v>
      </c>
    </row>
    <row r="1808" spans="1:13">
      <c r="A1808" t="s">
        <v>2065</v>
      </c>
      <c r="B1808" t="s">
        <v>2066</v>
      </c>
      <c r="C1808" t="s">
        <v>16</v>
      </c>
      <c r="D1808" t="s">
        <v>21</v>
      </c>
      <c r="E1808" t="s">
        <v>2077</v>
      </c>
      <c r="F1808" t="s">
        <v>2077</v>
      </c>
      <c r="G1808" s="2">
        <v>45664</v>
      </c>
      <c r="H1808" s="2">
        <v>45694</v>
      </c>
      <c r="I1808" s="1">
        <v>54705.25</v>
      </c>
      <c r="J1808">
        <v>2971.75</v>
      </c>
      <c r="K1808" t="s">
        <v>20</v>
      </c>
      <c r="L1808">
        <v>0</v>
      </c>
      <c r="M1808">
        <v>2971.75</v>
      </c>
    </row>
    <row r="1809" spans="1:13">
      <c r="A1809" t="s">
        <v>2065</v>
      </c>
      <c r="B1809" t="s">
        <v>2066</v>
      </c>
      <c r="C1809" t="s">
        <v>16</v>
      </c>
      <c r="D1809" t="s">
        <v>55</v>
      </c>
      <c r="E1809" t="s">
        <v>2077</v>
      </c>
      <c r="F1809" t="s">
        <v>2077</v>
      </c>
      <c r="H1809" s="2">
        <v>45706</v>
      </c>
      <c r="I1809" s="1">
        <v>-51733.5</v>
      </c>
      <c r="J1809" t="s">
        <v>86</v>
      </c>
      <c r="K1809" t="s">
        <v>20</v>
      </c>
      <c r="L1809">
        <v>0</v>
      </c>
      <c r="M1809" t="s">
        <v>86</v>
      </c>
    </row>
    <row r="1810" spans="1:13">
      <c r="A1810" t="s">
        <v>2065</v>
      </c>
      <c r="B1810" t="s">
        <v>2066</v>
      </c>
      <c r="C1810" t="s">
        <v>16</v>
      </c>
      <c r="D1810" t="s">
        <v>21</v>
      </c>
      <c r="E1810" t="s">
        <v>2078</v>
      </c>
      <c r="F1810" t="s">
        <v>2078</v>
      </c>
      <c r="G1810" s="2">
        <v>45670</v>
      </c>
      <c r="H1810" s="2">
        <v>45700</v>
      </c>
      <c r="I1810">
        <v>77</v>
      </c>
      <c r="J1810">
        <v>77</v>
      </c>
      <c r="K1810" t="s">
        <v>20</v>
      </c>
      <c r="L1810">
        <v>0</v>
      </c>
      <c r="M1810">
        <v>77</v>
      </c>
    </row>
    <row r="1811" spans="1:13">
      <c r="A1811" t="s">
        <v>2065</v>
      </c>
      <c r="B1811" t="s">
        <v>2066</v>
      </c>
      <c r="C1811" t="s">
        <v>16</v>
      </c>
      <c r="D1811" t="s">
        <v>21</v>
      </c>
      <c r="E1811" t="s">
        <v>2079</v>
      </c>
      <c r="F1811" t="s">
        <v>2079</v>
      </c>
      <c r="G1811" s="2">
        <v>45679</v>
      </c>
      <c r="H1811" s="2">
        <v>45709</v>
      </c>
      <c r="I1811">
        <v>48</v>
      </c>
      <c r="J1811">
        <v>48</v>
      </c>
      <c r="K1811" t="s">
        <v>20</v>
      </c>
      <c r="L1811">
        <v>0</v>
      </c>
      <c r="M1811">
        <v>48</v>
      </c>
    </row>
    <row r="1812" spans="1:13">
      <c r="A1812" t="s">
        <v>2065</v>
      </c>
      <c r="B1812" t="s">
        <v>2066</v>
      </c>
      <c r="C1812" t="s">
        <v>16</v>
      </c>
      <c r="D1812" t="s">
        <v>21</v>
      </c>
      <c r="E1812" t="s">
        <v>2080</v>
      </c>
      <c r="F1812" t="s">
        <v>2080</v>
      </c>
      <c r="G1812" s="2">
        <v>45688</v>
      </c>
      <c r="H1812" s="2">
        <v>45718</v>
      </c>
      <c r="I1812" s="1">
        <v>6927.76</v>
      </c>
      <c r="J1812">
        <v>6927.76</v>
      </c>
      <c r="K1812" t="s">
        <v>20</v>
      </c>
      <c r="L1812">
        <v>10</v>
      </c>
      <c r="M1812">
        <v>6927.76</v>
      </c>
    </row>
    <row r="1813" spans="1:13">
      <c r="A1813" t="s">
        <v>2065</v>
      </c>
      <c r="B1813" t="s">
        <v>2066</v>
      </c>
      <c r="C1813" t="s">
        <v>16</v>
      </c>
      <c r="D1813" t="s">
        <v>21</v>
      </c>
      <c r="E1813" t="s">
        <v>2081</v>
      </c>
      <c r="F1813" t="s">
        <v>2081</v>
      </c>
      <c r="G1813" s="2">
        <v>45726</v>
      </c>
      <c r="H1813" s="2">
        <v>45726</v>
      </c>
      <c r="I1813" s="1">
        <v>17250</v>
      </c>
      <c r="J1813">
        <v>17250</v>
      </c>
      <c r="K1813" t="s">
        <v>20</v>
      </c>
      <c r="L1813">
        <v>11</v>
      </c>
      <c r="M1813">
        <v>17250</v>
      </c>
    </row>
    <row r="1814" spans="1:13">
      <c r="A1814" t="s">
        <v>2065</v>
      </c>
      <c r="B1814" t="s">
        <v>2066</v>
      </c>
      <c r="C1814" t="s">
        <v>16</v>
      </c>
      <c r="D1814" t="s">
        <v>21</v>
      </c>
      <c r="E1814" t="s">
        <v>2082</v>
      </c>
      <c r="F1814" t="s">
        <v>2082</v>
      </c>
      <c r="G1814" s="2">
        <v>45715</v>
      </c>
      <c r="H1814" s="2">
        <v>45745</v>
      </c>
      <c r="I1814" s="1">
        <v>1230.1199999999999</v>
      </c>
      <c r="J1814">
        <v>1230.1199999999999</v>
      </c>
      <c r="K1814" t="s">
        <v>20</v>
      </c>
      <c r="L1814">
        <v>13</v>
      </c>
      <c r="M1814">
        <v>1230.1199999999999</v>
      </c>
    </row>
    <row r="1815" spans="1:13">
      <c r="A1815" t="s">
        <v>2065</v>
      </c>
      <c r="B1815" t="s">
        <v>2066</v>
      </c>
      <c r="C1815" t="s">
        <v>16</v>
      </c>
      <c r="D1815" t="s">
        <v>21</v>
      </c>
      <c r="E1815" t="s">
        <v>2083</v>
      </c>
      <c r="F1815" t="s">
        <v>2083</v>
      </c>
      <c r="G1815" s="2">
        <v>45716</v>
      </c>
      <c r="H1815" s="2">
        <v>45746</v>
      </c>
      <c r="I1815" s="1">
        <v>2214</v>
      </c>
      <c r="J1815">
        <v>2214</v>
      </c>
      <c r="K1815" t="s">
        <v>20</v>
      </c>
      <c r="L1815">
        <v>13</v>
      </c>
      <c r="M1815">
        <v>2214</v>
      </c>
    </row>
    <row r="1816" spans="1:13">
      <c r="A1816" t="s">
        <v>2065</v>
      </c>
      <c r="B1816" t="s">
        <v>2066</v>
      </c>
      <c r="C1816" t="s">
        <v>16</v>
      </c>
      <c r="D1816" t="s">
        <v>21</v>
      </c>
      <c r="E1816" t="s">
        <v>2084</v>
      </c>
      <c r="F1816" t="s">
        <v>2084</v>
      </c>
      <c r="G1816" s="2">
        <v>45720</v>
      </c>
      <c r="H1816" s="2">
        <v>45750</v>
      </c>
      <c r="I1816">
        <v>234</v>
      </c>
      <c r="J1816">
        <v>234</v>
      </c>
      <c r="K1816" t="s">
        <v>20</v>
      </c>
      <c r="L1816">
        <v>0</v>
      </c>
      <c r="M1816">
        <v>0</v>
      </c>
    </row>
    <row r="1817" spans="1:13">
      <c r="A1817" t="s">
        <v>2065</v>
      </c>
      <c r="B1817" t="s">
        <v>2066</v>
      </c>
      <c r="C1817" t="s">
        <v>16</v>
      </c>
      <c r="D1817" t="s">
        <v>21</v>
      </c>
      <c r="E1817" t="s">
        <v>2085</v>
      </c>
      <c r="F1817" t="s">
        <v>2085</v>
      </c>
      <c r="G1817" s="2">
        <v>45720</v>
      </c>
      <c r="H1817" s="2">
        <v>45750</v>
      </c>
      <c r="I1817">
        <v>144</v>
      </c>
      <c r="J1817">
        <v>144</v>
      </c>
      <c r="K1817" t="s">
        <v>20</v>
      </c>
      <c r="L1817">
        <v>0</v>
      </c>
      <c r="M1817">
        <v>0</v>
      </c>
    </row>
    <row r="1818" spans="1:13">
      <c r="A1818" t="s">
        <v>2065</v>
      </c>
      <c r="B1818" t="s">
        <v>2066</v>
      </c>
      <c r="C1818" t="s">
        <v>16</v>
      </c>
      <c r="D1818" t="s">
        <v>21</v>
      </c>
      <c r="E1818" t="s">
        <v>2086</v>
      </c>
      <c r="F1818" t="s">
        <v>2086</v>
      </c>
      <c r="G1818" s="2">
        <v>45727</v>
      </c>
      <c r="H1818" s="2">
        <v>45757</v>
      </c>
      <c r="I1818" s="1">
        <v>2970</v>
      </c>
      <c r="J1818">
        <v>2970</v>
      </c>
      <c r="K1818" t="s">
        <v>20</v>
      </c>
      <c r="L1818">
        <v>0</v>
      </c>
      <c r="M1818">
        <v>0</v>
      </c>
    </row>
    <row r="1819" spans="1:13">
      <c r="A1819" t="s">
        <v>2065</v>
      </c>
      <c r="B1819" t="s">
        <v>2066</v>
      </c>
      <c r="C1819" t="s">
        <v>16</v>
      </c>
      <c r="D1819" t="s">
        <v>21</v>
      </c>
      <c r="E1819" t="s">
        <v>2087</v>
      </c>
      <c r="F1819" t="s">
        <v>2087</v>
      </c>
      <c r="G1819" s="2">
        <v>45729</v>
      </c>
      <c r="H1819" s="2">
        <v>45759</v>
      </c>
      <c r="I1819" s="1">
        <v>1740</v>
      </c>
      <c r="J1819">
        <v>1740</v>
      </c>
      <c r="K1819" t="s">
        <v>20</v>
      </c>
      <c r="L1819">
        <v>0</v>
      </c>
      <c r="M1819">
        <v>0</v>
      </c>
    </row>
    <row r="1820" spans="1:13">
      <c r="A1820" t="s">
        <v>2065</v>
      </c>
      <c r="B1820" t="s">
        <v>2066</v>
      </c>
      <c r="C1820" t="s">
        <v>16</v>
      </c>
      <c r="D1820" t="s">
        <v>21</v>
      </c>
      <c r="E1820" t="s">
        <v>2088</v>
      </c>
      <c r="F1820" t="s">
        <v>2088</v>
      </c>
      <c r="G1820" s="2">
        <v>45733</v>
      </c>
      <c r="H1820" s="2">
        <v>45763</v>
      </c>
      <c r="I1820" s="1">
        <v>2184.52</v>
      </c>
      <c r="J1820">
        <v>2184.52</v>
      </c>
      <c r="K1820" t="s">
        <v>20</v>
      </c>
      <c r="L1820">
        <v>0</v>
      </c>
      <c r="M1820">
        <v>0</v>
      </c>
    </row>
    <row r="1821" spans="1:13">
      <c r="A1821" t="s">
        <v>2065</v>
      </c>
      <c r="B1821" t="s">
        <v>2066</v>
      </c>
      <c r="C1821" t="s">
        <v>16</v>
      </c>
      <c r="D1821" t="s">
        <v>21</v>
      </c>
      <c r="E1821" t="s">
        <v>2089</v>
      </c>
      <c r="F1821" t="s">
        <v>2089</v>
      </c>
      <c r="G1821" s="2">
        <v>45733</v>
      </c>
      <c r="H1821" s="2">
        <v>45763</v>
      </c>
      <c r="I1821" s="1">
        <v>9718.7999999999993</v>
      </c>
      <c r="J1821">
        <v>9718.7999999999993</v>
      </c>
      <c r="K1821" t="s">
        <v>20</v>
      </c>
      <c r="L1821">
        <v>0</v>
      </c>
      <c r="M1821">
        <v>0</v>
      </c>
    </row>
    <row r="1822" spans="1:13">
      <c r="A1822" t="s">
        <v>2065</v>
      </c>
      <c r="B1822" t="s">
        <v>2066</v>
      </c>
      <c r="C1822" t="s">
        <v>16</v>
      </c>
      <c r="D1822" t="s">
        <v>21</v>
      </c>
      <c r="E1822" t="s">
        <v>2090</v>
      </c>
      <c r="F1822" t="s">
        <v>2090</v>
      </c>
      <c r="G1822" s="2">
        <v>45734</v>
      </c>
      <c r="H1822" s="2">
        <v>45764</v>
      </c>
      <c r="I1822">
        <v>48</v>
      </c>
      <c r="J1822">
        <v>48</v>
      </c>
      <c r="K1822" t="s">
        <v>20</v>
      </c>
      <c r="L1822">
        <v>0</v>
      </c>
      <c r="M1822">
        <v>0</v>
      </c>
    </row>
    <row r="1823" spans="1:13">
      <c r="A1823" t="s">
        <v>2065</v>
      </c>
      <c r="B1823" t="s">
        <v>2066</v>
      </c>
      <c r="C1823" t="s">
        <v>16</v>
      </c>
      <c r="D1823" t="s">
        <v>21</v>
      </c>
      <c r="E1823" t="s">
        <v>2091</v>
      </c>
      <c r="F1823" t="s">
        <v>2091</v>
      </c>
      <c r="G1823" s="2">
        <v>45736</v>
      </c>
      <c r="H1823" s="2">
        <v>45766</v>
      </c>
      <c r="I1823" s="1">
        <v>7392</v>
      </c>
      <c r="J1823">
        <v>7392</v>
      </c>
      <c r="K1823" t="s">
        <v>20</v>
      </c>
      <c r="L1823">
        <v>0</v>
      </c>
      <c r="M1823">
        <v>0</v>
      </c>
    </row>
    <row r="1824" spans="1:13">
      <c r="A1824" t="s">
        <v>2092</v>
      </c>
      <c r="B1824" t="s">
        <v>2093</v>
      </c>
      <c r="C1824" t="s">
        <v>16</v>
      </c>
      <c r="D1824" t="s">
        <v>21</v>
      </c>
      <c r="E1824" t="s">
        <v>2094</v>
      </c>
      <c r="F1824" t="s">
        <v>2094</v>
      </c>
      <c r="G1824" s="2">
        <v>45505</v>
      </c>
      <c r="H1824" s="2">
        <v>45535</v>
      </c>
      <c r="I1824">
        <v>421.21</v>
      </c>
      <c r="J1824">
        <v>421.21</v>
      </c>
      <c r="K1824" t="s">
        <v>20</v>
      </c>
      <c r="L1824">
        <v>0</v>
      </c>
      <c r="M1824">
        <v>421.21</v>
      </c>
    </row>
    <row r="1825" spans="1:13">
      <c r="A1825" t="s">
        <v>2092</v>
      </c>
      <c r="B1825" t="s">
        <v>2093</v>
      </c>
      <c r="C1825" t="s">
        <v>16</v>
      </c>
      <c r="D1825" t="s">
        <v>21</v>
      </c>
      <c r="E1825" t="s">
        <v>2095</v>
      </c>
      <c r="F1825" t="s">
        <v>2095</v>
      </c>
      <c r="G1825" s="2">
        <v>45511</v>
      </c>
      <c r="H1825" s="2">
        <v>45541</v>
      </c>
      <c r="I1825">
        <v>118</v>
      </c>
      <c r="J1825">
        <v>118</v>
      </c>
      <c r="K1825" t="s">
        <v>20</v>
      </c>
      <c r="L1825">
        <v>0</v>
      </c>
      <c r="M1825">
        <v>118</v>
      </c>
    </row>
    <row r="1826" spans="1:13">
      <c r="A1826" t="s">
        <v>2092</v>
      </c>
      <c r="B1826" t="s">
        <v>2093</v>
      </c>
      <c r="C1826" t="s">
        <v>16</v>
      </c>
      <c r="D1826" t="s">
        <v>21</v>
      </c>
      <c r="E1826" t="s">
        <v>2096</v>
      </c>
      <c r="F1826" t="s">
        <v>2096</v>
      </c>
      <c r="G1826" s="2">
        <v>45513</v>
      </c>
      <c r="H1826" s="2">
        <v>45543</v>
      </c>
      <c r="I1826" s="1">
        <v>2013.5</v>
      </c>
      <c r="J1826">
        <v>2013.5</v>
      </c>
      <c r="K1826" t="s">
        <v>20</v>
      </c>
      <c r="L1826">
        <v>0</v>
      </c>
      <c r="M1826">
        <v>2013.5</v>
      </c>
    </row>
    <row r="1827" spans="1:13">
      <c r="A1827" t="s">
        <v>2092</v>
      </c>
      <c r="B1827" t="s">
        <v>2093</v>
      </c>
      <c r="C1827" t="s">
        <v>16</v>
      </c>
      <c r="D1827" t="s">
        <v>21</v>
      </c>
      <c r="E1827" t="s">
        <v>2097</v>
      </c>
      <c r="F1827" t="s">
        <v>2097</v>
      </c>
      <c r="G1827" s="2">
        <v>45519</v>
      </c>
      <c r="H1827" s="2">
        <v>45549</v>
      </c>
      <c r="I1827" s="1">
        <v>12358.44</v>
      </c>
      <c r="J1827">
        <v>12358.44</v>
      </c>
      <c r="K1827" t="s">
        <v>20</v>
      </c>
      <c r="L1827">
        <v>0</v>
      </c>
      <c r="M1827">
        <v>12358.44</v>
      </c>
    </row>
    <row r="1828" spans="1:13">
      <c r="A1828" t="s">
        <v>2098</v>
      </c>
      <c r="B1828" t="s">
        <v>2099</v>
      </c>
      <c r="C1828" t="s">
        <v>16</v>
      </c>
      <c r="D1828" t="s">
        <v>55</v>
      </c>
      <c r="E1828" t="s">
        <v>19</v>
      </c>
      <c r="F1828" t="s">
        <v>19</v>
      </c>
      <c r="H1828" s="2">
        <v>45098</v>
      </c>
      <c r="I1828">
        <v>-112.66</v>
      </c>
      <c r="J1828">
        <v>-112.66</v>
      </c>
      <c r="K1828" t="s">
        <v>20</v>
      </c>
      <c r="L1828">
        <v>0</v>
      </c>
      <c r="M1828">
        <v>-112.66</v>
      </c>
    </row>
    <row r="1829" spans="1:13">
      <c r="A1829" t="s">
        <v>2098</v>
      </c>
      <c r="B1829" t="s">
        <v>2099</v>
      </c>
      <c r="C1829" t="s">
        <v>16</v>
      </c>
      <c r="D1829" t="s">
        <v>21</v>
      </c>
      <c r="E1829" t="s">
        <v>2100</v>
      </c>
      <c r="F1829" t="s">
        <v>2100</v>
      </c>
      <c r="G1829" s="2">
        <v>45320</v>
      </c>
      <c r="H1829" s="2">
        <v>45350</v>
      </c>
      <c r="I1829">
        <v>12</v>
      </c>
      <c r="J1829">
        <v>12</v>
      </c>
      <c r="K1829" t="s">
        <v>20</v>
      </c>
      <c r="L1829">
        <v>0</v>
      </c>
      <c r="M1829">
        <v>12</v>
      </c>
    </row>
    <row r="1830" spans="1:13">
      <c r="A1830" t="s">
        <v>2098</v>
      </c>
      <c r="B1830" t="s">
        <v>2099</v>
      </c>
      <c r="C1830" t="s">
        <v>16</v>
      </c>
      <c r="D1830" t="s">
        <v>17</v>
      </c>
      <c r="E1830" t="s">
        <v>2101</v>
      </c>
      <c r="F1830" t="s">
        <v>19</v>
      </c>
      <c r="H1830" s="2">
        <v>45519</v>
      </c>
      <c r="I1830">
        <v>-19.47</v>
      </c>
      <c r="J1830">
        <v>-19.47</v>
      </c>
      <c r="K1830" t="s">
        <v>20</v>
      </c>
      <c r="L1830">
        <v>0</v>
      </c>
      <c r="M1830">
        <v>-19.47</v>
      </c>
    </row>
    <row r="1831" spans="1:13">
      <c r="A1831" t="s">
        <v>2098</v>
      </c>
      <c r="B1831" t="s">
        <v>2099</v>
      </c>
      <c r="C1831" t="s">
        <v>16</v>
      </c>
      <c r="D1831" t="s">
        <v>21</v>
      </c>
      <c r="E1831" t="s">
        <v>2102</v>
      </c>
      <c r="F1831" t="s">
        <v>2102</v>
      </c>
      <c r="G1831" s="2">
        <v>45523</v>
      </c>
      <c r="H1831" s="2">
        <v>45553</v>
      </c>
      <c r="I1831">
        <v>334</v>
      </c>
      <c r="J1831">
        <v>334</v>
      </c>
      <c r="K1831" t="s">
        <v>20</v>
      </c>
      <c r="L1831">
        <v>0</v>
      </c>
      <c r="M1831">
        <v>334</v>
      </c>
    </row>
    <row r="1832" spans="1:13">
      <c r="A1832" t="s">
        <v>2098</v>
      </c>
      <c r="B1832" t="s">
        <v>2099</v>
      </c>
      <c r="C1832" t="s">
        <v>16</v>
      </c>
      <c r="D1832" t="s">
        <v>21</v>
      </c>
      <c r="E1832" t="s">
        <v>2103</v>
      </c>
      <c r="F1832" t="s">
        <v>2103</v>
      </c>
      <c r="G1832" s="2">
        <v>45575</v>
      </c>
      <c r="H1832" s="2">
        <v>45605</v>
      </c>
      <c r="I1832">
        <v>253.33</v>
      </c>
      <c r="J1832">
        <v>253.33</v>
      </c>
      <c r="K1832" t="s">
        <v>20</v>
      </c>
      <c r="L1832">
        <v>0</v>
      </c>
      <c r="M1832">
        <v>253.33</v>
      </c>
    </row>
    <row r="1833" spans="1:13">
      <c r="A1833" t="s">
        <v>2098</v>
      </c>
      <c r="B1833" t="s">
        <v>2099</v>
      </c>
      <c r="C1833" t="s">
        <v>16</v>
      </c>
      <c r="D1833" t="s">
        <v>21</v>
      </c>
      <c r="E1833" t="s">
        <v>2104</v>
      </c>
      <c r="F1833" t="s">
        <v>2104</v>
      </c>
      <c r="G1833" s="2">
        <v>45622</v>
      </c>
      <c r="H1833" s="2">
        <v>45652</v>
      </c>
      <c r="I1833">
        <v>456.17</v>
      </c>
      <c r="J1833">
        <v>456.17</v>
      </c>
      <c r="K1833" t="s">
        <v>20</v>
      </c>
      <c r="L1833">
        <v>0</v>
      </c>
      <c r="M1833">
        <v>456.17</v>
      </c>
    </row>
    <row r="1834" spans="1:13">
      <c r="A1834" t="s">
        <v>2098</v>
      </c>
      <c r="B1834" t="s">
        <v>2099</v>
      </c>
      <c r="C1834" t="s">
        <v>16</v>
      </c>
      <c r="D1834" t="s">
        <v>21</v>
      </c>
      <c r="E1834" t="s">
        <v>2105</v>
      </c>
      <c r="F1834" t="s">
        <v>2105</v>
      </c>
      <c r="G1834" s="2">
        <v>45671</v>
      </c>
      <c r="H1834" s="2">
        <v>45701</v>
      </c>
      <c r="I1834">
        <v>219</v>
      </c>
      <c r="J1834">
        <v>219</v>
      </c>
      <c r="K1834" t="s">
        <v>20</v>
      </c>
      <c r="L1834">
        <v>0</v>
      </c>
      <c r="M1834">
        <v>219</v>
      </c>
    </row>
    <row r="1835" spans="1:13">
      <c r="A1835" t="s">
        <v>2098</v>
      </c>
      <c r="B1835" t="s">
        <v>2099</v>
      </c>
      <c r="C1835" t="s">
        <v>16</v>
      </c>
      <c r="D1835" t="s">
        <v>21</v>
      </c>
      <c r="E1835" t="s">
        <v>2106</v>
      </c>
      <c r="F1835" t="s">
        <v>2106</v>
      </c>
      <c r="G1835" s="2">
        <v>45688</v>
      </c>
      <c r="H1835" s="2">
        <v>45718</v>
      </c>
      <c r="I1835">
        <v>103.96</v>
      </c>
      <c r="J1835">
        <v>103.96</v>
      </c>
      <c r="K1835" t="s">
        <v>20</v>
      </c>
      <c r="L1835">
        <v>10</v>
      </c>
      <c r="M1835">
        <v>103.96</v>
      </c>
    </row>
    <row r="1836" spans="1:13">
      <c r="A1836" t="s">
        <v>2098</v>
      </c>
      <c r="B1836" t="s">
        <v>2099</v>
      </c>
      <c r="C1836" t="s">
        <v>16</v>
      </c>
      <c r="D1836" t="s">
        <v>21</v>
      </c>
      <c r="E1836" t="s">
        <v>2107</v>
      </c>
      <c r="F1836" t="s">
        <v>2107</v>
      </c>
      <c r="G1836" s="2">
        <v>45688</v>
      </c>
      <c r="H1836" s="2">
        <v>45718</v>
      </c>
      <c r="I1836">
        <v>309.25</v>
      </c>
      <c r="J1836">
        <v>309.25</v>
      </c>
      <c r="K1836" t="s">
        <v>20</v>
      </c>
      <c r="L1836">
        <v>10</v>
      </c>
      <c r="M1836">
        <v>309.25</v>
      </c>
    </row>
    <row r="1837" spans="1:13">
      <c r="A1837" t="s">
        <v>2098</v>
      </c>
      <c r="B1837" t="s">
        <v>2099</v>
      </c>
      <c r="C1837" t="s">
        <v>16</v>
      </c>
      <c r="D1837" t="s">
        <v>21</v>
      </c>
      <c r="E1837" t="s">
        <v>2108</v>
      </c>
      <c r="F1837" t="s">
        <v>2108</v>
      </c>
      <c r="G1837" s="2">
        <v>45729</v>
      </c>
      <c r="H1837" s="2">
        <v>45759</v>
      </c>
      <c r="I1837" s="1">
        <v>32720.52</v>
      </c>
      <c r="J1837">
        <v>32720.52</v>
      </c>
      <c r="K1837" t="s">
        <v>20</v>
      </c>
      <c r="L1837">
        <v>0</v>
      </c>
      <c r="M1837">
        <v>0</v>
      </c>
    </row>
    <row r="1838" spans="1:13">
      <c r="A1838" t="s">
        <v>2098</v>
      </c>
      <c r="B1838" t="s">
        <v>2099</v>
      </c>
      <c r="C1838" t="s">
        <v>16</v>
      </c>
      <c r="D1838" t="s">
        <v>21</v>
      </c>
      <c r="E1838" t="s">
        <v>2109</v>
      </c>
      <c r="F1838" t="s">
        <v>2109</v>
      </c>
      <c r="G1838" s="2">
        <v>45729</v>
      </c>
      <c r="H1838" s="2">
        <v>45759</v>
      </c>
      <c r="I1838" s="1">
        <v>27367.08</v>
      </c>
      <c r="J1838">
        <v>27367.08</v>
      </c>
      <c r="K1838" t="s">
        <v>20</v>
      </c>
      <c r="L1838">
        <v>0</v>
      </c>
      <c r="M1838">
        <v>0</v>
      </c>
    </row>
    <row r="1839" spans="1:13">
      <c r="A1839" t="s">
        <v>2098</v>
      </c>
      <c r="B1839" t="s">
        <v>2099</v>
      </c>
      <c r="C1839" t="s">
        <v>16</v>
      </c>
      <c r="D1839" t="s">
        <v>21</v>
      </c>
      <c r="E1839" t="s">
        <v>2110</v>
      </c>
      <c r="F1839" t="s">
        <v>2110</v>
      </c>
      <c r="G1839" s="2">
        <v>45733</v>
      </c>
      <c r="H1839" s="2">
        <v>45763</v>
      </c>
      <c r="I1839" s="1">
        <v>25980.48</v>
      </c>
      <c r="J1839">
        <v>25980.48</v>
      </c>
      <c r="K1839" t="s">
        <v>20</v>
      </c>
      <c r="L1839">
        <v>0</v>
      </c>
      <c r="M1839">
        <v>0</v>
      </c>
    </row>
    <row r="1840" spans="1:13">
      <c r="A1840" t="s">
        <v>2111</v>
      </c>
      <c r="B1840" t="s">
        <v>2112</v>
      </c>
      <c r="C1840" t="s">
        <v>16</v>
      </c>
      <c r="D1840" t="s">
        <v>21</v>
      </c>
      <c r="E1840" t="s">
        <v>2113</v>
      </c>
      <c r="F1840" t="s">
        <v>2113</v>
      </c>
      <c r="G1840" s="2">
        <v>45699</v>
      </c>
      <c r="H1840" s="2">
        <v>45729</v>
      </c>
      <c r="I1840" s="1">
        <v>10107.58</v>
      </c>
      <c r="J1840">
        <v>10107.58</v>
      </c>
      <c r="K1840" t="s">
        <v>20</v>
      </c>
      <c r="L1840">
        <v>11</v>
      </c>
      <c r="M1840">
        <v>10107.58</v>
      </c>
    </row>
    <row r="1841" spans="1:13">
      <c r="A1841" t="s">
        <v>2111</v>
      </c>
      <c r="B1841" t="s">
        <v>2112</v>
      </c>
      <c r="C1841" t="s">
        <v>16</v>
      </c>
      <c r="D1841" t="s">
        <v>21</v>
      </c>
      <c r="E1841" t="s">
        <v>2114</v>
      </c>
      <c r="F1841" t="s">
        <v>2114</v>
      </c>
      <c r="G1841" s="2">
        <v>45699</v>
      </c>
      <c r="H1841" s="2">
        <v>45729</v>
      </c>
      <c r="I1841" s="1">
        <v>6472</v>
      </c>
      <c r="J1841">
        <v>6472</v>
      </c>
      <c r="K1841" t="s">
        <v>20</v>
      </c>
      <c r="L1841">
        <v>11</v>
      </c>
      <c r="M1841">
        <v>6472</v>
      </c>
    </row>
    <row r="1842" spans="1:13">
      <c r="A1842" t="s">
        <v>2111</v>
      </c>
      <c r="B1842" t="s">
        <v>2112</v>
      </c>
      <c r="C1842" t="s">
        <v>16</v>
      </c>
      <c r="D1842" t="s">
        <v>21</v>
      </c>
      <c r="E1842" t="s">
        <v>2115</v>
      </c>
      <c r="F1842" t="s">
        <v>2115</v>
      </c>
      <c r="G1842" s="2">
        <v>45713</v>
      </c>
      <c r="H1842" s="2">
        <v>45743</v>
      </c>
      <c r="I1842" s="1">
        <v>9215</v>
      </c>
      <c r="J1842">
        <v>9215</v>
      </c>
      <c r="K1842" t="s">
        <v>20</v>
      </c>
      <c r="L1842">
        <v>13</v>
      </c>
      <c r="M1842">
        <v>9215</v>
      </c>
    </row>
    <row r="1843" spans="1:13">
      <c r="A1843" t="s">
        <v>2111</v>
      </c>
      <c r="B1843" t="s">
        <v>2112</v>
      </c>
      <c r="C1843" t="s">
        <v>16</v>
      </c>
      <c r="D1843" t="s">
        <v>21</v>
      </c>
      <c r="E1843" t="s">
        <v>2116</v>
      </c>
      <c r="F1843" t="s">
        <v>2116</v>
      </c>
      <c r="G1843" s="2">
        <v>45716</v>
      </c>
      <c r="H1843" s="2">
        <v>45746</v>
      </c>
      <c r="I1843" s="1">
        <v>16562</v>
      </c>
      <c r="J1843">
        <v>16562</v>
      </c>
      <c r="K1843" t="s">
        <v>20</v>
      </c>
      <c r="L1843">
        <v>13</v>
      </c>
      <c r="M1843">
        <v>16562</v>
      </c>
    </row>
    <row r="1844" spans="1:13">
      <c r="A1844" t="s">
        <v>2111</v>
      </c>
      <c r="B1844" t="s">
        <v>2112</v>
      </c>
      <c r="C1844" t="s">
        <v>16</v>
      </c>
      <c r="D1844" t="s">
        <v>21</v>
      </c>
      <c r="E1844" t="s">
        <v>2117</v>
      </c>
      <c r="F1844" t="s">
        <v>2117</v>
      </c>
      <c r="G1844" s="2">
        <v>45736</v>
      </c>
      <c r="H1844" s="2">
        <v>45766</v>
      </c>
      <c r="I1844">
        <v>45</v>
      </c>
      <c r="J1844">
        <v>45</v>
      </c>
      <c r="K1844" t="s">
        <v>20</v>
      </c>
      <c r="L1844">
        <v>0</v>
      </c>
      <c r="M1844">
        <v>0</v>
      </c>
    </row>
    <row r="1845" spans="1:13">
      <c r="A1845" t="s">
        <v>2111</v>
      </c>
      <c r="B1845" t="s">
        <v>2112</v>
      </c>
      <c r="C1845" t="s">
        <v>16</v>
      </c>
      <c r="D1845" t="s">
        <v>21</v>
      </c>
      <c r="E1845" t="s">
        <v>2118</v>
      </c>
      <c r="F1845" t="s">
        <v>2118</v>
      </c>
      <c r="G1845" s="2">
        <v>45741</v>
      </c>
      <c r="H1845" s="2">
        <v>45771</v>
      </c>
      <c r="I1845" s="1">
        <v>19523.84</v>
      </c>
      <c r="J1845">
        <v>19523.84</v>
      </c>
      <c r="K1845" t="s">
        <v>20</v>
      </c>
      <c r="L1845">
        <v>0</v>
      </c>
      <c r="M1845">
        <v>0</v>
      </c>
    </row>
    <row r="1846" spans="1:13">
      <c r="A1846" t="s">
        <v>2111</v>
      </c>
      <c r="B1846" t="s">
        <v>2112</v>
      </c>
      <c r="C1846" t="s">
        <v>16</v>
      </c>
      <c r="D1846" t="s">
        <v>21</v>
      </c>
      <c r="E1846" t="s">
        <v>2119</v>
      </c>
      <c r="F1846" t="s">
        <v>2119</v>
      </c>
      <c r="G1846" s="2">
        <v>45621</v>
      </c>
      <c r="H1846" s="2">
        <v>45778</v>
      </c>
      <c r="I1846" s="1">
        <v>9030</v>
      </c>
      <c r="J1846">
        <v>9030</v>
      </c>
      <c r="K1846" t="s">
        <v>20</v>
      </c>
      <c r="L1846">
        <v>0</v>
      </c>
      <c r="M1846">
        <v>0</v>
      </c>
    </row>
    <row r="1847" spans="1:13">
      <c r="A1847" t="s">
        <v>2111</v>
      </c>
      <c r="B1847" t="s">
        <v>2112</v>
      </c>
      <c r="C1847" t="s">
        <v>16</v>
      </c>
      <c r="D1847" t="s">
        <v>21</v>
      </c>
      <c r="E1847" t="s">
        <v>2120</v>
      </c>
      <c r="F1847" t="s">
        <v>2120</v>
      </c>
      <c r="G1847" s="2">
        <v>45621</v>
      </c>
      <c r="H1847" s="2">
        <v>45778</v>
      </c>
      <c r="I1847" s="1">
        <v>16485</v>
      </c>
      <c r="J1847">
        <v>16485</v>
      </c>
      <c r="K1847" t="s">
        <v>20</v>
      </c>
      <c r="L1847">
        <v>0</v>
      </c>
      <c r="M1847">
        <v>0</v>
      </c>
    </row>
    <row r="1848" spans="1:13">
      <c r="A1848" t="s">
        <v>2121</v>
      </c>
      <c r="B1848" t="s">
        <v>2122</v>
      </c>
      <c r="C1848" t="s">
        <v>16</v>
      </c>
      <c r="D1848" t="s">
        <v>21</v>
      </c>
      <c r="E1848" t="s">
        <v>2123</v>
      </c>
      <c r="F1848" t="s">
        <v>2123</v>
      </c>
      <c r="G1848" s="2">
        <v>45687</v>
      </c>
      <c r="H1848" s="2">
        <v>45717</v>
      </c>
      <c r="I1848" s="1">
        <v>35765</v>
      </c>
      <c r="J1848">
        <v>35765</v>
      </c>
      <c r="K1848" t="s">
        <v>20</v>
      </c>
      <c r="L1848">
        <v>10</v>
      </c>
      <c r="M1848">
        <v>35765</v>
      </c>
    </row>
    <row r="1849" spans="1:13">
      <c r="A1849" t="s">
        <v>2121</v>
      </c>
      <c r="B1849" t="s">
        <v>2122</v>
      </c>
      <c r="C1849" t="s">
        <v>16</v>
      </c>
      <c r="D1849" t="s">
        <v>21</v>
      </c>
      <c r="E1849" t="s">
        <v>2124</v>
      </c>
      <c r="F1849" t="s">
        <v>2124</v>
      </c>
      <c r="G1849" s="2">
        <v>45702</v>
      </c>
      <c r="H1849" s="2">
        <v>45732</v>
      </c>
      <c r="I1849" s="1">
        <v>4849.05</v>
      </c>
      <c r="J1849">
        <v>4849.05</v>
      </c>
      <c r="K1849" t="s">
        <v>20</v>
      </c>
      <c r="L1849">
        <v>12</v>
      </c>
      <c r="M1849">
        <v>4849.05</v>
      </c>
    </row>
    <row r="1850" spans="1:13">
      <c r="A1850" t="s">
        <v>2121</v>
      </c>
      <c r="B1850" t="s">
        <v>2122</v>
      </c>
      <c r="C1850" t="s">
        <v>16</v>
      </c>
      <c r="D1850" t="s">
        <v>21</v>
      </c>
      <c r="E1850" t="s">
        <v>2125</v>
      </c>
      <c r="F1850" t="s">
        <v>2125</v>
      </c>
      <c r="G1850" s="2">
        <v>45705</v>
      </c>
      <c r="H1850" s="2">
        <v>45735</v>
      </c>
      <c r="I1850" s="1">
        <v>1405</v>
      </c>
      <c r="J1850">
        <v>1405</v>
      </c>
      <c r="K1850" t="s">
        <v>20</v>
      </c>
      <c r="L1850">
        <v>12</v>
      </c>
      <c r="M1850">
        <v>1405</v>
      </c>
    </row>
    <row r="1851" spans="1:13">
      <c r="A1851" t="s">
        <v>2126</v>
      </c>
      <c r="B1851" t="s">
        <v>2127</v>
      </c>
      <c r="C1851" t="s">
        <v>16</v>
      </c>
      <c r="D1851" t="s">
        <v>55</v>
      </c>
      <c r="E1851" t="s">
        <v>19</v>
      </c>
      <c r="F1851" t="s">
        <v>19</v>
      </c>
      <c r="H1851" s="2">
        <v>45740</v>
      </c>
      <c r="I1851">
        <v>-519.53</v>
      </c>
      <c r="J1851">
        <v>-519.53</v>
      </c>
      <c r="K1851" t="s">
        <v>20</v>
      </c>
      <c r="L1851">
        <v>13</v>
      </c>
      <c r="M1851">
        <v>-519.53</v>
      </c>
    </row>
    <row r="1852" spans="1:13">
      <c r="A1852" t="s">
        <v>2126</v>
      </c>
      <c r="B1852" t="s">
        <v>2127</v>
      </c>
      <c r="C1852" t="s">
        <v>16</v>
      </c>
      <c r="D1852" t="s">
        <v>21</v>
      </c>
      <c r="E1852" t="s">
        <v>2128</v>
      </c>
      <c r="F1852" t="s">
        <v>2128</v>
      </c>
      <c r="G1852" s="2">
        <v>45712</v>
      </c>
      <c r="H1852" s="2">
        <v>45742</v>
      </c>
      <c r="I1852" s="1">
        <v>2625.24</v>
      </c>
      <c r="J1852">
        <v>2625.24</v>
      </c>
      <c r="K1852" t="s">
        <v>20</v>
      </c>
      <c r="L1852">
        <v>13</v>
      </c>
      <c r="M1852">
        <v>2625.24</v>
      </c>
    </row>
    <row r="1853" spans="1:13">
      <c r="A1853" t="s">
        <v>2126</v>
      </c>
      <c r="B1853" t="s">
        <v>2127</v>
      </c>
      <c r="C1853" t="s">
        <v>16</v>
      </c>
      <c r="D1853" t="s">
        <v>21</v>
      </c>
      <c r="E1853" t="s">
        <v>2129</v>
      </c>
      <c r="F1853" t="s">
        <v>2129</v>
      </c>
      <c r="G1853" s="2">
        <v>45741</v>
      </c>
      <c r="H1853" s="2">
        <v>45771</v>
      </c>
      <c r="I1853" s="1">
        <v>1980.72</v>
      </c>
      <c r="J1853">
        <v>1980.72</v>
      </c>
      <c r="K1853" t="s">
        <v>20</v>
      </c>
      <c r="L1853">
        <v>0</v>
      </c>
      <c r="M1853">
        <v>0</v>
      </c>
    </row>
    <row r="1854" spans="1:13">
      <c r="A1854" t="s">
        <v>2126</v>
      </c>
      <c r="B1854" t="s">
        <v>2127</v>
      </c>
      <c r="C1854" t="s">
        <v>16</v>
      </c>
      <c r="D1854" t="s">
        <v>21</v>
      </c>
      <c r="E1854" t="s">
        <v>2130</v>
      </c>
      <c r="F1854" t="s">
        <v>2130</v>
      </c>
      <c r="G1854" s="2">
        <v>45741</v>
      </c>
      <c r="H1854" s="2">
        <v>45771</v>
      </c>
      <c r="I1854" s="1">
        <v>3150</v>
      </c>
      <c r="J1854">
        <v>3150</v>
      </c>
      <c r="K1854" t="s">
        <v>20</v>
      </c>
      <c r="L1854">
        <v>0</v>
      </c>
      <c r="M1854">
        <v>0</v>
      </c>
    </row>
    <row r="1855" spans="1:13">
      <c r="A1855" t="s">
        <v>2126</v>
      </c>
      <c r="B1855" t="s">
        <v>2127</v>
      </c>
      <c r="C1855" t="s">
        <v>16</v>
      </c>
      <c r="D1855" t="s">
        <v>21</v>
      </c>
      <c r="E1855" t="s">
        <v>2131</v>
      </c>
      <c r="F1855" t="s">
        <v>2131</v>
      </c>
      <c r="G1855" s="2">
        <v>45741</v>
      </c>
      <c r="H1855" s="2">
        <v>45771</v>
      </c>
      <c r="I1855" s="1">
        <v>4542.21</v>
      </c>
      <c r="J1855">
        <v>4542.21</v>
      </c>
      <c r="K1855" t="s">
        <v>20</v>
      </c>
      <c r="L1855">
        <v>0</v>
      </c>
      <c r="M1855">
        <v>0</v>
      </c>
    </row>
    <row r="1856" spans="1:13">
      <c r="A1856" t="s">
        <v>2126</v>
      </c>
      <c r="B1856" t="s">
        <v>2127</v>
      </c>
      <c r="C1856" t="s">
        <v>16</v>
      </c>
      <c r="D1856" t="s">
        <v>21</v>
      </c>
      <c r="E1856" t="s">
        <v>2132</v>
      </c>
      <c r="F1856" t="s">
        <v>2132</v>
      </c>
      <c r="G1856" s="2">
        <v>45741</v>
      </c>
      <c r="H1856" s="2">
        <v>45771</v>
      </c>
      <c r="I1856" s="1">
        <v>4288.87</v>
      </c>
      <c r="J1856">
        <v>4288.87</v>
      </c>
      <c r="K1856" t="s">
        <v>20</v>
      </c>
      <c r="L1856">
        <v>0</v>
      </c>
      <c r="M1856">
        <v>0</v>
      </c>
    </row>
    <row r="1857" spans="1:13">
      <c r="A1857" t="s">
        <v>2133</v>
      </c>
      <c r="B1857" t="s">
        <v>2134</v>
      </c>
      <c r="C1857" t="s">
        <v>16</v>
      </c>
      <c r="D1857" t="s">
        <v>21</v>
      </c>
      <c r="E1857" t="s">
        <v>2135</v>
      </c>
      <c r="F1857" t="s">
        <v>2135</v>
      </c>
      <c r="G1857" s="2">
        <v>45720</v>
      </c>
      <c r="H1857" s="2">
        <v>45750</v>
      </c>
      <c r="I1857">
        <v>182</v>
      </c>
      <c r="J1857">
        <v>182</v>
      </c>
      <c r="K1857" t="s">
        <v>20</v>
      </c>
      <c r="L1857">
        <v>0</v>
      </c>
      <c r="M1857">
        <v>0</v>
      </c>
    </row>
    <row r="1858" spans="1:13">
      <c r="A1858" t="s">
        <v>2136</v>
      </c>
      <c r="B1858" t="s">
        <v>2137</v>
      </c>
      <c r="C1858" t="s">
        <v>16</v>
      </c>
      <c r="D1858" t="s">
        <v>21</v>
      </c>
      <c r="E1858" t="s">
        <v>2138</v>
      </c>
      <c r="F1858" t="s">
        <v>2138</v>
      </c>
      <c r="G1858" s="2">
        <v>45331</v>
      </c>
      <c r="H1858" s="2">
        <v>45361</v>
      </c>
      <c r="I1858">
        <v>51.8</v>
      </c>
      <c r="J1858">
        <v>51.8</v>
      </c>
      <c r="K1858" t="s">
        <v>20</v>
      </c>
      <c r="L1858">
        <v>0</v>
      </c>
      <c r="M1858">
        <v>51.8</v>
      </c>
    </row>
    <row r="1859" spans="1:13">
      <c r="A1859" t="s">
        <v>2136</v>
      </c>
      <c r="B1859" t="s">
        <v>2137</v>
      </c>
      <c r="C1859" t="s">
        <v>16</v>
      </c>
      <c r="D1859" t="s">
        <v>55</v>
      </c>
      <c r="E1859" t="s">
        <v>19</v>
      </c>
      <c r="F1859" t="s">
        <v>19</v>
      </c>
      <c r="H1859" s="2">
        <v>45586</v>
      </c>
      <c r="I1859">
        <v>-0.06</v>
      </c>
      <c r="J1859">
        <v>-0.06</v>
      </c>
      <c r="K1859" t="s">
        <v>20</v>
      </c>
      <c r="L1859">
        <v>0</v>
      </c>
      <c r="M1859">
        <v>-0.06</v>
      </c>
    </row>
    <row r="1860" spans="1:13">
      <c r="A1860" t="s">
        <v>2136</v>
      </c>
      <c r="B1860" t="s">
        <v>2137</v>
      </c>
      <c r="C1860" t="s">
        <v>16</v>
      </c>
      <c r="D1860" t="s">
        <v>21</v>
      </c>
      <c r="E1860" t="s">
        <v>2139</v>
      </c>
      <c r="F1860" t="s">
        <v>2139</v>
      </c>
      <c r="G1860" s="2">
        <v>45685</v>
      </c>
      <c r="H1860" s="2">
        <v>45715</v>
      </c>
      <c r="I1860">
        <v>56</v>
      </c>
      <c r="J1860">
        <v>56</v>
      </c>
      <c r="K1860" t="s">
        <v>20</v>
      </c>
      <c r="L1860">
        <v>0</v>
      </c>
      <c r="M1860">
        <v>56</v>
      </c>
    </row>
    <row r="1861" spans="1:13">
      <c r="A1861" t="s">
        <v>2140</v>
      </c>
      <c r="B1861" t="s">
        <v>2141</v>
      </c>
      <c r="C1861" t="s">
        <v>16</v>
      </c>
      <c r="D1861" t="s">
        <v>21</v>
      </c>
      <c r="E1861" t="s">
        <v>2142</v>
      </c>
      <c r="F1861" t="s">
        <v>2142</v>
      </c>
      <c r="G1861" s="2">
        <v>45730</v>
      </c>
      <c r="H1861" s="2">
        <v>45760</v>
      </c>
      <c r="I1861">
        <v>313</v>
      </c>
      <c r="J1861">
        <v>313</v>
      </c>
      <c r="K1861" t="s">
        <v>20</v>
      </c>
      <c r="L1861">
        <v>0</v>
      </c>
      <c r="M1861">
        <v>0</v>
      </c>
    </row>
    <row r="1862" spans="1:13">
      <c r="A1862" t="s">
        <v>2143</v>
      </c>
      <c r="B1862" t="s">
        <v>2144</v>
      </c>
      <c r="C1862" t="s">
        <v>16</v>
      </c>
      <c r="D1862" t="s">
        <v>55</v>
      </c>
      <c r="E1862" t="s">
        <v>19</v>
      </c>
      <c r="F1862" t="s">
        <v>19</v>
      </c>
      <c r="H1862" s="2">
        <v>45712</v>
      </c>
      <c r="I1862">
        <v>-134.4</v>
      </c>
      <c r="J1862">
        <v>-134.4</v>
      </c>
      <c r="K1862" t="s">
        <v>20</v>
      </c>
      <c r="L1862">
        <v>0</v>
      </c>
      <c r="M1862">
        <v>-134.4</v>
      </c>
    </row>
    <row r="1863" spans="1:13">
      <c r="A1863" t="s">
        <v>2145</v>
      </c>
      <c r="B1863" t="s">
        <v>2146</v>
      </c>
      <c r="C1863" t="s">
        <v>1555</v>
      </c>
      <c r="D1863" t="s">
        <v>21</v>
      </c>
      <c r="E1863" t="s">
        <v>2147</v>
      </c>
      <c r="F1863" t="s">
        <v>2147</v>
      </c>
      <c r="G1863" s="2">
        <v>45716</v>
      </c>
      <c r="H1863" s="2">
        <v>45761</v>
      </c>
      <c r="I1863">
        <v>462</v>
      </c>
      <c r="J1863">
        <v>462</v>
      </c>
      <c r="K1863" t="s">
        <v>20</v>
      </c>
      <c r="L1863">
        <v>0</v>
      </c>
      <c r="M1863">
        <v>0</v>
      </c>
    </row>
    <row r="1864" spans="1:13">
      <c r="A1864" t="s">
        <v>2148</v>
      </c>
      <c r="B1864" t="s">
        <v>2149</v>
      </c>
      <c r="C1864" t="s">
        <v>213</v>
      </c>
      <c r="D1864" t="s">
        <v>21</v>
      </c>
      <c r="E1864" t="s">
        <v>2150</v>
      </c>
      <c r="F1864" t="s">
        <v>2150</v>
      </c>
      <c r="G1864" s="2">
        <v>45103</v>
      </c>
      <c r="H1864" s="2">
        <v>45133</v>
      </c>
      <c r="I1864" s="1">
        <v>8020</v>
      </c>
      <c r="J1864">
        <v>2020</v>
      </c>
      <c r="K1864" t="s">
        <v>20</v>
      </c>
      <c r="L1864">
        <v>0</v>
      </c>
      <c r="M1864">
        <v>2020</v>
      </c>
    </row>
    <row r="1865" spans="1:13">
      <c r="A1865" t="s">
        <v>2148</v>
      </c>
      <c r="B1865" t="s">
        <v>2149</v>
      </c>
      <c r="C1865" t="s">
        <v>213</v>
      </c>
      <c r="D1865" t="s">
        <v>55</v>
      </c>
      <c r="E1865" t="s">
        <v>2150</v>
      </c>
      <c r="F1865" t="s">
        <v>2150</v>
      </c>
      <c r="H1865" s="2">
        <v>45727</v>
      </c>
      <c r="I1865" s="1">
        <v>-3000</v>
      </c>
      <c r="J1865" t="s">
        <v>86</v>
      </c>
      <c r="K1865" t="s">
        <v>20</v>
      </c>
      <c r="L1865">
        <v>11</v>
      </c>
      <c r="M1865" t="s">
        <v>86</v>
      </c>
    </row>
    <row r="1866" spans="1:13">
      <c r="A1866" t="s">
        <v>2148</v>
      </c>
      <c r="B1866" t="s">
        <v>2149</v>
      </c>
      <c r="C1866" t="s">
        <v>213</v>
      </c>
      <c r="D1866" t="s">
        <v>55</v>
      </c>
      <c r="E1866" t="s">
        <v>2150</v>
      </c>
      <c r="F1866" t="s">
        <v>2150</v>
      </c>
      <c r="H1866" s="2">
        <v>45734</v>
      </c>
      <c r="I1866" s="1">
        <v>-3000</v>
      </c>
      <c r="J1866" t="s">
        <v>86</v>
      </c>
      <c r="K1866" t="s">
        <v>20</v>
      </c>
      <c r="L1866">
        <v>12</v>
      </c>
      <c r="M1866" t="s">
        <v>86</v>
      </c>
    </row>
    <row r="1867" spans="1:13">
      <c r="A1867" t="s">
        <v>2148</v>
      </c>
      <c r="B1867" t="s">
        <v>2149</v>
      </c>
      <c r="C1867" t="s">
        <v>213</v>
      </c>
      <c r="D1867" t="s">
        <v>55</v>
      </c>
      <c r="E1867" t="s">
        <v>2150</v>
      </c>
      <c r="F1867" t="s">
        <v>2150</v>
      </c>
      <c r="H1867" s="2">
        <v>45734</v>
      </c>
      <c r="I1867" s="1">
        <v>-3000</v>
      </c>
      <c r="J1867" t="s">
        <v>86</v>
      </c>
      <c r="K1867" t="s">
        <v>20</v>
      </c>
      <c r="L1867">
        <v>12</v>
      </c>
      <c r="M1867" t="s">
        <v>86</v>
      </c>
    </row>
    <row r="1868" spans="1:13">
      <c r="A1868" t="s">
        <v>2148</v>
      </c>
      <c r="B1868" t="s">
        <v>2149</v>
      </c>
      <c r="C1868" t="s">
        <v>213</v>
      </c>
      <c r="D1868" t="s">
        <v>55</v>
      </c>
      <c r="E1868" t="s">
        <v>2150</v>
      </c>
      <c r="F1868" t="s">
        <v>2150</v>
      </c>
      <c r="H1868" s="2">
        <v>45734</v>
      </c>
      <c r="I1868" s="1">
        <v>3000</v>
      </c>
      <c r="J1868" t="s">
        <v>86</v>
      </c>
      <c r="K1868" t="s">
        <v>20</v>
      </c>
      <c r="L1868">
        <v>12</v>
      </c>
      <c r="M1868" t="s">
        <v>86</v>
      </c>
    </row>
    <row r="1869" spans="1:13">
      <c r="A1869" t="s">
        <v>2148</v>
      </c>
      <c r="B1869" t="s">
        <v>2149</v>
      </c>
      <c r="C1869" t="s">
        <v>213</v>
      </c>
      <c r="D1869" t="s">
        <v>21</v>
      </c>
      <c r="E1869" t="s">
        <v>2151</v>
      </c>
      <c r="F1869" t="s">
        <v>2151</v>
      </c>
      <c r="G1869" s="2">
        <v>45205</v>
      </c>
      <c r="H1869" s="2">
        <v>45235</v>
      </c>
      <c r="I1869" s="1">
        <v>4470</v>
      </c>
      <c r="J1869">
        <v>4470</v>
      </c>
      <c r="K1869" t="s">
        <v>20</v>
      </c>
      <c r="L1869">
        <v>0</v>
      </c>
      <c r="M1869">
        <v>4470</v>
      </c>
    </row>
    <row r="1870" spans="1:13">
      <c r="A1870" t="s">
        <v>2148</v>
      </c>
      <c r="B1870" t="s">
        <v>2149</v>
      </c>
      <c r="C1870" t="s">
        <v>213</v>
      </c>
      <c r="D1870" t="s">
        <v>55</v>
      </c>
      <c r="E1870" t="s">
        <v>19</v>
      </c>
      <c r="F1870" t="s">
        <v>19</v>
      </c>
      <c r="H1870" s="2">
        <v>45735</v>
      </c>
      <c r="I1870" s="1">
        <v>-1360</v>
      </c>
      <c r="J1870">
        <v>-1360</v>
      </c>
      <c r="K1870" t="s">
        <v>20</v>
      </c>
      <c r="L1870">
        <v>12</v>
      </c>
      <c r="M1870">
        <v>-1360</v>
      </c>
    </row>
    <row r="1871" spans="1:13">
      <c r="A1871" t="s">
        <v>2152</v>
      </c>
      <c r="B1871" t="s">
        <v>2153</v>
      </c>
      <c r="C1871" t="s">
        <v>16</v>
      </c>
      <c r="D1871" t="s">
        <v>17</v>
      </c>
      <c r="E1871" t="s">
        <v>2154</v>
      </c>
      <c r="F1871" t="s">
        <v>19</v>
      </c>
      <c r="H1871" s="2">
        <v>45238</v>
      </c>
      <c r="I1871">
        <v>-144.5</v>
      </c>
      <c r="J1871">
        <v>-144.5</v>
      </c>
      <c r="K1871" t="s">
        <v>20</v>
      </c>
      <c r="L1871">
        <v>0</v>
      </c>
      <c r="M1871">
        <v>-144.5</v>
      </c>
    </row>
    <row r="1872" spans="1:13">
      <c r="A1872" t="s">
        <v>2152</v>
      </c>
      <c r="B1872" t="s">
        <v>2153</v>
      </c>
      <c r="C1872" t="s">
        <v>16</v>
      </c>
      <c r="D1872" t="s">
        <v>17</v>
      </c>
      <c r="E1872" t="s">
        <v>2155</v>
      </c>
      <c r="F1872" t="s">
        <v>19</v>
      </c>
      <c r="H1872" s="2">
        <v>45259</v>
      </c>
      <c r="I1872">
        <v>-50</v>
      </c>
      <c r="J1872">
        <v>-50</v>
      </c>
      <c r="K1872" t="s">
        <v>20</v>
      </c>
      <c r="L1872">
        <v>0</v>
      </c>
      <c r="M1872">
        <v>-50</v>
      </c>
    </row>
    <row r="1873" spans="1:13">
      <c r="A1873" t="s">
        <v>2152</v>
      </c>
      <c r="B1873" t="s">
        <v>2153</v>
      </c>
      <c r="C1873" t="s">
        <v>16</v>
      </c>
      <c r="D1873" t="s">
        <v>55</v>
      </c>
      <c r="E1873" t="s">
        <v>19</v>
      </c>
      <c r="F1873" t="s">
        <v>19</v>
      </c>
      <c r="H1873" s="2">
        <v>45357</v>
      </c>
      <c r="I1873">
        <v>-69</v>
      </c>
      <c r="J1873">
        <v>-69</v>
      </c>
      <c r="K1873" t="s">
        <v>20</v>
      </c>
      <c r="L1873">
        <v>0</v>
      </c>
      <c r="M1873">
        <v>-69</v>
      </c>
    </row>
    <row r="1874" spans="1:13">
      <c r="A1874" t="s">
        <v>2152</v>
      </c>
      <c r="B1874" t="s">
        <v>2153</v>
      </c>
      <c r="C1874" t="s">
        <v>16</v>
      </c>
      <c r="D1874" t="s">
        <v>17</v>
      </c>
      <c r="E1874" t="s">
        <v>2156</v>
      </c>
      <c r="F1874" t="s">
        <v>19</v>
      </c>
      <c r="H1874" s="2">
        <v>45408</v>
      </c>
      <c r="I1874">
        <v>-130.5</v>
      </c>
      <c r="J1874">
        <v>-130.5</v>
      </c>
      <c r="K1874" t="s">
        <v>20</v>
      </c>
      <c r="L1874">
        <v>0</v>
      </c>
      <c r="M1874">
        <v>-130.5</v>
      </c>
    </row>
    <row r="1875" spans="1:13">
      <c r="A1875" t="s">
        <v>2152</v>
      </c>
      <c r="B1875" t="s">
        <v>2153</v>
      </c>
      <c r="C1875" t="s">
        <v>16</v>
      </c>
      <c r="D1875" t="s">
        <v>17</v>
      </c>
      <c r="E1875" t="s">
        <v>2157</v>
      </c>
      <c r="F1875" t="s">
        <v>19</v>
      </c>
      <c r="H1875" s="2">
        <v>45412</v>
      </c>
      <c r="I1875">
        <v>-151</v>
      </c>
      <c r="J1875">
        <v>-151</v>
      </c>
      <c r="K1875" t="s">
        <v>20</v>
      </c>
      <c r="L1875">
        <v>0</v>
      </c>
      <c r="M1875">
        <v>-151</v>
      </c>
    </row>
    <row r="1876" spans="1:13">
      <c r="A1876" t="s">
        <v>2152</v>
      </c>
      <c r="B1876" t="s">
        <v>2153</v>
      </c>
      <c r="C1876" t="s">
        <v>16</v>
      </c>
      <c r="D1876" t="s">
        <v>55</v>
      </c>
      <c r="E1876" t="s">
        <v>19</v>
      </c>
      <c r="F1876" t="s">
        <v>19</v>
      </c>
      <c r="H1876" s="2">
        <v>45436</v>
      </c>
      <c r="I1876">
        <v>-165</v>
      </c>
      <c r="J1876">
        <v>-165</v>
      </c>
      <c r="K1876" t="s">
        <v>20</v>
      </c>
      <c r="L1876">
        <v>0</v>
      </c>
      <c r="M1876">
        <v>-165</v>
      </c>
    </row>
    <row r="1877" spans="1:13">
      <c r="A1877" t="s">
        <v>2152</v>
      </c>
      <c r="B1877" t="s">
        <v>2153</v>
      </c>
      <c r="C1877" t="s">
        <v>16</v>
      </c>
      <c r="D1877" t="s">
        <v>21</v>
      </c>
      <c r="E1877" t="s">
        <v>2158</v>
      </c>
      <c r="F1877" t="s">
        <v>2158</v>
      </c>
      <c r="G1877" s="2">
        <v>45418</v>
      </c>
      <c r="H1877" s="2">
        <v>45448</v>
      </c>
      <c r="I1877">
        <v>150.06</v>
      </c>
      <c r="J1877">
        <v>150.06</v>
      </c>
      <c r="K1877" t="s">
        <v>20</v>
      </c>
      <c r="L1877">
        <v>0</v>
      </c>
      <c r="M1877">
        <v>150.06</v>
      </c>
    </row>
    <row r="1878" spans="1:13">
      <c r="A1878" t="s">
        <v>2152</v>
      </c>
      <c r="B1878" t="s">
        <v>2153</v>
      </c>
      <c r="C1878" t="s">
        <v>16</v>
      </c>
      <c r="D1878" t="s">
        <v>55</v>
      </c>
      <c r="E1878" t="s">
        <v>19</v>
      </c>
      <c r="F1878" t="s">
        <v>19</v>
      </c>
      <c r="H1878" s="2">
        <v>45449</v>
      </c>
      <c r="I1878">
        <v>-108.95</v>
      </c>
      <c r="J1878">
        <v>-108.95</v>
      </c>
      <c r="K1878" t="s">
        <v>20</v>
      </c>
      <c r="L1878">
        <v>0</v>
      </c>
      <c r="M1878">
        <v>-108.95</v>
      </c>
    </row>
    <row r="1879" spans="1:13">
      <c r="A1879" t="s">
        <v>2152</v>
      </c>
      <c r="B1879" t="s">
        <v>2153</v>
      </c>
      <c r="C1879" t="s">
        <v>16</v>
      </c>
      <c r="D1879" t="s">
        <v>21</v>
      </c>
      <c r="E1879" t="s">
        <v>2159</v>
      </c>
      <c r="F1879" t="s">
        <v>2159</v>
      </c>
      <c r="G1879" s="2">
        <v>45421</v>
      </c>
      <c r="H1879" s="2">
        <v>45451</v>
      </c>
      <c r="I1879">
        <v>6.71</v>
      </c>
      <c r="J1879">
        <v>6.71</v>
      </c>
      <c r="K1879" t="s">
        <v>20</v>
      </c>
      <c r="L1879">
        <v>0</v>
      </c>
      <c r="M1879">
        <v>6.71</v>
      </c>
    </row>
    <row r="1880" spans="1:13">
      <c r="A1880" t="s">
        <v>2152</v>
      </c>
      <c r="B1880" t="s">
        <v>2153</v>
      </c>
      <c r="C1880" t="s">
        <v>16</v>
      </c>
      <c r="D1880" t="s">
        <v>55</v>
      </c>
      <c r="E1880" t="s">
        <v>19</v>
      </c>
      <c r="F1880" t="s">
        <v>19</v>
      </c>
      <c r="H1880" s="2">
        <v>45455</v>
      </c>
      <c r="I1880">
        <v>-145.57</v>
      </c>
      <c r="J1880">
        <v>-145.57</v>
      </c>
      <c r="K1880" t="s">
        <v>20</v>
      </c>
      <c r="L1880">
        <v>0</v>
      </c>
      <c r="M1880">
        <v>-145.57</v>
      </c>
    </row>
    <row r="1881" spans="1:13">
      <c r="A1881" t="s">
        <v>2152</v>
      </c>
      <c r="B1881" t="s">
        <v>2153</v>
      </c>
      <c r="C1881" t="s">
        <v>16</v>
      </c>
      <c r="D1881" t="s">
        <v>21</v>
      </c>
      <c r="E1881" t="s">
        <v>2160</v>
      </c>
      <c r="F1881" t="s">
        <v>2160</v>
      </c>
      <c r="G1881" s="2">
        <v>45432</v>
      </c>
      <c r="H1881" s="2">
        <v>45462</v>
      </c>
      <c r="I1881">
        <v>205.3</v>
      </c>
      <c r="J1881">
        <v>40.76</v>
      </c>
      <c r="K1881" t="s">
        <v>20</v>
      </c>
      <c r="L1881">
        <v>0</v>
      </c>
      <c r="M1881">
        <v>40.76</v>
      </c>
    </row>
    <row r="1882" spans="1:13">
      <c r="A1882" t="s">
        <v>2152</v>
      </c>
      <c r="B1882" t="s">
        <v>2153</v>
      </c>
      <c r="C1882" t="s">
        <v>16</v>
      </c>
      <c r="D1882" t="s">
        <v>17</v>
      </c>
      <c r="E1882" t="s">
        <v>2161</v>
      </c>
      <c r="F1882" t="s">
        <v>2160</v>
      </c>
      <c r="H1882" s="2">
        <v>45554</v>
      </c>
      <c r="I1882">
        <v>-164.54</v>
      </c>
      <c r="J1882" t="s">
        <v>86</v>
      </c>
      <c r="K1882" t="s">
        <v>20</v>
      </c>
      <c r="L1882">
        <v>0</v>
      </c>
      <c r="M1882" t="s">
        <v>86</v>
      </c>
    </row>
    <row r="1883" spans="1:13">
      <c r="A1883" t="s">
        <v>2152</v>
      </c>
      <c r="B1883" t="s">
        <v>2153</v>
      </c>
      <c r="C1883" t="s">
        <v>16</v>
      </c>
      <c r="D1883" t="s">
        <v>55</v>
      </c>
      <c r="E1883" t="s">
        <v>19</v>
      </c>
      <c r="F1883" t="s">
        <v>19</v>
      </c>
      <c r="H1883" s="2">
        <v>45463</v>
      </c>
      <c r="I1883">
        <v>-71.13</v>
      </c>
      <c r="J1883">
        <v>-71.13</v>
      </c>
      <c r="K1883" t="s">
        <v>20</v>
      </c>
      <c r="L1883">
        <v>0</v>
      </c>
      <c r="M1883">
        <v>-71.13</v>
      </c>
    </row>
    <row r="1884" spans="1:13">
      <c r="A1884" t="s">
        <v>2152</v>
      </c>
      <c r="B1884" t="s">
        <v>2153</v>
      </c>
      <c r="C1884" t="s">
        <v>16</v>
      </c>
      <c r="D1884" t="s">
        <v>17</v>
      </c>
      <c r="E1884" t="s">
        <v>2162</v>
      </c>
      <c r="F1884" t="s">
        <v>19</v>
      </c>
      <c r="H1884" s="2">
        <v>45473</v>
      </c>
      <c r="I1884">
        <v>-13.64</v>
      </c>
      <c r="J1884">
        <v>-13.64</v>
      </c>
      <c r="K1884" t="s">
        <v>20</v>
      </c>
      <c r="L1884">
        <v>0</v>
      </c>
      <c r="M1884">
        <v>-13.64</v>
      </c>
    </row>
    <row r="1885" spans="1:13">
      <c r="A1885" t="s">
        <v>2152</v>
      </c>
      <c r="B1885" t="s">
        <v>2153</v>
      </c>
      <c r="C1885" t="s">
        <v>16</v>
      </c>
      <c r="D1885" t="s">
        <v>17</v>
      </c>
      <c r="E1885" t="s">
        <v>2163</v>
      </c>
      <c r="F1885" t="s">
        <v>19</v>
      </c>
      <c r="H1885" s="2">
        <v>45473</v>
      </c>
      <c r="I1885">
        <v>-5.6</v>
      </c>
      <c r="J1885">
        <v>-5.6</v>
      </c>
      <c r="K1885" t="s">
        <v>20</v>
      </c>
      <c r="L1885">
        <v>0</v>
      </c>
      <c r="M1885">
        <v>-5.6</v>
      </c>
    </row>
    <row r="1886" spans="1:13">
      <c r="A1886" t="s">
        <v>2152</v>
      </c>
      <c r="B1886" t="s">
        <v>2153</v>
      </c>
      <c r="C1886" t="s">
        <v>16</v>
      </c>
      <c r="D1886" t="s">
        <v>17</v>
      </c>
      <c r="E1886" t="s">
        <v>2164</v>
      </c>
      <c r="F1886" t="s">
        <v>19</v>
      </c>
      <c r="H1886" s="2">
        <v>45473</v>
      </c>
      <c r="I1886">
        <v>-8.09</v>
      </c>
      <c r="J1886">
        <v>-8.09</v>
      </c>
      <c r="K1886" t="s">
        <v>20</v>
      </c>
      <c r="L1886">
        <v>0</v>
      </c>
      <c r="M1886">
        <v>-8.09</v>
      </c>
    </row>
    <row r="1887" spans="1:13">
      <c r="A1887" t="s">
        <v>2152</v>
      </c>
      <c r="B1887" t="s">
        <v>2153</v>
      </c>
      <c r="C1887" t="s">
        <v>16</v>
      </c>
      <c r="D1887" t="s">
        <v>17</v>
      </c>
      <c r="E1887" t="s">
        <v>2165</v>
      </c>
      <c r="F1887" t="s">
        <v>19</v>
      </c>
      <c r="H1887" s="2">
        <v>45473</v>
      </c>
      <c r="I1887">
        <v>-21.18</v>
      </c>
      <c r="J1887">
        <v>-21.18</v>
      </c>
      <c r="K1887" t="s">
        <v>20</v>
      </c>
      <c r="L1887">
        <v>0</v>
      </c>
      <c r="M1887">
        <v>-21.18</v>
      </c>
    </row>
    <row r="1888" spans="1:13">
      <c r="A1888" t="s">
        <v>2152</v>
      </c>
      <c r="B1888" t="s">
        <v>2153</v>
      </c>
      <c r="C1888" t="s">
        <v>16</v>
      </c>
      <c r="D1888" t="s">
        <v>55</v>
      </c>
      <c r="E1888" t="s">
        <v>19</v>
      </c>
      <c r="F1888" t="s">
        <v>19</v>
      </c>
      <c r="H1888" s="2">
        <v>45483</v>
      </c>
      <c r="I1888">
        <v>-62</v>
      </c>
      <c r="J1888">
        <v>-62</v>
      </c>
      <c r="K1888" t="s">
        <v>20</v>
      </c>
      <c r="L1888">
        <v>0</v>
      </c>
      <c r="M1888">
        <v>-62</v>
      </c>
    </row>
    <row r="1889" spans="1:13">
      <c r="A1889" t="s">
        <v>2152</v>
      </c>
      <c r="B1889" t="s">
        <v>2153</v>
      </c>
      <c r="C1889" t="s">
        <v>16</v>
      </c>
      <c r="D1889" t="s">
        <v>55</v>
      </c>
      <c r="E1889" t="s">
        <v>19</v>
      </c>
      <c r="F1889" t="s">
        <v>19</v>
      </c>
      <c r="H1889" s="2">
        <v>45484</v>
      </c>
      <c r="I1889">
        <v>-71.3</v>
      </c>
      <c r="J1889">
        <v>-71.3</v>
      </c>
      <c r="K1889" t="s">
        <v>20</v>
      </c>
      <c r="L1889">
        <v>0</v>
      </c>
      <c r="M1889">
        <v>-71.3</v>
      </c>
    </row>
    <row r="1890" spans="1:13">
      <c r="A1890" t="s">
        <v>2152</v>
      </c>
      <c r="B1890" t="s">
        <v>2153</v>
      </c>
      <c r="C1890" t="s">
        <v>16</v>
      </c>
      <c r="D1890" t="s">
        <v>55</v>
      </c>
      <c r="E1890" t="s">
        <v>19</v>
      </c>
      <c r="F1890" t="s">
        <v>19</v>
      </c>
      <c r="H1890" s="2">
        <v>45488</v>
      </c>
      <c r="I1890">
        <v>-339.6</v>
      </c>
      <c r="J1890">
        <v>-339.6</v>
      </c>
      <c r="K1890" t="s">
        <v>20</v>
      </c>
      <c r="L1890">
        <v>0</v>
      </c>
      <c r="M1890">
        <v>-339.6</v>
      </c>
    </row>
    <row r="1891" spans="1:13">
      <c r="A1891" t="s">
        <v>2152</v>
      </c>
      <c r="B1891" t="s">
        <v>2153</v>
      </c>
      <c r="C1891" t="s">
        <v>16</v>
      </c>
      <c r="D1891" t="s">
        <v>55</v>
      </c>
      <c r="E1891" t="s">
        <v>19</v>
      </c>
      <c r="F1891" t="s">
        <v>19</v>
      </c>
      <c r="H1891" s="2">
        <v>45499</v>
      </c>
      <c r="I1891">
        <v>-50</v>
      </c>
      <c r="J1891">
        <v>-50</v>
      </c>
      <c r="K1891" t="s">
        <v>20</v>
      </c>
      <c r="L1891">
        <v>0</v>
      </c>
      <c r="M1891">
        <v>-50</v>
      </c>
    </row>
    <row r="1892" spans="1:13">
      <c r="A1892" t="s">
        <v>2152</v>
      </c>
      <c r="B1892" t="s">
        <v>2153</v>
      </c>
      <c r="C1892" t="s">
        <v>16</v>
      </c>
      <c r="D1892" t="s">
        <v>55</v>
      </c>
      <c r="E1892" t="s">
        <v>19</v>
      </c>
      <c r="F1892" t="s">
        <v>19</v>
      </c>
      <c r="H1892" s="2">
        <v>45504</v>
      </c>
      <c r="I1892">
        <v>-40</v>
      </c>
      <c r="J1892">
        <v>-40</v>
      </c>
      <c r="K1892" t="s">
        <v>20</v>
      </c>
      <c r="L1892">
        <v>0</v>
      </c>
      <c r="M1892">
        <v>-40</v>
      </c>
    </row>
    <row r="1893" spans="1:13">
      <c r="A1893" t="s">
        <v>2152</v>
      </c>
      <c r="B1893" t="s">
        <v>2153</v>
      </c>
      <c r="C1893" t="s">
        <v>16</v>
      </c>
      <c r="D1893" t="s">
        <v>17</v>
      </c>
      <c r="E1893" t="s">
        <v>2166</v>
      </c>
      <c r="F1893" t="s">
        <v>19</v>
      </c>
      <c r="H1893" s="2">
        <v>45519</v>
      </c>
      <c r="I1893">
        <v>-5.64</v>
      </c>
      <c r="J1893">
        <v>-5.64</v>
      </c>
      <c r="K1893" t="s">
        <v>20</v>
      </c>
      <c r="L1893">
        <v>0</v>
      </c>
      <c r="M1893">
        <v>-5.64</v>
      </c>
    </row>
    <row r="1894" spans="1:13">
      <c r="A1894" t="s">
        <v>2152</v>
      </c>
      <c r="B1894" t="s">
        <v>2153</v>
      </c>
      <c r="C1894" t="s">
        <v>16</v>
      </c>
      <c r="D1894" t="s">
        <v>17</v>
      </c>
      <c r="E1894" t="s">
        <v>2167</v>
      </c>
      <c r="F1894" t="s">
        <v>19</v>
      </c>
      <c r="H1894" s="2">
        <v>45519</v>
      </c>
      <c r="I1894">
        <v>-4.4400000000000004</v>
      </c>
      <c r="J1894">
        <v>-4.4400000000000004</v>
      </c>
      <c r="K1894" t="s">
        <v>20</v>
      </c>
      <c r="L1894">
        <v>0</v>
      </c>
      <c r="M1894">
        <v>-4.4400000000000004</v>
      </c>
    </row>
    <row r="1895" spans="1:13">
      <c r="A1895" t="s">
        <v>2152</v>
      </c>
      <c r="B1895" t="s">
        <v>2153</v>
      </c>
      <c r="C1895" t="s">
        <v>16</v>
      </c>
      <c r="D1895" t="s">
        <v>17</v>
      </c>
      <c r="E1895" t="s">
        <v>2168</v>
      </c>
      <c r="F1895" t="s">
        <v>19</v>
      </c>
      <c r="H1895" s="2">
        <v>45532</v>
      </c>
      <c r="I1895">
        <v>-9.6199999999999992</v>
      </c>
      <c r="J1895">
        <v>-9.6199999999999992</v>
      </c>
      <c r="K1895" t="s">
        <v>20</v>
      </c>
      <c r="L1895">
        <v>0</v>
      </c>
      <c r="M1895">
        <v>-9.6199999999999992</v>
      </c>
    </row>
    <row r="1896" spans="1:13">
      <c r="A1896" t="s">
        <v>2152</v>
      </c>
      <c r="B1896" t="s">
        <v>2153</v>
      </c>
      <c r="C1896" t="s">
        <v>16</v>
      </c>
      <c r="D1896" t="s">
        <v>17</v>
      </c>
      <c r="E1896" t="s">
        <v>2169</v>
      </c>
      <c r="F1896" t="s">
        <v>19</v>
      </c>
      <c r="H1896" s="2">
        <v>45532</v>
      </c>
      <c r="I1896">
        <v>-33.54</v>
      </c>
      <c r="J1896">
        <v>-33.54</v>
      </c>
      <c r="K1896" t="s">
        <v>20</v>
      </c>
      <c r="L1896">
        <v>0</v>
      </c>
      <c r="M1896">
        <v>-33.54</v>
      </c>
    </row>
    <row r="1897" spans="1:13">
      <c r="A1897" t="s">
        <v>2152</v>
      </c>
      <c r="B1897" t="s">
        <v>2153</v>
      </c>
      <c r="C1897" t="s">
        <v>16</v>
      </c>
      <c r="D1897" t="s">
        <v>17</v>
      </c>
      <c r="E1897" t="s">
        <v>2170</v>
      </c>
      <c r="F1897" t="s">
        <v>19</v>
      </c>
      <c r="H1897" s="2">
        <v>45532</v>
      </c>
      <c r="I1897">
        <v>-4.4400000000000004</v>
      </c>
      <c r="J1897">
        <v>-4.4400000000000004</v>
      </c>
      <c r="K1897" t="s">
        <v>20</v>
      </c>
      <c r="L1897">
        <v>0</v>
      </c>
      <c r="M1897">
        <v>-4.4400000000000004</v>
      </c>
    </row>
    <row r="1898" spans="1:13">
      <c r="A1898" t="s">
        <v>2152</v>
      </c>
      <c r="B1898" t="s">
        <v>2153</v>
      </c>
      <c r="C1898" t="s">
        <v>16</v>
      </c>
      <c r="D1898" t="s">
        <v>17</v>
      </c>
      <c r="E1898" t="s">
        <v>2171</v>
      </c>
      <c r="F1898" t="s">
        <v>19</v>
      </c>
      <c r="H1898" s="2">
        <v>45532</v>
      </c>
      <c r="I1898">
        <v>-2.54</v>
      </c>
      <c r="J1898">
        <v>-2.54</v>
      </c>
      <c r="K1898" t="s">
        <v>20</v>
      </c>
      <c r="L1898">
        <v>0</v>
      </c>
      <c r="M1898">
        <v>-2.54</v>
      </c>
    </row>
    <row r="1899" spans="1:13">
      <c r="A1899" t="s">
        <v>2152</v>
      </c>
      <c r="B1899" t="s">
        <v>2153</v>
      </c>
      <c r="C1899" t="s">
        <v>16</v>
      </c>
      <c r="D1899" t="s">
        <v>17</v>
      </c>
      <c r="E1899" t="s">
        <v>2172</v>
      </c>
      <c r="F1899" t="s">
        <v>19</v>
      </c>
      <c r="H1899" s="2">
        <v>45532</v>
      </c>
      <c r="I1899">
        <v>-23.8</v>
      </c>
      <c r="J1899">
        <v>-23.8</v>
      </c>
      <c r="K1899" t="s">
        <v>20</v>
      </c>
      <c r="L1899">
        <v>0</v>
      </c>
      <c r="M1899">
        <v>-23.8</v>
      </c>
    </row>
    <row r="1900" spans="1:13">
      <c r="A1900" t="s">
        <v>2152</v>
      </c>
      <c r="B1900" t="s">
        <v>2153</v>
      </c>
      <c r="C1900" t="s">
        <v>16</v>
      </c>
      <c r="D1900" t="s">
        <v>55</v>
      </c>
      <c r="E1900" t="s">
        <v>19</v>
      </c>
      <c r="F1900" t="s">
        <v>19</v>
      </c>
      <c r="H1900" s="2">
        <v>45534</v>
      </c>
      <c r="I1900">
        <v>-5.7</v>
      </c>
      <c r="J1900">
        <v>-5.7</v>
      </c>
      <c r="K1900" t="s">
        <v>20</v>
      </c>
      <c r="L1900">
        <v>0</v>
      </c>
      <c r="M1900">
        <v>-5.7</v>
      </c>
    </row>
    <row r="1901" spans="1:13">
      <c r="A1901" t="s">
        <v>2152</v>
      </c>
      <c r="B1901" t="s">
        <v>2153</v>
      </c>
      <c r="C1901" t="s">
        <v>16</v>
      </c>
      <c r="D1901" t="s">
        <v>21</v>
      </c>
      <c r="E1901" t="s">
        <v>2173</v>
      </c>
      <c r="F1901" t="s">
        <v>2173</v>
      </c>
      <c r="G1901" s="2">
        <v>45526</v>
      </c>
      <c r="H1901" s="2">
        <v>45556</v>
      </c>
      <c r="I1901">
        <v>480</v>
      </c>
      <c r="J1901">
        <v>480</v>
      </c>
      <c r="K1901" t="s">
        <v>20</v>
      </c>
      <c r="L1901">
        <v>0</v>
      </c>
      <c r="M1901">
        <v>480</v>
      </c>
    </row>
    <row r="1902" spans="1:13">
      <c r="A1902" t="s">
        <v>2152</v>
      </c>
      <c r="B1902" t="s">
        <v>2153</v>
      </c>
      <c r="C1902" t="s">
        <v>16</v>
      </c>
      <c r="D1902" t="s">
        <v>21</v>
      </c>
      <c r="E1902" t="s">
        <v>2174</v>
      </c>
      <c r="F1902" t="s">
        <v>2174</v>
      </c>
      <c r="G1902" s="2">
        <v>45531</v>
      </c>
      <c r="H1902" s="2">
        <v>45561</v>
      </c>
      <c r="I1902">
        <v>250</v>
      </c>
      <c r="J1902">
        <v>250</v>
      </c>
      <c r="K1902" t="s">
        <v>20</v>
      </c>
      <c r="L1902">
        <v>0</v>
      </c>
      <c r="M1902">
        <v>250</v>
      </c>
    </row>
    <row r="1903" spans="1:13">
      <c r="A1903" t="s">
        <v>2152</v>
      </c>
      <c r="B1903" t="s">
        <v>2153</v>
      </c>
      <c r="C1903" t="s">
        <v>16</v>
      </c>
      <c r="D1903" t="s">
        <v>21</v>
      </c>
      <c r="E1903" t="s">
        <v>2175</v>
      </c>
      <c r="F1903" t="s">
        <v>2175</v>
      </c>
      <c r="G1903" s="2">
        <v>45532</v>
      </c>
      <c r="H1903" s="2">
        <v>45562</v>
      </c>
      <c r="I1903">
        <v>240</v>
      </c>
      <c r="J1903">
        <v>240</v>
      </c>
      <c r="K1903" t="s">
        <v>20</v>
      </c>
      <c r="L1903">
        <v>0</v>
      </c>
      <c r="M1903">
        <v>240</v>
      </c>
    </row>
    <row r="1904" spans="1:13">
      <c r="A1904" t="s">
        <v>2152</v>
      </c>
      <c r="B1904" t="s">
        <v>2153</v>
      </c>
      <c r="C1904" t="s">
        <v>16</v>
      </c>
      <c r="D1904" t="s">
        <v>21</v>
      </c>
      <c r="E1904" t="s">
        <v>2176</v>
      </c>
      <c r="F1904" t="s">
        <v>2176</v>
      </c>
      <c r="G1904" s="2">
        <v>45532</v>
      </c>
      <c r="H1904" s="2">
        <v>45562</v>
      </c>
      <c r="I1904">
        <v>135</v>
      </c>
      <c r="J1904">
        <v>135</v>
      </c>
      <c r="K1904" t="s">
        <v>20</v>
      </c>
      <c r="L1904">
        <v>0</v>
      </c>
      <c r="M1904">
        <v>135</v>
      </c>
    </row>
    <row r="1905" spans="1:13">
      <c r="A1905" t="s">
        <v>2152</v>
      </c>
      <c r="B1905" t="s">
        <v>2153</v>
      </c>
      <c r="C1905" t="s">
        <v>16</v>
      </c>
      <c r="D1905" t="s">
        <v>21</v>
      </c>
      <c r="E1905" t="s">
        <v>2177</v>
      </c>
      <c r="F1905" t="s">
        <v>2177</v>
      </c>
      <c r="G1905" s="2">
        <v>45532</v>
      </c>
      <c r="H1905" s="2">
        <v>45562</v>
      </c>
      <c r="I1905">
        <v>254.4</v>
      </c>
      <c r="J1905">
        <v>254.4</v>
      </c>
      <c r="K1905" t="s">
        <v>20</v>
      </c>
      <c r="L1905">
        <v>0</v>
      </c>
      <c r="M1905">
        <v>254.4</v>
      </c>
    </row>
    <row r="1906" spans="1:13">
      <c r="A1906" t="s">
        <v>2152</v>
      </c>
      <c r="B1906" t="s">
        <v>2153</v>
      </c>
      <c r="C1906" t="s">
        <v>16</v>
      </c>
      <c r="D1906" t="s">
        <v>21</v>
      </c>
      <c r="E1906" t="s">
        <v>2178</v>
      </c>
      <c r="F1906" t="s">
        <v>2178</v>
      </c>
      <c r="G1906" s="2">
        <v>45532</v>
      </c>
      <c r="H1906" s="2">
        <v>45562</v>
      </c>
      <c r="I1906">
        <v>749.4</v>
      </c>
      <c r="J1906">
        <v>749.4</v>
      </c>
      <c r="K1906" t="s">
        <v>20</v>
      </c>
      <c r="L1906">
        <v>0</v>
      </c>
      <c r="M1906">
        <v>749.4</v>
      </c>
    </row>
    <row r="1907" spans="1:13">
      <c r="A1907" t="s">
        <v>2152</v>
      </c>
      <c r="B1907" t="s">
        <v>2153</v>
      </c>
      <c r="C1907" t="s">
        <v>16</v>
      </c>
      <c r="D1907" t="s">
        <v>21</v>
      </c>
      <c r="E1907" t="s">
        <v>2179</v>
      </c>
      <c r="F1907" t="s">
        <v>2179</v>
      </c>
      <c r="G1907" s="2">
        <v>45540</v>
      </c>
      <c r="H1907" s="2">
        <v>45570</v>
      </c>
      <c r="I1907">
        <v>263.93</v>
      </c>
      <c r="J1907">
        <v>263.93</v>
      </c>
      <c r="K1907" t="s">
        <v>20</v>
      </c>
      <c r="L1907">
        <v>0</v>
      </c>
      <c r="M1907">
        <v>263.93</v>
      </c>
    </row>
    <row r="1908" spans="1:13">
      <c r="A1908" t="s">
        <v>2152</v>
      </c>
      <c r="B1908" t="s">
        <v>2153</v>
      </c>
      <c r="C1908" t="s">
        <v>16</v>
      </c>
      <c r="D1908" t="s">
        <v>21</v>
      </c>
      <c r="E1908" t="s">
        <v>2180</v>
      </c>
      <c r="F1908" t="s">
        <v>2180</v>
      </c>
      <c r="G1908" s="2">
        <v>45540</v>
      </c>
      <c r="H1908" s="2">
        <v>45570</v>
      </c>
      <c r="I1908">
        <v>470.05</v>
      </c>
      <c r="J1908">
        <v>470.05</v>
      </c>
      <c r="K1908" t="s">
        <v>20</v>
      </c>
      <c r="L1908">
        <v>0</v>
      </c>
      <c r="M1908">
        <v>470.05</v>
      </c>
    </row>
    <row r="1909" spans="1:13">
      <c r="A1909" t="s">
        <v>2152</v>
      </c>
      <c r="B1909" t="s">
        <v>2153</v>
      </c>
      <c r="C1909" t="s">
        <v>16</v>
      </c>
      <c r="D1909" t="s">
        <v>21</v>
      </c>
      <c r="E1909" t="s">
        <v>2181</v>
      </c>
      <c r="F1909" t="s">
        <v>2181</v>
      </c>
      <c r="G1909" s="2">
        <v>45540</v>
      </c>
      <c r="H1909" s="2">
        <v>45570</v>
      </c>
      <c r="I1909">
        <v>80</v>
      </c>
      <c r="J1909">
        <v>80</v>
      </c>
      <c r="K1909" t="s">
        <v>20</v>
      </c>
      <c r="L1909">
        <v>0</v>
      </c>
      <c r="M1909">
        <v>80</v>
      </c>
    </row>
    <row r="1910" spans="1:13">
      <c r="A1910" t="s">
        <v>2152</v>
      </c>
      <c r="B1910" t="s">
        <v>2153</v>
      </c>
      <c r="C1910" t="s">
        <v>16</v>
      </c>
      <c r="D1910" t="s">
        <v>21</v>
      </c>
      <c r="E1910" t="s">
        <v>2182</v>
      </c>
      <c r="F1910" t="s">
        <v>2182</v>
      </c>
      <c r="G1910" s="2">
        <v>45541</v>
      </c>
      <c r="H1910" s="2">
        <v>45571</v>
      </c>
      <c r="I1910">
        <v>117.9</v>
      </c>
      <c r="J1910">
        <v>117.9</v>
      </c>
      <c r="K1910" t="s">
        <v>20</v>
      </c>
      <c r="L1910">
        <v>0</v>
      </c>
      <c r="M1910">
        <v>117.9</v>
      </c>
    </row>
    <row r="1911" spans="1:13">
      <c r="A1911" t="s">
        <v>2152</v>
      </c>
      <c r="B1911" t="s">
        <v>2153</v>
      </c>
      <c r="C1911" t="s">
        <v>16</v>
      </c>
      <c r="D1911" t="s">
        <v>21</v>
      </c>
      <c r="E1911" t="s">
        <v>2183</v>
      </c>
      <c r="F1911" t="s">
        <v>2183</v>
      </c>
      <c r="G1911" s="2">
        <v>45541</v>
      </c>
      <c r="H1911" s="2">
        <v>45571</v>
      </c>
      <c r="I1911">
        <v>60.06</v>
      </c>
      <c r="J1911">
        <v>60.06</v>
      </c>
      <c r="K1911" t="s">
        <v>20</v>
      </c>
      <c r="L1911">
        <v>0</v>
      </c>
      <c r="M1911">
        <v>60.06</v>
      </c>
    </row>
    <row r="1912" spans="1:13">
      <c r="A1912" t="s">
        <v>2152</v>
      </c>
      <c r="B1912" t="s">
        <v>2153</v>
      </c>
      <c r="C1912" t="s">
        <v>16</v>
      </c>
      <c r="D1912" t="s">
        <v>21</v>
      </c>
      <c r="E1912" t="s">
        <v>2184</v>
      </c>
      <c r="F1912" t="s">
        <v>2184</v>
      </c>
      <c r="G1912" s="2">
        <v>45541</v>
      </c>
      <c r="H1912" s="2">
        <v>45571</v>
      </c>
      <c r="I1912">
        <v>547.13</v>
      </c>
      <c r="J1912">
        <v>547.13</v>
      </c>
      <c r="K1912" t="s">
        <v>20</v>
      </c>
      <c r="L1912">
        <v>0</v>
      </c>
      <c r="M1912">
        <v>547.13</v>
      </c>
    </row>
    <row r="1913" spans="1:13">
      <c r="A1913" t="s">
        <v>2152</v>
      </c>
      <c r="B1913" t="s">
        <v>2153</v>
      </c>
      <c r="C1913" t="s">
        <v>16</v>
      </c>
      <c r="D1913" t="s">
        <v>21</v>
      </c>
      <c r="E1913" t="s">
        <v>2185</v>
      </c>
      <c r="F1913" t="s">
        <v>2185</v>
      </c>
      <c r="G1913" s="2">
        <v>45541</v>
      </c>
      <c r="H1913" s="2">
        <v>45571</v>
      </c>
      <c r="I1913">
        <v>274.16000000000003</v>
      </c>
      <c r="J1913">
        <v>274.16000000000003</v>
      </c>
      <c r="K1913" t="s">
        <v>20</v>
      </c>
      <c r="L1913">
        <v>0</v>
      </c>
      <c r="M1913">
        <v>274.16000000000003</v>
      </c>
    </row>
    <row r="1914" spans="1:13">
      <c r="A1914" t="s">
        <v>2152</v>
      </c>
      <c r="B1914" t="s">
        <v>2153</v>
      </c>
      <c r="C1914" t="s">
        <v>16</v>
      </c>
      <c r="D1914" t="s">
        <v>21</v>
      </c>
      <c r="E1914" t="s">
        <v>2186</v>
      </c>
      <c r="F1914" t="s">
        <v>2186</v>
      </c>
      <c r="G1914" s="2">
        <v>45541</v>
      </c>
      <c r="H1914" s="2">
        <v>45571</v>
      </c>
      <c r="I1914" s="1">
        <v>1020.2</v>
      </c>
      <c r="J1914">
        <v>1020.2</v>
      </c>
      <c r="K1914" t="s">
        <v>20</v>
      </c>
      <c r="L1914">
        <v>0</v>
      </c>
      <c r="M1914">
        <v>1020.2</v>
      </c>
    </row>
    <row r="1915" spans="1:13">
      <c r="A1915" t="s">
        <v>2152</v>
      </c>
      <c r="B1915" t="s">
        <v>2153</v>
      </c>
      <c r="C1915" t="s">
        <v>16</v>
      </c>
      <c r="D1915" t="s">
        <v>21</v>
      </c>
      <c r="E1915" t="s">
        <v>2187</v>
      </c>
      <c r="F1915" t="s">
        <v>2187</v>
      </c>
      <c r="G1915" s="2">
        <v>45546</v>
      </c>
      <c r="H1915" s="2">
        <v>45576</v>
      </c>
      <c r="I1915">
        <v>277.32</v>
      </c>
      <c r="J1915">
        <v>277.32</v>
      </c>
      <c r="K1915" t="s">
        <v>20</v>
      </c>
      <c r="L1915">
        <v>0</v>
      </c>
      <c r="M1915">
        <v>277.32</v>
      </c>
    </row>
    <row r="1916" spans="1:13">
      <c r="A1916" t="s">
        <v>2152</v>
      </c>
      <c r="B1916" t="s">
        <v>2153</v>
      </c>
      <c r="C1916" t="s">
        <v>16</v>
      </c>
      <c r="D1916" t="s">
        <v>21</v>
      </c>
      <c r="E1916" t="s">
        <v>2188</v>
      </c>
      <c r="F1916" t="s">
        <v>2188</v>
      </c>
      <c r="G1916" s="2">
        <v>45546</v>
      </c>
      <c r="H1916" s="2">
        <v>45576</v>
      </c>
      <c r="I1916">
        <v>180.63</v>
      </c>
      <c r="J1916">
        <v>180.63</v>
      </c>
      <c r="K1916" t="s">
        <v>20</v>
      </c>
      <c r="L1916">
        <v>0</v>
      </c>
      <c r="M1916">
        <v>180.63</v>
      </c>
    </row>
    <row r="1917" spans="1:13">
      <c r="A1917" t="s">
        <v>2152</v>
      </c>
      <c r="B1917" t="s">
        <v>2153</v>
      </c>
      <c r="C1917" t="s">
        <v>16</v>
      </c>
      <c r="D1917" t="s">
        <v>21</v>
      </c>
      <c r="E1917" t="s">
        <v>2189</v>
      </c>
      <c r="F1917" t="s">
        <v>2189</v>
      </c>
      <c r="G1917" s="2">
        <v>45546</v>
      </c>
      <c r="H1917" s="2">
        <v>45576</v>
      </c>
      <c r="I1917">
        <v>42.44</v>
      </c>
      <c r="J1917">
        <v>42.44</v>
      </c>
      <c r="K1917" t="s">
        <v>20</v>
      </c>
      <c r="L1917">
        <v>0</v>
      </c>
      <c r="M1917">
        <v>42.44</v>
      </c>
    </row>
    <row r="1918" spans="1:13">
      <c r="A1918" t="s">
        <v>2152</v>
      </c>
      <c r="B1918" t="s">
        <v>2153</v>
      </c>
      <c r="C1918" t="s">
        <v>16</v>
      </c>
      <c r="D1918" t="s">
        <v>21</v>
      </c>
      <c r="E1918" t="s">
        <v>2190</v>
      </c>
      <c r="F1918" t="s">
        <v>2190</v>
      </c>
      <c r="G1918" s="2">
        <v>45547</v>
      </c>
      <c r="H1918" s="2">
        <v>45577</v>
      </c>
      <c r="I1918">
        <v>285</v>
      </c>
      <c r="J1918">
        <v>285</v>
      </c>
      <c r="K1918" t="s">
        <v>20</v>
      </c>
      <c r="L1918">
        <v>0</v>
      </c>
      <c r="M1918">
        <v>285</v>
      </c>
    </row>
    <row r="1919" spans="1:13">
      <c r="A1919" t="s">
        <v>2152</v>
      </c>
      <c r="B1919" t="s">
        <v>2153</v>
      </c>
      <c r="C1919" t="s">
        <v>16</v>
      </c>
      <c r="D1919" t="s">
        <v>55</v>
      </c>
      <c r="E1919" t="s">
        <v>19</v>
      </c>
      <c r="F1919" t="s">
        <v>19</v>
      </c>
      <c r="H1919" s="2">
        <v>45582</v>
      </c>
      <c r="I1919">
        <v>-29.21</v>
      </c>
      <c r="J1919">
        <v>-29.21</v>
      </c>
      <c r="K1919" t="s">
        <v>20</v>
      </c>
      <c r="L1919">
        <v>0</v>
      </c>
      <c r="M1919">
        <v>-29.21</v>
      </c>
    </row>
    <row r="1920" spans="1:13">
      <c r="A1920" t="s">
        <v>2152</v>
      </c>
      <c r="B1920" t="s">
        <v>2153</v>
      </c>
      <c r="C1920" t="s">
        <v>16</v>
      </c>
      <c r="D1920" t="s">
        <v>21</v>
      </c>
      <c r="E1920" t="s">
        <v>2191</v>
      </c>
      <c r="F1920" t="s">
        <v>2191</v>
      </c>
      <c r="G1920" s="2">
        <v>45553</v>
      </c>
      <c r="H1920" s="2">
        <v>45583</v>
      </c>
      <c r="I1920">
        <v>291.93</v>
      </c>
      <c r="J1920">
        <v>0.63</v>
      </c>
      <c r="K1920" t="s">
        <v>20</v>
      </c>
      <c r="L1920">
        <v>0</v>
      </c>
      <c r="M1920">
        <v>0.63</v>
      </c>
    </row>
    <row r="1921" spans="1:13">
      <c r="A1921" t="s">
        <v>2152</v>
      </c>
      <c r="B1921" t="s">
        <v>2153</v>
      </c>
      <c r="C1921" t="s">
        <v>16</v>
      </c>
      <c r="D1921" t="s">
        <v>55</v>
      </c>
      <c r="E1921" t="s">
        <v>2191</v>
      </c>
      <c r="F1921" t="s">
        <v>2191</v>
      </c>
      <c r="H1921" s="2">
        <v>45596</v>
      </c>
      <c r="I1921">
        <v>-291.3</v>
      </c>
      <c r="J1921" t="s">
        <v>86</v>
      </c>
      <c r="K1921" t="s">
        <v>20</v>
      </c>
      <c r="L1921">
        <v>0</v>
      </c>
      <c r="M1921" t="s">
        <v>86</v>
      </c>
    </row>
    <row r="1922" spans="1:13">
      <c r="A1922" t="s">
        <v>2152</v>
      </c>
      <c r="B1922" t="s">
        <v>2153</v>
      </c>
      <c r="C1922" t="s">
        <v>16</v>
      </c>
      <c r="D1922" t="s">
        <v>21</v>
      </c>
      <c r="E1922" t="s">
        <v>2192</v>
      </c>
      <c r="F1922" t="s">
        <v>2192</v>
      </c>
      <c r="G1922" s="2">
        <v>45553</v>
      </c>
      <c r="H1922" s="2">
        <v>45583</v>
      </c>
      <c r="I1922">
        <v>130.5</v>
      </c>
      <c r="J1922">
        <v>130.5</v>
      </c>
      <c r="K1922" t="s">
        <v>20</v>
      </c>
      <c r="L1922">
        <v>0</v>
      </c>
      <c r="M1922">
        <v>130.5</v>
      </c>
    </row>
    <row r="1923" spans="1:13">
      <c r="A1923" t="s">
        <v>2152</v>
      </c>
      <c r="B1923" t="s">
        <v>2153</v>
      </c>
      <c r="C1923" t="s">
        <v>16</v>
      </c>
      <c r="D1923" t="s">
        <v>21</v>
      </c>
      <c r="E1923" t="s">
        <v>2193</v>
      </c>
      <c r="F1923" t="s">
        <v>2193</v>
      </c>
      <c r="G1923" s="2">
        <v>45553</v>
      </c>
      <c r="H1923" s="2">
        <v>45583</v>
      </c>
      <c r="I1923">
        <v>169.8</v>
      </c>
      <c r="J1923">
        <v>169.8</v>
      </c>
      <c r="K1923" t="s">
        <v>20</v>
      </c>
      <c r="L1923">
        <v>0</v>
      </c>
      <c r="M1923">
        <v>169.8</v>
      </c>
    </row>
    <row r="1924" spans="1:13">
      <c r="A1924" t="s">
        <v>2152</v>
      </c>
      <c r="B1924" t="s">
        <v>2153</v>
      </c>
      <c r="C1924" t="s">
        <v>16</v>
      </c>
      <c r="D1924" t="s">
        <v>21</v>
      </c>
      <c r="E1924" t="s">
        <v>2194</v>
      </c>
      <c r="F1924" t="s">
        <v>2194</v>
      </c>
      <c r="G1924" s="2">
        <v>45555</v>
      </c>
      <c r="H1924" s="2">
        <v>45585</v>
      </c>
      <c r="I1924">
        <v>58</v>
      </c>
      <c r="J1924">
        <v>29</v>
      </c>
      <c r="K1924" t="s">
        <v>20</v>
      </c>
      <c r="L1924">
        <v>0</v>
      </c>
      <c r="M1924">
        <v>29</v>
      </c>
    </row>
    <row r="1925" spans="1:13">
      <c r="A1925" t="s">
        <v>2152</v>
      </c>
      <c r="B1925" t="s">
        <v>2153</v>
      </c>
      <c r="C1925" t="s">
        <v>16</v>
      </c>
      <c r="D1925" t="s">
        <v>17</v>
      </c>
      <c r="E1925" t="s">
        <v>2195</v>
      </c>
      <c r="F1925" t="s">
        <v>2194</v>
      </c>
      <c r="H1925" s="2">
        <v>45558</v>
      </c>
      <c r="I1925">
        <v>-29</v>
      </c>
      <c r="J1925" t="s">
        <v>86</v>
      </c>
      <c r="K1925" t="s">
        <v>20</v>
      </c>
      <c r="L1925">
        <v>0</v>
      </c>
      <c r="M1925" t="s">
        <v>86</v>
      </c>
    </row>
    <row r="1926" spans="1:13">
      <c r="A1926" t="s">
        <v>2152</v>
      </c>
      <c r="B1926" t="s">
        <v>2153</v>
      </c>
      <c r="C1926" t="s">
        <v>16</v>
      </c>
      <c r="D1926" t="s">
        <v>21</v>
      </c>
      <c r="E1926" t="s">
        <v>2196</v>
      </c>
      <c r="F1926" t="s">
        <v>2196</v>
      </c>
      <c r="G1926" s="2">
        <v>45560</v>
      </c>
      <c r="H1926" s="2">
        <v>45590</v>
      </c>
      <c r="I1926">
        <v>820.1</v>
      </c>
      <c r="J1926">
        <v>820.1</v>
      </c>
      <c r="K1926" t="s">
        <v>20</v>
      </c>
      <c r="L1926">
        <v>0</v>
      </c>
      <c r="M1926">
        <v>820.1</v>
      </c>
    </row>
    <row r="1927" spans="1:13">
      <c r="A1927" t="s">
        <v>2152</v>
      </c>
      <c r="B1927" t="s">
        <v>2153</v>
      </c>
      <c r="C1927" t="s">
        <v>16</v>
      </c>
      <c r="D1927" t="s">
        <v>55</v>
      </c>
      <c r="E1927" t="s">
        <v>19</v>
      </c>
      <c r="F1927" t="s">
        <v>19</v>
      </c>
      <c r="H1927" s="2">
        <v>45596</v>
      </c>
      <c r="I1927">
        <v>-29</v>
      </c>
      <c r="J1927">
        <v>-29</v>
      </c>
      <c r="K1927" t="s">
        <v>20</v>
      </c>
      <c r="L1927">
        <v>0</v>
      </c>
      <c r="M1927">
        <v>-29</v>
      </c>
    </row>
    <row r="1928" spans="1:13">
      <c r="A1928" t="s">
        <v>2152</v>
      </c>
      <c r="B1928" t="s">
        <v>2153</v>
      </c>
      <c r="C1928" t="s">
        <v>16</v>
      </c>
      <c r="D1928" t="s">
        <v>21</v>
      </c>
      <c r="E1928" t="s">
        <v>2197</v>
      </c>
      <c r="F1928" t="s">
        <v>2197</v>
      </c>
      <c r="G1928" s="2">
        <v>45568</v>
      </c>
      <c r="H1928" s="2">
        <v>45598</v>
      </c>
      <c r="I1928">
        <v>162.9</v>
      </c>
      <c r="J1928">
        <v>162.9</v>
      </c>
      <c r="K1928" t="s">
        <v>20</v>
      </c>
      <c r="L1928">
        <v>0</v>
      </c>
      <c r="M1928">
        <v>162.9</v>
      </c>
    </row>
    <row r="1929" spans="1:13">
      <c r="A1929" t="s">
        <v>2152</v>
      </c>
      <c r="B1929" t="s">
        <v>2153</v>
      </c>
      <c r="C1929" t="s">
        <v>16</v>
      </c>
      <c r="D1929" t="s">
        <v>21</v>
      </c>
      <c r="E1929" t="s">
        <v>2198</v>
      </c>
      <c r="F1929" t="s">
        <v>2198</v>
      </c>
      <c r="G1929" s="2">
        <v>45568</v>
      </c>
      <c r="H1929" s="2">
        <v>45598</v>
      </c>
      <c r="I1929">
        <v>104.23</v>
      </c>
      <c r="J1929">
        <v>104.23</v>
      </c>
      <c r="K1929" t="s">
        <v>20</v>
      </c>
      <c r="L1929">
        <v>0</v>
      </c>
      <c r="M1929">
        <v>104.23</v>
      </c>
    </row>
    <row r="1930" spans="1:13">
      <c r="A1930" t="s">
        <v>2152</v>
      </c>
      <c r="B1930" t="s">
        <v>2153</v>
      </c>
      <c r="C1930" t="s">
        <v>16</v>
      </c>
      <c r="D1930" t="s">
        <v>21</v>
      </c>
      <c r="E1930" t="s">
        <v>2199</v>
      </c>
      <c r="F1930" t="s">
        <v>2199</v>
      </c>
      <c r="G1930" s="2">
        <v>45568</v>
      </c>
      <c r="H1930" s="2">
        <v>45598</v>
      </c>
      <c r="I1930">
        <v>270</v>
      </c>
      <c r="J1930">
        <v>270</v>
      </c>
      <c r="K1930" t="s">
        <v>20</v>
      </c>
      <c r="L1930">
        <v>0</v>
      </c>
      <c r="M1930">
        <v>270</v>
      </c>
    </row>
    <row r="1931" spans="1:13">
      <c r="A1931" t="s">
        <v>2152</v>
      </c>
      <c r="B1931" t="s">
        <v>2153</v>
      </c>
      <c r="C1931" t="s">
        <v>16</v>
      </c>
      <c r="D1931" t="s">
        <v>21</v>
      </c>
      <c r="E1931" t="s">
        <v>2200</v>
      </c>
      <c r="F1931" t="s">
        <v>2200</v>
      </c>
      <c r="G1931" s="2">
        <v>45568</v>
      </c>
      <c r="H1931" s="2">
        <v>45598</v>
      </c>
      <c r="I1931">
        <v>130.5</v>
      </c>
      <c r="J1931">
        <v>130.5</v>
      </c>
      <c r="K1931" t="s">
        <v>20</v>
      </c>
      <c r="L1931">
        <v>0</v>
      </c>
      <c r="M1931">
        <v>130.5</v>
      </c>
    </row>
    <row r="1932" spans="1:13">
      <c r="A1932" t="s">
        <v>2152</v>
      </c>
      <c r="B1932" t="s">
        <v>2153</v>
      </c>
      <c r="C1932" t="s">
        <v>16</v>
      </c>
      <c r="D1932" t="s">
        <v>21</v>
      </c>
      <c r="E1932" t="s">
        <v>2201</v>
      </c>
      <c r="F1932" t="s">
        <v>2201</v>
      </c>
      <c r="G1932" s="2">
        <v>45575</v>
      </c>
      <c r="H1932" s="2">
        <v>45605</v>
      </c>
      <c r="I1932">
        <v>156</v>
      </c>
      <c r="J1932">
        <v>156</v>
      </c>
      <c r="K1932" t="s">
        <v>20</v>
      </c>
      <c r="L1932">
        <v>0</v>
      </c>
      <c r="M1932">
        <v>156</v>
      </c>
    </row>
    <row r="1933" spans="1:13">
      <c r="A1933" t="s">
        <v>2152</v>
      </c>
      <c r="B1933" t="s">
        <v>2153</v>
      </c>
      <c r="C1933" t="s">
        <v>16</v>
      </c>
      <c r="D1933" t="s">
        <v>21</v>
      </c>
      <c r="E1933" t="s">
        <v>2202</v>
      </c>
      <c r="F1933" t="s">
        <v>2202</v>
      </c>
      <c r="G1933" s="2">
        <v>45575</v>
      </c>
      <c r="H1933" s="2">
        <v>45605</v>
      </c>
      <c r="I1933">
        <v>27</v>
      </c>
      <c r="J1933">
        <v>27</v>
      </c>
      <c r="K1933" t="s">
        <v>20</v>
      </c>
      <c r="L1933">
        <v>0</v>
      </c>
      <c r="M1933">
        <v>27</v>
      </c>
    </row>
    <row r="1934" spans="1:13">
      <c r="A1934" t="s">
        <v>2152</v>
      </c>
      <c r="B1934" t="s">
        <v>2153</v>
      </c>
      <c r="C1934" t="s">
        <v>16</v>
      </c>
      <c r="D1934" t="s">
        <v>21</v>
      </c>
      <c r="E1934" t="s">
        <v>2203</v>
      </c>
      <c r="F1934" t="s">
        <v>2203</v>
      </c>
      <c r="G1934" s="2">
        <v>45575</v>
      </c>
      <c r="H1934" s="2">
        <v>45605</v>
      </c>
      <c r="I1934">
        <v>39</v>
      </c>
      <c r="J1934">
        <v>39</v>
      </c>
      <c r="K1934" t="s">
        <v>20</v>
      </c>
      <c r="L1934">
        <v>0</v>
      </c>
      <c r="M1934">
        <v>39</v>
      </c>
    </row>
    <row r="1935" spans="1:13">
      <c r="A1935" t="s">
        <v>2152</v>
      </c>
      <c r="B1935" t="s">
        <v>2153</v>
      </c>
      <c r="C1935" t="s">
        <v>16</v>
      </c>
      <c r="D1935" t="s">
        <v>21</v>
      </c>
      <c r="E1935" t="s">
        <v>2204</v>
      </c>
      <c r="F1935" t="s">
        <v>2204</v>
      </c>
      <c r="G1935" s="2">
        <v>45575</v>
      </c>
      <c r="H1935" s="2">
        <v>45605</v>
      </c>
      <c r="I1935">
        <v>366</v>
      </c>
      <c r="J1935">
        <v>366</v>
      </c>
      <c r="K1935" t="s">
        <v>20</v>
      </c>
      <c r="L1935">
        <v>0</v>
      </c>
      <c r="M1935">
        <v>366</v>
      </c>
    </row>
    <row r="1936" spans="1:13">
      <c r="A1936" t="s">
        <v>2152</v>
      </c>
      <c r="B1936" t="s">
        <v>2153</v>
      </c>
      <c r="C1936" t="s">
        <v>16</v>
      </c>
      <c r="D1936" t="s">
        <v>21</v>
      </c>
      <c r="E1936" t="s">
        <v>2205</v>
      </c>
      <c r="F1936" t="s">
        <v>2205</v>
      </c>
      <c r="G1936" s="2">
        <v>45576</v>
      </c>
      <c r="H1936" s="2">
        <v>45606</v>
      </c>
      <c r="I1936">
        <v>78</v>
      </c>
      <c r="J1936">
        <v>78</v>
      </c>
      <c r="K1936" t="s">
        <v>20</v>
      </c>
      <c r="L1936">
        <v>0</v>
      </c>
      <c r="M1936">
        <v>78</v>
      </c>
    </row>
    <row r="1937" spans="1:13">
      <c r="A1937" t="s">
        <v>2152</v>
      </c>
      <c r="B1937" t="s">
        <v>2153</v>
      </c>
      <c r="C1937" t="s">
        <v>16</v>
      </c>
      <c r="D1937" t="s">
        <v>21</v>
      </c>
      <c r="E1937" t="s">
        <v>2206</v>
      </c>
      <c r="F1937" t="s">
        <v>2206</v>
      </c>
      <c r="G1937" s="2">
        <v>45583</v>
      </c>
      <c r="H1937" s="2">
        <v>45613</v>
      </c>
      <c r="I1937">
        <v>159.12</v>
      </c>
      <c r="J1937">
        <v>32.33</v>
      </c>
      <c r="K1937" t="s">
        <v>20</v>
      </c>
      <c r="L1937">
        <v>0</v>
      </c>
      <c r="M1937">
        <v>32.33</v>
      </c>
    </row>
    <row r="1938" spans="1:13">
      <c r="A1938" t="s">
        <v>2152</v>
      </c>
      <c r="B1938" t="s">
        <v>2153</v>
      </c>
      <c r="C1938" t="s">
        <v>16</v>
      </c>
      <c r="D1938" t="s">
        <v>55</v>
      </c>
      <c r="E1938" t="s">
        <v>2206</v>
      </c>
      <c r="F1938" t="s">
        <v>2206</v>
      </c>
      <c r="H1938" s="2">
        <v>45611</v>
      </c>
      <c r="I1938">
        <v>-126.79</v>
      </c>
      <c r="J1938" t="s">
        <v>86</v>
      </c>
      <c r="K1938" t="s">
        <v>20</v>
      </c>
      <c r="L1938">
        <v>0</v>
      </c>
      <c r="M1938" t="s">
        <v>86</v>
      </c>
    </row>
    <row r="1939" spans="1:13">
      <c r="A1939" t="s">
        <v>2152</v>
      </c>
      <c r="B1939" t="s">
        <v>2153</v>
      </c>
      <c r="C1939" t="s">
        <v>16</v>
      </c>
      <c r="D1939" t="s">
        <v>21</v>
      </c>
      <c r="E1939" t="s">
        <v>2207</v>
      </c>
      <c r="F1939" t="s">
        <v>2207</v>
      </c>
      <c r="G1939" s="2">
        <v>45583</v>
      </c>
      <c r="H1939" s="2">
        <v>45613</v>
      </c>
      <c r="I1939" s="1">
        <v>1563.4</v>
      </c>
      <c r="J1939">
        <v>1563.4</v>
      </c>
      <c r="K1939" t="s">
        <v>20</v>
      </c>
      <c r="L1939">
        <v>0</v>
      </c>
      <c r="M1939">
        <v>1563.4</v>
      </c>
    </row>
    <row r="1940" spans="1:13">
      <c r="A1940" t="s">
        <v>2152</v>
      </c>
      <c r="B1940" t="s">
        <v>2153</v>
      </c>
      <c r="C1940" t="s">
        <v>16</v>
      </c>
      <c r="D1940" t="s">
        <v>21</v>
      </c>
      <c r="E1940" t="s">
        <v>2208</v>
      </c>
      <c r="F1940" t="s">
        <v>2208</v>
      </c>
      <c r="G1940" s="2">
        <v>45583</v>
      </c>
      <c r="H1940" s="2">
        <v>45613</v>
      </c>
      <c r="I1940">
        <v>887</v>
      </c>
      <c r="J1940">
        <v>887</v>
      </c>
      <c r="K1940" t="s">
        <v>20</v>
      </c>
      <c r="L1940">
        <v>0</v>
      </c>
      <c r="M1940">
        <v>887</v>
      </c>
    </row>
    <row r="1941" spans="1:13">
      <c r="A1941" t="s">
        <v>2152</v>
      </c>
      <c r="B1941" t="s">
        <v>2153</v>
      </c>
      <c r="C1941" t="s">
        <v>16</v>
      </c>
      <c r="D1941" t="s">
        <v>21</v>
      </c>
      <c r="E1941" t="s">
        <v>2209</v>
      </c>
      <c r="F1941" t="s">
        <v>2209</v>
      </c>
      <c r="G1941" s="2">
        <v>45587</v>
      </c>
      <c r="H1941" s="2">
        <v>45617</v>
      </c>
      <c r="I1941">
        <v>26</v>
      </c>
      <c r="J1941">
        <v>26</v>
      </c>
      <c r="K1941" t="s">
        <v>20</v>
      </c>
      <c r="L1941">
        <v>0</v>
      </c>
      <c r="M1941">
        <v>26</v>
      </c>
    </row>
    <row r="1942" spans="1:13">
      <c r="A1942" t="s">
        <v>2152</v>
      </c>
      <c r="B1942" t="s">
        <v>2153</v>
      </c>
      <c r="C1942" t="s">
        <v>16</v>
      </c>
      <c r="D1942" t="s">
        <v>21</v>
      </c>
      <c r="E1942" t="s">
        <v>2210</v>
      </c>
      <c r="F1942" t="s">
        <v>2210</v>
      </c>
      <c r="G1942" s="2">
        <v>45587</v>
      </c>
      <c r="H1942" s="2">
        <v>45617</v>
      </c>
      <c r="I1942">
        <v>53</v>
      </c>
      <c r="J1942">
        <v>53</v>
      </c>
      <c r="K1942" t="s">
        <v>20</v>
      </c>
      <c r="L1942">
        <v>0</v>
      </c>
      <c r="M1942">
        <v>53</v>
      </c>
    </row>
    <row r="1943" spans="1:13">
      <c r="A1943" t="s">
        <v>2152</v>
      </c>
      <c r="B1943" t="s">
        <v>2153</v>
      </c>
      <c r="C1943" t="s">
        <v>16</v>
      </c>
      <c r="D1943" t="s">
        <v>21</v>
      </c>
      <c r="E1943" t="s">
        <v>2211</v>
      </c>
      <c r="F1943" t="s">
        <v>2211</v>
      </c>
      <c r="G1943" s="2">
        <v>45587</v>
      </c>
      <c r="H1943" s="2">
        <v>45617</v>
      </c>
      <c r="I1943">
        <v>45</v>
      </c>
      <c r="J1943">
        <v>45</v>
      </c>
      <c r="K1943" t="s">
        <v>20</v>
      </c>
      <c r="L1943">
        <v>0</v>
      </c>
      <c r="M1943">
        <v>45</v>
      </c>
    </row>
    <row r="1944" spans="1:13">
      <c r="A1944" t="s">
        <v>2152</v>
      </c>
      <c r="B1944" t="s">
        <v>2153</v>
      </c>
      <c r="C1944" t="s">
        <v>16</v>
      </c>
      <c r="D1944" t="s">
        <v>21</v>
      </c>
      <c r="E1944" t="s">
        <v>2212</v>
      </c>
      <c r="F1944" t="s">
        <v>2212</v>
      </c>
      <c r="G1944" s="2">
        <v>45587</v>
      </c>
      <c r="H1944" s="2">
        <v>45617</v>
      </c>
      <c r="I1944">
        <v>19</v>
      </c>
      <c r="J1944">
        <v>19</v>
      </c>
      <c r="K1944" t="s">
        <v>20</v>
      </c>
      <c r="L1944">
        <v>0</v>
      </c>
      <c r="M1944">
        <v>19</v>
      </c>
    </row>
    <row r="1945" spans="1:13">
      <c r="A1945" t="s">
        <v>2152</v>
      </c>
      <c r="B1945" t="s">
        <v>2153</v>
      </c>
      <c r="C1945" t="s">
        <v>16</v>
      </c>
      <c r="D1945" t="s">
        <v>21</v>
      </c>
      <c r="E1945" t="s">
        <v>2213</v>
      </c>
      <c r="F1945" t="s">
        <v>2213</v>
      </c>
      <c r="G1945" s="2">
        <v>45587</v>
      </c>
      <c r="H1945" s="2">
        <v>45617</v>
      </c>
      <c r="I1945">
        <v>22</v>
      </c>
      <c r="J1945">
        <v>22</v>
      </c>
      <c r="K1945" t="s">
        <v>20</v>
      </c>
      <c r="L1945">
        <v>0</v>
      </c>
      <c r="M1945">
        <v>22</v>
      </c>
    </row>
    <row r="1946" spans="1:13">
      <c r="A1946" t="s">
        <v>2152</v>
      </c>
      <c r="B1946" t="s">
        <v>2153</v>
      </c>
      <c r="C1946" t="s">
        <v>16</v>
      </c>
      <c r="D1946" t="s">
        <v>21</v>
      </c>
      <c r="E1946" t="s">
        <v>2214</v>
      </c>
      <c r="F1946" t="s">
        <v>2214</v>
      </c>
      <c r="G1946" s="2">
        <v>45587</v>
      </c>
      <c r="H1946" s="2">
        <v>45617</v>
      </c>
      <c r="I1946">
        <v>14</v>
      </c>
      <c r="J1946">
        <v>14</v>
      </c>
      <c r="K1946" t="s">
        <v>20</v>
      </c>
      <c r="L1946">
        <v>0</v>
      </c>
      <c r="M1946">
        <v>14</v>
      </c>
    </row>
    <row r="1947" spans="1:13">
      <c r="A1947" t="s">
        <v>2152</v>
      </c>
      <c r="B1947" t="s">
        <v>2153</v>
      </c>
      <c r="C1947" t="s">
        <v>16</v>
      </c>
      <c r="D1947" t="s">
        <v>21</v>
      </c>
      <c r="E1947" t="s">
        <v>2215</v>
      </c>
      <c r="F1947" t="s">
        <v>2215</v>
      </c>
      <c r="G1947" s="2">
        <v>45587</v>
      </c>
      <c r="H1947" s="2">
        <v>45617</v>
      </c>
      <c r="I1947">
        <v>120</v>
      </c>
      <c r="J1947">
        <v>120</v>
      </c>
      <c r="K1947" t="s">
        <v>20</v>
      </c>
      <c r="L1947">
        <v>0</v>
      </c>
      <c r="M1947">
        <v>120</v>
      </c>
    </row>
    <row r="1948" spans="1:13">
      <c r="A1948" t="s">
        <v>2152</v>
      </c>
      <c r="B1948" t="s">
        <v>2153</v>
      </c>
      <c r="C1948" t="s">
        <v>16</v>
      </c>
      <c r="D1948" t="s">
        <v>21</v>
      </c>
      <c r="E1948" t="s">
        <v>2216</v>
      </c>
      <c r="F1948" t="s">
        <v>2216</v>
      </c>
      <c r="G1948" s="2">
        <v>45587</v>
      </c>
      <c r="H1948" s="2">
        <v>45617</v>
      </c>
      <c r="I1948">
        <v>131</v>
      </c>
      <c r="J1948">
        <v>131</v>
      </c>
      <c r="K1948" t="s">
        <v>20</v>
      </c>
      <c r="L1948">
        <v>0</v>
      </c>
      <c r="M1948">
        <v>131</v>
      </c>
    </row>
    <row r="1949" spans="1:13">
      <c r="A1949" t="s">
        <v>2152</v>
      </c>
      <c r="B1949" t="s">
        <v>2153</v>
      </c>
      <c r="C1949" t="s">
        <v>16</v>
      </c>
      <c r="D1949" t="s">
        <v>21</v>
      </c>
      <c r="E1949" t="s">
        <v>2217</v>
      </c>
      <c r="F1949" t="s">
        <v>2217</v>
      </c>
      <c r="G1949" s="2">
        <v>45587</v>
      </c>
      <c r="H1949" s="2">
        <v>45617</v>
      </c>
      <c r="I1949">
        <v>13</v>
      </c>
      <c r="J1949">
        <v>13</v>
      </c>
      <c r="K1949" t="s">
        <v>20</v>
      </c>
      <c r="L1949">
        <v>0</v>
      </c>
      <c r="M1949">
        <v>13</v>
      </c>
    </row>
    <row r="1950" spans="1:13">
      <c r="A1950" t="s">
        <v>2152</v>
      </c>
      <c r="B1950" t="s">
        <v>2153</v>
      </c>
      <c r="C1950" t="s">
        <v>16</v>
      </c>
      <c r="D1950" t="s">
        <v>21</v>
      </c>
      <c r="E1950" t="s">
        <v>2218</v>
      </c>
      <c r="F1950" t="s">
        <v>2218</v>
      </c>
      <c r="G1950" s="2">
        <v>45587</v>
      </c>
      <c r="H1950" s="2">
        <v>45617</v>
      </c>
      <c r="I1950">
        <v>53</v>
      </c>
      <c r="J1950">
        <v>53</v>
      </c>
      <c r="K1950" t="s">
        <v>20</v>
      </c>
      <c r="L1950">
        <v>0</v>
      </c>
      <c r="M1950">
        <v>53</v>
      </c>
    </row>
    <row r="1951" spans="1:13">
      <c r="A1951" t="s">
        <v>2152</v>
      </c>
      <c r="B1951" t="s">
        <v>2153</v>
      </c>
      <c r="C1951" t="s">
        <v>16</v>
      </c>
      <c r="D1951" t="s">
        <v>21</v>
      </c>
      <c r="E1951" t="s">
        <v>2219</v>
      </c>
      <c r="F1951" t="s">
        <v>2219</v>
      </c>
      <c r="G1951" s="2">
        <v>45587</v>
      </c>
      <c r="H1951" s="2">
        <v>45617</v>
      </c>
      <c r="I1951">
        <v>80</v>
      </c>
      <c r="J1951">
        <v>80</v>
      </c>
      <c r="K1951" t="s">
        <v>20</v>
      </c>
      <c r="L1951">
        <v>0</v>
      </c>
      <c r="M1951">
        <v>80</v>
      </c>
    </row>
    <row r="1952" spans="1:13">
      <c r="A1952" t="s">
        <v>2152</v>
      </c>
      <c r="B1952" t="s">
        <v>2153</v>
      </c>
      <c r="C1952" t="s">
        <v>16</v>
      </c>
      <c r="D1952" t="s">
        <v>21</v>
      </c>
      <c r="E1952" t="s">
        <v>2220</v>
      </c>
      <c r="F1952" t="s">
        <v>2220</v>
      </c>
      <c r="G1952" s="2">
        <v>45587</v>
      </c>
      <c r="H1952" s="2">
        <v>45617</v>
      </c>
      <c r="I1952">
        <v>42</v>
      </c>
      <c r="J1952">
        <v>42</v>
      </c>
      <c r="K1952" t="s">
        <v>20</v>
      </c>
      <c r="L1952">
        <v>0</v>
      </c>
      <c r="M1952">
        <v>42</v>
      </c>
    </row>
    <row r="1953" spans="1:13">
      <c r="A1953" t="s">
        <v>2152</v>
      </c>
      <c r="B1953" t="s">
        <v>2153</v>
      </c>
      <c r="C1953" t="s">
        <v>16</v>
      </c>
      <c r="D1953" t="s">
        <v>21</v>
      </c>
      <c r="E1953" t="s">
        <v>2221</v>
      </c>
      <c r="F1953" t="s">
        <v>2221</v>
      </c>
      <c r="G1953" s="2">
        <v>45587</v>
      </c>
      <c r="H1953" s="2">
        <v>45617</v>
      </c>
      <c r="I1953">
        <v>40</v>
      </c>
      <c r="J1953">
        <v>40</v>
      </c>
      <c r="K1953" t="s">
        <v>20</v>
      </c>
      <c r="L1953">
        <v>0</v>
      </c>
      <c r="M1953">
        <v>40</v>
      </c>
    </row>
    <row r="1954" spans="1:13">
      <c r="A1954" t="s">
        <v>2152</v>
      </c>
      <c r="B1954" t="s">
        <v>2153</v>
      </c>
      <c r="C1954" t="s">
        <v>16</v>
      </c>
      <c r="D1954" t="s">
        <v>21</v>
      </c>
      <c r="E1954" t="s">
        <v>2222</v>
      </c>
      <c r="F1954" t="s">
        <v>2222</v>
      </c>
      <c r="G1954" s="2">
        <v>45587</v>
      </c>
      <c r="H1954" s="2">
        <v>45617</v>
      </c>
      <c r="I1954">
        <v>105</v>
      </c>
      <c r="J1954">
        <v>105</v>
      </c>
      <c r="K1954" t="s">
        <v>20</v>
      </c>
      <c r="L1954">
        <v>0</v>
      </c>
      <c r="M1954">
        <v>105</v>
      </c>
    </row>
    <row r="1955" spans="1:13">
      <c r="A1955" t="s">
        <v>2152</v>
      </c>
      <c r="B1955" t="s">
        <v>2153</v>
      </c>
      <c r="C1955" t="s">
        <v>16</v>
      </c>
      <c r="D1955" t="s">
        <v>21</v>
      </c>
      <c r="E1955" t="s">
        <v>2223</v>
      </c>
      <c r="F1955" t="s">
        <v>2223</v>
      </c>
      <c r="G1955" s="2">
        <v>45587</v>
      </c>
      <c r="H1955" s="2">
        <v>45617</v>
      </c>
      <c r="I1955">
        <v>27</v>
      </c>
      <c r="J1955">
        <v>27</v>
      </c>
      <c r="K1955" t="s">
        <v>20</v>
      </c>
      <c r="L1955">
        <v>0</v>
      </c>
      <c r="M1955">
        <v>27</v>
      </c>
    </row>
    <row r="1956" spans="1:13">
      <c r="A1956" t="s">
        <v>2152</v>
      </c>
      <c r="B1956" t="s">
        <v>2153</v>
      </c>
      <c r="C1956" t="s">
        <v>16</v>
      </c>
      <c r="D1956" t="s">
        <v>21</v>
      </c>
      <c r="E1956" t="s">
        <v>2224</v>
      </c>
      <c r="F1956" t="s">
        <v>2224</v>
      </c>
      <c r="G1956" s="2">
        <v>45587</v>
      </c>
      <c r="H1956" s="2">
        <v>45617</v>
      </c>
      <c r="I1956">
        <v>40</v>
      </c>
      <c r="J1956">
        <v>40</v>
      </c>
      <c r="K1956" t="s">
        <v>20</v>
      </c>
      <c r="L1956">
        <v>0</v>
      </c>
      <c r="M1956">
        <v>40</v>
      </c>
    </row>
    <row r="1957" spans="1:13">
      <c r="A1957" t="s">
        <v>2152</v>
      </c>
      <c r="B1957" t="s">
        <v>2153</v>
      </c>
      <c r="C1957" t="s">
        <v>16</v>
      </c>
      <c r="D1957" t="s">
        <v>21</v>
      </c>
      <c r="E1957" t="s">
        <v>2225</v>
      </c>
      <c r="F1957" t="s">
        <v>2225</v>
      </c>
      <c r="G1957" s="2">
        <v>45587</v>
      </c>
      <c r="H1957" s="2">
        <v>45617</v>
      </c>
      <c r="I1957">
        <v>105</v>
      </c>
      <c r="J1957">
        <v>105</v>
      </c>
      <c r="K1957" t="s">
        <v>20</v>
      </c>
      <c r="L1957">
        <v>0</v>
      </c>
      <c r="M1957">
        <v>105</v>
      </c>
    </row>
    <row r="1958" spans="1:13">
      <c r="A1958" t="s">
        <v>2152</v>
      </c>
      <c r="B1958" t="s">
        <v>2153</v>
      </c>
      <c r="C1958" t="s">
        <v>16</v>
      </c>
      <c r="D1958" t="s">
        <v>21</v>
      </c>
      <c r="E1958" t="s">
        <v>2226</v>
      </c>
      <c r="F1958" t="s">
        <v>2226</v>
      </c>
      <c r="G1958" s="2">
        <v>45596</v>
      </c>
      <c r="H1958" s="2">
        <v>45626</v>
      </c>
      <c r="I1958">
        <v>94.2</v>
      </c>
      <c r="J1958">
        <v>94.2</v>
      </c>
      <c r="K1958" t="s">
        <v>20</v>
      </c>
      <c r="L1958">
        <v>0</v>
      </c>
      <c r="M1958">
        <v>94.2</v>
      </c>
    </row>
    <row r="1959" spans="1:13">
      <c r="A1959" t="s">
        <v>2152</v>
      </c>
      <c r="B1959" t="s">
        <v>2153</v>
      </c>
      <c r="C1959" t="s">
        <v>16</v>
      </c>
      <c r="D1959" t="s">
        <v>21</v>
      </c>
      <c r="E1959" t="s">
        <v>2227</v>
      </c>
      <c r="F1959" t="s">
        <v>2227</v>
      </c>
      <c r="G1959" s="2">
        <v>45596</v>
      </c>
      <c r="H1959" s="2">
        <v>45626</v>
      </c>
      <c r="I1959">
        <v>156.9</v>
      </c>
      <c r="J1959">
        <v>156.9</v>
      </c>
      <c r="K1959" t="s">
        <v>20</v>
      </c>
      <c r="L1959">
        <v>0</v>
      </c>
      <c r="M1959">
        <v>156.9</v>
      </c>
    </row>
    <row r="1960" spans="1:13">
      <c r="A1960" t="s">
        <v>2152</v>
      </c>
      <c r="B1960" t="s">
        <v>2153</v>
      </c>
      <c r="C1960" t="s">
        <v>16</v>
      </c>
      <c r="D1960" t="s">
        <v>21</v>
      </c>
      <c r="E1960" t="s">
        <v>2228</v>
      </c>
      <c r="F1960" t="s">
        <v>2228</v>
      </c>
      <c r="G1960" s="2">
        <v>45596</v>
      </c>
      <c r="H1960" s="2">
        <v>45626</v>
      </c>
      <c r="I1960">
        <v>35</v>
      </c>
      <c r="J1960">
        <v>35</v>
      </c>
      <c r="K1960" t="s">
        <v>20</v>
      </c>
      <c r="L1960">
        <v>0</v>
      </c>
      <c r="M1960">
        <v>35</v>
      </c>
    </row>
    <row r="1961" spans="1:13">
      <c r="A1961" t="s">
        <v>2152</v>
      </c>
      <c r="B1961" t="s">
        <v>2153</v>
      </c>
      <c r="C1961" t="s">
        <v>16</v>
      </c>
      <c r="D1961" t="s">
        <v>21</v>
      </c>
      <c r="E1961" t="s">
        <v>2229</v>
      </c>
      <c r="F1961" t="s">
        <v>2229</v>
      </c>
      <c r="G1961" s="2">
        <v>45596</v>
      </c>
      <c r="H1961" s="2">
        <v>45626</v>
      </c>
      <c r="I1961">
        <v>427</v>
      </c>
      <c r="J1961">
        <v>427</v>
      </c>
      <c r="K1961" t="s">
        <v>20</v>
      </c>
      <c r="L1961">
        <v>0</v>
      </c>
      <c r="M1961">
        <v>427</v>
      </c>
    </row>
    <row r="1962" spans="1:13">
      <c r="A1962" t="s">
        <v>2152</v>
      </c>
      <c r="B1962" t="s">
        <v>2153</v>
      </c>
      <c r="C1962" t="s">
        <v>16</v>
      </c>
      <c r="D1962" t="s">
        <v>21</v>
      </c>
      <c r="E1962" t="s">
        <v>2230</v>
      </c>
      <c r="F1962" t="s">
        <v>2230</v>
      </c>
      <c r="G1962" s="2">
        <v>45604</v>
      </c>
      <c r="H1962" s="2">
        <v>45634</v>
      </c>
      <c r="I1962">
        <v>813.43</v>
      </c>
      <c r="J1962">
        <v>813.43</v>
      </c>
      <c r="K1962" t="s">
        <v>20</v>
      </c>
      <c r="L1962">
        <v>0</v>
      </c>
      <c r="M1962">
        <v>813.43</v>
      </c>
    </row>
    <row r="1963" spans="1:13">
      <c r="A1963" t="s">
        <v>2152</v>
      </c>
      <c r="B1963" t="s">
        <v>2153</v>
      </c>
      <c r="C1963" t="s">
        <v>16</v>
      </c>
      <c r="D1963" t="s">
        <v>21</v>
      </c>
      <c r="E1963" t="s">
        <v>2231</v>
      </c>
      <c r="F1963" t="s">
        <v>2231</v>
      </c>
      <c r="G1963" s="2">
        <v>45604</v>
      </c>
      <c r="H1963" s="2">
        <v>45634</v>
      </c>
      <c r="I1963">
        <v>104.6</v>
      </c>
      <c r="J1963">
        <v>104.6</v>
      </c>
      <c r="K1963" t="s">
        <v>20</v>
      </c>
      <c r="L1963">
        <v>0</v>
      </c>
      <c r="M1963">
        <v>104.6</v>
      </c>
    </row>
    <row r="1964" spans="1:13">
      <c r="A1964" t="s">
        <v>2152</v>
      </c>
      <c r="B1964" t="s">
        <v>2153</v>
      </c>
      <c r="C1964" t="s">
        <v>16</v>
      </c>
      <c r="D1964" t="s">
        <v>21</v>
      </c>
      <c r="E1964" t="s">
        <v>2232</v>
      </c>
      <c r="F1964" t="s">
        <v>2232</v>
      </c>
      <c r="G1964" s="2">
        <v>45604</v>
      </c>
      <c r="H1964" s="2">
        <v>45634</v>
      </c>
      <c r="I1964">
        <v>280.2</v>
      </c>
      <c r="J1964">
        <v>280.2</v>
      </c>
      <c r="K1964" t="s">
        <v>20</v>
      </c>
      <c r="L1964">
        <v>0</v>
      </c>
      <c r="M1964">
        <v>280.2</v>
      </c>
    </row>
    <row r="1965" spans="1:13">
      <c r="A1965" t="s">
        <v>2152</v>
      </c>
      <c r="B1965" t="s">
        <v>2153</v>
      </c>
      <c r="C1965" t="s">
        <v>16</v>
      </c>
      <c r="D1965" t="s">
        <v>21</v>
      </c>
      <c r="E1965" t="s">
        <v>2233</v>
      </c>
      <c r="F1965" t="s">
        <v>2233</v>
      </c>
      <c r="G1965" s="2">
        <v>45604</v>
      </c>
      <c r="H1965" s="2">
        <v>45634</v>
      </c>
      <c r="I1965">
        <v>147.5</v>
      </c>
      <c r="J1965">
        <v>147.5</v>
      </c>
      <c r="K1965" t="s">
        <v>20</v>
      </c>
      <c r="L1965">
        <v>0</v>
      </c>
      <c r="M1965">
        <v>147.5</v>
      </c>
    </row>
    <row r="1966" spans="1:13">
      <c r="A1966" t="s">
        <v>2152</v>
      </c>
      <c r="B1966" t="s">
        <v>2153</v>
      </c>
      <c r="C1966" t="s">
        <v>16</v>
      </c>
      <c r="D1966" t="s">
        <v>21</v>
      </c>
      <c r="E1966" t="s">
        <v>2234</v>
      </c>
      <c r="F1966" t="s">
        <v>2234</v>
      </c>
      <c r="G1966" s="2">
        <v>45607</v>
      </c>
      <c r="H1966" s="2">
        <v>45637</v>
      </c>
      <c r="I1966">
        <v>107.6</v>
      </c>
      <c r="J1966">
        <v>107.6</v>
      </c>
      <c r="K1966" t="s">
        <v>20</v>
      </c>
      <c r="L1966">
        <v>0</v>
      </c>
      <c r="M1966">
        <v>107.6</v>
      </c>
    </row>
    <row r="1967" spans="1:13">
      <c r="A1967" t="s">
        <v>2152</v>
      </c>
      <c r="B1967" t="s">
        <v>2153</v>
      </c>
      <c r="C1967" t="s">
        <v>16</v>
      </c>
      <c r="D1967" t="s">
        <v>21</v>
      </c>
      <c r="E1967" t="s">
        <v>2235</v>
      </c>
      <c r="F1967" t="s">
        <v>2235</v>
      </c>
      <c r="G1967" s="2">
        <v>45607</v>
      </c>
      <c r="H1967" s="2">
        <v>45637</v>
      </c>
      <c r="I1967">
        <v>350.1</v>
      </c>
      <c r="J1967">
        <v>350.1</v>
      </c>
      <c r="K1967" t="s">
        <v>20</v>
      </c>
      <c r="L1967">
        <v>0</v>
      </c>
      <c r="M1967">
        <v>350.1</v>
      </c>
    </row>
    <row r="1968" spans="1:13">
      <c r="A1968" t="s">
        <v>2152</v>
      </c>
      <c r="B1968" t="s">
        <v>2153</v>
      </c>
      <c r="C1968" t="s">
        <v>16</v>
      </c>
      <c r="D1968" t="s">
        <v>21</v>
      </c>
      <c r="E1968" t="s">
        <v>2236</v>
      </c>
      <c r="F1968" t="s">
        <v>2236</v>
      </c>
      <c r="G1968" s="2">
        <v>45607</v>
      </c>
      <c r="H1968" s="2">
        <v>45637</v>
      </c>
      <c r="I1968">
        <v>257.99</v>
      </c>
      <c r="J1968">
        <v>257.99</v>
      </c>
      <c r="K1968" t="s">
        <v>20</v>
      </c>
      <c r="L1968">
        <v>0</v>
      </c>
      <c r="M1968">
        <v>257.99</v>
      </c>
    </row>
    <row r="1969" spans="1:13">
      <c r="A1969" t="s">
        <v>2152</v>
      </c>
      <c r="B1969" t="s">
        <v>2153</v>
      </c>
      <c r="C1969" t="s">
        <v>16</v>
      </c>
      <c r="D1969" t="s">
        <v>21</v>
      </c>
      <c r="E1969" t="s">
        <v>2237</v>
      </c>
      <c r="F1969" t="s">
        <v>2237</v>
      </c>
      <c r="G1969" s="2">
        <v>45609</v>
      </c>
      <c r="H1969" s="2">
        <v>45639</v>
      </c>
      <c r="I1969" s="1">
        <v>1817.86</v>
      </c>
      <c r="J1969">
        <v>1817.86</v>
      </c>
      <c r="K1969" t="s">
        <v>20</v>
      </c>
      <c r="L1969">
        <v>0</v>
      </c>
      <c r="M1969">
        <v>1817.86</v>
      </c>
    </row>
    <row r="1970" spans="1:13">
      <c r="A1970" t="s">
        <v>2152</v>
      </c>
      <c r="B1970" t="s">
        <v>2153</v>
      </c>
      <c r="C1970" t="s">
        <v>16</v>
      </c>
      <c r="D1970" t="s">
        <v>21</v>
      </c>
      <c r="E1970" t="s">
        <v>2238</v>
      </c>
      <c r="F1970" t="s">
        <v>2238</v>
      </c>
      <c r="G1970" s="2">
        <v>45611</v>
      </c>
      <c r="H1970" s="2">
        <v>45641</v>
      </c>
      <c r="I1970">
        <v>482.68</v>
      </c>
      <c r="J1970">
        <v>54</v>
      </c>
      <c r="K1970" t="s">
        <v>20</v>
      </c>
      <c r="L1970">
        <v>0</v>
      </c>
      <c r="M1970">
        <v>54</v>
      </c>
    </row>
    <row r="1971" spans="1:13">
      <c r="A1971" t="s">
        <v>2152</v>
      </c>
      <c r="B1971" t="s">
        <v>2153</v>
      </c>
      <c r="C1971" t="s">
        <v>16</v>
      </c>
      <c r="D1971" t="s">
        <v>55</v>
      </c>
      <c r="E1971" t="s">
        <v>2238</v>
      </c>
      <c r="F1971" t="s">
        <v>2238</v>
      </c>
      <c r="H1971" s="2">
        <v>45639</v>
      </c>
      <c r="I1971">
        <v>-428.68</v>
      </c>
      <c r="J1971" t="s">
        <v>86</v>
      </c>
      <c r="K1971" t="s">
        <v>20</v>
      </c>
      <c r="L1971">
        <v>0</v>
      </c>
      <c r="M1971" t="s">
        <v>86</v>
      </c>
    </row>
    <row r="1972" spans="1:13">
      <c r="A1972" t="s">
        <v>2152</v>
      </c>
      <c r="B1972" t="s">
        <v>2153</v>
      </c>
      <c r="C1972" t="s">
        <v>16</v>
      </c>
      <c r="D1972" t="s">
        <v>21</v>
      </c>
      <c r="E1972" t="s">
        <v>2239</v>
      </c>
      <c r="F1972" t="s">
        <v>2239</v>
      </c>
      <c r="G1972" s="2">
        <v>45617</v>
      </c>
      <c r="H1972" s="2">
        <v>45647</v>
      </c>
      <c r="I1972" s="1">
        <v>1272.9000000000001</v>
      </c>
      <c r="J1972">
        <v>1272.9000000000001</v>
      </c>
      <c r="K1972" t="s">
        <v>20</v>
      </c>
      <c r="L1972">
        <v>0</v>
      </c>
      <c r="M1972">
        <v>1272.9000000000001</v>
      </c>
    </row>
    <row r="1973" spans="1:13">
      <c r="A1973" t="s">
        <v>2152</v>
      </c>
      <c r="B1973" t="s">
        <v>2153</v>
      </c>
      <c r="C1973" t="s">
        <v>16</v>
      </c>
      <c r="D1973" t="s">
        <v>21</v>
      </c>
      <c r="E1973" t="s">
        <v>2240</v>
      </c>
      <c r="F1973" t="s">
        <v>2240</v>
      </c>
      <c r="G1973" s="2">
        <v>45617</v>
      </c>
      <c r="H1973" s="2">
        <v>45647</v>
      </c>
      <c r="I1973">
        <v>104.6</v>
      </c>
      <c r="J1973">
        <v>104.6</v>
      </c>
      <c r="K1973" t="s">
        <v>20</v>
      </c>
      <c r="L1973">
        <v>0</v>
      </c>
      <c r="M1973">
        <v>104.6</v>
      </c>
    </row>
    <row r="1974" spans="1:13">
      <c r="A1974" t="s">
        <v>2152</v>
      </c>
      <c r="B1974" t="s">
        <v>2153</v>
      </c>
      <c r="C1974" t="s">
        <v>16</v>
      </c>
      <c r="D1974" t="s">
        <v>21</v>
      </c>
      <c r="E1974" t="s">
        <v>2241</v>
      </c>
      <c r="F1974" t="s">
        <v>2241</v>
      </c>
      <c r="G1974" s="2">
        <v>45623</v>
      </c>
      <c r="H1974" s="2">
        <v>45653</v>
      </c>
      <c r="I1974">
        <v>156.9</v>
      </c>
      <c r="J1974">
        <v>156.9</v>
      </c>
      <c r="K1974" t="s">
        <v>20</v>
      </c>
      <c r="L1974">
        <v>0</v>
      </c>
      <c r="M1974">
        <v>156.9</v>
      </c>
    </row>
    <row r="1975" spans="1:13">
      <c r="A1975" t="s">
        <v>2152</v>
      </c>
      <c r="B1975" t="s">
        <v>2153</v>
      </c>
      <c r="C1975" t="s">
        <v>16</v>
      </c>
      <c r="D1975" t="s">
        <v>21</v>
      </c>
      <c r="E1975" t="s">
        <v>2242</v>
      </c>
      <c r="F1975" t="s">
        <v>2242</v>
      </c>
      <c r="G1975" s="2">
        <v>45631</v>
      </c>
      <c r="H1975" s="2">
        <v>45661</v>
      </c>
      <c r="I1975">
        <v>812.6</v>
      </c>
      <c r="J1975">
        <v>812.6</v>
      </c>
      <c r="K1975" t="s">
        <v>20</v>
      </c>
      <c r="L1975">
        <v>0</v>
      </c>
      <c r="M1975">
        <v>812.6</v>
      </c>
    </row>
    <row r="1976" spans="1:13">
      <c r="A1976" t="s">
        <v>2152</v>
      </c>
      <c r="B1976" t="s">
        <v>2153</v>
      </c>
      <c r="C1976" t="s">
        <v>16</v>
      </c>
      <c r="D1976" t="s">
        <v>21</v>
      </c>
      <c r="E1976" t="s">
        <v>2243</v>
      </c>
      <c r="F1976" t="s">
        <v>2243</v>
      </c>
      <c r="G1976" s="2">
        <v>45632</v>
      </c>
      <c r="H1976" s="2">
        <v>45662</v>
      </c>
      <c r="I1976">
        <v>329</v>
      </c>
      <c r="J1976">
        <v>329</v>
      </c>
      <c r="K1976" t="s">
        <v>20</v>
      </c>
      <c r="L1976">
        <v>0</v>
      </c>
      <c r="M1976">
        <v>329</v>
      </c>
    </row>
    <row r="1977" spans="1:13">
      <c r="A1977" t="s">
        <v>2152</v>
      </c>
      <c r="B1977" t="s">
        <v>2153</v>
      </c>
      <c r="C1977" t="s">
        <v>16</v>
      </c>
      <c r="D1977" t="s">
        <v>21</v>
      </c>
      <c r="E1977" t="s">
        <v>2244</v>
      </c>
      <c r="F1977" t="s">
        <v>2244</v>
      </c>
      <c r="G1977" s="2">
        <v>45639</v>
      </c>
      <c r="H1977" s="2">
        <v>45669</v>
      </c>
      <c r="I1977">
        <v>81</v>
      </c>
      <c r="J1977">
        <v>81</v>
      </c>
      <c r="K1977" t="s">
        <v>20</v>
      </c>
      <c r="L1977">
        <v>0</v>
      </c>
      <c r="M1977">
        <v>81</v>
      </c>
    </row>
    <row r="1978" spans="1:13">
      <c r="A1978" t="s">
        <v>2152</v>
      </c>
      <c r="B1978" t="s">
        <v>2153</v>
      </c>
      <c r="C1978" t="s">
        <v>16</v>
      </c>
      <c r="D1978" t="s">
        <v>21</v>
      </c>
      <c r="E1978" t="s">
        <v>2245</v>
      </c>
      <c r="F1978" t="s">
        <v>2245</v>
      </c>
      <c r="G1978" s="2">
        <v>45639</v>
      </c>
      <c r="H1978" s="2">
        <v>45669</v>
      </c>
      <c r="I1978">
        <v>26</v>
      </c>
      <c r="J1978">
        <v>26</v>
      </c>
      <c r="K1978" t="s">
        <v>20</v>
      </c>
      <c r="L1978">
        <v>0</v>
      </c>
      <c r="M1978">
        <v>26</v>
      </c>
    </row>
    <row r="1979" spans="1:13">
      <c r="A1979" t="s">
        <v>2152</v>
      </c>
      <c r="B1979" t="s">
        <v>2153</v>
      </c>
      <c r="C1979" t="s">
        <v>16</v>
      </c>
      <c r="D1979" t="s">
        <v>21</v>
      </c>
      <c r="E1979" t="s">
        <v>2246</v>
      </c>
      <c r="F1979" t="s">
        <v>2246</v>
      </c>
      <c r="G1979" s="2">
        <v>45652</v>
      </c>
      <c r="H1979" s="2">
        <v>45682</v>
      </c>
      <c r="I1979">
        <v>715</v>
      </c>
      <c r="J1979">
        <v>-80</v>
      </c>
      <c r="K1979" t="s">
        <v>20</v>
      </c>
      <c r="L1979">
        <v>0</v>
      </c>
      <c r="M1979">
        <v>-80</v>
      </c>
    </row>
    <row r="1980" spans="1:13">
      <c r="A1980" t="s">
        <v>2152</v>
      </c>
      <c r="B1980" t="s">
        <v>2153</v>
      </c>
      <c r="C1980" t="s">
        <v>16</v>
      </c>
      <c r="D1980" t="s">
        <v>17</v>
      </c>
      <c r="E1980" t="s">
        <v>2247</v>
      </c>
      <c r="F1980" t="s">
        <v>2246</v>
      </c>
      <c r="H1980" s="2">
        <v>45714</v>
      </c>
      <c r="I1980">
        <v>-80</v>
      </c>
      <c r="J1980" t="s">
        <v>86</v>
      </c>
      <c r="K1980" t="s">
        <v>20</v>
      </c>
      <c r="L1980">
        <v>0</v>
      </c>
      <c r="M1980" t="s">
        <v>86</v>
      </c>
    </row>
    <row r="1981" spans="1:13">
      <c r="A1981" t="s">
        <v>2152</v>
      </c>
      <c r="B1981" t="s">
        <v>2153</v>
      </c>
      <c r="C1981" t="s">
        <v>16</v>
      </c>
      <c r="D1981" t="s">
        <v>55</v>
      </c>
      <c r="E1981" t="s">
        <v>2246</v>
      </c>
      <c r="F1981" t="s">
        <v>2246</v>
      </c>
      <c r="H1981" s="2">
        <v>45681</v>
      </c>
      <c r="I1981">
        <v>-715</v>
      </c>
      <c r="J1981" t="s">
        <v>86</v>
      </c>
      <c r="K1981" t="s">
        <v>20</v>
      </c>
      <c r="L1981">
        <v>0</v>
      </c>
      <c r="M1981" t="s">
        <v>86</v>
      </c>
    </row>
    <row r="1982" spans="1:13">
      <c r="A1982" t="s">
        <v>2152</v>
      </c>
      <c r="B1982" t="s">
        <v>2153</v>
      </c>
      <c r="C1982" t="s">
        <v>16</v>
      </c>
      <c r="D1982" t="s">
        <v>21</v>
      </c>
      <c r="E1982" t="s">
        <v>2248</v>
      </c>
      <c r="F1982" t="s">
        <v>2248</v>
      </c>
      <c r="G1982" s="2">
        <v>45652</v>
      </c>
      <c r="H1982" s="2">
        <v>45682</v>
      </c>
      <c r="I1982">
        <v>354.52</v>
      </c>
      <c r="J1982">
        <v>354.52</v>
      </c>
      <c r="K1982" t="s">
        <v>20</v>
      </c>
      <c r="L1982">
        <v>0</v>
      </c>
      <c r="M1982">
        <v>354.52</v>
      </c>
    </row>
    <row r="1983" spans="1:13">
      <c r="A1983" t="s">
        <v>2152</v>
      </c>
      <c r="B1983" t="s">
        <v>2153</v>
      </c>
      <c r="C1983" t="s">
        <v>16</v>
      </c>
      <c r="D1983" t="s">
        <v>21</v>
      </c>
      <c r="E1983" t="s">
        <v>2249</v>
      </c>
      <c r="F1983" t="s">
        <v>2249</v>
      </c>
      <c r="G1983" s="2">
        <v>45652</v>
      </c>
      <c r="H1983" s="2">
        <v>45682</v>
      </c>
      <c r="I1983">
        <v>531.78</v>
      </c>
      <c r="J1983">
        <v>531.78</v>
      </c>
      <c r="K1983" t="s">
        <v>20</v>
      </c>
      <c r="L1983">
        <v>0</v>
      </c>
      <c r="M1983">
        <v>531.78</v>
      </c>
    </row>
    <row r="1984" spans="1:13">
      <c r="A1984" t="s">
        <v>2152</v>
      </c>
      <c r="B1984" t="s">
        <v>2153</v>
      </c>
      <c r="C1984" t="s">
        <v>16</v>
      </c>
      <c r="D1984" t="s">
        <v>21</v>
      </c>
      <c r="E1984" t="s">
        <v>2250</v>
      </c>
      <c r="F1984" t="s">
        <v>2250</v>
      </c>
      <c r="G1984" s="2">
        <v>45653</v>
      </c>
      <c r="H1984" s="2">
        <v>45683</v>
      </c>
      <c r="I1984">
        <v>52.3</v>
      </c>
      <c r="J1984">
        <v>52.3</v>
      </c>
      <c r="K1984" t="s">
        <v>20</v>
      </c>
      <c r="L1984">
        <v>0</v>
      </c>
      <c r="M1984">
        <v>52.3</v>
      </c>
    </row>
    <row r="1985" spans="1:13">
      <c r="A1985" t="s">
        <v>2152</v>
      </c>
      <c r="B1985" t="s">
        <v>2153</v>
      </c>
      <c r="C1985" t="s">
        <v>16</v>
      </c>
      <c r="D1985" t="s">
        <v>21</v>
      </c>
      <c r="E1985" t="s">
        <v>2251</v>
      </c>
      <c r="F1985" t="s">
        <v>2251</v>
      </c>
      <c r="G1985" s="2">
        <v>45653</v>
      </c>
      <c r="H1985" s="2">
        <v>45683</v>
      </c>
      <c r="I1985">
        <v>235.3</v>
      </c>
      <c r="J1985">
        <v>235.3</v>
      </c>
      <c r="K1985" t="s">
        <v>20</v>
      </c>
      <c r="L1985">
        <v>0</v>
      </c>
      <c r="M1985">
        <v>235.3</v>
      </c>
    </row>
    <row r="1986" spans="1:13">
      <c r="A1986" t="s">
        <v>2152</v>
      </c>
      <c r="B1986" t="s">
        <v>2153</v>
      </c>
      <c r="C1986" t="s">
        <v>16</v>
      </c>
      <c r="D1986" t="s">
        <v>21</v>
      </c>
      <c r="E1986" t="s">
        <v>2252</v>
      </c>
      <c r="F1986" t="s">
        <v>2252</v>
      </c>
      <c r="G1986" s="2">
        <v>45653</v>
      </c>
      <c r="H1986" s="2">
        <v>45683</v>
      </c>
      <c r="I1986" s="1">
        <v>1128</v>
      </c>
      <c r="J1986">
        <v>1128</v>
      </c>
      <c r="K1986" t="s">
        <v>20</v>
      </c>
      <c r="L1986">
        <v>0</v>
      </c>
      <c r="M1986">
        <v>1128</v>
      </c>
    </row>
    <row r="1987" spans="1:13">
      <c r="A1987" t="s">
        <v>2152</v>
      </c>
      <c r="B1987" t="s">
        <v>2153</v>
      </c>
      <c r="C1987" t="s">
        <v>16</v>
      </c>
      <c r="D1987" t="s">
        <v>21</v>
      </c>
      <c r="E1987" t="s">
        <v>2253</v>
      </c>
      <c r="F1987" t="s">
        <v>2253</v>
      </c>
      <c r="G1987" s="2">
        <v>45656</v>
      </c>
      <c r="H1987" s="2">
        <v>45686</v>
      </c>
      <c r="I1987">
        <v>398.8</v>
      </c>
      <c r="J1987">
        <v>398.8</v>
      </c>
      <c r="K1987" t="s">
        <v>20</v>
      </c>
      <c r="L1987">
        <v>0</v>
      </c>
      <c r="M1987">
        <v>398.8</v>
      </c>
    </row>
    <row r="1988" spans="1:13">
      <c r="A1988" t="s">
        <v>2152</v>
      </c>
      <c r="B1988" t="s">
        <v>2153</v>
      </c>
      <c r="C1988" t="s">
        <v>16</v>
      </c>
      <c r="D1988" t="s">
        <v>21</v>
      </c>
      <c r="E1988" t="s">
        <v>2254</v>
      </c>
      <c r="F1988" t="s">
        <v>2254</v>
      </c>
      <c r="G1988" s="2">
        <v>45656</v>
      </c>
      <c r="H1988" s="2">
        <v>45686</v>
      </c>
      <c r="I1988">
        <v>185</v>
      </c>
      <c r="J1988">
        <v>185</v>
      </c>
      <c r="K1988" t="s">
        <v>20</v>
      </c>
      <c r="L1988">
        <v>0</v>
      </c>
      <c r="M1988">
        <v>185</v>
      </c>
    </row>
    <row r="1989" spans="1:13">
      <c r="A1989" t="s">
        <v>2152</v>
      </c>
      <c r="B1989" t="s">
        <v>2153</v>
      </c>
      <c r="C1989" t="s">
        <v>16</v>
      </c>
      <c r="D1989" t="s">
        <v>21</v>
      </c>
      <c r="E1989" t="s">
        <v>2255</v>
      </c>
      <c r="F1989" t="s">
        <v>2255</v>
      </c>
      <c r="G1989" s="2">
        <v>45656</v>
      </c>
      <c r="H1989" s="2">
        <v>45686</v>
      </c>
      <c r="I1989">
        <v>349.3</v>
      </c>
      <c r="J1989">
        <v>349.3</v>
      </c>
      <c r="K1989" t="s">
        <v>20</v>
      </c>
      <c r="L1989">
        <v>0</v>
      </c>
      <c r="M1989">
        <v>349.3</v>
      </c>
    </row>
    <row r="1990" spans="1:13">
      <c r="A1990" t="s">
        <v>2152</v>
      </c>
      <c r="B1990" t="s">
        <v>2153</v>
      </c>
      <c r="C1990" t="s">
        <v>16</v>
      </c>
      <c r="D1990" t="s">
        <v>21</v>
      </c>
      <c r="E1990" t="s">
        <v>2256</v>
      </c>
      <c r="F1990" t="s">
        <v>2256</v>
      </c>
      <c r="G1990" s="2">
        <v>45656</v>
      </c>
      <c r="H1990" s="2">
        <v>45686</v>
      </c>
      <c r="I1990">
        <v>367</v>
      </c>
      <c r="J1990">
        <v>367</v>
      </c>
      <c r="K1990" t="s">
        <v>20</v>
      </c>
      <c r="L1990">
        <v>0</v>
      </c>
      <c r="M1990">
        <v>367</v>
      </c>
    </row>
    <row r="1991" spans="1:13">
      <c r="A1991" t="s">
        <v>2152</v>
      </c>
      <c r="B1991" t="s">
        <v>2153</v>
      </c>
      <c r="C1991" t="s">
        <v>16</v>
      </c>
      <c r="D1991" t="s">
        <v>21</v>
      </c>
      <c r="E1991" t="s">
        <v>2257</v>
      </c>
      <c r="F1991" t="s">
        <v>2257</v>
      </c>
      <c r="G1991" s="2">
        <v>45656</v>
      </c>
      <c r="H1991" s="2">
        <v>45686</v>
      </c>
      <c r="I1991">
        <v>295</v>
      </c>
      <c r="J1991">
        <v>295</v>
      </c>
      <c r="K1991" t="s">
        <v>20</v>
      </c>
      <c r="L1991">
        <v>0</v>
      </c>
      <c r="M1991">
        <v>295</v>
      </c>
    </row>
    <row r="1992" spans="1:13">
      <c r="A1992" t="s">
        <v>2152</v>
      </c>
      <c r="B1992" t="s">
        <v>2153</v>
      </c>
      <c r="C1992" t="s">
        <v>16</v>
      </c>
      <c r="D1992" t="s">
        <v>21</v>
      </c>
      <c r="E1992" t="s">
        <v>2258</v>
      </c>
      <c r="F1992" t="s">
        <v>2258</v>
      </c>
      <c r="G1992" s="2">
        <v>45656</v>
      </c>
      <c r="H1992" s="2">
        <v>45686</v>
      </c>
      <c r="I1992">
        <v>368</v>
      </c>
      <c r="J1992">
        <v>368</v>
      </c>
      <c r="K1992" t="s">
        <v>20</v>
      </c>
      <c r="L1992">
        <v>0</v>
      </c>
      <c r="M1992">
        <v>368</v>
      </c>
    </row>
    <row r="1993" spans="1:13">
      <c r="A1993" t="s">
        <v>2152</v>
      </c>
      <c r="B1993" t="s">
        <v>2153</v>
      </c>
      <c r="C1993" t="s">
        <v>16</v>
      </c>
      <c r="D1993" t="s">
        <v>21</v>
      </c>
      <c r="E1993" t="s">
        <v>2259</v>
      </c>
      <c r="F1993" t="s">
        <v>2259</v>
      </c>
      <c r="G1993" s="2">
        <v>45656</v>
      </c>
      <c r="H1993" s="2">
        <v>45686</v>
      </c>
      <c r="I1993">
        <v>276</v>
      </c>
      <c r="J1993">
        <v>276</v>
      </c>
      <c r="K1993" t="s">
        <v>20</v>
      </c>
      <c r="L1993">
        <v>0</v>
      </c>
      <c r="M1993">
        <v>276</v>
      </c>
    </row>
    <row r="1994" spans="1:13">
      <c r="A1994" t="s">
        <v>2152</v>
      </c>
      <c r="B1994" t="s">
        <v>2153</v>
      </c>
      <c r="C1994" t="s">
        <v>16</v>
      </c>
      <c r="D1994" t="s">
        <v>21</v>
      </c>
      <c r="E1994" t="s">
        <v>2260</v>
      </c>
      <c r="F1994" t="s">
        <v>2260</v>
      </c>
      <c r="G1994" s="2">
        <v>45656</v>
      </c>
      <c r="H1994" s="2">
        <v>45686</v>
      </c>
      <c r="I1994" s="1">
        <v>1128.0999999999999</v>
      </c>
      <c r="J1994">
        <v>1128.0999999999999</v>
      </c>
      <c r="K1994" t="s">
        <v>20</v>
      </c>
      <c r="L1994">
        <v>0</v>
      </c>
      <c r="M1994">
        <v>1128.0999999999999</v>
      </c>
    </row>
    <row r="1995" spans="1:13">
      <c r="A1995" t="s">
        <v>2152</v>
      </c>
      <c r="B1995" t="s">
        <v>2153</v>
      </c>
      <c r="C1995" t="s">
        <v>16</v>
      </c>
      <c r="D1995" t="s">
        <v>21</v>
      </c>
      <c r="E1995" t="s">
        <v>2261</v>
      </c>
      <c r="F1995" t="s">
        <v>2261</v>
      </c>
      <c r="G1995" s="2">
        <v>45656</v>
      </c>
      <c r="H1995" s="2">
        <v>45686</v>
      </c>
      <c r="I1995">
        <v>153</v>
      </c>
      <c r="J1995">
        <v>153</v>
      </c>
      <c r="K1995" t="s">
        <v>20</v>
      </c>
      <c r="L1995">
        <v>0</v>
      </c>
      <c r="M1995">
        <v>153</v>
      </c>
    </row>
    <row r="1996" spans="1:13">
      <c r="A1996" t="s">
        <v>2152</v>
      </c>
      <c r="B1996" t="s">
        <v>2153</v>
      </c>
      <c r="C1996" t="s">
        <v>16</v>
      </c>
      <c r="D1996" t="s">
        <v>21</v>
      </c>
      <c r="E1996" t="s">
        <v>2262</v>
      </c>
      <c r="F1996" t="s">
        <v>2262</v>
      </c>
      <c r="G1996" s="2">
        <v>45656</v>
      </c>
      <c r="H1996" s="2">
        <v>45686</v>
      </c>
      <c r="I1996">
        <v>920</v>
      </c>
      <c r="J1996">
        <v>920</v>
      </c>
      <c r="K1996" t="s">
        <v>20</v>
      </c>
      <c r="L1996">
        <v>0</v>
      </c>
      <c r="M1996">
        <v>920</v>
      </c>
    </row>
    <row r="1997" spans="1:13">
      <c r="A1997" t="s">
        <v>2152</v>
      </c>
      <c r="B1997" t="s">
        <v>2153</v>
      </c>
      <c r="C1997" t="s">
        <v>16</v>
      </c>
      <c r="D1997" t="s">
        <v>21</v>
      </c>
      <c r="E1997" t="s">
        <v>2263</v>
      </c>
      <c r="F1997" t="s">
        <v>2263</v>
      </c>
      <c r="G1997" s="2">
        <v>45656</v>
      </c>
      <c r="H1997" s="2">
        <v>45686</v>
      </c>
      <c r="I1997">
        <v>149</v>
      </c>
      <c r="J1997">
        <v>149</v>
      </c>
      <c r="K1997" t="s">
        <v>20</v>
      </c>
      <c r="L1997">
        <v>0</v>
      </c>
      <c r="M1997">
        <v>149</v>
      </c>
    </row>
    <row r="1998" spans="1:13">
      <c r="A1998" t="s">
        <v>2152</v>
      </c>
      <c r="B1998" t="s">
        <v>2153</v>
      </c>
      <c r="C1998" t="s">
        <v>16</v>
      </c>
      <c r="D1998" t="s">
        <v>21</v>
      </c>
      <c r="E1998" t="s">
        <v>2264</v>
      </c>
      <c r="F1998" t="s">
        <v>2264</v>
      </c>
      <c r="G1998" s="2">
        <v>45656</v>
      </c>
      <c r="H1998" s="2">
        <v>45686</v>
      </c>
      <c r="I1998">
        <v>368</v>
      </c>
      <c r="J1998">
        <v>368</v>
      </c>
      <c r="K1998" t="s">
        <v>20</v>
      </c>
      <c r="L1998">
        <v>0</v>
      </c>
      <c r="M1998">
        <v>368</v>
      </c>
    </row>
    <row r="1999" spans="1:13">
      <c r="A1999" t="s">
        <v>2152</v>
      </c>
      <c r="B1999" t="s">
        <v>2153</v>
      </c>
      <c r="C1999" t="s">
        <v>16</v>
      </c>
      <c r="D1999" t="s">
        <v>21</v>
      </c>
      <c r="E1999" t="s">
        <v>2265</v>
      </c>
      <c r="F1999" t="s">
        <v>2265</v>
      </c>
      <c r="G1999" s="2">
        <v>45656</v>
      </c>
      <c r="H1999" s="2">
        <v>45686</v>
      </c>
      <c r="I1999">
        <v>292.3</v>
      </c>
      <c r="J1999">
        <v>292.3</v>
      </c>
      <c r="K1999" t="s">
        <v>20</v>
      </c>
      <c r="L1999">
        <v>0</v>
      </c>
      <c r="M1999">
        <v>292.3</v>
      </c>
    </row>
    <row r="2000" spans="1:13">
      <c r="A2000" t="s">
        <v>2152</v>
      </c>
      <c r="B2000" t="s">
        <v>2153</v>
      </c>
      <c r="C2000" t="s">
        <v>16</v>
      </c>
      <c r="D2000" t="s">
        <v>21</v>
      </c>
      <c r="E2000" t="s">
        <v>2266</v>
      </c>
      <c r="F2000" t="s">
        <v>2266</v>
      </c>
      <c r="G2000" s="2">
        <v>45656</v>
      </c>
      <c r="H2000" s="2">
        <v>45686</v>
      </c>
      <c r="I2000">
        <v>303.89999999999998</v>
      </c>
      <c r="J2000">
        <v>303.89999999999998</v>
      </c>
      <c r="K2000" t="s">
        <v>20</v>
      </c>
      <c r="L2000">
        <v>0</v>
      </c>
      <c r="M2000">
        <v>303.89999999999998</v>
      </c>
    </row>
    <row r="2001" spans="1:13">
      <c r="A2001" t="s">
        <v>2152</v>
      </c>
      <c r="B2001" t="s">
        <v>2153</v>
      </c>
      <c r="C2001" t="s">
        <v>16</v>
      </c>
      <c r="D2001" t="s">
        <v>21</v>
      </c>
      <c r="E2001" t="s">
        <v>2267</v>
      </c>
      <c r="F2001" t="s">
        <v>2267</v>
      </c>
      <c r="G2001" s="2">
        <v>45657</v>
      </c>
      <c r="H2001" s="2">
        <v>45687</v>
      </c>
      <c r="I2001">
        <v>128.16</v>
      </c>
      <c r="J2001">
        <v>128.16</v>
      </c>
      <c r="K2001" t="s">
        <v>20</v>
      </c>
      <c r="L2001">
        <v>0</v>
      </c>
      <c r="M2001">
        <v>128.16</v>
      </c>
    </row>
    <row r="2002" spans="1:13">
      <c r="A2002" t="s">
        <v>2152</v>
      </c>
      <c r="B2002" t="s">
        <v>2153</v>
      </c>
      <c r="C2002" t="s">
        <v>16</v>
      </c>
      <c r="D2002" t="s">
        <v>21</v>
      </c>
      <c r="E2002" t="s">
        <v>2268</v>
      </c>
      <c r="F2002" t="s">
        <v>2268</v>
      </c>
      <c r="G2002" s="2">
        <v>45657</v>
      </c>
      <c r="H2002" s="2">
        <v>45687</v>
      </c>
      <c r="I2002">
        <v>231.5</v>
      </c>
      <c r="J2002">
        <v>231.5</v>
      </c>
      <c r="K2002" t="s">
        <v>20</v>
      </c>
      <c r="L2002">
        <v>0</v>
      </c>
      <c r="M2002">
        <v>231.5</v>
      </c>
    </row>
    <row r="2003" spans="1:13">
      <c r="A2003" t="s">
        <v>2152</v>
      </c>
      <c r="B2003" t="s">
        <v>2153</v>
      </c>
      <c r="C2003" t="s">
        <v>16</v>
      </c>
      <c r="D2003" t="s">
        <v>21</v>
      </c>
      <c r="E2003" t="s">
        <v>2269</v>
      </c>
      <c r="F2003" t="s">
        <v>2269</v>
      </c>
      <c r="G2003" s="2">
        <v>45657</v>
      </c>
      <c r="H2003" s="2">
        <v>45687</v>
      </c>
      <c r="I2003">
        <v>179.13</v>
      </c>
      <c r="J2003">
        <v>179.13</v>
      </c>
      <c r="K2003" t="s">
        <v>20</v>
      </c>
      <c r="L2003">
        <v>0</v>
      </c>
      <c r="M2003">
        <v>179.13</v>
      </c>
    </row>
    <row r="2004" spans="1:13">
      <c r="A2004" t="s">
        <v>2152</v>
      </c>
      <c r="B2004" t="s">
        <v>2153</v>
      </c>
      <c r="C2004" t="s">
        <v>16</v>
      </c>
      <c r="D2004" t="s">
        <v>21</v>
      </c>
      <c r="E2004" t="s">
        <v>2270</v>
      </c>
      <c r="F2004" t="s">
        <v>2270</v>
      </c>
      <c r="G2004" s="2">
        <v>45657</v>
      </c>
      <c r="H2004" s="2">
        <v>45687</v>
      </c>
      <c r="I2004">
        <v>477.3</v>
      </c>
      <c r="J2004">
        <v>477.3</v>
      </c>
      <c r="K2004" t="s">
        <v>20</v>
      </c>
      <c r="L2004">
        <v>0</v>
      </c>
      <c r="M2004">
        <v>477.3</v>
      </c>
    </row>
    <row r="2005" spans="1:13">
      <c r="A2005" t="s">
        <v>2152</v>
      </c>
      <c r="B2005" t="s">
        <v>2153</v>
      </c>
      <c r="C2005" t="s">
        <v>16</v>
      </c>
      <c r="D2005" t="s">
        <v>21</v>
      </c>
      <c r="E2005" t="s">
        <v>2271</v>
      </c>
      <c r="F2005" t="s">
        <v>2271</v>
      </c>
      <c r="G2005" s="2">
        <v>45657</v>
      </c>
      <c r="H2005" s="2">
        <v>45687</v>
      </c>
      <c r="I2005">
        <v>259.5</v>
      </c>
      <c r="J2005">
        <v>259.5</v>
      </c>
      <c r="K2005" t="s">
        <v>20</v>
      </c>
      <c r="L2005">
        <v>0</v>
      </c>
      <c r="M2005">
        <v>259.5</v>
      </c>
    </row>
    <row r="2006" spans="1:13">
      <c r="A2006" t="s">
        <v>2152</v>
      </c>
      <c r="B2006" t="s">
        <v>2153</v>
      </c>
      <c r="C2006" t="s">
        <v>16</v>
      </c>
      <c r="D2006" t="s">
        <v>21</v>
      </c>
      <c r="E2006" t="s">
        <v>2272</v>
      </c>
      <c r="F2006" t="s">
        <v>2272</v>
      </c>
      <c r="G2006" s="2">
        <v>45657</v>
      </c>
      <c r="H2006" s="2">
        <v>45687</v>
      </c>
      <c r="I2006">
        <v>197.8</v>
      </c>
      <c r="J2006">
        <v>197.8</v>
      </c>
      <c r="K2006" t="s">
        <v>20</v>
      </c>
      <c r="L2006">
        <v>0</v>
      </c>
      <c r="M2006">
        <v>197.8</v>
      </c>
    </row>
    <row r="2007" spans="1:13">
      <c r="A2007" t="s">
        <v>2152</v>
      </c>
      <c r="B2007" t="s">
        <v>2153</v>
      </c>
      <c r="C2007" t="s">
        <v>16</v>
      </c>
      <c r="D2007" t="s">
        <v>21</v>
      </c>
      <c r="E2007" t="s">
        <v>2273</v>
      </c>
      <c r="F2007" t="s">
        <v>2273</v>
      </c>
      <c r="G2007" s="2">
        <v>45657</v>
      </c>
      <c r="H2007" s="2">
        <v>45687</v>
      </c>
      <c r="I2007">
        <v>57</v>
      </c>
      <c r="J2007">
        <v>57</v>
      </c>
      <c r="K2007" t="s">
        <v>20</v>
      </c>
      <c r="L2007">
        <v>0</v>
      </c>
      <c r="M2007">
        <v>57</v>
      </c>
    </row>
    <row r="2008" spans="1:13">
      <c r="A2008" t="s">
        <v>2152</v>
      </c>
      <c r="B2008" t="s">
        <v>2153</v>
      </c>
      <c r="C2008" t="s">
        <v>16</v>
      </c>
      <c r="D2008" t="s">
        <v>21</v>
      </c>
      <c r="E2008" t="s">
        <v>2274</v>
      </c>
      <c r="F2008" t="s">
        <v>2274</v>
      </c>
      <c r="G2008" s="2">
        <v>45657</v>
      </c>
      <c r="H2008" s="2">
        <v>45687</v>
      </c>
      <c r="I2008">
        <v>547.1</v>
      </c>
      <c r="J2008">
        <v>547.1</v>
      </c>
      <c r="K2008" t="s">
        <v>20</v>
      </c>
      <c r="L2008">
        <v>0</v>
      </c>
      <c r="M2008">
        <v>547.1</v>
      </c>
    </row>
    <row r="2009" spans="1:13">
      <c r="A2009" t="s">
        <v>2152</v>
      </c>
      <c r="B2009" t="s">
        <v>2153</v>
      </c>
      <c r="C2009" t="s">
        <v>16</v>
      </c>
      <c r="D2009" t="s">
        <v>21</v>
      </c>
      <c r="E2009" t="s">
        <v>2275</v>
      </c>
      <c r="F2009" t="s">
        <v>2275</v>
      </c>
      <c r="G2009" s="2">
        <v>45657</v>
      </c>
      <c r="H2009" s="2">
        <v>45687</v>
      </c>
      <c r="I2009">
        <v>189.8</v>
      </c>
      <c r="J2009">
        <v>189.8</v>
      </c>
      <c r="K2009" t="s">
        <v>20</v>
      </c>
      <c r="L2009">
        <v>0</v>
      </c>
      <c r="M2009">
        <v>189.8</v>
      </c>
    </row>
    <row r="2010" spans="1:13">
      <c r="A2010" t="s">
        <v>2152</v>
      </c>
      <c r="B2010" t="s">
        <v>2153</v>
      </c>
      <c r="C2010" t="s">
        <v>16</v>
      </c>
      <c r="D2010" t="s">
        <v>21</v>
      </c>
      <c r="E2010" t="s">
        <v>2276</v>
      </c>
      <c r="F2010" t="s">
        <v>2276</v>
      </c>
      <c r="G2010" s="2">
        <v>45657</v>
      </c>
      <c r="H2010" s="2">
        <v>45687</v>
      </c>
      <c r="I2010">
        <v>217.49</v>
      </c>
      <c r="J2010">
        <v>217.49</v>
      </c>
      <c r="K2010" t="s">
        <v>20</v>
      </c>
      <c r="L2010">
        <v>0</v>
      </c>
      <c r="M2010">
        <v>217.49</v>
      </c>
    </row>
    <row r="2011" spans="1:13">
      <c r="A2011" t="s">
        <v>2152</v>
      </c>
      <c r="B2011" t="s">
        <v>2153</v>
      </c>
      <c r="C2011" t="s">
        <v>16</v>
      </c>
      <c r="D2011" t="s">
        <v>21</v>
      </c>
      <c r="E2011" t="s">
        <v>2277</v>
      </c>
      <c r="F2011" t="s">
        <v>2277</v>
      </c>
      <c r="G2011" s="2">
        <v>45657</v>
      </c>
      <c r="H2011" s="2">
        <v>45687</v>
      </c>
      <c r="I2011">
        <v>56.3</v>
      </c>
      <c r="J2011">
        <v>56.3</v>
      </c>
      <c r="K2011" t="s">
        <v>20</v>
      </c>
      <c r="L2011">
        <v>0</v>
      </c>
      <c r="M2011">
        <v>56.3</v>
      </c>
    </row>
    <row r="2012" spans="1:13">
      <c r="A2012" t="s">
        <v>2152</v>
      </c>
      <c r="B2012" t="s">
        <v>2153</v>
      </c>
      <c r="C2012" t="s">
        <v>16</v>
      </c>
      <c r="D2012" t="s">
        <v>21</v>
      </c>
      <c r="E2012" t="s">
        <v>2278</v>
      </c>
      <c r="F2012" t="s">
        <v>2278</v>
      </c>
      <c r="G2012" s="2">
        <v>45657</v>
      </c>
      <c r="H2012" s="2">
        <v>45687</v>
      </c>
      <c r="I2012">
        <v>144.5</v>
      </c>
      <c r="J2012">
        <v>144.5</v>
      </c>
      <c r="K2012" t="s">
        <v>20</v>
      </c>
      <c r="L2012">
        <v>0</v>
      </c>
      <c r="M2012">
        <v>144.5</v>
      </c>
    </row>
    <row r="2013" spans="1:13">
      <c r="A2013" t="s">
        <v>2152</v>
      </c>
      <c r="B2013" t="s">
        <v>2153</v>
      </c>
      <c r="C2013" t="s">
        <v>16</v>
      </c>
      <c r="D2013" t="s">
        <v>21</v>
      </c>
      <c r="E2013" t="s">
        <v>2279</v>
      </c>
      <c r="F2013" t="s">
        <v>2279</v>
      </c>
      <c r="G2013" s="2">
        <v>45657</v>
      </c>
      <c r="H2013" s="2">
        <v>45687</v>
      </c>
      <c r="I2013">
        <v>144.5</v>
      </c>
      <c r="J2013">
        <v>144.5</v>
      </c>
      <c r="K2013" t="s">
        <v>20</v>
      </c>
      <c r="L2013">
        <v>0</v>
      </c>
      <c r="M2013">
        <v>144.5</v>
      </c>
    </row>
    <row r="2014" spans="1:13">
      <c r="A2014" t="s">
        <v>2152</v>
      </c>
      <c r="B2014" t="s">
        <v>2153</v>
      </c>
      <c r="C2014" t="s">
        <v>16</v>
      </c>
      <c r="D2014" t="s">
        <v>21</v>
      </c>
      <c r="E2014" t="s">
        <v>2280</v>
      </c>
      <c r="F2014" t="s">
        <v>2280</v>
      </c>
      <c r="G2014" s="2">
        <v>45657</v>
      </c>
      <c r="H2014" s="2">
        <v>45687</v>
      </c>
      <c r="I2014">
        <v>147.5</v>
      </c>
      <c r="J2014">
        <v>147.5</v>
      </c>
      <c r="K2014" t="s">
        <v>20</v>
      </c>
      <c r="L2014">
        <v>0</v>
      </c>
      <c r="M2014">
        <v>147.5</v>
      </c>
    </row>
    <row r="2015" spans="1:13">
      <c r="A2015" t="s">
        <v>2152</v>
      </c>
      <c r="B2015" t="s">
        <v>2153</v>
      </c>
      <c r="C2015" t="s">
        <v>16</v>
      </c>
      <c r="D2015" t="s">
        <v>21</v>
      </c>
      <c r="E2015" t="s">
        <v>2281</v>
      </c>
      <c r="F2015" t="s">
        <v>2281</v>
      </c>
      <c r="G2015" s="2">
        <v>45660</v>
      </c>
      <c r="H2015" s="2">
        <v>45690</v>
      </c>
      <c r="I2015">
        <v>552</v>
      </c>
      <c r="J2015">
        <v>552</v>
      </c>
      <c r="K2015" t="s">
        <v>20</v>
      </c>
      <c r="L2015">
        <v>0</v>
      </c>
      <c r="M2015">
        <v>552</v>
      </c>
    </row>
    <row r="2016" spans="1:13">
      <c r="A2016" t="s">
        <v>2152</v>
      </c>
      <c r="B2016" t="s">
        <v>2153</v>
      </c>
      <c r="C2016" t="s">
        <v>16</v>
      </c>
      <c r="D2016" t="s">
        <v>21</v>
      </c>
      <c r="E2016" t="s">
        <v>2282</v>
      </c>
      <c r="F2016" t="s">
        <v>2282</v>
      </c>
      <c r="G2016" s="2">
        <v>45660</v>
      </c>
      <c r="H2016" s="2">
        <v>45690</v>
      </c>
      <c r="I2016">
        <v>208.2</v>
      </c>
      <c r="J2016">
        <v>208.2</v>
      </c>
      <c r="K2016" t="s">
        <v>20</v>
      </c>
      <c r="L2016">
        <v>0</v>
      </c>
      <c r="M2016">
        <v>208.2</v>
      </c>
    </row>
    <row r="2017" spans="1:13">
      <c r="A2017" t="s">
        <v>2152</v>
      </c>
      <c r="B2017" t="s">
        <v>2153</v>
      </c>
      <c r="C2017" t="s">
        <v>16</v>
      </c>
      <c r="D2017" t="s">
        <v>21</v>
      </c>
      <c r="E2017" t="s">
        <v>2283</v>
      </c>
      <c r="F2017" t="s">
        <v>2283</v>
      </c>
      <c r="G2017" s="2">
        <v>45660</v>
      </c>
      <c r="H2017" s="2">
        <v>45690</v>
      </c>
      <c r="I2017">
        <v>306.43</v>
      </c>
      <c r="J2017">
        <v>306.43</v>
      </c>
      <c r="K2017" t="s">
        <v>20</v>
      </c>
      <c r="L2017">
        <v>0</v>
      </c>
      <c r="M2017">
        <v>306.43</v>
      </c>
    </row>
    <row r="2018" spans="1:13">
      <c r="A2018" t="s">
        <v>2152</v>
      </c>
      <c r="B2018" t="s">
        <v>2153</v>
      </c>
      <c r="C2018" t="s">
        <v>16</v>
      </c>
      <c r="D2018" t="s">
        <v>21</v>
      </c>
      <c r="E2018" t="s">
        <v>2284</v>
      </c>
      <c r="F2018" t="s">
        <v>2284</v>
      </c>
      <c r="G2018" s="2">
        <v>45660</v>
      </c>
      <c r="H2018" s="2">
        <v>45690</v>
      </c>
      <c r="I2018">
        <v>168.9</v>
      </c>
      <c r="J2018">
        <v>168.9</v>
      </c>
      <c r="K2018" t="s">
        <v>20</v>
      </c>
      <c r="L2018">
        <v>0</v>
      </c>
      <c r="M2018">
        <v>168.9</v>
      </c>
    </row>
    <row r="2019" spans="1:13">
      <c r="A2019" t="s">
        <v>2152</v>
      </c>
      <c r="B2019" t="s">
        <v>2153</v>
      </c>
      <c r="C2019" t="s">
        <v>16</v>
      </c>
      <c r="D2019" t="s">
        <v>21</v>
      </c>
      <c r="E2019" t="s">
        <v>2285</v>
      </c>
      <c r="F2019" t="s">
        <v>2285</v>
      </c>
      <c r="G2019" s="2">
        <v>45660</v>
      </c>
      <c r="H2019" s="2">
        <v>45690</v>
      </c>
      <c r="I2019">
        <v>225.2</v>
      </c>
      <c r="J2019">
        <v>225.2</v>
      </c>
      <c r="K2019" t="s">
        <v>20</v>
      </c>
      <c r="L2019">
        <v>0</v>
      </c>
      <c r="M2019">
        <v>225.2</v>
      </c>
    </row>
    <row r="2020" spans="1:13">
      <c r="A2020" t="s">
        <v>2152</v>
      </c>
      <c r="B2020" t="s">
        <v>2153</v>
      </c>
      <c r="C2020" t="s">
        <v>16</v>
      </c>
      <c r="D2020" t="s">
        <v>21</v>
      </c>
      <c r="E2020" t="s">
        <v>2286</v>
      </c>
      <c r="F2020" t="s">
        <v>2286</v>
      </c>
      <c r="G2020" s="2">
        <v>45660</v>
      </c>
      <c r="H2020" s="2">
        <v>45690</v>
      </c>
      <c r="I2020">
        <v>509.3</v>
      </c>
      <c r="J2020">
        <v>509.3</v>
      </c>
      <c r="K2020" t="s">
        <v>20</v>
      </c>
      <c r="L2020">
        <v>0</v>
      </c>
      <c r="M2020">
        <v>509.3</v>
      </c>
    </row>
    <row r="2021" spans="1:13">
      <c r="A2021" t="s">
        <v>2152</v>
      </c>
      <c r="B2021" t="s">
        <v>2153</v>
      </c>
      <c r="C2021" t="s">
        <v>16</v>
      </c>
      <c r="D2021" t="s">
        <v>21</v>
      </c>
      <c r="E2021" t="s">
        <v>2287</v>
      </c>
      <c r="F2021" t="s">
        <v>2287</v>
      </c>
      <c r="G2021" s="2">
        <v>45660</v>
      </c>
      <c r="H2021" s="2">
        <v>45690</v>
      </c>
      <c r="I2021">
        <v>119.33</v>
      </c>
      <c r="J2021">
        <v>111</v>
      </c>
      <c r="K2021" t="s">
        <v>20</v>
      </c>
      <c r="L2021">
        <v>0</v>
      </c>
      <c r="M2021">
        <v>111</v>
      </c>
    </row>
    <row r="2022" spans="1:13">
      <c r="A2022" t="s">
        <v>2152</v>
      </c>
      <c r="B2022" t="s">
        <v>2153</v>
      </c>
      <c r="C2022" t="s">
        <v>16</v>
      </c>
      <c r="D2022" t="s">
        <v>17</v>
      </c>
      <c r="E2022" t="s">
        <v>2288</v>
      </c>
      <c r="F2022" t="s">
        <v>2287</v>
      </c>
      <c r="H2022" s="2">
        <v>45688</v>
      </c>
      <c r="I2022">
        <v>-8.33</v>
      </c>
      <c r="J2022" t="s">
        <v>86</v>
      </c>
      <c r="K2022" t="s">
        <v>20</v>
      </c>
      <c r="L2022">
        <v>0</v>
      </c>
      <c r="M2022" t="s">
        <v>86</v>
      </c>
    </row>
    <row r="2023" spans="1:13">
      <c r="A2023" t="s">
        <v>2152</v>
      </c>
      <c r="B2023" t="s">
        <v>2153</v>
      </c>
      <c r="C2023" t="s">
        <v>16</v>
      </c>
      <c r="D2023" t="s">
        <v>21</v>
      </c>
      <c r="E2023" t="s">
        <v>2289</v>
      </c>
      <c r="F2023" t="s">
        <v>2289</v>
      </c>
      <c r="G2023" s="2">
        <v>45663</v>
      </c>
      <c r="H2023" s="2">
        <v>45693</v>
      </c>
      <c r="I2023">
        <v>697.4</v>
      </c>
      <c r="J2023">
        <v>697.4</v>
      </c>
      <c r="K2023" t="s">
        <v>20</v>
      </c>
      <c r="L2023">
        <v>0</v>
      </c>
      <c r="M2023">
        <v>697.4</v>
      </c>
    </row>
    <row r="2024" spans="1:13">
      <c r="A2024" t="s">
        <v>2152</v>
      </c>
      <c r="B2024" t="s">
        <v>2153</v>
      </c>
      <c r="C2024" t="s">
        <v>16</v>
      </c>
      <c r="D2024" t="s">
        <v>21</v>
      </c>
      <c r="E2024" t="s">
        <v>2290</v>
      </c>
      <c r="F2024" t="s">
        <v>2290</v>
      </c>
      <c r="G2024" s="2">
        <v>45663</v>
      </c>
      <c r="H2024" s="2">
        <v>45693</v>
      </c>
      <c r="I2024">
        <v>597.6</v>
      </c>
      <c r="J2024">
        <v>597.6</v>
      </c>
      <c r="K2024" t="s">
        <v>20</v>
      </c>
      <c r="L2024">
        <v>0</v>
      </c>
      <c r="M2024">
        <v>597.6</v>
      </c>
    </row>
    <row r="2025" spans="1:13">
      <c r="A2025" t="s">
        <v>2152</v>
      </c>
      <c r="B2025" t="s">
        <v>2153</v>
      </c>
      <c r="C2025" t="s">
        <v>16</v>
      </c>
      <c r="D2025" t="s">
        <v>21</v>
      </c>
      <c r="E2025" t="s">
        <v>2291</v>
      </c>
      <c r="F2025" t="s">
        <v>2291</v>
      </c>
      <c r="G2025" s="2">
        <v>45663</v>
      </c>
      <c r="H2025" s="2">
        <v>45693</v>
      </c>
      <c r="I2025">
        <v>413.6</v>
      </c>
      <c r="J2025">
        <v>413.6</v>
      </c>
      <c r="K2025" t="s">
        <v>20</v>
      </c>
      <c r="L2025">
        <v>0</v>
      </c>
      <c r="M2025">
        <v>413.6</v>
      </c>
    </row>
    <row r="2026" spans="1:13">
      <c r="A2026" t="s">
        <v>2152</v>
      </c>
      <c r="B2026" t="s">
        <v>2153</v>
      </c>
      <c r="C2026" t="s">
        <v>16</v>
      </c>
      <c r="D2026" t="s">
        <v>21</v>
      </c>
      <c r="E2026" t="s">
        <v>2292</v>
      </c>
      <c r="F2026" t="s">
        <v>2292</v>
      </c>
      <c r="G2026" s="2">
        <v>45663</v>
      </c>
      <c r="H2026" s="2">
        <v>45693</v>
      </c>
      <c r="I2026">
        <v>88.13</v>
      </c>
      <c r="J2026">
        <v>88.13</v>
      </c>
      <c r="K2026" t="s">
        <v>20</v>
      </c>
      <c r="L2026">
        <v>0</v>
      </c>
      <c r="M2026">
        <v>88.13</v>
      </c>
    </row>
    <row r="2027" spans="1:13">
      <c r="A2027" t="s">
        <v>2152</v>
      </c>
      <c r="B2027" t="s">
        <v>2153</v>
      </c>
      <c r="C2027" t="s">
        <v>16</v>
      </c>
      <c r="D2027" t="s">
        <v>21</v>
      </c>
      <c r="E2027" t="s">
        <v>2293</v>
      </c>
      <c r="F2027" t="s">
        <v>2293</v>
      </c>
      <c r="G2027" s="2">
        <v>45663</v>
      </c>
      <c r="H2027" s="2">
        <v>45693</v>
      </c>
      <c r="I2027">
        <v>386.59</v>
      </c>
      <c r="J2027">
        <v>386.59</v>
      </c>
      <c r="K2027" t="s">
        <v>20</v>
      </c>
      <c r="L2027">
        <v>0</v>
      </c>
      <c r="M2027">
        <v>386.59</v>
      </c>
    </row>
    <row r="2028" spans="1:13">
      <c r="A2028" t="s">
        <v>2152</v>
      </c>
      <c r="B2028" t="s">
        <v>2153</v>
      </c>
      <c r="C2028" t="s">
        <v>16</v>
      </c>
      <c r="D2028" t="s">
        <v>21</v>
      </c>
      <c r="E2028" t="s">
        <v>2294</v>
      </c>
      <c r="F2028" t="s">
        <v>2294</v>
      </c>
      <c r="G2028" s="2">
        <v>45663</v>
      </c>
      <c r="H2028" s="2">
        <v>45693</v>
      </c>
      <c r="I2028">
        <v>136.22999999999999</v>
      </c>
      <c r="J2028">
        <v>136.22999999999999</v>
      </c>
      <c r="K2028" t="s">
        <v>20</v>
      </c>
      <c r="L2028">
        <v>0</v>
      </c>
      <c r="M2028">
        <v>136.22999999999999</v>
      </c>
    </row>
    <row r="2029" spans="1:13">
      <c r="A2029" t="s">
        <v>2152</v>
      </c>
      <c r="B2029" t="s">
        <v>2153</v>
      </c>
      <c r="C2029" t="s">
        <v>16</v>
      </c>
      <c r="D2029" t="s">
        <v>21</v>
      </c>
      <c r="E2029" t="s">
        <v>2295</v>
      </c>
      <c r="F2029" t="s">
        <v>2295</v>
      </c>
      <c r="G2029" s="2">
        <v>45663</v>
      </c>
      <c r="H2029" s="2">
        <v>45693</v>
      </c>
      <c r="I2029">
        <v>943.2</v>
      </c>
      <c r="J2029">
        <v>943.2</v>
      </c>
      <c r="K2029" t="s">
        <v>20</v>
      </c>
      <c r="L2029">
        <v>0</v>
      </c>
      <c r="M2029">
        <v>943.2</v>
      </c>
    </row>
    <row r="2030" spans="1:13">
      <c r="A2030" t="s">
        <v>2152</v>
      </c>
      <c r="B2030" t="s">
        <v>2153</v>
      </c>
      <c r="C2030" t="s">
        <v>16</v>
      </c>
      <c r="D2030" t="s">
        <v>21</v>
      </c>
      <c r="E2030" t="s">
        <v>2296</v>
      </c>
      <c r="F2030" t="s">
        <v>2296</v>
      </c>
      <c r="G2030" s="2">
        <v>45663</v>
      </c>
      <c r="H2030" s="2">
        <v>45693</v>
      </c>
      <c r="I2030">
        <v>148</v>
      </c>
      <c r="J2030">
        <v>148</v>
      </c>
      <c r="K2030" t="s">
        <v>20</v>
      </c>
      <c r="L2030">
        <v>0</v>
      </c>
      <c r="M2030">
        <v>148</v>
      </c>
    </row>
    <row r="2031" spans="1:13">
      <c r="A2031" t="s">
        <v>2152</v>
      </c>
      <c r="B2031" t="s">
        <v>2153</v>
      </c>
      <c r="C2031" t="s">
        <v>16</v>
      </c>
      <c r="D2031" t="s">
        <v>21</v>
      </c>
      <c r="E2031" t="s">
        <v>2297</v>
      </c>
      <c r="F2031" t="s">
        <v>2297</v>
      </c>
      <c r="G2031" s="2">
        <v>45663</v>
      </c>
      <c r="H2031" s="2">
        <v>45693</v>
      </c>
      <c r="I2031">
        <v>409.6</v>
      </c>
      <c r="J2031">
        <v>409.6</v>
      </c>
      <c r="K2031" t="s">
        <v>20</v>
      </c>
      <c r="L2031">
        <v>0</v>
      </c>
      <c r="M2031">
        <v>409.6</v>
      </c>
    </row>
    <row r="2032" spans="1:13">
      <c r="A2032" t="s">
        <v>2152</v>
      </c>
      <c r="B2032" t="s">
        <v>2153</v>
      </c>
      <c r="C2032" t="s">
        <v>16</v>
      </c>
      <c r="D2032" t="s">
        <v>21</v>
      </c>
      <c r="E2032" t="s">
        <v>2298</v>
      </c>
      <c r="F2032" t="s">
        <v>2298</v>
      </c>
      <c r="G2032" s="2">
        <v>45663</v>
      </c>
      <c r="H2032" s="2">
        <v>45693</v>
      </c>
      <c r="I2032">
        <v>220.3</v>
      </c>
      <c r="J2032">
        <v>220.3</v>
      </c>
      <c r="K2032" t="s">
        <v>20</v>
      </c>
      <c r="L2032">
        <v>0</v>
      </c>
      <c r="M2032">
        <v>220.3</v>
      </c>
    </row>
    <row r="2033" spans="1:13">
      <c r="A2033" t="s">
        <v>2152</v>
      </c>
      <c r="B2033" t="s">
        <v>2153</v>
      </c>
      <c r="C2033" t="s">
        <v>16</v>
      </c>
      <c r="D2033" t="s">
        <v>21</v>
      </c>
      <c r="E2033" t="s">
        <v>2299</v>
      </c>
      <c r="F2033" t="s">
        <v>2299</v>
      </c>
      <c r="G2033" s="2">
        <v>45663</v>
      </c>
      <c r="H2033" s="2">
        <v>45693</v>
      </c>
      <c r="I2033">
        <v>204.8</v>
      </c>
      <c r="J2033">
        <v>204.8</v>
      </c>
      <c r="K2033" t="s">
        <v>20</v>
      </c>
      <c r="L2033">
        <v>0</v>
      </c>
      <c r="M2033">
        <v>204.8</v>
      </c>
    </row>
    <row r="2034" spans="1:13">
      <c r="A2034" t="s">
        <v>2152</v>
      </c>
      <c r="B2034" t="s">
        <v>2153</v>
      </c>
      <c r="C2034" t="s">
        <v>16</v>
      </c>
      <c r="D2034" t="s">
        <v>21</v>
      </c>
      <c r="E2034" t="s">
        <v>2300</v>
      </c>
      <c r="F2034" t="s">
        <v>2300</v>
      </c>
      <c r="G2034" s="2">
        <v>45663</v>
      </c>
      <c r="H2034" s="2">
        <v>45693</v>
      </c>
      <c r="I2034">
        <v>51.3</v>
      </c>
      <c r="J2034">
        <v>51.3</v>
      </c>
      <c r="K2034" t="s">
        <v>20</v>
      </c>
      <c r="L2034">
        <v>0</v>
      </c>
      <c r="M2034">
        <v>51.3</v>
      </c>
    </row>
    <row r="2035" spans="1:13">
      <c r="A2035" t="s">
        <v>2152</v>
      </c>
      <c r="B2035" t="s">
        <v>2153</v>
      </c>
      <c r="C2035" t="s">
        <v>16</v>
      </c>
      <c r="D2035" t="s">
        <v>21</v>
      </c>
      <c r="E2035" t="s">
        <v>2301</v>
      </c>
      <c r="F2035" t="s">
        <v>2301</v>
      </c>
      <c r="G2035" s="2">
        <v>45665</v>
      </c>
      <c r="H2035" s="2">
        <v>45695</v>
      </c>
      <c r="I2035">
        <v>49.3</v>
      </c>
      <c r="J2035">
        <v>49.3</v>
      </c>
      <c r="K2035" t="s">
        <v>20</v>
      </c>
      <c r="L2035">
        <v>0</v>
      </c>
      <c r="M2035">
        <v>49.3</v>
      </c>
    </row>
    <row r="2036" spans="1:13">
      <c r="A2036" t="s">
        <v>2152</v>
      </c>
      <c r="B2036" t="s">
        <v>2153</v>
      </c>
      <c r="C2036" t="s">
        <v>16</v>
      </c>
      <c r="D2036" t="s">
        <v>21</v>
      </c>
      <c r="E2036" t="s">
        <v>2302</v>
      </c>
      <c r="F2036" t="s">
        <v>2302</v>
      </c>
      <c r="G2036" s="2">
        <v>45665</v>
      </c>
      <c r="H2036" s="2">
        <v>45695</v>
      </c>
      <c r="I2036">
        <v>270.3</v>
      </c>
      <c r="J2036">
        <v>270.3</v>
      </c>
      <c r="K2036" t="s">
        <v>20</v>
      </c>
      <c r="L2036">
        <v>0</v>
      </c>
      <c r="M2036">
        <v>270.3</v>
      </c>
    </row>
    <row r="2037" spans="1:13">
      <c r="A2037" t="s">
        <v>2152</v>
      </c>
      <c r="B2037" t="s">
        <v>2153</v>
      </c>
      <c r="C2037" t="s">
        <v>16</v>
      </c>
      <c r="D2037" t="s">
        <v>21</v>
      </c>
      <c r="E2037" t="s">
        <v>2303</v>
      </c>
      <c r="F2037" t="s">
        <v>2303</v>
      </c>
      <c r="G2037" s="2">
        <v>45665</v>
      </c>
      <c r="H2037" s="2">
        <v>45695</v>
      </c>
      <c r="I2037">
        <v>105.6</v>
      </c>
      <c r="J2037">
        <v>105.6</v>
      </c>
      <c r="K2037" t="s">
        <v>20</v>
      </c>
      <c r="L2037">
        <v>0</v>
      </c>
      <c r="M2037">
        <v>105.6</v>
      </c>
    </row>
    <row r="2038" spans="1:13">
      <c r="A2038" t="s">
        <v>2152</v>
      </c>
      <c r="B2038" t="s">
        <v>2153</v>
      </c>
      <c r="C2038" t="s">
        <v>16</v>
      </c>
      <c r="D2038" t="s">
        <v>21</v>
      </c>
      <c r="E2038" t="s">
        <v>2304</v>
      </c>
      <c r="F2038" t="s">
        <v>2304</v>
      </c>
      <c r="G2038" s="2">
        <v>45665</v>
      </c>
      <c r="H2038" s="2">
        <v>45695</v>
      </c>
      <c r="I2038">
        <v>149</v>
      </c>
      <c r="J2038">
        <v>149</v>
      </c>
      <c r="K2038" t="s">
        <v>20</v>
      </c>
      <c r="L2038">
        <v>0</v>
      </c>
      <c r="M2038">
        <v>149</v>
      </c>
    </row>
    <row r="2039" spans="1:13">
      <c r="A2039" t="s">
        <v>2152</v>
      </c>
      <c r="B2039" t="s">
        <v>2153</v>
      </c>
      <c r="C2039" t="s">
        <v>16</v>
      </c>
      <c r="D2039" t="s">
        <v>21</v>
      </c>
      <c r="E2039" t="s">
        <v>2305</v>
      </c>
      <c r="F2039" t="s">
        <v>2305</v>
      </c>
      <c r="G2039" s="2">
        <v>45665</v>
      </c>
      <c r="H2039" s="2">
        <v>45695</v>
      </c>
      <c r="I2039">
        <v>105.6</v>
      </c>
      <c r="J2039">
        <v>105.6</v>
      </c>
      <c r="K2039" t="s">
        <v>20</v>
      </c>
      <c r="L2039">
        <v>0</v>
      </c>
      <c r="M2039">
        <v>105.6</v>
      </c>
    </row>
    <row r="2040" spans="1:13">
      <c r="A2040" t="s">
        <v>2152</v>
      </c>
      <c r="B2040" t="s">
        <v>2153</v>
      </c>
      <c r="C2040" t="s">
        <v>16</v>
      </c>
      <c r="D2040" t="s">
        <v>21</v>
      </c>
      <c r="E2040" t="s">
        <v>2306</v>
      </c>
      <c r="F2040" t="s">
        <v>2306</v>
      </c>
      <c r="G2040" s="2">
        <v>45665</v>
      </c>
      <c r="H2040" s="2">
        <v>45695</v>
      </c>
      <c r="I2040">
        <v>217.8</v>
      </c>
      <c r="J2040">
        <v>217.8</v>
      </c>
      <c r="K2040" t="s">
        <v>20</v>
      </c>
      <c r="L2040">
        <v>0</v>
      </c>
      <c r="M2040">
        <v>217.8</v>
      </c>
    </row>
    <row r="2041" spans="1:13">
      <c r="A2041" t="s">
        <v>2152</v>
      </c>
      <c r="B2041" t="s">
        <v>2153</v>
      </c>
      <c r="C2041" t="s">
        <v>16</v>
      </c>
      <c r="D2041" t="s">
        <v>21</v>
      </c>
      <c r="E2041" t="s">
        <v>2307</v>
      </c>
      <c r="F2041" t="s">
        <v>2307</v>
      </c>
      <c r="G2041" s="2">
        <v>45665</v>
      </c>
      <c r="H2041" s="2">
        <v>45695</v>
      </c>
      <c r="I2041">
        <v>550</v>
      </c>
      <c r="J2041">
        <v>550</v>
      </c>
      <c r="K2041" t="s">
        <v>20</v>
      </c>
      <c r="L2041">
        <v>0</v>
      </c>
      <c r="M2041">
        <v>550</v>
      </c>
    </row>
    <row r="2042" spans="1:13">
      <c r="A2042" t="s">
        <v>2152</v>
      </c>
      <c r="B2042" t="s">
        <v>2153</v>
      </c>
      <c r="C2042" t="s">
        <v>16</v>
      </c>
      <c r="D2042" t="s">
        <v>21</v>
      </c>
      <c r="E2042" t="s">
        <v>2308</v>
      </c>
      <c r="F2042" t="s">
        <v>2308</v>
      </c>
      <c r="G2042" s="2">
        <v>45665</v>
      </c>
      <c r="H2042" s="2">
        <v>45695</v>
      </c>
      <c r="I2042">
        <v>312.10000000000002</v>
      </c>
      <c r="J2042">
        <v>312.10000000000002</v>
      </c>
      <c r="K2042" t="s">
        <v>20</v>
      </c>
      <c r="L2042">
        <v>0</v>
      </c>
      <c r="M2042">
        <v>312.10000000000002</v>
      </c>
    </row>
    <row r="2043" spans="1:13">
      <c r="A2043" t="s">
        <v>2152</v>
      </c>
      <c r="B2043" t="s">
        <v>2153</v>
      </c>
      <c r="C2043" t="s">
        <v>16</v>
      </c>
      <c r="D2043" t="s">
        <v>21</v>
      </c>
      <c r="E2043" t="s">
        <v>2309</v>
      </c>
      <c r="F2043" t="s">
        <v>2309</v>
      </c>
      <c r="G2043" s="2">
        <v>45665</v>
      </c>
      <c r="H2043" s="2">
        <v>45695</v>
      </c>
      <c r="I2043">
        <v>284.5</v>
      </c>
      <c r="J2043">
        <v>284.5</v>
      </c>
      <c r="K2043" t="s">
        <v>20</v>
      </c>
      <c r="L2043">
        <v>0</v>
      </c>
      <c r="M2043">
        <v>284.5</v>
      </c>
    </row>
    <row r="2044" spans="1:13">
      <c r="A2044" t="s">
        <v>2152</v>
      </c>
      <c r="B2044" t="s">
        <v>2153</v>
      </c>
      <c r="C2044" t="s">
        <v>16</v>
      </c>
      <c r="D2044" t="s">
        <v>21</v>
      </c>
      <c r="E2044" t="s">
        <v>2310</v>
      </c>
      <c r="F2044" t="s">
        <v>2310</v>
      </c>
      <c r="G2044" s="2">
        <v>45665</v>
      </c>
      <c r="H2044" s="2">
        <v>45695</v>
      </c>
      <c r="I2044">
        <v>92</v>
      </c>
      <c r="J2044">
        <v>92</v>
      </c>
      <c r="K2044" t="s">
        <v>20</v>
      </c>
      <c r="L2044">
        <v>0</v>
      </c>
      <c r="M2044">
        <v>92</v>
      </c>
    </row>
    <row r="2045" spans="1:13">
      <c r="A2045" t="s">
        <v>2152</v>
      </c>
      <c r="B2045" t="s">
        <v>2153</v>
      </c>
      <c r="C2045" t="s">
        <v>16</v>
      </c>
      <c r="D2045" t="s">
        <v>21</v>
      </c>
      <c r="E2045" t="s">
        <v>2311</v>
      </c>
      <c r="F2045" t="s">
        <v>2311</v>
      </c>
      <c r="G2045" s="2">
        <v>45665</v>
      </c>
      <c r="H2045" s="2">
        <v>45695</v>
      </c>
      <c r="I2045">
        <v>105.6</v>
      </c>
      <c r="J2045">
        <v>105.6</v>
      </c>
      <c r="K2045" t="s">
        <v>20</v>
      </c>
      <c r="L2045">
        <v>0</v>
      </c>
      <c r="M2045">
        <v>105.6</v>
      </c>
    </row>
    <row r="2046" spans="1:13">
      <c r="A2046" t="s">
        <v>2152</v>
      </c>
      <c r="B2046" t="s">
        <v>2153</v>
      </c>
      <c r="C2046" t="s">
        <v>16</v>
      </c>
      <c r="D2046" t="s">
        <v>21</v>
      </c>
      <c r="E2046" t="s">
        <v>2312</v>
      </c>
      <c r="F2046" t="s">
        <v>2312</v>
      </c>
      <c r="G2046" s="2">
        <v>45665</v>
      </c>
      <c r="H2046" s="2">
        <v>45695</v>
      </c>
      <c r="I2046">
        <v>459.92</v>
      </c>
      <c r="J2046">
        <v>459.92</v>
      </c>
      <c r="K2046" t="s">
        <v>20</v>
      </c>
      <c r="L2046">
        <v>0</v>
      </c>
      <c r="M2046">
        <v>459.92</v>
      </c>
    </row>
    <row r="2047" spans="1:13">
      <c r="A2047" t="s">
        <v>2152</v>
      </c>
      <c r="B2047" t="s">
        <v>2153</v>
      </c>
      <c r="C2047" t="s">
        <v>16</v>
      </c>
      <c r="D2047" t="s">
        <v>21</v>
      </c>
      <c r="E2047" t="s">
        <v>2313</v>
      </c>
      <c r="F2047" t="s">
        <v>2313</v>
      </c>
      <c r="G2047" s="2">
        <v>45665</v>
      </c>
      <c r="H2047" s="2">
        <v>45695</v>
      </c>
      <c r="I2047">
        <v>936.6</v>
      </c>
      <c r="J2047">
        <v>936.6</v>
      </c>
      <c r="K2047" t="s">
        <v>20</v>
      </c>
      <c r="L2047">
        <v>0</v>
      </c>
      <c r="M2047">
        <v>936.6</v>
      </c>
    </row>
    <row r="2048" spans="1:13">
      <c r="A2048" t="s">
        <v>2152</v>
      </c>
      <c r="B2048" t="s">
        <v>2153</v>
      </c>
      <c r="C2048" t="s">
        <v>16</v>
      </c>
      <c r="D2048" t="s">
        <v>21</v>
      </c>
      <c r="E2048" t="s">
        <v>2314</v>
      </c>
      <c r="F2048" t="s">
        <v>2314</v>
      </c>
      <c r="G2048" s="2">
        <v>45665</v>
      </c>
      <c r="H2048" s="2">
        <v>45695</v>
      </c>
      <c r="I2048">
        <v>207.8</v>
      </c>
      <c r="J2048">
        <v>207.8</v>
      </c>
      <c r="K2048" t="s">
        <v>20</v>
      </c>
      <c r="L2048">
        <v>0</v>
      </c>
      <c r="M2048">
        <v>207.8</v>
      </c>
    </row>
    <row r="2049" spans="1:13">
      <c r="A2049" t="s">
        <v>2152</v>
      </c>
      <c r="B2049" t="s">
        <v>2153</v>
      </c>
      <c r="C2049" t="s">
        <v>16</v>
      </c>
      <c r="D2049" t="s">
        <v>21</v>
      </c>
      <c r="E2049" t="s">
        <v>2315</v>
      </c>
      <c r="F2049" t="s">
        <v>2315</v>
      </c>
      <c r="G2049" s="2">
        <v>45665</v>
      </c>
      <c r="H2049" s="2">
        <v>45695</v>
      </c>
      <c r="I2049">
        <v>302.2</v>
      </c>
      <c r="J2049">
        <v>302.2</v>
      </c>
      <c r="K2049" t="s">
        <v>20</v>
      </c>
      <c r="L2049">
        <v>0</v>
      </c>
      <c r="M2049">
        <v>302.2</v>
      </c>
    </row>
    <row r="2050" spans="1:13">
      <c r="A2050" t="s">
        <v>2152</v>
      </c>
      <c r="B2050" t="s">
        <v>2153</v>
      </c>
      <c r="C2050" t="s">
        <v>16</v>
      </c>
      <c r="D2050" t="s">
        <v>21</v>
      </c>
      <c r="E2050" t="s">
        <v>2316</v>
      </c>
      <c r="F2050" t="s">
        <v>2316</v>
      </c>
      <c r="G2050" s="2">
        <v>45665</v>
      </c>
      <c r="H2050" s="2">
        <v>45695</v>
      </c>
      <c r="I2050">
        <v>105.6</v>
      </c>
      <c r="J2050">
        <v>105.6</v>
      </c>
      <c r="K2050" t="s">
        <v>20</v>
      </c>
      <c r="L2050">
        <v>0</v>
      </c>
      <c r="M2050">
        <v>105.6</v>
      </c>
    </row>
    <row r="2051" spans="1:13">
      <c r="A2051" t="s">
        <v>2152</v>
      </c>
      <c r="B2051" t="s">
        <v>2153</v>
      </c>
      <c r="C2051" t="s">
        <v>16</v>
      </c>
      <c r="D2051" t="s">
        <v>21</v>
      </c>
      <c r="E2051" t="s">
        <v>2317</v>
      </c>
      <c r="F2051" t="s">
        <v>2317</v>
      </c>
      <c r="G2051" s="2">
        <v>45665</v>
      </c>
      <c r="H2051" s="2">
        <v>45695</v>
      </c>
      <c r="I2051">
        <v>671.92</v>
      </c>
      <c r="J2051">
        <v>671.92</v>
      </c>
      <c r="K2051" t="s">
        <v>20</v>
      </c>
      <c r="L2051">
        <v>0</v>
      </c>
      <c r="M2051">
        <v>671.92</v>
      </c>
    </row>
    <row r="2052" spans="1:13">
      <c r="A2052" t="s">
        <v>2152</v>
      </c>
      <c r="B2052" t="s">
        <v>2153</v>
      </c>
      <c r="C2052" t="s">
        <v>16</v>
      </c>
      <c r="D2052" t="s">
        <v>21</v>
      </c>
      <c r="E2052" t="s">
        <v>2318</v>
      </c>
      <c r="F2052" t="s">
        <v>2318</v>
      </c>
      <c r="G2052" s="2">
        <v>45665</v>
      </c>
      <c r="H2052" s="2">
        <v>45695</v>
      </c>
      <c r="I2052">
        <v>308</v>
      </c>
      <c r="J2052">
        <v>308</v>
      </c>
      <c r="K2052" t="s">
        <v>20</v>
      </c>
      <c r="L2052">
        <v>0</v>
      </c>
      <c r="M2052">
        <v>308</v>
      </c>
    </row>
    <row r="2053" spans="1:13">
      <c r="A2053" t="s">
        <v>2152</v>
      </c>
      <c r="B2053" t="s">
        <v>2153</v>
      </c>
      <c r="C2053" t="s">
        <v>16</v>
      </c>
      <c r="D2053" t="s">
        <v>21</v>
      </c>
      <c r="E2053" t="s">
        <v>2319</v>
      </c>
      <c r="F2053" t="s">
        <v>2319</v>
      </c>
      <c r="G2053" s="2">
        <v>45665</v>
      </c>
      <c r="H2053" s="2">
        <v>45695</v>
      </c>
      <c r="I2053">
        <v>160.5</v>
      </c>
      <c r="J2053">
        <v>160.5</v>
      </c>
      <c r="K2053" t="s">
        <v>20</v>
      </c>
      <c r="L2053">
        <v>0</v>
      </c>
      <c r="M2053">
        <v>160.5</v>
      </c>
    </row>
    <row r="2054" spans="1:13">
      <c r="A2054" t="s">
        <v>2152</v>
      </c>
      <c r="B2054" t="s">
        <v>2153</v>
      </c>
      <c r="C2054" t="s">
        <v>16</v>
      </c>
      <c r="D2054" t="s">
        <v>21</v>
      </c>
      <c r="E2054" t="s">
        <v>2320</v>
      </c>
      <c r="F2054" t="s">
        <v>2320</v>
      </c>
      <c r="G2054" s="2">
        <v>45665</v>
      </c>
      <c r="H2054" s="2">
        <v>45695</v>
      </c>
      <c r="I2054">
        <v>225.36</v>
      </c>
      <c r="J2054">
        <v>225.36</v>
      </c>
      <c r="K2054" t="s">
        <v>20</v>
      </c>
      <c r="L2054">
        <v>0</v>
      </c>
      <c r="M2054">
        <v>225.36</v>
      </c>
    </row>
    <row r="2055" spans="1:13">
      <c r="A2055" t="s">
        <v>2152</v>
      </c>
      <c r="B2055" t="s">
        <v>2153</v>
      </c>
      <c r="C2055" t="s">
        <v>16</v>
      </c>
      <c r="D2055" t="s">
        <v>21</v>
      </c>
      <c r="E2055" t="s">
        <v>2321</v>
      </c>
      <c r="F2055" t="s">
        <v>2321</v>
      </c>
      <c r="G2055" s="2">
        <v>45665</v>
      </c>
      <c r="H2055" s="2">
        <v>45695</v>
      </c>
      <c r="I2055">
        <v>409.6</v>
      </c>
      <c r="J2055">
        <v>409.6</v>
      </c>
      <c r="K2055" t="s">
        <v>20</v>
      </c>
      <c r="L2055">
        <v>0</v>
      </c>
      <c r="M2055">
        <v>409.6</v>
      </c>
    </row>
    <row r="2056" spans="1:13">
      <c r="A2056" t="s">
        <v>2152</v>
      </c>
      <c r="B2056" t="s">
        <v>2153</v>
      </c>
      <c r="C2056" t="s">
        <v>16</v>
      </c>
      <c r="D2056" t="s">
        <v>21</v>
      </c>
      <c r="E2056" t="s">
        <v>2322</v>
      </c>
      <c r="F2056" t="s">
        <v>2322</v>
      </c>
      <c r="G2056" s="2">
        <v>45665</v>
      </c>
      <c r="H2056" s="2">
        <v>45695</v>
      </c>
      <c r="I2056">
        <v>466.9</v>
      </c>
      <c r="J2056">
        <v>466.9</v>
      </c>
      <c r="K2056" t="s">
        <v>20</v>
      </c>
      <c r="L2056">
        <v>0</v>
      </c>
      <c r="M2056">
        <v>466.9</v>
      </c>
    </row>
    <row r="2057" spans="1:13">
      <c r="A2057" t="s">
        <v>2152</v>
      </c>
      <c r="B2057" t="s">
        <v>2153</v>
      </c>
      <c r="C2057" t="s">
        <v>16</v>
      </c>
      <c r="D2057" t="s">
        <v>21</v>
      </c>
      <c r="E2057" t="s">
        <v>2323</v>
      </c>
      <c r="F2057" t="s">
        <v>2323</v>
      </c>
      <c r="G2057" s="2">
        <v>45665</v>
      </c>
      <c r="H2057" s="2">
        <v>45695</v>
      </c>
      <c r="I2057">
        <v>154.5</v>
      </c>
      <c r="J2057">
        <v>154.5</v>
      </c>
      <c r="K2057" t="s">
        <v>20</v>
      </c>
      <c r="L2057">
        <v>0</v>
      </c>
      <c r="M2057">
        <v>154.5</v>
      </c>
    </row>
    <row r="2058" spans="1:13">
      <c r="A2058" t="s">
        <v>2152</v>
      </c>
      <c r="B2058" t="s">
        <v>2153</v>
      </c>
      <c r="C2058" t="s">
        <v>16</v>
      </c>
      <c r="D2058" t="s">
        <v>21</v>
      </c>
      <c r="E2058" t="s">
        <v>2324</v>
      </c>
      <c r="F2058" t="s">
        <v>2324</v>
      </c>
      <c r="G2058" s="2">
        <v>45665</v>
      </c>
      <c r="H2058" s="2">
        <v>45695</v>
      </c>
      <c r="I2058">
        <v>155.5</v>
      </c>
      <c r="J2058">
        <v>155.5</v>
      </c>
      <c r="K2058" t="s">
        <v>20</v>
      </c>
      <c r="L2058">
        <v>0</v>
      </c>
      <c r="M2058">
        <v>155.5</v>
      </c>
    </row>
    <row r="2059" spans="1:13">
      <c r="A2059" t="s">
        <v>2152</v>
      </c>
      <c r="B2059" t="s">
        <v>2153</v>
      </c>
      <c r="C2059" t="s">
        <v>16</v>
      </c>
      <c r="D2059" t="s">
        <v>21</v>
      </c>
      <c r="E2059" t="s">
        <v>2325</v>
      </c>
      <c r="F2059" t="s">
        <v>2325</v>
      </c>
      <c r="G2059" s="2">
        <v>45665</v>
      </c>
      <c r="H2059" s="2">
        <v>45695</v>
      </c>
      <c r="I2059">
        <v>260.10000000000002</v>
      </c>
      <c r="J2059">
        <v>260.10000000000002</v>
      </c>
      <c r="K2059" t="s">
        <v>20</v>
      </c>
      <c r="L2059">
        <v>0</v>
      </c>
      <c r="M2059">
        <v>260.10000000000002</v>
      </c>
    </row>
    <row r="2060" spans="1:13">
      <c r="A2060" t="s">
        <v>2152</v>
      </c>
      <c r="B2060" t="s">
        <v>2153</v>
      </c>
      <c r="C2060" t="s">
        <v>16</v>
      </c>
      <c r="D2060" t="s">
        <v>21</v>
      </c>
      <c r="E2060" t="s">
        <v>2326</v>
      </c>
      <c r="F2060" t="s">
        <v>2326</v>
      </c>
      <c r="G2060" s="2">
        <v>45665</v>
      </c>
      <c r="H2060" s="2">
        <v>45695</v>
      </c>
      <c r="I2060" s="1">
        <v>1104.26</v>
      </c>
      <c r="J2060">
        <v>1104.26</v>
      </c>
      <c r="K2060" t="s">
        <v>20</v>
      </c>
      <c r="L2060">
        <v>0</v>
      </c>
      <c r="M2060">
        <v>1104.26</v>
      </c>
    </row>
    <row r="2061" spans="1:13">
      <c r="A2061" t="s">
        <v>2152</v>
      </c>
      <c r="B2061" t="s">
        <v>2153</v>
      </c>
      <c r="C2061" t="s">
        <v>16</v>
      </c>
      <c r="D2061" t="s">
        <v>21</v>
      </c>
      <c r="E2061" t="s">
        <v>2327</v>
      </c>
      <c r="F2061" t="s">
        <v>2327</v>
      </c>
      <c r="G2061" s="2">
        <v>45665</v>
      </c>
      <c r="H2061" s="2">
        <v>45695</v>
      </c>
      <c r="I2061">
        <v>331.4</v>
      </c>
      <c r="J2061">
        <v>331.4</v>
      </c>
      <c r="K2061" t="s">
        <v>20</v>
      </c>
      <c r="L2061">
        <v>0</v>
      </c>
      <c r="M2061">
        <v>331.4</v>
      </c>
    </row>
    <row r="2062" spans="1:13">
      <c r="A2062" t="s">
        <v>2152</v>
      </c>
      <c r="B2062" t="s">
        <v>2153</v>
      </c>
      <c r="C2062" t="s">
        <v>16</v>
      </c>
      <c r="D2062" t="s">
        <v>21</v>
      </c>
      <c r="E2062" t="s">
        <v>2328</v>
      </c>
      <c r="F2062" t="s">
        <v>2328</v>
      </c>
      <c r="G2062" s="2">
        <v>45665</v>
      </c>
      <c r="H2062" s="2">
        <v>45695</v>
      </c>
      <c r="I2062">
        <v>57.3</v>
      </c>
      <c r="J2062">
        <v>57.3</v>
      </c>
      <c r="K2062" t="s">
        <v>20</v>
      </c>
      <c r="L2062">
        <v>0</v>
      </c>
      <c r="M2062">
        <v>57.3</v>
      </c>
    </row>
    <row r="2063" spans="1:13">
      <c r="A2063" t="s">
        <v>2152</v>
      </c>
      <c r="B2063" t="s">
        <v>2153</v>
      </c>
      <c r="C2063" t="s">
        <v>16</v>
      </c>
      <c r="D2063" t="s">
        <v>21</v>
      </c>
      <c r="E2063" t="s">
        <v>2329</v>
      </c>
      <c r="F2063" t="s">
        <v>2329</v>
      </c>
      <c r="G2063" s="2">
        <v>45665</v>
      </c>
      <c r="H2063" s="2">
        <v>45695</v>
      </c>
      <c r="I2063">
        <v>506.6</v>
      </c>
      <c r="J2063">
        <v>506.6</v>
      </c>
      <c r="K2063" t="s">
        <v>20</v>
      </c>
      <c r="L2063">
        <v>0</v>
      </c>
      <c r="M2063">
        <v>506.6</v>
      </c>
    </row>
    <row r="2064" spans="1:13">
      <c r="A2064" t="s">
        <v>2152</v>
      </c>
      <c r="B2064" t="s">
        <v>2153</v>
      </c>
      <c r="C2064" t="s">
        <v>16</v>
      </c>
      <c r="D2064" t="s">
        <v>21</v>
      </c>
      <c r="E2064" t="s">
        <v>2330</v>
      </c>
      <c r="F2064" t="s">
        <v>2330</v>
      </c>
      <c r="G2064" s="2">
        <v>45665</v>
      </c>
      <c r="H2064" s="2">
        <v>45695</v>
      </c>
      <c r="I2064">
        <v>621.4</v>
      </c>
      <c r="J2064">
        <v>621.4</v>
      </c>
      <c r="K2064" t="s">
        <v>20</v>
      </c>
      <c r="L2064">
        <v>0</v>
      </c>
      <c r="M2064">
        <v>621.4</v>
      </c>
    </row>
    <row r="2065" spans="1:13">
      <c r="A2065" t="s">
        <v>2152</v>
      </c>
      <c r="B2065" t="s">
        <v>2153</v>
      </c>
      <c r="C2065" t="s">
        <v>16</v>
      </c>
      <c r="D2065" t="s">
        <v>21</v>
      </c>
      <c r="E2065" t="s">
        <v>2331</v>
      </c>
      <c r="F2065" t="s">
        <v>2331</v>
      </c>
      <c r="G2065" s="2">
        <v>45665</v>
      </c>
      <c r="H2065" s="2">
        <v>45695</v>
      </c>
      <c r="I2065" s="1">
        <v>1607.5</v>
      </c>
      <c r="J2065">
        <v>1607.5</v>
      </c>
      <c r="K2065" t="s">
        <v>20</v>
      </c>
      <c r="L2065">
        <v>0</v>
      </c>
      <c r="M2065">
        <v>1607.5</v>
      </c>
    </row>
    <row r="2066" spans="1:13">
      <c r="A2066" t="s">
        <v>2152</v>
      </c>
      <c r="B2066" t="s">
        <v>2153</v>
      </c>
      <c r="C2066" t="s">
        <v>16</v>
      </c>
      <c r="D2066" t="s">
        <v>21</v>
      </c>
      <c r="E2066" t="s">
        <v>2332</v>
      </c>
      <c r="F2066" t="s">
        <v>2332</v>
      </c>
      <c r="G2066" s="2">
        <v>45665</v>
      </c>
      <c r="H2066" s="2">
        <v>45695</v>
      </c>
      <c r="I2066">
        <v>260.10000000000002</v>
      </c>
      <c r="J2066">
        <v>260.10000000000002</v>
      </c>
      <c r="K2066" t="s">
        <v>20</v>
      </c>
      <c r="L2066">
        <v>0</v>
      </c>
      <c r="M2066">
        <v>260.10000000000002</v>
      </c>
    </row>
    <row r="2067" spans="1:13">
      <c r="A2067" t="s">
        <v>2152</v>
      </c>
      <c r="B2067" t="s">
        <v>2153</v>
      </c>
      <c r="C2067" t="s">
        <v>16</v>
      </c>
      <c r="D2067" t="s">
        <v>21</v>
      </c>
      <c r="E2067" t="s">
        <v>2333</v>
      </c>
      <c r="F2067" t="s">
        <v>2333</v>
      </c>
      <c r="G2067" s="2">
        <v>45665</v>
      </c>
      <c r="H2067" s="2">
        <v>45695</v>
      </c>
      <c r="I2067">
        <v>829.2</v>
      </c>
      <c r="J2067">
        <v>829.2</v>
      </c>
      <c r="K2067" t="s">
        <v>20</v>
      </c>
      <c r="L2067">
        <v>0</v>
      </c>
      <c r="M2067">
        <v>829.2</v>
      </c>
    </row>
    <row r="2068" spans="1:13">
      <c r="A2068" t="s">
        <v>2152</v>
      </c>
      <c r="B2068" t="s">
        <v>2153</v>
      </c>
      <c r="C2068" t="s">
        <v>16</v>
      </c>
      <c r="D2068" t="s">
        <v>21</v>
      </c>
      <c r="E2068" t="s">
        <v>2334</v>
      </c>
      <c r="F2068" t="s">
        <v>2334</v>
      </c>
      <c r="G2068" s="2">
        <v>45665</v>
      </c>
      <c r="H2068" s="2">
        <v>45695</v>
      </c>
      <c r="I2068">
        <v>367</v>
      </c>
      <c r="J2068">
        <v>367</v>
      </c>
      <c r="K2068" t="s">
        <v>20</v>
      </c>
      <c r="L2068">
        <v>0</v>
      </c>
      <c r="M2068">
        <v>367</v>
      </c>
    </row>
    <row r="2069" spans="1:13">
      <c r="A2069" t="s">
        <v>2152</v>
      </c>
      <c r="B2069" t="s">
        <v>2153</v>
      </c>
      <c r="C2069" t="s">
        <v>16</v>
      </c>
      <c r="D2069" t="s">
        <v>21</v>
      </c>
      <c r="E2069" t="s">
        <v>2335</v>
      </c>
      <c r="F2069" t="s">
        <v>2335</v>
      </c>
      <c r="G2069" s="2">
        <v>45665</v>
      </c>
      <c r="H2069" s="2">
        <v>45695</v>
      </c>
      <c r="I2069">
        <v>299.8</v>
      </c>
      <c r="J2069">
        <v>299.8</v>
      </c>
      <c r="K2069" t="s">
        <v>20</v>
      </c>
      <c r="L2069">
        <v>0</v>
      </c>
      <c r="M2069">
        <v>299.8</v>
      </c>
    </row>
    <row r="2070" spans="1:13">
      <c r="A2070" t="s">
        <v>2152</v>
      </c>
      <c r="B2070" t="s">
        <v>2153</v>
      </c>
      <c r="C2070" t="s">
        <v>16</v>
      </c>
      <c r="D2070" t="s">
        <v>21</v>
      </c>
      <c r="E2070" t="s">
        <v>2336</v>
      </c>
      <c r="F2070" t="s">
        <v>2336</v>
      </c>
      <c r="G2070" s="2">
        <v>45665</v>
      </c>
      <c r="H2070" s="2">
        <v>45695</v>
      </c>
      <c r="I2070">
        <v>552</v>
      </c>
      <c r="J2070">
        <v>552</v>
      </c>
      <c r="K2070" t="s">
        <v>20</v>
      </c>
      <c r="L2070">
        <v>0</v>
      </c>
      <c r="M2070">
        <v>552</v>
      </c>
    </row>
    <row r="2071" spans="1:13">
      <c r="A2071" t="s">
        <v>2152</v>
      </c>
      <c r="B2071" t="s">
        <v>2153</v>
      </c>
      <c r="C2071" t="s">
        <v>16</v>
      </c>
      <c r="D2071" t="s">
        <v>21</v>
      </c>
      <c r="E2071" t="s">
        <v>2337</v>
      </c>
      <c r="F2071" t="s">
        <v>2337</v>
      </c>
      <c r="G2071" s="2">
        <v>45665</v>
      </c>
      <c r="H2071" s="2">
        <v>45695</v>
      </c>
      <c r="I2071">
        <v>92</v>
      </c>
      <c r="J2071">
        <v>92</v>
      </c>
      <c r="K2071" t="s">
        <v>20</v>
      </c>
      <c r="L2071">
        <v>0</v>
      </c>
      <c r="M2071">
        <v>92</v>
      </c>
    </row>
    <row r="2072" spans="1:13">
      <c r="A2072" t="s">
        <v>2152</v>
      </c>
      <c r="B2072" t="s">
        <v>2153</v>
      </c>
      <c r="C2072" t="s">
        <v>16</v>
      </c>
      <c r="D2072" t="s">
        <v>21</v>
      </c>
      <c r="E2072" t="s">
        <v>2338</v>
      </c>
      <c r="F2072" t="s">
        <v>2338</v>
      </c>
      <c r="G2072" s="2">
        <v>45665</v>
      </c>
      <c r="H2072" s="2">
        <v>45695</v>
      </c>
      <c r="I2072">
        <v>621.4</v>
      </c>
      <c r="J2072">
        <v>621.4</v>
      </c>
      <c r="K2072" t="s">
        <v>20</v>
      </c>
      <c r="L2072">
        <v>0</v>
      </c>
      <c r="M2072">
        <v>621.4</v>
      </c>
    </row>
    <row r="2073" spans="1:13">
      <c r="A2073" t="s">
        <v>2152</v>
      </c>
      <c r="B2073" t="s">
        <v>2153</v>
      </c>
      <c r="C2073" t="s">
        <v>16</v>
      </c>
      <c r="D2073" t="s">
        <v>21</v>
      </c>
      <c r="E2073" t="s">
        <v>2339</v>
      </c>
      <c r="F2073" t="s">
        <v>2339</v>
      </c>
      <c r="G2073" s="2">
        <v>45665</v>
      </c>
      <c r="H2073" s="2">
        <v>45695</v>
      </c>
      <c r="I2073">
        <v>184</v>
      </c>
      <c r="J2073">
        <v>184</v>
      </c>
      <c r="K2073" t="s">
        <v>20</v>
      </c>
      <c r="L2073">
        <v>0</v>
      </c>
      <c r="M2073">
        <v>184</v>
      </c>
    </row>
    <row r="2074" spans="1:13">
      <c r="A2074" t="s">
        <v>2152</v>
      </c>
      <c r="B2074" t="s">
        <v>2153</v>
      </c>
      <c r="C2074" t="s">
        <v>16</v>
      </c>
      <c r="D2074" t="s">
        <v>21</v>
      </c>
      <c r="E2074" t="s">
        <v>2340</v>
      </c>
      <c r="F2074" t="s">
        <v>2340</v>
      </c>
      <c r="G2074" s="2">
        <v>45665</v>
      </c>
      <c r="H2074" s="2">
        <v>45695</v>
      </c>
      <c r="I2074">
        <v>310</v>
      </c>
      <c r="J2074">
        <v>310</v>
      </c>
      <c r="K2074" t="s">
        <v>20</v>
      </c>
      <c r="L2074">
        <v>0</v>
      </c>
      <c r="M2074">
        <v>310</v>
      </c>
    </row>
    <row r="2075" spans="1:13">
      <c r="A2075" t="s">
        <v>2152</v>
      </c>
      <c r="B2075" t="s">
        <v>2153</v>
      </c>
      <c r="C2075" t="s">
        <v>16</v>
      </c>
      <c r="D2075" t="s">
        <v>21</v>
      </c>
      <c r="E2075" t="s">
        <v>2341</v>
      </c>
      <c r="F2075" t="s">
        <v>2341</v>
      </c>
      <c r="G2075" s="2">
        <v>45665</v>
      </c>
      <c r="H2075" s="2">
        <v>45695</v>
      </c>
      <c r="I2075">
        <v>155.5</v>
      </c>
      <c r="J2075">
        <v>155.5</v>
      </c>
      <c r="K2075" t="s">
        <v>20</v>
      </c>
      <c r="L2075">
        <v>0</v>
      </c>
      <c r="M2075">
        <v>155.5</v>
      </c>
    </row>
    <row r="2076" spans="1:13">
      <c r="A2076" t="s">
        <v>2152</v>
      </c>
      <c r="B2076" t="s">
        <v>2153</v>
      </c>
      <c r="C2076" t="s">
        <v>16</v>
      </c>
      <c r="D2076" t="s">
        <v>21</v>
      </c>
      <c r="E2076" t="s">
        <v>2342</v>
      </c>
      <c r="F2076" t="s">
        <v>2342</v>
      </c>
      <c r="G2076" s="2">
        <v>45665</v>
      </c>
      <c r="H2076" s="2">
        <v>45695</v>
      </c>
      <c r="I2076">
        <v>361.26</v>
      </c>
      <c r="J2076">
        <v>361.26</v>
      </c>
      <c r="K2076" t="s">
        <v>20</v>
      </c>
      <c r="L2076">
        <v>0</v>
      </c>
      <c r="M2076">
        <v>361.26</v>
      </c>
    </row>
    <row r="2077" spans="1:13">
      <c r="A2077" t="s">
        <v>2152</v>
      </c>
      <c r="B2077" t="s">
        <v>2153</v>
      </c>
      <c r="C2077" t="s">
        <v>16</v>
      </c>
      <c r="D2077" t="s">
        <v>21</v>
      </c>
      <c r="E2077" t="s">
        <v>2343</v>
      </c>
      <c r="F2077" t="s">
        <v>2343</v>
      </c>
      <c r="G2077" s="2">
        <v>45665</v>
      </c>
      <c r="H2077" s="2">
        <v>45695</v>
      </c>
      <c r="I2077">
        <v>410.63</v>
      </c>
      <c r="J2077">
        <v>410.63</v>
      </c>
      <c r="K2077" t="s">
        <v>20</v>
      </c>
      <c r="L2077">
        <v>0</v>
      </c>
      <c r="M2077">
        <v>410.63</v>
      </c>
    </row>
    <row r="2078" spans="1:13">
      <c r="A2078" t="s">
        <v>2152</v>
      </c>
      <c r="B2078" t="s">
        <v>2153</v>
      </c>
      <c r="C2078" t="s">
        <v>16</v>
      </c>
      <c r="D2078" t="s">
        <v>21</v>
      </c>
      <c r="E2078" t="s">
        <v>2344</v>
      </c>
      <c r="F2078" t="s">
        <v>2344</v>
      </c>
      <c r="G2078" s="2">
        <v>45665</v>
      </c>
      <c r="H2078" s="2">
        <v>45695</v>
      </c>
      <c r="I2078">
        <v>414.6</v>
      </c>
      <c r="J2078">
        <v>414.6</v>
      </c>
      <c r="K2078" t="s">
        <v>20</v>
      </c>
      <c r="L2078">
        <v>0</v>
      </c>
      <c r="M2078">
        <v>414.6</v>
      </c>
    </row>
    <row r="2079" spans="1:13">
      <c r="A2079" t="s">
        <v>2152</v>
      </c>
      <c r="B2079" t="s">
        <v>2153</v>
      </c>
      <c r="C2079" t="s">
        <v>16</v>
      </c>
      <c r="D2079" t="s">
        <v>21</v>
      </c>
      <c r="E2079" t="s">
        <v>2345</v>
      </c>
      <c r="F2079" t="s">
        <v>2345</v>
      </c>
      <c r="G2079" s="2">
        <v>45665</v>
      </c>
      <c r="H2079" s="2">
        <v>45695</v>
      </c>
      <c r="I2079">
        <v>861</v>
      </c>
      <c r="J2079">
        <v>861</v>
      </c>
      <c r="K2079" t="s">
        <v>20</v>
      </c>
      <c r="L2079">
        <v>0</v>
      </c>
      <c r="M2079">
        <v>861</v>
      </c>
    </row>
    <row r="2080" spans="1:13">
      <c r="A2080" t="s">
        <v>2152</v>
      </c>
      <c r="B2080" t="s">
        <v>2153</v>
      </c>
      <c r="C2080" t="s">
        <v>16</v>
      </c>
      <c r="D2080" t="s">
        <v>21</v>
      </c>
      <c r="E2080" t="s">
        <v>2346</v>
      </c>
      <c r="F2080" t="s">
        <v>2346</v>
      </c>
      <c r="G2080" s="2">
        <v>45666</v>
      </c>
      <c r="H2080" s="2">
        <v>45696</v>
      </c>
      <c r="I2080">
        <v>92</v>
      </c>
      <c r="J2080">
        <v>92</v>
      </c>
      <c r="K2080" t="s">
        <v>20</v>
      </c>
      <c r="L2080">
        <v>0</v>
      </c>
      <c r="M2080">
        <v>92</v>
      </c>
    </row>
    <row r="2081" spans="1:13">
      <c r="A2081" t="s">
        <v>2152</v>
      </c>
      <c r="B2081" t="s">
        <v>2153</v>
      </c>
      <c r="C2081" t="s">
        <v>16</v>
      </c>
      <c r="D2081" t="s">
        <v>21</v>
      </c>
      <c r="E2081" t="s">
        <v>2347</v>
      </c>
      <c r="F2081" t="s">
        <v>2347</v>
      </c>
      <c r="G2081" s="2">
        <v>45666</v>
      </c>
      <c r="H2081" s="2">
        <v>45696</v>
      </c>
      <c r="I2081">
        <v>946.2</v>
      </c>
      <c r="J2081">
        <v>946.2</v>
      </c>
      <c r="K2081" t="s">
        <v>20</v>
      </c>
      <c r="L2081">
        <v>0</v>
      </c>
      <c r="M2081">
        <v>946.2</v>
      </c>
    </row>
    <row r="2082" spans="1:13">
      <c r="A2082" t="s">
        <v>2152</v>
      </c>
      <c r="B2082" t="s">
        <v>2153</v>
      </c>
      <c r="C2082" t="s">
        <v>16</v>
      </c>
      <c r="D2082" t="s">
        <v>21</v>
      </c>
      <c r="E2082" t="s">
        <v>2348</v>
      </c>
      <c r="F2082" t="s">
        <v>2348</v>
      </c>
      <c r="G2082" s="2">
        <v>45666</v>
      </c>
      <c r="H2082" s="2">
        <v>45696</v>
      </c>
      <c r="I2082">
        <v>522.5</v>
      </c>
      <c r="J2082">
        <v>522.5</v>
      </c>
      <c r="K2082" t="s">
        <v>20</v>
      </c>
      <c r="L2082">
        <v>0</v>
      </c>
      <c r="M2082">
        <v>522.5</v>
      </c>
    </row>
    <row r="2083" spans="1:13">
      <c r="A2083" t="s">
        <v>2152</v>
      </c>
      <c r="B2083" t="s">
        <v>2153</v>
      </c>
      <c r="C2083" t="s">
        <v>16</v>
      </c>
      <c r="D2083" t="s">
        <v>21</v>
      </c>
      <c r="E2083" t="s">
        <v>2349</v>
      </c>
      <c r="F2083" t="s">
        <v>2349</v>
      </c>
      <c r="G2083" s="2">
        <v>45666</v>
      </c>
      <c r="H2083" s="2">
        <v>45696</v>
      </c>
      <c r="I2083">
        <v>207.8</v>
      </c>
      <c r="J2083">
        <v>207.8</v>
      </c>
      <c r="K2083" t="s">
        <v>20</v>
      </c>
      <c r="L2083">
        <v>0</v>
      </c>
      <c r="M2083">
        <v>207.8</v>
      </c>
    </row>
    <row r="2084" spans="1:13">
      <c r="A2084" t="s">
        <v>2152</v>
      </c>
      <c r="B2084" t="s">
        <v>2153</v>
      </c>
      <c r="C2084" t="s">
        <v>16</v>
      </c>
      <c r="D2084" t="s">
        <v>21</v>
      </c>
      <c r="E2084" t="s">
        <v>2350</v>
      </c>
      <c r="F2084" t="s">
        <v>2350</v>
      </c>
      <c r="G2084" s="2">
        <v>45666</v>
      </c>
      <c r="H2084" s="2">
        <v>45696</v>
      </c>
      <c r="I2084">
        <v>106.4</v>
      </c>
      <c r="J2084">
        <v>106.4</v>
      </c>
      <c r="K2084" t="s">
        <v>20</v>
      </c>
      <c r="L2084">
        <v>0</v>
      </c>
      <c r="M2084">
        <v>106.4</v>
      </c>
    </row>
    <row r="2085" spans="1:13">
      <c r="A2085" t="s">
        <v>2152</v>
      </c>
      <c r="B2085" t="s">
        <v>2153</v>
      </c>
      <c r="C2085" t="s">
        <v>16</v>
      </c>
      <c r="D2085" t="s">
        <v>21</v>
      </c>
      <c r="E2085" t="s">
        <v>2351</v>
      </c>
      <c r="F2085" t="s">
        <v>2351</v>
      </c>
      <c r="G2085" s="2">
        <v>45670</v>
      </c>
      <c r="H2085" s="2">
        <v>45700</v>
      </c>
      <c r="I2085">
        <v>414.6</v>
      </c>
      <c r="J2085">
        <v>414.6</v>
      </c>
      <c r="K2085" t="s">
        <v>20</v>
      </c>
      <c r="L2085">
        <v>0</v>
      </c>
      <c r="M2085">
        <v>414.6</v>
      </c>
    </row>
    <row r="2086" spans="1:13">
      <c r="A2086" t="s">
        <v>2152</v>
      </c>
      <c r="B2086" t="s">
        <v>2153</v>
      </c>
      <c r="C2086" t="s">
        <v>16</v>
      </c>
      <c r="D2086" t="s">
        <v>21</v>
      </c>
      <c r="E2086" t="s">
        <v>2352</v>
      </c>
      <c r="F2086" t="s">
        <v>2352</v>
      </c>
      <c r="G2086" s="2">
        <v>45670</v>
      </c>
      <c r="H2086" s="2">
        <v>45700</v>
      </c>
      <c r="I2086">
        <v>184</v>
      </c>
      <c r="J2086">
        <v>184</v>
      </c>
      <c r="K2086" t="s">
        <v>20</v>
      </c>
      <c r="L2086">
        <v>0</v>
      </c>
      <c r="M2086">
        <v>184</v>
      </c>
    </row>
    <row r="2087" spans="1:13">
      <c r="A2087" t="s">
        <v>2152</v>
      </c>
      <c r="B2087" t="s">
        <v>2153</v>
      </c>
      <c r="C2087" t="s">
        <v>16</v>
      </c>
      <c r="D2087" t="s">
        <v>21</v>
      </c>
      <c r="E2087" t="s">
        <v>2353</v>
      </c>
      <c r="F2087" t="s">
        <v>2353</v>
      </c>
      <c r="G2087" s="2">
        <v>45670</v>
      </c>
      <c r="H2087" s="2">
        <v>45700</v>
      </c>
      <c r="I2087">
        <v>241</v>
      </c>
      <c r="J2087">
        <v>241</v>
      </c>
      <c r="K2087" t="s">
        <v>20</v>
      </c>
      <c r="L2087">
        <v>0</v>
      </c>
      <c r="M2087">
        <v>241</v>
      </c>
    </row>
    <row r="2088" spans="1:13">
      <c r="A2088" t="s">
        <v>2152</v>
      </c>
      <c r="B2088" t="s">
        <v>2153</v>
      </c>
      <c r="C2088" t="s">
        <v>16</v>
      </c>
      <c r="D2088" t="s">
        <v>21</v>
      </c>
      <c r="E2088" t="s">
        <v>2354</v>
      </c>
      <c r="F2088" t="s">
        <v>2354</v>
      </c>
      <c r="G2088" s="2">
        <v>45670</v>
      </c>
      <c r="H2088" s="2">
        <v>45700</v>
      </c>
      <c r="I2088">
        <v>339.83</v>
      </c>
      <c r="J2088">
        <v>339.83</v>
      </c>
      <c r="K2088" t="s">
        <v>20</v>
      </c>
      <c r="L2088">
        <v>0</v>
      </c>
      <c r="M2088">
        <v>339.83</v>
      </c>
    </row>
    <row r="2089" spans="1:13">
      <c r="A2089" t="s">
        <v>2152</v>
      </c>
      <c r="B2089" t="s">
        <v>2153</v>
      </c>
      <c r="C2089" t="s">
        <v>16</v>
      </c>
      <c r="D2089" t="s">
        <v>21</v>
      </c>
      <c r="E2089" t="s">
        <v>2355</v>
      </c>
      <c r="F2089" t="s">
        <v>2355</v>
      </c>
      <c r="G2089" s="2">
        <v>45670</v>
      </c>
      <c r="H2089" s="2">
        <v>45700</v>
      </c>
      <c r="I2089">
        <v>550</v>
      </c>
      <c r="J2089">
        <v>550</v>
      </c>
      <c r="K2089" t="s">
        <v>20</v>
      </c>
      <c r="L2089">
        <v>0</v>
      </c>
      <c r="M2089">
        <v>550</v>
      </c>
    </row>
    <row r="2090" spans="1:13">
      <c r="A2090" t="s">
        <v>2152</v>
      </c>
      <c r="B2090" t="s">
        <v>2153</v>
      </c>
      <c r="C2090" t="s">
        <v>16</v>
      </c>
      <c r="D2090" t="s">
        <v>21</v>
      </c>
      <c r="E2090" t="s">
        <v>2356</v>
      </c>
      <c r="F2090" t="s">
        <v>2356</v>
      </c>
      <c r="G2090" s="2">
        <v>45670</v>
      </c>
      <c r="H2090" s="2">
        <v>45700</v>
      </c>
      <c r="I2090">
        <v>791.4</v>
      </c>
      <c r="J2090">
        <v>791.4</v>
      </c>
      <c r="K2090" t="s">
        <v>20</v>
      </c>
      <c r="L2090">
        <v>0</v>
      </c>
      <c r="M2090">
        <v>791.4</v>
      </c>
    </row>
    <row r="2091" spans="1:13">
      <c r="A2091" t="s">
        <v>2152</v>
      </c>
      <c r="B2091" t="s">
        <v>2153</v>
      </c>
      <c r="C2091" t="s">
        <v>16</v>
      </c>
      <c r="D2091" t="s">
        <v>21</v>
      </c>
      <c r="E2091" t="s">
        <v>2357</v>
      </c>
      <c r="F2091" t="s">
        <v>2357</v>
      </c>
      <c r="G2091" s="2">
        <v>45670</v>
      </c>
      <c r="H2091" s="2">
        <v>45700</v>
      </c>
      <c r="I2091">
        <v>207.8</v>
      </c>
      <c r="J2091">
        <v>207.8</v>
      </c>
      <c r="K2091" t="s">
        <v>20</v>
      </c>
      <c r="L2091">
        <v>0</v>
      </c>
      <c r="M2091">
        <v>207.8</v>
      </c>
    </row>
    <row r="2092" spans="1:13">
      <c r="A2092" t="s">
        <v>2152</v>
      </c>
      <c r="B2092" t="s">
        <v>2153</v>
      </c>
      <c r="C2092" t="s">
        <v>16</v>
      </c>
      <c r="D2092" t="s">
        <v>21</v>
      </c>
      <c r="E2092" t="s">
        <v>2358</v>
      </c>
      <c r="F2092" t="s">
        <v>2358</v>
      </c>
      <c r="G2092" s="2">
        <v>45670</v>
      </c>
      <c r="H2092" s="2">
        <v>45700</v>
      </c>
      <c r="I2092" s="1">
        <v>1010.5</v>
      </c>
      <c r="J2092">
        <v>1010.5</v>
      </c>
      <c r="K2092" t="s">
        <v>20</v>
      </c>
      <c r="L2092">
        <v>0</v>
      </c>
      <c r="M2092">
        <v>1010.5</v>
      </c>
    </row>
    <row r="2093" spans="1:13">
      <c r="A2093" t="s">
        <v>2152</v>
      </c>
      <c r="B2093" t="s">
        <v>2153</v>
      </c>
      <c r="C2093" t="s">
        <v>16</v>
      </c>
      <c r="D2093" t="s">
        <v>21</v>
      </c>
      <c r="E2093" t="s">
        <v>2359</v>
      </c>
      <c r="F2093" t="s">
        <v>2359</v>
      </c>
      <c r="G2093" s="2">
        <v>45670</v>
      </c>
      <c r="H2093" s="2">
        <v>45700</v>
      </c>
      <c r="I2093">
        <v>157.9</v>
      </c>
      <c r="J2093">
        <v>157.9</v>
      </c>
      <c r="K2093" t="s">
        <v>20</v>
      </c>
      <c r="L2093">
        <v>0</v>
      </c>
      <c r="M2093">
        <v>157.9</v>
      </c>
    </row>
    <row r="2094" spans="1:13">
      <c r="A2094" t="s">
        <v>2152</v>
      </c>
      <c r="B2094" t="s">
        <v>2153</v>
      </c>
      <c r="C2094" t="s">
        <v>16</v>
      </c>
      <c r="D2094" t="s">
        <v>21</v>
      </c>
      <c r="E2094" t="s">
        <v>2360</v>
      </c>
      <c r="F2094" t="s">
        <v>2360</v>
      </c>
      <c r="G2094" s="2">
        <v>45670</v>
      </c>
      <c r="H2094" s="2">
        <v>45700</v>
      </c>
      <c r="I2094">
        <v>204.8</v>
      </c>
      <c r="J2094">
        <v>204.8</v>
      </c>
      <c r="K2094" t="s">
        <v>20</v>
      </c>
      <c r="L2094">
        <v>0</v>
      </c>
      <c r="M2094">
        <v>204.8</v>
      </c>
    </row>
    <row r="2095" spans="1:13">
      <c r="A2095" t="s">
        <v>2152</v>
      </c>
      <c r="B2095" t="s">
        <v>2153</v>
      </c>
      <c r="C2095" t="s">
        <v>16</v>
      </c>
      <c r="D2095" t="s">
        <v>21</v>
      </c>
      <c r="E2095" t="s">
        <v>2361</v>
      </c>
      <c r="F2095" t="s">
        <v>2361</v>
      </c>
      <c r="G2095" s="2">
        <v>45670</v>
      </c>
      <c r="H2095" s="2">
        <v>45700</v>
      </c>
      <c r="I2095">
        <v>92</v>
      </c>
      <c r="J2095">
        <v>92</v>
      </c>
      <c r="K2095" t="s">
        <v>20</v>
      </c>
      <c r="L2095">
        <v>0</v>
      </c>
      <c r="M2095">
        <v>92</v>
      </c>
    </row>
    <row r="2096" spans="1:13">
      <c r="A2096" t="s">
        <v>2152</v>
      </c>
      <c r="B2096" t="s">
        <v>2153</v>
      </c>
      <c r="C2096" t="s">
        <v>16</v>
      </c>
      <c r="D2096" t="s">
        <v>21</v>
      </c>
      <c r="E2096" t="s">
        <v>2362</v>
      </c>
      <c r="F2096" t="s">
        <v>2362</v>
      </c>
      <c r="G2096" s="2">
        <v>45670</v>
      </c>
      <c r="H2096" s="2">
        <v>45700</v>
      </c>
      <c r="I2096">
        <v>423</v>
      </c>
      <c r="J2096">
        <v>423</v>
      </c>
      <c r="K2096" t="s">
        <v>20</v>
      </c>
      <c r="L2096">
        <v>0</v>
      </c>
      <c r="M2096">
        <v>423</v>
      </c>
    </row>
    <row r="2097" spans="1:13">
      <c r="A2097" t="s">
        <v>2152</v>
      </c>
      <c r="B2097" t="s">
        <v>2153</v>
      </c>
      <c r="C2097" t="s">
        <v>16</v>
      </c>
      <c r="D2097" t="s">
        <v>21</v>
      </c>
      <c r="E2097" t="s">
        <v>2363</v>
      </c>
      <c r="F2097" t="s">
        <v>2363</v>
      </c>
      <c r="G2097" s="2">
        <v>45670</v>
      </c>
      <c r="H2097" s="2">
        <v>45700</v>
      </c>
      <c r="I2097">
        <v>729.4</v>
      </c>
      <c r="J2097">
        <v>729.4</v>
      </c>
      <c r="K2097" t="s">
        <v>20</v>
      </c>
      <c r="L2097">
        <v>0</v>
      </c>
      <c r="M2097">
        <v>729.4</v>
      </c>
    </row>
    <row r="2098" spans="1:13">
      <c r="A2098" t="s">
        <v>2152</v>
      </c>
      <c r="B2098" t="s">
        <v>2153</v>
      </c>
      <c r="C2098" t="s">
        <v>16</v>
      </c>
      <c r="D2098" t="s">
        <v>21</v>
      </c>
      <c r="E2098" t="s">
        <v>2364</v>
      </c>
      <c r="F2098" t="s">
        <v>2364</v>
      </c>
      <c r="G2098" s="2">
        <v>45670</v>
      </c>
      <c r="H2098" s="2">
        <v>45700</v>
      </c>
      <c r="I2098">
        <v>916</v>
      </c>
      <c r="J2098">
        <v>916</v>
      </c>
      <c r="K2098" t="s">
        <v>20</v>
      </c>
      <c r="L2098">
        <v>0</v>
      </c>
      <c r="M2098">
        <v>916</v>
      </c>
    </row>
    <row r="2099" spans="1:13">
      <c r="A2099" t="s">
        <v>2152</v>
      </c>
      <c r="B2099" t="s">
        <v>2153</v>
      </c>
      <c r="C2099" t="s">
        <v>16</v>
      </c>
      <c r="D2099" t="s">
        <v>21</v>
      </c>
      <c r="E2099" t="s">
        <v>2365</v>
      </c>
      <c r="F2099" t="s">
        <v>2365</v>
      </c>
      <c r="G2099" s="2">
        <v>45670</v>
      </c>
      <c r="H2099" s="2">
        <v>45700</v>
      </c>
      <c r="I2099">
        <v>438.65</v>
      </c>
      <c r="J2099">
        <v>438.65</v>
      </c>
      <c r="K2099" t="s">
        <v>20</v>
      </c>
      <c r="L2099">
        <v>0</v>
      </c>
      <c r="M2099">
        <v>438.65</v>
      </c>
    </row>
    <row r="2100" spans="1:13">
      <c r="A2100" t="s">
        <v>2152</v>
      </c>
      <c r="B2100" t="s">
        <v>2153</v>
      </c>
      <c r="C2100" t="s">
        <v>16</v>
      </c>
      <c r="D2100" t="s">
        <v>21</v>
      </c>
      <c r="E2100" t="s">
        <v>2366</v>
      </c>
      <c r="F2100" t="s">
        <v>2366</v>
      </c>
      <c r="G2100" s="2">
        <v>45670</v>
      </c>
      <c r="H2100" s="2">
        <v>45700</v>
      </c>
      <c r="I2100">
        <v>217.8</v>
      </c>
      <c r="J2100">
        <v>217.8</v>
      </c>
      <c r="K2100" t="s">
        <v>20</v>
      </c>
      <c r="L2100">
        <v>0</v>
      </c>
      <c r="M2100">
        <v>217.8</v>
      </c>
    </row>
    <row r="2101" spans="1:13">
      <c r="A2101" t="s">
        <v>2152</v>
      </c>
      <c r="B2101" t="s">
        <v>2153</v>
      </c>
      <c r="C2101" t="s">
        <v>16</v>
      </c>
      <c r="D2101" t="s">
        <v>21</v>
      </c>
      <c r="E2101" t="s">
        <v>2367</v>
      </c>
      <c r="F2101" t="s">
        <v>2367</v>
      </c>
      <c r="G2101" s="2">
        <v>45670</v>
      </c>
      <c r="H2101" s="2">
        <v>45700</v>
      </c>
      <c r="I2101">
        <v>162.5</v>
      </c>
      <c r="J2101">
        <v>162.5</v>
      </c>
      <c r="K2101" t="s">
        <v>20</v>
      </c>
      <c r="L2101">
        <v>0</v>
      </c>
      <c r="M2101">
        <v>162.5</v>
      </c>
    </row>
    <row r="2102" spans="1:13">
      <c r="A2102" t="s">
        <v>2152</v>
      </c>
      <c r="B2102" t="s">
        <v>2153</v>
      </c>
      <c r="C2102" t="s">
        <v>16</v>
      </c>
      <c r="D2102" t="s">
        <v>21</v>
      </c>
      <c r="E2102" t="s">
        <v>2368</v>
      </c>
      <c r="F2102" t="s">
        <v>2368</v>
      </c>
      <c r="G2102" s="2">
        <v>45670</v>
      </c>
      <c r="H2102" s="2">
        <v>45700</v>
      </c>
      <c r="I2102">
        <v>362.3</v>
      </c>
      <c r="J2102">
        <v>362.3</v>
      </c>
      <c r="K2102" t="s">
        <v>20</v>
      </c>
      <c r="L2102">
        <v>0</v>
      </c>
      <c r="M2102">
        <v>362.3</v>
      </c>
    </row>
    <row r="2103" spans="1:13">
      <c r="A2103" t="s">
        <v>2152</v>
      </c>
      <c r="B2103" t="s">
        <v>2153</v>
      </c>
      <c r="C2103" t="s">
        <v>16</v>
      </c>
      <c r="D2103" t="s">
        <v>21</v>
      </c>
      <c r="E2103" t="s">
        <v>2369</v>
      </c>
      <c r="F2103" t="s">
        <v>2369</v>
      </c>
      <c r="G2103" s="2">
        <v>45670</v>
      </c>
      <c r="H2103" s="2">
        <v>45700</v>
      </c>
      <c r="I2103">
        <v>466.9</v>
      </c>
      <c r="J2103">
        <v>466.9</v>
      </c>
      <c r="K2103" t="s">
        <v>20</v>
      </c>
      <c r="L2103">
        <v>0</v>
      </c>
      <c r="M2103">
        <v>466.9</v>
      </c>
    </row>
    <row r="2104" spans="1:13">
      <c r="A2104" t="s">
        <v>2152</v>
      </c>
      <c r="B2104" t="s">
        <v>2153</v>
      </c>
      <c r="C2104" t="s">
        <v>16</v>
      </c>
      <c r="D2104" t="s">
        <v>21</v>
      </c>
      <c r="E2104" t="s">
        <v>2370</v>
      </c>
      <c r="F2104" t="s">
        <v>2370</v>
      </c>
      <c r="G2104" s="2">
        <v>45670</v>
      </c>
      <c r="H2104" s="2">
        <v>45700</v>
      </c>
      <c r="I2104">
        <v>414.6</v>
      </c>
      <c r="J2104">
        <v>414.6</v>
      </c>
      <c r="K2104" t="s">
        <v>20</v>
      </c>
      <c r="L2104">
        <v>0</v>
      </c>
      <c r="M2104">
        <v>414.6</v>
      </c>
    </row>
    <row r="2105" spans="1:13">
      <c r="A2105" t="s">
        <v>2152</v>
      </c>
      <c r="B2105" t="s">
        <v>2153</v>
      </c>
      <c r="C2105" t="s">
        <v>16</v>
      </c>
      <c r="D2105" t="s">
        <v>21</v>
      </c>
      <c r="E2105" t="s">
        <v>2371</v>
      </c>
      <c r="F2105" t="s">
        <v>2371</v>
      </c>
      <c r="G2105" s="2">
        <v>45670</v>
      </c>
      <c r="H2105" s="2">
        <v>45700</v>
      </c>
      <c r="I2105">
        <v>552</v>
      </c>
      <c r="J2105">
        <v>552</v>
      </c>
      <c r="K2105" t="s">
        <v>20</v>
      </c>
      <c r="L2105">
        <v>0</v>
      </c>
      <c r="M2105">
        <v>552</v>
      </c>
    </row>
    <row r="2106" spans="1:13">
      <c r="A2106" t="s">
        <v>2152</v>
      </c>
      <c r="B2106" t="s">
        <v>2153</v>
      </c>
      <c r="C2106" t="s">
        <v>16</v>
      </c>
      <c r="D2106" t="s">
        <v>21</v>
      </c>
      <c r="E2106" t="s">
        <v>2372</v>
      </c>
      <c r="F2106" t="s">
        <v>2372</v>
      </c>
      <c r="G2106" s="2">
        <v>45670</v>
      </c>
      <c r="H2106" s="2">
        <v>45700</v>
      </c>
      <c r="I2106">
        <v>377.3</v>
      </c>
      <c r="J2106">
        <v>377.3</v>
      </c>
      <c r="K2106" t="s">
        <v>20</v>
      </c>
      <c r="L2106">
        <v>0</v>
      </c>
      <c r="M2106">
        <v>377.3</v>
      </c>
    </row>
    <row r="2107" spans="1:13">
      <c r="A2107" t="s">
        <v>2152</v>
      </c>
      <c r="B2107" t="s">
        <v>2153</v>
      </c>
      <c r="C2107" t="s">
        <v>16</v>
      </c>
      <c r="D2107" t="s">
        <v>21</v>
      </c>
      <c r="E2107" t="s">
        <v>2373</v>
      </c>
      <c r="F2107" t="s">
        <v>2373</v>
      </c>
      <c r="G2107" s="2">
        <v>45670</v>
      </c>
      <c r="H2107" s="2">
        <v>45700</v>
      </c>
      <c r="I2107">
        <v>310</v>
      </c>
      <c r="J2107">
        <v>310</v>
      </c>
      <c r="K2107" t="s">
        <v>20</v>
      </c>
      <c r="L2107">
        <v>0</v>
      </c>
      <c r="M2107">
        <v>310</v>
      </c>
    </row>
    <row r="2108" spans="1:13">
      <c r="A2108" t="s">
        <v>2152</v>
      </c>
      <c r="B2108" t="s">
        <v>2153</v>
      </c>
      <c r="C2108" t="s">
        <v>16</v>
      </c>
      <c r="D2108" t="s">
        <v>21</v>
      </c>
      <c r="E2108" t="s">
        <v>2374</v>
      </c>
      <c r="F2108" t="s">
        <v>2374</v>
      </c>
      <c r="G2108" s="2">
        <v>45672</v>
      </c>
      <c r="H2108" s="2">
        <v>45702</v>
      </c>
      <c r="I2108" s="1">
        <v>1225.5</v>
      </c>
      <c r="J2108">
        <v>1225.5</v>
      </c>
      <c r="K2108" t="s">
        <v>20</v>
      </c>
      <c r="L2108">
        <v>0</v>
      </c>
      <c r="M2108">
        <v>1225.5</v>
      </c>
    </row>
    <row r="2109" spans="1:13">
      <c r="A2109" t="s">
        <v>2152</v>
      </c>
      <c r="B2109" t="s">
        <v>2153</v>
      </c>
      <c r="C2109" t="s">
        <v>16</v>
      </c>
      <c r="D2109" t="s">
        <v>21</v>
      </c>
      <c r="E2109" t="s">
        <v>2375</v>
      </c>
      <c r="F2109" t="s">
        <v>2375</v>
      </c>
      <c r="G2109" s="2">
        <v>45672</v>
      </c>
      <c r="H2109" s="2">
        <v>45702</v>
      </c>
      <c r="I2109">
        <v>217.8</v>
      </c>
      <c r="J2109">
        <v>217.8</v>
      </c>
      <c r="K2109" t="s">
        <v>20</v>
      </c>
      <c r="L2109">
        <v>0</v>
      </c>
      <c r="M2109">
        <v>217.8</v>
      </c>
    </row>
    <row r="2110" spans="1:13">
      <c r="A2110" t="s">
        <v>2152</v>
      </c>
      <c r="B2110" t="s">
        <v>2153</v>
      </c>
      <c r="C2110" t="s">
        <v>16</v>
      </c>
      <c r="D2110" t="s">
        <v>21</v>
      </c>
      <c r="E2110" t="s">
        <v>2376</v>
      </c>
      <c r="F2110" t="s">
        <v>2376</v>
      </c>
      <c r="G2110" s="2">
        <v>45672</v>
      </c>
      <c r="H2110" s="2">
        <v>45702</v>
      </c>
      <c r="I2110">
        <v>204.8</v>
      </c>
      <c r="J2110">
        <v>204.8</v>
      </c>
      <c r="K2110" t="s">
        <v>20</v>
      </c>
      <c r="L2110">
        <v>0</v>
      </c>
      <c r="M2110">
        <v>204.8</v>
      </c>
    </row>
    <row r="2111" spans="1:13">
      <c r="A2111" t="s">
        <v>2152</v>
      </c>
      <c r="B2111" t="s">
        <v>2153</v>
      </c>
      <c r="C2111" t="s">
        <v>16</v>
      </c>
      <c r="D2111" t="s">
        <v>21</v>
      </c>
      <c r="E2111" t="s">
        <v>2377</v>
      </c>
      <c r="F2111" t="s">
        <v>2377</v>
      </c>
      <c r="G2111" s="2">
        <v>45672</v>
      </c>
      <c r="H2111" s="2">
        <v>45702</v>
      </c>
      <c r="I2111">
        <v>177.26</v>
      </c>
      <c r="J2111">
        <v>177.26</v>
      </c>
      <c r="K2111" t="s">
        <v>20</v>
      </c>
      <c r="L2111">
        <v>0</v>
      </c>
      <c r="M2111">
        <v>177.26</v>
      </c>
    </row>
    <row r="2112" spans="1:13">
      <c r="A2112" t="s">
        <v>2152</v>
      </c>
      <c r="B2112" t="s">
        <v>2153</v>
      </c>
      <c r="C2112" t="s">
        <v>16</v>
      </c>
      <c r="D2112" t="s">
        <v>21</v>
      </c>
      <c r="E2112" t="s">
        <v>2378</v>
      </c>
      <c r="F2112" t="s">
        <v>2378</v>
      </c>
      <c r="G2112" s="2">
        <v>45672</v>
      </c>
      <c r="H2112" s="2">
        <v>45702</v>
      </c>
      <c r="I2112">
        <v>184</v>
      </c>
      <c r="J2112">
        <v>184</v>
      </c>
      <c r="K2112" t="s">
        <v>20</v>
      </c>
      <c r="L2112">
        <v>0</v>
      </c>
      <c r="M2112">
        <v>184</v>
      </c>
    </row>
    <row r="2113" spans="1:13">
      <c r="A2113" t="s">
        <v>2152</v>
      </c>
      <c r="B2113" t="s">
        <v>2153</v>
      </c>
      <c r="C2113" t="s">
        <v>16</v>
      </c>
      <c r="D2113" t="s">
        <v>21</v>
      </c>
      <c r="E2113" t="s">
        <v>2379</v>
      </c>
      <c r="F2113" t="s">
        <v>2379</v>
      </c>
      <c r="G2113" s="2">
        <v>45672</v>
      </c>
      <c r="H2113" s="2">
        <v>45702</v>
      </c>
      <c r="I2113">
        <v>207.8</v>
      </c>
      <c r="J2113">
        <v>207.8</v>
      </c>
      <c r="K2113" t="s">
        <v>20</v>
      </c>
      <c r="L2113">
        <v>0</v>
      </c>
      <c r="M2113">
        <v>207.8</v>
      </c>
    </row>
    <row r="2114" spans="1:13">
      <c r="A2114" t="s">
        <v>2152</v>
      </c>
      <c r="B2114" t="s">
        <v>2153</v>
      </c>
      <c r="C2114" t="s">
        <v>16</v>
      </c>
      <c r="D2114" t="s">
        <v>21</v>
      </c>
      <c r="E2114" t="s">
        <v>2380</v>
      </c>
      <c r="F2114" t="s">
        <v>2380</v>
      </c>
      <c r="G2114" s="2">
        <v>45672</v>
      </c>
      <c r="H2114" s="2">
        <v>45702</v>
      </c>
      <c r="I2114">
        <v>323.10000000000002</v>
      </c>
      <c r="J2114">
        <v>323.10000000000002</v>
      </c>
      <c r="K2114" t="s">
        <v>20</v>
      </c>
      <c r="L2114">
        <v>0</v>
      </c>
      <c r="M2114">
        <v>323.10000000000002</v>
      </c>
    </row>
    <row r="2115" spans="1:13">
      <c r="A2115" t="s">
        <v>2152</v>
      </c>
      <c r="B2115" t="s">
        <v>2153</v>
      </c>
      <c r="C2115" t="s">
        <v>16</v>
      </c>
      <c r="D2115" t="s">
        <v>21</v>
      </c>
      <c r="E2115" t="s">
        <v>2381</v>
      </c>
      <c r="F2115" t="s">
        <v>2381</v>
      </c>
      <c r="G2115" s="2">
        <v>45672</v>
      </c>
      <c r="H2115" s="2">
        <v>45702</v>
      </c>
      <c r="I2115">
        <v>57.3</v>
      </c>
      <c r="J2115">
        <v>57.3</v>
      </c>
      <c r="K2115" t="s">
        <v>20</v>
      </c>
      <c r="L2115">
        <v>0</v>
      </c>
      <c r="M2115">
        <v>57.3</v>
      </c>
    </row>
    <row r="2116" spans="1:13">
      <c r="A2116" t="s">
        <v>2152</v>
      </c>
      <c r="B2116" t="s">
        <v>2153</v>
      </c>
      <c r="C2116" t="s">
        <v>16</v>
      </c>
      <c r="D2116" t="s">
        <v>21</v>
      </c>
      <c r="E2116" t="s">
        <v>2382</v>
      </c>
      <c r="F2116" t="s">
        <v>2382</v>
      </c>
      <c r="G2116" s="2">
        <v>45672</v>
      </c>
      <c r="H2116" s="2">
        <v>45702</v>
      </c>
      <c r="I2116">
        <v>764.8</v>
      </c>
      <c r="J2116">
        <v>764.8</v>
      </c>
      <c r="K2116" t="s">
        <v>20</v>
      </c>
      <c r="L2116">
        <v>0</v>
      </c>
      <c r="M2116">
        <v>764.8</v>
      </c>
    </row>
    <row r="2117" spans="1:13">
      <c r="A2117" t="s">
        <v>2152</v>
      </c>
      <c r="B2117" t="s">
        <v>2153</v>
      </c>
      <c r="C2117" t="s">
        <v>16</v>
      </c>
      <c r="D2117" t="s">
        <v>21</v>
      </c>
      <c r="E2117" t="s">
        <v>2383</v>
      </c>
      <c r="F2117" t="s">
        <v>2383</v>
      </c>
      <c r="G2117" s="2">
        <v>45672</v>
      </c>
      <c r="H2117" s="2">
        <v>45702</v>
      </c>
      <c r="I2117">
        <v>320.8</v>
      </c>
      <c r="J2117">
        <v>320.8</v>
      </c>
      <c r="K2117" t="s">
        <v>20</v>
      </c>
      <c r="L2117">
        <v>0</v>
      </c>
      <c r="M2117">
        <v>320.8</v>
      </c>
    </row>
    <row r="2118" spans="1:13">
      <c r="A2118" t="s">
        <v>2152</v>
      </c>
      <c r="B2118" t="s">
        <v>2153</v>
      </c>
      <c r="C2118" t="s">
        <v>16</v>
      </c>
      <c r="D2118" t="s">
        <v>21</v>
      </c>
      <c r="E2118" t="s">
        <v>2384</v>
      </c>
      <c r="F2118" t="s">
        <v>2384</v>
      </c>
      <c r="G2118" s="2">
        <v>45672</v>
      </c>
      <c r="H2118" s="2">
        <v>45702</v>
      </c>
      <c r="I2118">
        <v>170.9</v>
      </c>
      <c r="J2118">
        <v>170.9</v>
      </c>
      <c r="K2118" t="s">
        <v>20</v>
      </c>
      <c r="L2118">
        <v>0</v>
      </c>
      <c r="M2118">
        <v>170.9</v>
      </c>
    </row>
    <row r="2119" spans="1:13">
      <c r="A2119" t="s">
        <v>2152</v>
      </c>
      <c r="B2119" t="s">
        <v>2153</v>
      </c>
      <c r="C2119" t="s">
        <v>16</v>
      </c>
      <c r="D2119" t="s">
        <v>21</v>
      </c>
      <c r="E2119" t="s">
        <v>2385</v>
      </c>
      <c r="F2119" t="s">
        <v>2385</v>
      </c>
      <c r="G2119" s="2">
        <v>45672</v>
      </c>
      <c r="H2119" s="2">
        <v>45702</v>
      </c>
      <c r="I2119" s="1">
        <v>1827</v>
      </c>
      <c r="J2119">
        <v>1827</v>
      </c>
      <c r="K2119" t="s">
        <v>20</v>
      </c>
      <c r="L2119">
        <v>0</v>
      </c>
      <c r="M2119">
        <v>1827</v>
      </c>
    </row>
    <row r="2120" spans="1:13">
      <c r="A2120" t="s">
        <v>2152</v>
      </c>
      <c r="B2120" t="s">
        <v>2153</v>
      </c>
      <c r="C2120" t="s">
        <v>16</v>
      </c>
      <c r="D2120" t="s">
        <v>21</v>
      </c>
      <c r="E2120" t="s">
        <v>2386</v>
      </c>
      <c r="F2120" t="s">
        <v>2386</v>
      </c>
      <c r="G2120" s="2">
        <v>45672</v>
      </c>
      <c r="H2120" s="2">
        <v>45702</v>
      </c>
      <c r="I2120">
        <v>562</v>
      </c>
      <c r="J2120">
        <v>562</v>
      </c>
      <c r="K2120" t="s">
        <v>20</v>
      </c>
      <c r="L2120">
        <v>0</v>
      </c>
      <c r="M2120">
        <v>562</v>
      </c>
    </row>
    <row r="2121" spans="1:13">
      <c r="A2121" t="s">
        <v>2152</v>
      </c>
      <c r="B2121" t="s">
        <v>2153</v>
      </c>
      <c r="C2121" t="s">
        <v>16</v>
      </c>
      <c r="D2121" t="s">
        <v>21</v>
      </c>
      <c r="E2121" t="s">
        <v>2387</v>
      </c>
      <c r="F2121" t="s">
        <v>2387</v>
      </c>
      <c r="G2121" s="2">
        <v>45672</v>
      </c>
      <c r="H2121" s="2">
        <v>45702</v>
      </c>
      <c r="I2121">
        <v>157.9</v>
      </c>
      <c r="J2121">
        <v>157.9</v>
      </c>
      <c r="K2121" t="s">
        <v>20</v>
      </c>
      <c r="L2121">
        <v>0</v>
      </c>
      <c r="M2121">
        <v>157.9</v>
      </c>
    </row>
    <row r="2122" spans="1:13">
      <c r="A2122" t="s">
        <v>2152</v>
      </c>
      <c r="B2122" t="s">
        <v>2153</v>
      </c>
      <c r="C2122" t="s">
        <v>16</v>
      </c>
      <c r="D2122" t="s">
        <v>21</v>
      </c>
      <c r="E2122" t="s">
        <v>2388</v>
      </c>
      <c r="F2122" t="s">
        <v>2388</v>
      </c>
      <c r="G2122" s="2">
        <v>45672</v>
      </c>
      <c r="H2122" s="2">
        <v>45702</v>
      </c>
      <c r="I2122">
        <v>210.2</v>
      </c>
      <c r="J2122">
        <v>210.2</v>
      </c>
      <c r="K2122" t="s">
        <v>20</v>
      </c>
      <c r="L2122">
        <v>0</v>
      </c>
      <c r="M2122">
        <v>210.2</v>
      </c>
    </row>
    <row r="2123" spans="1:13">
      <c r="A2123" t="s">
        <v>2152</v>
      </c>
      <c r="B2123" t="s">
        <v>2153</v>
      </c>
      <c r="C2123" t="s">
        <v>16</v>
      </c>
      <c r="D2123" t="s">
        <v>21</v>
      </c>
      <c r="E2123" t="s">
        <v>2389</v>
      </c>
      <c r="F2123" t="s">
        <v>2389</v>
      </c>
      <c r="G2123" s="2">
        <v>45672</v>
      </c>
      <c r="H2123" s="2">
        <v>45702</v>
      </c>
      <c r="I2123">
        <v>207.8</v>
      </c>
      <c r="J2123">
        <v>207.8</v>
      </c>
      <c r="K2123" t="s">
        <v>20</v>
      </c>
      <c r="L2123">
        <v>0</v>
      </c>
      <c r="M2123">
        <v>207.8</v>
      </c>
    </row>
    <row r="2124" spans="1:13">
      <c r="A2124" t="s">
        <v>2152</v>
      </c>
      <c r="B2124" t="s">
        <v>2153</v>
      </c>
      <c r="C2124" t="s">
        <v>16</v>
      </c>
      <c r="D2124" t="s">
        <v>21</v>
      </c>
      <c r="E2124" t="s">
        <v>2390</v>
      </c>
      <c r="F2124" t="s">
        <v>2390</v>
      </c>
      <c r="G2124" s="2">
        <v>45673</v>
      </c>
      <c r="H2124" s="2">
        <v>45703</v>
      </c>
      <c r="I2124">
        <v>204.2</v>
      </c>
      <c r="J2124">
        <v>204.2</v>
      </c>
      <c r="K2124" t="s">
        <v>20</v>
      </c>
      <c r="L2124">
        <v>0</v>
      </c>
      <c r="M2124">
        <v>204.2</v>
      </c>
    </row>
    <row r="2125" spans="1:13">
      <c r="A2125" t="s">
        <v>2152</v>
      </c>
      <c r="B2125" t="s">
        <v>2153</v>
      </c>
      <c r="C2125" t="s">
        <v>16</v>
      </c>
      <c r="D2125" t="s">
        <v>21</v>
      </c>
      <c r="E2125" t="s">
        <v>2391</v>
      </c>
      <c r="F2125" t="s">
        <v>2391</v>
      </c>
      <c r="G2125" s="2">
        <v>45673</v>
      </c>
      <c r="H2125" s="2">
        <v>45703</v>
      </c>
      <c r="I2125">
        <v>615.9</v>
      </c>
      <c r="J2125">
        <v>615.9</v>
      </c>
      <c r="K2125" t="s">
        <v>20</v>
      </c>
      <c r="L2125">
        <v>0</v>
      </c>
      <c r="M2125">
        <v>615.9</v>
      </c>
    </row>
    <row r="2126" spans="1:13">
      <c r="A2126" t="s">
        <v>2152</v>
      </c>
      <c r="B2126" t="s">
        <v>2153</v>
      </c>
      <c r="C2126" t="s">
        <v>16</v>
      </c>
      <c r="D2126" t="s">
        <v>21</v>
      </c>
      <c r="E2126" t="s">
        <v>2392</v>
      </c>
      <c r="F2126" t="s">
        <v>2392</v>
      </c>
      <c r="G2126" s="2">
        <v>45673</v>
      </c>
      <c r="H2126" s="2">
        <v>45703</v>
      </c>
      <c r="I2126">
        <v>619</v>
      </c>
      <c r="J2126">
        <v>619</v>
      </c>
      <c r="K2126" t="s">
        <v>20</v>
      </c>
      <c r="L2126">
        <v>0</v>
      </c>
      <c r="M2126">
        <v>619</v>
      </c>
    </row>
    <row r="2127" spans="1:13">
      <c r="A2127" t="s">
        <v>2152</v>
      </c>
      <c r="B2127" t="s">
        <v>2153</v>
      </c>
      <c r="C2127" t="s">
        <v>16</v>
      </c>
      <c r="D2127" t="s">
        <v>21</v>
      </c>
      <c r="E2127" t="s">
        <v>2393</v>
      </c>
      <c r="F2127" t="s">
        <v>2393</v>
      </c>
      <c r="G2127" s="2">
        <v>45673</v>
      </c>
      <c r="H2127" s="2">
        <v>45703</v>
      </c>
      <c r="I2127">
        <v>312.39999999999998</v>
      </c>
      <c r="J2127">
        <v>312.39999999999998</v>
      </c>
      <c r="K2127" t="s">
        <v>20</v>
      </c>
      <c r="L2127">
        <v>0</v>
      </c>
      <c r="M2127">
        <v>312.39999999999998</v>
      </c>
    </row>
    <row r="2128" spans="1:13">
      <c r="A2128" t="s">
        <v>2152</v>
      </c>
      <c r="B2128" t="s">
        <v>2153</v>
      </c>
      <c r="C2128" t="s">
        <v>16</v>
      </c>
      <c r="D2128" t="s">
        <v>21</v>
      </c>
      <c r="E2128" t="s">
        <v>2394</v>
      </c>
      <c r="F2128" t="s">
        <v>2394</v>
      </c>
      <c r="G2128" s="2">
        <v>45673</v>
      </c>
      <c r="H2128" s="2">
        <v>45703</v>
      </c>
      <c r="I2128">
        <v>450</v>
      </c>
      <c r="J2128">
        <v>450</v>
      </c>
      <c r="K2128" t="s">
        <v>20</v>
      </c>
      <c r="L2128">
        <v>0</v>
      </c>
      <c r="M2128">
        <v>450</v>
      </c>
    </row>
    <row r="2129" spans="1:13">
      <c r="A2129" t="s">
        <v>2152</v>
      </c>
      <c r="B2129" t="s">
        <v>2153</v>
      </c>
      <c r="C2129" t="s">
        <v>16</v>
      </c>
      <c r="D2129" t="s">
        <v>21</v>
      </c>
      <c r="E2129" t="s">
        <v>2395</v>
      </c>
      <c r="F2129" t="s">
        <v>2395</v>
      </c>
      <c r="G2129" s="2">
        <v>45673</v>
      </c>
      <c r="H2129" s="2">
        <v>45703</v>
      </c>
      <c r="I2129">
        <v>735.5</v>
      </c>
      <c r="J2129">
        <v>735.5</v>
      </c>
      <c r="K2129" t="s">
        <v>20</v>
      </c>
      <c r="L2129">
        <v>0</v>
      </c>
      <c r="M2129">
        <v>735.5</v>
      </c>
    </row>
    <row r="2130" spans="1:13">
      <c r="A2130" t="s">
        <v>2152</v>
      </c>
      <c r="B2130" t="s">
        <v>2153</v>
      </c>
      <c r="C2130" t="s">
        <v>16</v>
      </c>
      <c r="D2130" t="s">
        <v>21</v>
      </c>
      <c r="E2130" t="s">
        <v>2396</v>
      </c>
      <c r="F2130" t="s">
        <v>2396</v>
      </c>
      <c r="G2130" s="2">
        <v>45673</v>
      </c>
      <c r="H2130" s="2">
        <v>45703</v>
      </c>
      <c r="I2130">
        <v>214.42</v>
      </c>
      <c r="J2130">
        <v>214.42</v>
      </c>
      <c r="K2130" t="s">
        <v>20</v>
      </c>
      <c r="L2130">
        <v>0</v>
      </c>
      <c r="M2130">
        <v>214.42</v>
      </c>
    </row>
    <row r="2131" spans="1:13">
      <c r="A2131" t="s">
        <v>2152</v>
      </c>
      <c r="B2131" t="s">
        <v>2153</v>
      </c>
      <c r="C2131" t="s">
        <v>16</v>
      </c>
      <c r="D2131" t="s">
        <v>21</v>
      </c>
      <c r="E2131" t="s">
        <v>2397</v>
      </c>
      <c r="F2131" t="s">
        <v>2397</v>
      </c>
      <c r="G2131" s="2">
        <v>45673</v>
      </c>
      <c r="H2131" s="2">
        <v>45703</v>
      </c>
      <c r="I2131">
        <v>916</v>
      </c>
      <c r="J2131">
        <v>916</v>
      </c>
      <c r="K2131" t="s">
        <v>20</v>
      </c>
      <c r="L2131">
        <v>0</v>
      </c>
      <c r="M2131">
        <v>916</v>
      </c>
    </row>
    <row r="2132" spans="1:13">
      <c r="A2132" t="s">
        <v>2152</v>
      </c>
      <c r="B2132" t="s">
        <v>2153</v>
      </c>
      <c r="C2132" t="s">
        <v>16</v>
      </c>
      <c r="D2132" t="s">
        <v>21</v>
      </c>
      <c r="E2132" t="s">
        <v>2398</v>
      </c>
      <c r="F2132" t="s">
        <v>2398</v>
      </c>
      <c r="G2132" s="2">
        <v>45673</v>
      </c>
      <c r="H2132" s="2">
        <v>45703</v>
      </c>
      <c r="I2132">
        <v>439.93</v>
      </c>
      <c r="J2132">
        <v>439.93</v>
      </c>
      <c r="K2132" t="s">
        <v>20</v>
      </c>
      <c r="L2132">
        <v>0</v>
      </c>
      <c r="M2132">
        <v>439.93</v>
      </c>
    </row>
    <row r="2133" spans="1:13">
      <c r="A2133" t="s">
        <v>2152</v>
      </c>
      <c r="B2133" t="s">
        <v>2153</v>
      </c>
      <c r="C2133" t="s">
        <v>16</v>
      </c>
      <c r="D2133" t="s">
        <v>21</v>
      </c>
      <c r="E2133" t="s">
        <v>2399</v>
      </c>
      <c r="F2133" t="s">
        <v>2399</v>
      </c>
      <c r="G2133" s="2">
        <v>45673</v>
      </c>
      <c r="H2133" s="2">
        <v>45703</v>
      </c>
      <c r="I2133">
        <v>155.5</v>
      </c>
      <c r="J2133">
        <v>155.5</v>
      </c>
      <c r="K2133" t="s">
        <v>20</v>
      </c>
      <c r="L2133">
        <v>0</v>
      </c>
      <c r="M2133">
        <v>155.5</v>
      </c>
    </row>
    <row r="2134" spans="1:13">
      <c r="A2134" t="s">
        <v>2152</v>
      </c>
      <c r="B2134" t="s">
        <v>2153</v>
      </c>
      <c r="C2134" t="s">
        <v>16</v>
      </c>
      <c r="D2134" t="s">
        <v>21</v>
      </c>
      <c r="E2134" t="s">
        <v>2400</v>
      </c>
      <c r="F2134" t="s">
        <v>2400</v>
      </c>
      <c r="G2134" s="2">
        <v>45673</v>
      </c>
      <c r="H2134" s="2">
        <v>45703</v>
      </c>
      <c r="I2134">
        <v>458</v>
      </c>
      <c r="J2134">
        <v>458</v>
      </c>
      <c r="K2134" t="s">
        <v>20</v>
      </c>
      <c r="L2134">
        <v>0</v>
      </c>
      <c r="M2134">
        <v>458</v>
      </c>
    </row>
    <row r="2135" spans="1:13">
      <c r="A2135" t="s">
        <v>2152</v>
      </c>
      <c r="B2135" t="s">
        <v>2153</v>
      </c>
      <c r="C2135" t="s">
        <v>16</v>
      </c>
      <c r="D2135" t="s">
        <v>21</v>
      </c>
      <c r="E2135" t="s">
        <v>2401</v>
      </c>
      <c r="F2135" t="s">
        <v>2401</v>
      </c>
      <c r="G2135" s="2">
        <v>45673</v>
      </c>
      <c r="H2135" s="2">
        <v>45703</v>
      </c>
      <c r="I2135">
        <v>368</v>
      </c>
      <c r="J2135">
        <v>368</v>
      </c>
      <c r="K2135" t="s">
        <v>20</v>
      </c>
      <c r="L2135">
        <v>0</v>
      </c>
      <c r="M2135">
        <v>368</v>
      </c>
    </row>
    <row r="2136" spans="1:13">
      <c r="A2136" t="s">
        <v>2152</v>
      </c>
      <c r="B2136" t="s">
        <v>2153</v>
      </c>
      <c r="C2136" t="s">
        <v>16</v>
      </c>
      <c r="D2136" t="s">
        <v>21</v>
      </c>
      <c r="E2136" t="s">
        <v>2402</v>
      </c>
      <c r="F2136" t="s">
        <v>2402</v>
      </c>
      <c r="G2136" s="2">
        <v>45673</v>
      </c>
      <c r="H2136" s="2">
        <v>45703</v>
      </c>
      <c r="I2136">
        <v>207.8</v>
      </c>
      <c r="J2136">
        <v>207.8</v>
      </c>
      <c r="K2136" t="s">
        <v>20</v>
      </c>
      <c r="L2136">
        <v>0</v>
      </c>
      <c r="M2136">
        <v>207.8</v>
      </c>
    </row>
    <row r="2137" spans="1:13">
      <c r="A2137" t="s">
        <v>2152</v>
      </c>
      <c r="B2137" t="s">
        <v>2153</v>
      </c>
      <c r="C2137" t="s">
        <v>16</v>
      </c>
      <c r="D2137" t="s">
        <v>21</v>
      </c>
      <c r="E2137" t="s">
        <v>2403</v>
      </c>
      <c r="F2137" t="s">
        <v>2403</v>
      </c>
      <c r="G2137" s="2">
        <v>45673</v>
      </c>
      <c r="H2137" s="2">
        <v>45703</v>
      </c>
      <c r="I2137" s="1">
        <v>1081.4000000000001</v>
      </c>
      <c r="J2137">
        <v>1081.4000000000001</v>
      </c>
      <c r="K2137" t="s">
        <v>20</v>
      </c>
      <c r="L2137">
        <v>0</v>
      </c>
      <c r="M2137">
        <v>1081.4000000000001</v>
      </c>
    </row>
    <row r="2138" spans="1:13">
      <c r="A2138" t="s">
        <v>2152</v>
      </c>
      <c r="B2138" t="s">
        <v>2153</v>
      </c>
      <c r="C2138" t="s">
        <v>16</v>
      </c>
      <c r="D2138" t="s">
        <v>21</v>
      </c>
      <c r="E2138" t="s">
        <v>2404</v>
      </c>
      <c r="F2138" t="s">
        <v>2404</v>
      </c>
      <c r="G2138" s="2">
        <v>45673</v>
      </c>
      <c r="H2138" s="2">
        <v>45703</v>
      </c>
      <c r="I2138">
        <v>207.8</v>
      </c>
      <c r="J2138">
        <v>207.8</v>
      </c>
      <c r="K2138" t="s">
        <v>20</v>
      </c>
      <c r="L2138">
        <v>0</v>
      </c>
      <c r="M2138">
        <v>207.8</v>
      </c>
    </row>
    <row r="2139" spans="1:13">
      <c r="A2139" t="s">
        <v>2152</v>
      </c>
      <c r="B2139" t="s">
        <v>2153</v>
      </c>
      <c r="C2139" t="s">
        <v>16</v>
      </c>
      <c r="D2139" t="s">
        <v>21</v>
      </c>
      <c r="E2139" t="s">
        <v>2405</v>
      </c>
      <c r="F2139" t="s">
        <v>2405</v>
      </c>
      <c r="G2139" s="2">
        <v>45673</v>
      </c>
      <c r="H2139" s="2">
        <v>45703</v>
      </c>
      <c r="I2139">
        <v>550</v>
      </c>
      <c r="J2139">
        <v>550</v>
      </c>
      <c r="K2139" t="s">
        <v>20</v>
      </c>
      <c r="L2139">
        <v>0</v>
      </c>
      <c r="M2139">
        <v>550</v>
      </c>
    </row>
    <row r="2140" spans="1:13">
      <c r="A2140" t="s">
        <v>2152</v>
      </c>
      <c r="B2140" t="s">
        <v>2153</v>
      </c>
      <c r="C2140" t="s">
        <v>16</v>
      </c>
      <c r="D2140" t="s">
        <v>21</v>
      </c>
      <c r="E2140" t="s">
        <v>2406</v>
      </c>
      <c r="F2140" t="s">
        <v>2406</v>
      </c>
      <c r="G2140" s="2">
        <v>45674</v>
      </c>
      <c r="H2140" s="2">
        <v>45704</v>
      </c>
      <c r="I2140" s="1">
        <v>3590</v>
      </c>
      <c r="J2140">
        <v>3590</v>
      </c>
      <c r="K2140" t="s">
        <v>20</v>
      </c>
      <c r="L2140">
        <v>0</v>
      </c>
      <c r="M2140">
        <v>3590</v>
      </c>
    </row>
    <row r="2141" spans="1:13">
      <c r="A2141" t="s">
        <v>2152</v>
      </c>
      <c r="B2141" t="s">
        <v>2153</v>
      </c>
      <c r="C2141" t="s">
        <v>16</v>
      </c>
      <c r="D2141" t="s">
        <v>21</v>
      </c>
      <c r="E2141" t="s">
        <v>2407</v>
      </c>
      <c r="F2141" t="s">
        <v>2407</v>
      </c>
      <c r="G2141" s="2">
        <v>45674</v>
      </c>
      <c r="H2141" s="2">
        <v>45704</v>
      </c>
      <c r="I2141" s="1">
        <v>2988.6</v>
      </c>
      <c r="J2141">
        <v>2988.6</v>
      </c>
      <c r="K2141" t="s">
        <v>20</v>
      </c>
      <c r="L2141">
        <v>0</v>
      </c>
      <c r="M2141">
        <v>2988.6</v>
      </c>
    </row>
    <row r="2142" spans="1:13">
      <c r="A2142" t="s">
        <v>2152</v>
      </c>
      <c r="B2142" t="s">
        <v>2153</v>
      </c>
      <c r="C2142" t="s">
        <v>16</v>
      </c>
      <c r="D2142" t="s">
        <v>21</v>
      </c>
      <c r="E2142" t="s">
        <v>2408</v>
      </c>
      <c r="F2142" t="s">
        <v>2408</v>
      </c>
      <c r="G2142" s="2">
        <v>45674</v>
      </c>
      <c r="H2142" s="2">
        <v>45704</v>
      </c>
      <c r="I2142" s="1">
        <v>1147.79</v>
      </c>
      <c r="J2142">
        <v>1147.79</v>
      </c>
      <c r="K2142" t="s">
        <v>20</v>
      </c>
      <c r="L2142">
        <v>0</v>
      </c>
      <c r="M2142">
        <v>1147.79</v>
      </c>
    </row>
    <row r="2143" spans="1:13">
      <c r="A2143" t="s">
        <v>2152</v>
      </c>
      <c r="B2143" t="s">
        <v>2153</v>
      </c>
      <c r="C2143" t="s">
        <v>16</v>
      </c>
      <c r="D2143" t="s">
        <v>21</v>
      </c>
      <c r="E2143" t="s">
        <v>2409</v>
      </c>
      <c r="F2143" t="s">
        <v>2409</v>
      </c>
      <c r="G2143" s="2">
        <v>45674</v>
      </c>
      <c r="H2143" s="2">
        <v>45704</v>
      </c>
      <c r="I2143">
        <v>260.10000000000002</v>
      </c>
      <c r="J2143">
        <v>260.10000000000002</v>
      </c>
      <c r="K2143" t="s">
        <v>20</v>
      </c>
      <c r="L2143">
        <v>0</v>
      </c>
      <c r="M2143">
        <v>260.10000000000002</v>
      </c>
    </row>
    <row r="2144" spans="1:13">
      <c r="A2144" t="s">
        <v>2152</v>
      </c>
      <c r="B2144" t="s">
        <v>2153</v>
      </c>
      <c r="C2144" t="s">
        <v>16</v>
      </c>
      <c r="D2144" t="s">
        <v>21</v>
      </c>
      <c r="E2144" t="s">
        <v>2410</v>
      </c>
      <c r="F2144" t="s">
        <v>2410</v>
      </c>
      <c r="G2144" s="2">
        <v>45674</v>
      </c>
      <c r="H2144" s="2">
        <v>45704</v>
      </c>
      <c r="I2144">
        <v>443.93</v>
      </c>
      <c r="J2144">
        <v>443.93</v>
      </c>
      <c r="K2144" t="s">
        <v>20</v>
      </c>
      <c r="L2144">
        <v>0</v>
      </c>
      <c r="M2144">
        <v>443.93</v>
      </c>
    </row>
    <row r="2145" spans="1:13">
      <c r="A2145" t="s">
        <v>2152</v>
      </c>
      <c r="B2145" t="s">
        <v>2153</v>
      </c>
      <c r="C2145" t="s">
        <v>16</v>
      </c>
      <c r="D2145" t="s">
        <v>21</v>
      </c>
      <c r="E2145" t="s">
        <v>2411</v>
      </c>
      <c r="F2145" t="s">
        <v>2411</v>
      </c>
      <c r="G2145" s="2">
        <v>45674</v>
      </c>
      <c r="H2145" s="2">
        <v>45704</v>
      </c>
      <c r="I2145">
        <v>364.7</v>
      </c>
      <c r="J2145">
        <v>364.7</v>
      </c>
      <c r="K2145" t="s">
        <v>20</v>
      </c>
      <c r="L2145">
        <v>0</v>
      </c>
      <c r="M2145">
        <v>364.7</v>
      </c>
    </row>
    <row r="2146" spans="1:13">
      <c r="A2146" t="s">
        <v>2152</v>
      </c>
      <c r="B2146" t="s">
        <v>2153</v>
      </c>
      <c r="C2146" t="s">
        <v>16</v>
      </c>
      <c r="D2146" t="s">
        <v>21</v>
      </c>
      <c r="E2146" t="s">
        <v>2412</v>
      </c>
      <c r="F2146" t="s">
        <v>2412</v>
      </c>
      <c r="G2146" s="2">
        <v>45674</v>
      </c>
      <c r="H2146" s="2">
        <v>45704</v>
      </c>
      <c r="I2146">
        <v>260.10000000000002</v>
      </c>
      <c r="J2146">
        <v>260.10000000000002</v>
      </c>
      <c r="K2146" t="s">
        <v>20</v>
      </c>
      <c r="L2146">
        <v>0</v>
      </c>
      <c r="M2146">
        <v>260.10000000000002</v>
      </c>
    </row>
    <row r="2147" spans="1:13">
      <c r="A2147" t="s">
        <v>2152</v>
      </c>
      <c r="B2147" t="s">
        <v>2153</v>
      </c>
      <c r="C2147" t="s">
        <v>16</v>
      </c>
      <c r="D2147" t="s">
        <v>21</v>
      </c>
      <c r="E2147" t="s">
        <v>2413</v>
      </c>
      <c r="F2147" t="s">
        <v>2413</v>
      </c>
      <c r="G2147" s="2">
        <v>45674</v>
      </c>
      <c r="H2147" s="2">
        <v>45704</v>
      </c>
      <c r="I2147">
        <v>414.6</v>
      </c>
      <c r="J2147">
        <v>414.6</v>
      </c>
      <c r="K2147" t="s">
        <v>20</v>
      </c>
      <c r="L2147">
        <v>0</v>
      </c>
      <c r="M2147">
        <v>414.6</v>
      </c>
    </row>
    <row r="2148" spans="1:13">
      <c r="A2148" t="s">
        <v>2152</v>
      </c>
      <c r="B2148" t="s">
        <v>2153</v>
      </c>
      <c r="C2148" t="s">
        <v>16</v>
      </c>
      <c r="D2148" t="s">
        <v>21</v>
      </c>
      <c r="E2148" t="s">
        <v>2414</v>
      </c>
      <c r="F2148" t="s">
        <v>2414</v>
      </c>
      <c r="G2148" s="2">
        <v>45674</v>
      </c>
      <c r="H2148" s="2">
        <v>45704</v>
      </c>
      <c r="I2148">
        <v>157.9</v>
      </c>
      <c r="J2148">
        <v>157.9</v>
      </c>
      <c r="K2148" t="s">
        <v>20</v>
      </c>
      <c r="L2148">
        <v>0</v>
      </c>
      <c r="M2148">
        <v>157.9</v>
      </c>
    </row>
    <row r="2149" spans="1:13">
      <c r="A2149" t="s">
        <v>2152</v>
      </c>
      <c r="B2149" t="s">
        <v>2153</v>
      </c>
      <c r="C2149" t="s">
        <v>16</v>
      </c>
      <c r="D2149" t="s">
        <v>21</v>
      </c>
      <c r="E2149" t="s">
        <v>2415</v>
      </c>
      <c r="F2149" t="s">
        <v>2415</v>
      </c>
      <c r="G2149" s="2">
        <v>45674</v>
      </c>
      <c r="H2149" s="2">
        <v>45704</v>
      </c>
      <c r="I2149">
        <v>105.6</v>
      </c>
      <c r="J2149">
        <v>105.6</v>
      </c>
      <c r="K2149" t="s">
        <v>20</v>
      </c>
      <c r="L2149">
        <v>0</v>
      </c>
      <c r="M2149">
        <v>105.6</v>
      </c>
    </row>
    <row r="2150" spans="1:13">
      <c r="A2150" t="s">
        <v>2152</v>
      </c>
      <c r="B2150" t="s">
        <v>2153</v>
      </c>
      <c r="C2150" t="s">
        <v>16</v>
      </c>
      <c r="D2150" t="s">
        <v>21</v>
      </c>
      <c r="E2150" t="s">
        <v>2416</v>
      </c>
      <c r="F2150" t="s">
        <v>2416</v>
      </c>
      <c r="G2150" s="2">
        <v>45674</v>
      </c>
      <c r="H2150" s="2">
        <v>45704</v>
      </c>
      <c r="I2150">
        <v>274.10000000000002</v>
      </c>
      <c r="J2150">
        <v>274.10000000000002</v>
      </c>
      <c r="K2150" t="s">
        <v>20</v>
      </c>
      <c r="L2150">
        <v>0</v>
      </c>
      <c r="M2150">
        <v>274.10000000000002</v>
      </c>
    </row>
    <row r="2151" spans="1:13">
      <c r="A2151" t="s">
        <v>2152</v>
      </c>
      <c r="B2151" t="s">
        <v>2153</v>
      </c>
      <c r="C2151" t="s">
        <v>16</v>
      </c>
      <c r="D2151" t="s">
        <v>21</v>
      </c>
      <c r="E2151" t="s">
        <v>2417</v>
      </c>
      <c r="F2151" t="s">
        <v>2417</v>
      </c>
      <c r="G2151" s="2">
        <v>45674</v>
      </c>
      <c r="H2151" s="2">
        <v>45704</v>
      </c>
      <c r="I2151">
        <v>434.6</v>
      </c>
      <c r="J2151">
        <v>434.6</v>
      </c>
      <c r="K2151" t="s">
        <v>20</v>
      </c>
      <c r="L2151">
        <v>0</v>
      </c>
      <c r="M2151">
        <v>434.6</v>
      </c>
    </row>
    <row r="2152" spans="1:13">
      <c r="A2152" t="s">
        <v>2152</v>
      </c>
      <c r="B2152" t="s">
        <v>2153</v>
      </c>
      <c r="C2152" t="s">
        <v>16</v>
      </c>
      <c r="D2152" t="s">
        <v>21</v>
      </c>
      <c r="E2152" t="s">
        <v>2418</v>
      </c>
      <c r="F2152" t="s">
        <v>2418</v>
      </c>
      <c r="G2152" s="2">
        <v>45674</v>
      </c>
      <c r="H2152" s="2">
        <v>45704</v>
      </c>
      <c r="I2152">
        <v>217.8</v>
      </c>
      <c r="J2152">
        <v>217.8</v>
      </c>
      <c r="K2152" t="s">
        <v>20</v>
      </c>
      <c r="L2152">
        <v>0</v>
      </c>
      <c r="M2152">
        <v>217.8</v>
      </c>
    </row>
    <row r="2153" spans="1:13">
      <c r="A2153" t="s">
        <v>2152</v>
      </c>
      <c r="B2153" t="s">
        <v>2153</v>
      </c>
      <c r="C2153" t="s">
        <v>16</v>
      </c>
      <c r="D2153" t="s">
        <v>21</v>
      </c>
      <c r="E2153" t="s">
        <v>2419</v>
      </c>
      <c r="F2153" t="s">
        <v>2419</v>
      </c>
      <c r="G2153" s="2">
        <v>45674</v>
      </c>
      <c r="H2153" s="2">
        <v>45704</v>
      </c>
      <c r="I2153">
        <v>212.8</v>
      </c>
      <c r="J2153">
        <v>212.8</v>
      </c>
      <c r="K2153" t="s">
        <v>20</v>
      </c>
      <c r="L2153">
        <v>0</v>
      </c>
      <c r="M2153">
        <v>212.8</v>
      </c>
    </row>
    <row r="2154" spans="1:13">
      <c r="A2154" t="s">
        <v>2152</v>
      </c>
      <c r="B2154" t="s">
        <v>2153</v>
      </c>
      <c r="C2154" t="s">
        <v>16</v>
      </c>
      <c r="D2154" t="s">
        <v>21</v>
      </c>
      <c r="E2154" t="s">
        <v>2420</v>
      </c>
      <c r="F2154" t="s">
        <v>2420</v>
      </c>
      <c r="G2154" s="2">
        <v>45674</v>
      </c>
      <c r="H2154" s="2">
        <v>45704</v>
      </c>
      <c r="I2154">
        <v>155.5</v>
      </c>
      <c r="J2154">
        <v>155.5</v>
      </c>
      <c r="K2154" t="s">
        <v>20</v>
      </c>
      <c r="L2154">
        <v>0</v>
      </c>
      <c r="M2154">
        <v>155.5</v>
      </c>
    </row>
    <row r="2155" spans="1:13">
      <c r="A2155" t="s">
        <v>2152</v>
      </c>
      <c r="B2155" t="s">
        <v>2153</v>
      </c>
      <c r="C2155" t="s">
        <v>16</v>
      </c>
      <c r="D2155" t="s">
        <v>21</v>
      </c>
      <c r="E2155" t="s">
        <v>2421</v>
      </c>
      <c r="F2155" t="s">
        <v>2421</v>
      </c>
      <c r="G2155" s="2">
        <v>45674</v>
      </c>
      <c r="H2155" s="2">
        <v>45704</v>
      </c>
      <c r="I2155">
        <v>573.1</v>
      </c>
      <c r="J2155">
        <v>573.1</v>
      </c>
      <c r="K2155" t="s">
        <v>20</v>
      </c>
      <c r="L2155">
        <v>0</v>
      </c>
      <c r="M2155">
        <v>573.1</v>
      </c>
    </row>
    <row r="2156" spans="1:13">
      <c r="A2156" t="s">
        <v>2152</v>
      </c>
      <c r="B2156" t="s">
        <v>2153</v>
      </c>
      <c r="C2156" t="s">
        <v>16</v>
      </c>
      <c r="D2156" t="s">
        <v>21</v>
      </c>
      <c r="E2156" t="s">
        <v>2422</v>
      </c>
      <c r="F2156" t="s">
        <v>2422</v>
      </c>
      <c r="G2156" s="2">
        <v>45674</v>
      </c>
      <c r="H2156" s="2">
        <v>45704</v>
      </c>
      <c r="I2156">
        <v>274.10000000000002</v>
      </c>
      <c r="J2156">
        <v>274.10000000000002</v>
      </c>
      <c r="K2156" t="s">
        <v>20</v>
      </c>
      <c r="L2156">
        <v>0</v>
      </c>
      <c r="M2156">
        <v>274.10000000000002</v>
      </c>
    </row>
    <row r="2157" spans="1:13">
      <c r="A2157" t="s">
        <v>2152</v>
      </c>
      <c r="B2157" t="s">
        <v>2153</v>
      </c>
      <c r="C2157" t="s">
        <v>16</v>
      </c>
      <c r="D2157" t="s">
        <v>21</v>
      </c>
      <c r="E2157" t="s">
        <v>2423</v>
      </c>
      <c r="F2157" t="s">
        <v>2423</v>
      </c>
      <c r="G2157" s="2">
        <v>45674</v>
      </c>
      <c r="H2157" s="2">
        <v>45704</v>
      </c>
      <c r="I2157">
        <v>160.5</v>
      </c>
      <c r="J2157">
        <v>160.5</v>
      </c>
      <c r="K2157" t="s">
        <v>20</v>
      </c>
      <c r="L2157">
        <v>0</v>
      </c>
      <c r="M2157">
        <v>160.5</v>
      </c>
    </row>
    <row r="2158" spans="1:13">
      <c r="A2158" t="s">
        <v>2152</v>
      </c>
      <c r="B2158" t="s">
        <v>2153</v>
      </c>
      <c r="C2158" t="s">
        <v>16</v>
      </c>
      <c r="D2158" t="s">
        <v>21</v>
      </c>
      <c r="E2158" t="s">
        <v>2424</v>
      </c>
      <c r="F2158" t="s">
        <v>2424</v>
      </c>
      <c r="G2158" s="2">
        <v>45674</v>
      </c>
      <c r="H2158" s="2">
        <v>45704</v>
      </c>
      <c r="I2158">
        <v>853.5</v>
      </c>
      <c r="J2158">
        <v>853.5</v>
      </c>
      <c r="K2158" t="s">
        <v>20</v>
      </c>
      <c r="L2158">
        <v>0</v>
      </c>
      <c r="M2158">
        <v>853.5</v>
      </c>
    </row>
    <row r="2159" spans="1:13">
      <c r="A2159" t="s">
        <v>2152</v>
      </c>
      <c r="B2159" t="s">
        <v>2153</v>
      </c>
      <c r="C2159" t="s">
        <v>16</v>
      </c>
      <c r="D2159" t="s">
        <v>21</v>
      </c>
      <c r="E2159" t="s">
        <v>2425</v>
      </c>
      <c r="F2159" t="s">
        <v>2425</v>
      </c>
      <c r="G2159" s="2">
        <v>45674</v>
      </c>
      <c r="H2159" s="2">
        <v>45704</v>
      </c>
      <c r="I2159">
        <v>274.10000000000002</v>
      </c>
      <c r="J2159">
        <v>274.10000000000002</v>
      </c>
      <c r="K2159" t="s">
        <v>20</v>
      </c>
      <c r="L2159">
        <v>0</v>
      </c>
      <c r="M2159">
        <v>274.10000000000002</v>
      </c>
    </row>
    <row r="2160" spans="1:13">
      <c r="A2160" t="s">
        <v>2152</v>
      </c>
      <c r="B2160" t="s">
        <v>2153</v>
      </c>
      <c r="C2160" t="s">
        <v>16</v>
      </c>
      <c r="D2160" t="s">
        <v>21</v>
      </c>
      <c r="E2160" t="s">
        <v>2426</v>
      </c>
      <c r="F2160" t="s">
        <v>2426</v>
      </c>
      <c r="G2160" s="2">
        <v>45674</v>
      </c>
      <c r="H2160" s="2">
        <v>45704</v>
      </c>
      <c r="I2160">
        <v>57.3</v>
      </c>
      <c r="J2160">
        <v>57.3</v>
      </c>
      <c r="K2160" t="s">
        <v>20</v>
      </c>
      <c r="L2160">
        <v>0</v>
      </c>
      <c r="M2160">
        <v>57.3</v>
      </c>
    </row>
    <row r="2161" spans="1:13">
      <c r="A2161" t="s">
        <v>2152</v>
      </c>
      <c r="B2161" t="s">
        <v>2153</v>
      </c>
      <c r="C2161" t="s">
        <v>16</v>
      </c>
      <c r="D2161" t="s">
        <v>21</v>
      </c>
      <c r="E2161" t="s">
        <v>2427</v>
      </c>
      <c r="F2161" t="s">
        <v>2427</v>
      </c>
      <c r="G2161" s="2">
        <v>45674</v>
      </c>
      <c r="H2161" s="2">
        <v>45704</v>
      </c>
      <c r="I2161">
        <v>160.5</v>
      </c>
      <c r="J2161">
        <v>160.5</v>
      </c>
      <c r="K2161" t="s">
        <v>20</v>
      </c>
      <c r="L2161">
        <v>0</v>
      </c>
      <c r="M2161">
        <v>160.5</v>
      </c>
    </row>
    <row r="2162" spans="1:13">
      <c r="A2162" t="s">
        <v>2152</v>
      </c>
      <c r="B2162" t="s">
        <v>2153</v>
      </c>
      <c r="C2162" t="s">
        <v>16</v>
      </c>
      <c r="D2162" t="s">
        <v>21</v>
      </c>
      <c r="E2162" t="s">
        <v>2428</v>
      </c>
      <c r="F2162" t="s">
        <v>2428</v>
      </c>
      <c r="G2162" s="2">
        <v>45677</v>
      </c>
      <c r="H2162" s="2">
        <v>45707</v>
      </c>
      <c r="I2162" s="1">
        <v>2093.4</v>
      </c>
      <c r="J2162">
        <v>2093.4</v>
      </c>
      <c r="K2162" t="s">
        <v>20</v>
      </c>
      <c r="L2162">
        <v>0</v>
      </c>
      <c r="M2162">
        <v>2093.4</v>
      </c>
    </row>
    <row r="2163" spans="1:13">
      <c r="A2163" t="s">
        <v>2152</v>
      </c>
      <c r="B2163" t="s">
        <v>2153</v>
      </c>
      <c r="C2163" t="s">
        <v>16</v>
      </c>
      <c r="D2163" t="s">
        <v>21</v>
      </c>
      <c r="E2163" t="s">
        <v>2429</v>
      </c>
      <c r="F2163" t="s">
        <v>2429</v>
      </c>
      <c r="G2163" s="2">
        <v>45677</v>
      </c>
      <c r="H2163" s="2">
        <v>45707</v>
      </c>
      <c r="I2163">
        <v>829.2</v>
      </c>
      <c r="J2163">
        <v>829.2</v>
      </c>
      <c r="K2163" t="s">
        <v>20</v>
      </c>
      <c r="L2163">
        <v>0</v>
      </c>
      <c r="M2163">
        <v>829.2</v>
      </c>
    </row>
    <row r="2164" spans="1:13">
      <c r="A2164" t="s">
        <v>2152</v>
      </c>
      <c r="B2164" t="s">
        <v>2153</v>
      </c>
      <c r="C2164" t="s">
        <v>16</v>
      </c>
      <c r="D2164" t="s">
        <v>21</v>
      </c>
      <c r="E2164" t="s">
        <v>2430</v>
      </c>
      <c r="F2164" t="s">
        <v>2430</v>
      </c>
      <c r="G2164" s="2">
        <v>45677</v>
      </c>
      <c r="H2164" s="2">
        <v>45707</v>
      </c>
      <c r="I2164">
        <v>81.06</v>
      </c>
      <c r="J2164">
        <v>81.06</v>
      </c>
      <c r="K2164" t="s">
        <v>20</v>
      </c>
      <c r="L2164">
        <v>0</v>
      </c>
      <c r="M2164">
        <v>81.06</v>
      </c>
    </row>
    <row r="2165" spans="1:13">
      <c r="A2165" t="s">
        <v>2152</v>
      </c>
      <c r="B2165" t="s">
        <v>2153</v>
      </c>
      <c r="C2165" t="s">
        <v>16</v>
      </c>
      <c r="D2165" t="s">
        <v>21</v>
      </c>
      <c r="E2165" t="s">
        <v>2431</v>
      </c>
      <c r="F2165" t="s">
        <v>2431</v>
      </c>
      <c r="G2165" s="2">
        <v>45677</v>
      </c>
      <c r="H2165" s="2">
        <v>45707</v>
      </c>
      <c r="I2165">
        <v>850.2</v>
      </c>
      <c r="J2165">
        <v>850.2</v>
      </c>
      <c r="K2165" t="s">
        <v>20</v>
      </c>
      <c r="L2165">
        <v>0</v>
      </c>
      <c r="M2165">
        <v>850.2</v>
      </c>
    </row>
    <row r="2166" spans="1:13">
      <c r="A2166" t="s">
        <v>2152</v>
      </c>
      <c r="B2166" t="s">
        <v>2153</v>
      </c>
      <c r="C2166" t="s">
        <v>16</v>
      </c>
      <c r="D2166" t="s">
        <v>21</v>
      </c>
      <c r="E2166" t="s">
        <v>2432</v>
      </c>
      <c r="F2166" t="s">
        <v>2432</v>
      </c>
      <c r="G2166" s="2">
        <v>45677</v>
      </c>
      <c r="H2166" s="2">
        <v>45707</v>
      </c>
      <c r="I2166">
        <v>775.6</v>
      </c>
      <c r="J2166">
        <v>775.6</v>
      </c>
      <c r="K2166" t="s">
        <v>20</v>
      </c>
      <c r="L2166">
        <v>0</v>
      </c>
      <c r="M2166">
        <v>775.6</v>
      </c>
    </row>
    <row r="2167" spans="1:13">
      <c r="A2167" t="s">
        <v>2152</v>
      </c>
      <c r="B2167" t="s">
        <v>2153</v>
      </c>
      <c r="C2167" t="s">
        <v>16</v>
      </c>
      <c r="D2167" t="s">
        <v>21</v>
      </c>
      <c r="E2167" t="s">
        <v>2433</v>
      </c>
      <c r="F2167" t="s">
        <v>2433</v>
      </c>
      <c r="G2167" s="2">
        <v>45677</v>
      </c>
      <c r="H2167" s="2">
        <v>45707</v>
      </c>
      <c r="I2167">
        <v>105.6</v>
      </c>
      <c r="J2167">
        <v>105.6</v>
      </c>
      <c r="K2167" t="s">
        <v>20</v>
      </c>
      <c r="L2167">
        <v>0</v>
      </c>
      <c r="M2167">
        <v>105.6</v>
      </c>
    </row>
    <row r="2168" spans="1:13">
      <c r="A2168" t="s">
        <v>2152</v>
      </c>
      <c r="B2168" t="s">
        <v>2153</v>
      </c>
      <c r="C2168" t="s">
        <v>16</v>
      </c>
      <c r="D2168" t="s">
        <v>21</v>
      </c>
      <c r="E2168" t="s">
        <v>2434</v>
      </c>
      <c r="F2168" t="s">
        <v>2434</v>
      </c>
      <c r="G2168" s="2">
        <v>45677</v>
      </c>
      <c r="H2168" s="2">
        <v>45707</v>
      </c>
      <c r="I2168">
        <v>157.9</v>
      </c>
      <c r="J2168">
        <v>157.9</v>
      </c>
      <c r="K2168" t="s">
        <v>20</v>
      </c>
      <c r="L2168">
        <v>0</v>
      </c>
      <c r="M2168">
        <v>157.9</v>
      </c>
    </row>
    <row r="2169" spans="1:13">
      <c r="A2169" t="s">
        <v>2152</v>
      </c>
      <c r="B2169" t="s">
        <v>2153</v>
      </c>
      <c r="C2169" t="s">
        <v>16</v>
      </c>
      <c r="D2169" t="s">
        <v>21</v>
      </c>
      <c r="E2169" t="s">
        <v>2435</v>
      </c>
      <c r="F2169" t="s">
        <v>2435</v>
      </c>
      <c r="G2169" s="2">
        <v>45677</v>
      </c>
      <c r="H2169" s="2">
        <v>45707</v>
      </c>
      <c r="I2169">
        <v>614.4</v>
      </c>
      <c r="J2169">
        <v>614.4</v>
      </c>
      <c r="K2169" t="s">
        <v>20</v>
      </c>
      <c r="L2169">
        <v>0</v>
      </c>
      <c r="M2169">
        <v>614.4</v>
      </c>
    </row>
    <row r="2170" spans="1:13">
      <c r="A2170" t="s">
        <v>2152</v>
      </c>
      <c r="B2170" t="s">
        <v>2153</v>
      </c>
      <c r="C2170" t="s">
        <v>16</v>
      </c>
      <c r="D2170" t="s">
        <v>21</v>
      </c>
      <c r="E2170" t="s">
        <v>2436</v>
      </c>
      <c r="F2170" t="s">
        <v>2436</v>
      </c>
      <c r="G2170" s="2">
        <v>45677</v>
      </c>
      <c r="H2170" s="2">
        <v>45707</v>
      </c>
      <c r="I2170" s="1">
        <v>1036</v>
      </c>
      <c r="J2170">
        <v>1036</v>
      </c>
      <c r="K2170" t="s">
        <v>20</v>
      </c>
      <c r="L2170">
        <v>0</v>
      </c>
      <c r="M2170">
        <v>1036</v>
      </c>
    </row>
    <row r="2171" spans="1:13">
      <c r="A2171" t="s">
        <v>2152</v>
      </c>
      <c r="B2171" t="s">
        <v>2153</v>
      </c>
      <c r="C2171" t="s">
        <v>16</v>
      </c>
      <c r="D2171" t="s">
        <v>21</v>
      </c>
      <c r="E2171" t="s">
        <v>2437</v>
      </c>
      <c r="F2171" t="s">
        <v>2437</v>
      </c>
      <c r="G2171" s="2">
        <v>45677</v>
      </c>
      <c r="H2171" s="2">
        <v>45707</v>
      </c>
      <c r="I2171" s="1">
        <v>1254.58</v>
      </c>
      <c r="J2171">
        <v>1254.58</v>
      </c>
      <c r="K2171" t="s">
        <v>20</v>
      </c>
      <c r="L2171">
        <v>0</v>
      </c>
      <c r="M2171">
        <v>1254.58</v>
      </c>
    </row>
    <row r="2172" spans="1:13">
      <c r="A2172" t="s">
        <v>2152</v>
      </c>
      <c r="B2172" t="s">
        <v>2153</v>
      </c>
      <c r="C2172" t="s">
        <v>16</v>
      </c>
      <c r="D2172" t="s">
        <v>21</v>
      </c>
      <c r="E2172" t="s">
        <v>2438</v>
      </c>
      <c r="F2172" t="s">
        <v>2438</v>
      </c>
      <c r="G2172" s="2">
        <v>45677</v>
      </c>
      <c r="H2172" s="2">
        <v>45707</v>
      </c>
      <c r="I2172">
        <v>228.2</v>
      </c>
      <c r="J2172">
        <v>228.2</v>
      </c>
      <c r="K2172" t="s">
        <v>20</v>
      </c>
      <c r="L2172">
        <v>0</v>
      </c>
      <c r="M2172">
        <v>228.2</v>
      </c>
    </row>
    <row r="2173" spans="1:13">
      <c r="A2173" t="s">
        <v>2152</v>
      </c>
      <c r="B2173" t="s">
        <v>2153</v>
      </c>
      <c r="C2173" t="s">
        <v>16</v>
      </c>
      <c r="D2173" t="s">
        <v>21</v>
      </c>
      <c r="E2173" t="s">
        <v>2439</v>
      </c>
      <c r="F2173" t="s">
        <v>2439</v>
      </c>
      <c r="G2173" s="2">
        <v>45677</v>
      </c>
      <c r="H2173" s="2">
        <v>45707</v>
      </c>
      <c r="I2173">
        <v>501.3</v>
      </c>
      <c r="J2173">
        <v>501.3</v>
      </c>
      <c r="K2173" t="s">
        <v>20</v>
      </c>
      <c r="L2173">
        <v>0</v>
      </c>
      <c r="M2173">
        <v>501.3</v>
      </c>
    </row>
    <row r="2174" spans="1:13">
      <c r="A2174" t="s">
        <v>2152</v>
      </c>
      <c r="B2174" t="s">
        <v>2153</v>
      </c>
      <c r="C2174" t="s">
        <v>16</v>
      </c>
      <c r="D2174" t="s">
        <v>21</v>
      </c>
      <c r="E2174" t="s">
        <v>2440</v>
      </c>
      <c r="F2174" t="s">
        <v>2440</v>
      </c>
      <c r="G2174" s="2">
        <v>45677</v>
      </c>
      <c r="H2174" s="2">
        <v>45707</v>
      </c>
      <c r="I2174">
        <v>286.23</v>
      </c>
      <c r="J2174">
        <v>286.23</v>
      </c>
      <c r="K2174" t="s">
        <v>20</v>
      </c>
      <c r="L2174">
        <v>0</v>
      </c>
      <c r="M2174">
        <v>286.23</v>
      </c>
    </row>
    <row r="2175" spans="1:13">
      <c r="A2175" t="s">
        <v>2152</v>
      </c>
      <c r="B2175" t="s">
        <v>2153</v>
      </c>
      <c r="C2175" t="s">
        <v>16</v>
      </c>
      <c r="D2175" t="s">
        <v>21</v>
      </c>
      <c r="E2175" t="s">
        <v>2441</v>
      </c>
      <c r="F2175" t="s">
        <v>2441</v>
      </c>
      <c r="G2175" s="2">
        <v>45677</v>
      </c>
      <c r="H2175" s="2">
        <v>45707</v>
      </c>
      <c r="I2175" s="1">
        <v>1149.5999999999999</v>
      </c>
      <c r="J2175">
        <v>1149.5999999999999</v>
      </c>
      <c r="K2175" t="s">
        <v>20</v>
      </c>
      <c r="L2175">
        <v>0</v>
      </c>
      <c r="M2175">
        <v>1149.5999999999999</v>
      </c>
    </row>
    <row r="2176" spans="1:13">
      <c r="A2176" t="s">
        <v>2152</v>
      </c>
      <c r="B2176" t="s">
        <v>2153</v>
      </c>
      <c r="C2176" t="s">
        <v>16</v>
      </c>
      <c r="D2176" t="s">
        <v>21</v>
      </c>
      <c r="E2176" t="s">
        <v>2442</v>
      </c>
      <c r="F2176" t="s">
        <v>2442</v>
      </c>
      <c r="G2176" s="2">
        <v>45677</v>
      </c>
      <c r="H2176" s="2">
        <v>45707</v>
      </c>
      <c r="I2176">
        <v>460.9</v>
      </c>
      <c r="J2176">
        <v>460.9</v>
      </c>
      <c r="K2176" t="s">
        <v>20</v>
      </c>
      <c r="L2176">
        <v>0</v>
      </c>
      <c r="M2176">
        <v>460.9</v>
      </c>
    </row>
    <row r="2177" spans="1:13">
      <c r="A2177" t="s">
        <v>2152</v>
      </c>
      <c r="B2177" t="s">
        <v>2153</v>
      </c>
      <c r="C2177" t="s">
        <v>16</v>
      </c>
      <c r="D2177" t="s">
        <v>21</v>
      </c>
      <c r="E2177" t="s">
        <v>2443</v>
      </c>
      <c r="F2177" t="s">
        <v>2443</v>
      </c>
      <c r="G2177" s="2">
        <v>45677</v>
      </c>
      <c r="H2177" s="2">
        <v>45707</v>
      </c>
      <c r="I2177" s="1">
        <v>1104.2</v>
      </c>
      <c r="J2177">
        <v>1104.2</v>
      </c>
      <c r="K2177" t="s">
        <v>20</v>
      </c>
      <c r="L2177">
        <v>0</v>
      </c>
      <c r="M2177">
        <v>1104.2</v>
      </c>
    </row>
    <row r="2178" spans="1:13">
      <c r="A2178" t="s">
        <v>2152</v>
      </c>
      <c r="B2178" t="s">
        <v>2153</v>
      </c>
      <c r="C2178" t="s">
        <v>16</v>
      </c>
      <c r="D2178" t="s">
        <v>21</v>
      </c>
      <c r="E2178" t="s">
        <v>2444</v>
      </c>
      <c r="F2178" t="s">
        <v>2444</v>
      </c>
      <c r="G2178" s="2">
        <v>45677</v>
      </c>
      <c r="H2178" s="2">
        <v>45707</v>
      </c>
      <c r="I2178">
        <v>114.6</v>
      </c>
      <c r="J2178">
        <v>114.6</v>
      </c>
      <c r="K2178" t="s">
        <v>20</v>
      </c>
      <c r="L2178">
        <v>0</v>
      </c>
      <c r="M2178">
        <v>114.6</v>
      </c>
    </row>
    <row r="2179" spans="1:13">
      <c r="A2179" t="s">
        <v>2152</v>
      </c>
      <c r="B2179" t="s">
        <v>2153</v>
      </c>
      <c r="C2179" t="s">
        <v>16</v>
      </c>
      <c r="D2179" t="s">
        <v>21</v>
      </c>
      <c r="E2179" t="s">
        <v>2445</v>
      </c>
      <c r="F2179" t="s">
        <v>2445</v>
      </c>
      <c r="G2179" s="2">
        <v>45677</v>
      </c>
      <c r="H2179" s="2">
        <v>45707</v>
      </c>
      <c r="I2179">
        <v>94</v>
      </c>
      <c r="J2179">
        <v>94</v>
      </c>
      <c r="K2179" t="s">
        <v>20</v>
      </c>
      <c r="L2179">
        <v>0</v>
      </c>
      <c r="M2179">
        <v>94</v>
      </c>
    </row>
    <row r="2180" spans="1:13">
      <c r="A2180" t="s">
        <v>2152</v>
      </c>
      <c r="B2180" t="s">
        <v>2153</v>
      </c>
      <c r="C2180" t="s">
        <v>16</v>
      </c>
      <c r="D2180" t="s">
        <v>21</v>
      </c>
      <c r="E2180" t="s">
        <v>2446</v>
      </c>
      <c r="F2180" t="s">
        <v>2446</v>
      </c>
      <c r="G2180" s="2">
        <v>45677</v>
      </c>
      <c r="H2180" s="2">
        <v>45707</v>
      </c>
      <c r="I2180">
        <v>101.4</v>
      </c>
      <c r="J2180">
        <v>101.4</v>
      </c>
      <c r="K2180" t="s">
        <v>20</v>
      </c>
      <c r="L2180">
        <v>0</v>
      </c>
      <c r="M2180">
        <v>101.4</v>
      </c>
    </row>
    <row r="2181" spans="1:13">
      <c r="A2181" t="s">
        <v>2152</v>
      </c>
      <c r="B2181" t="s">
        <v>2153</v>
      </c>
      <c r="C2181" t="s">
        <v>16</v>
      </c>
      <c r="D2181" t="s">
        <v>21</v>
      </c>
      <c r="E2181" t="s">
        <v>2447</v>
      </c>
      <c r="F2181" t="s">
        <v>2447</v>
      </c>
      <c r="G2181" s="2">
        <v>45677</v>
      </c>
      <c r="H2181" s="2">
        <v>45707</v>
      </c>
      <c r="I2181">
        <v>434.6</v>
      </c>
      <c r="J2181">
        <v>434.6</v>
      </c>
      <c r="K2181" t="s">
        <v>20</v>
      </c>
      <c r="L2181">
        <v>0</v>
      </c>
      <c r="M2181">
        <v>434.6</v>
      </c>
    </row>
    <row r="2182" spans="1:13">
      <c r="A2182" t="s">
        <v>2152</v>
      </c>
      <c r="B2182" t="s">
        <v>2153</v>
      </c>
      <c r="C2182" t="s">
        <v>16</v>
      </c>
      <c r="D2182" t="s">
        <v>21</v>
      </c>
      <c r="E2182" t="s">
        <v>2448</v>
      </c>
      <c r="F2182" t="s">
        <v>2448</v>
      </c>
      <c r="G2182" s="2">
        <v>45677</v>
      </c>
      <c r="H2182" s="2">
        <v>45707</v>
      </c>
      <c r="I2182">
        <v>155.5</v>
      </c>
      <c r="J2182">
        <v>155.5</v>
      </c>
      <c r="K2182" t="s">
        <v>20</v>
      </c>
      <c r="L2182">
        <v>0</v>
      </c>
      <c r="M2182">
        <v>155.5</v>
      </c>
    </row>
    <row r="2183" spans="1:13">
      <c r="A2183" t="s">
        <v>2152</v>
      </c>
      <c r="B2183" t="s">
        <v>2153</v>
      </c>
      <c r="C2183" t="s">
        <v>16</v>
      </c>
      <c r="D2183" t="s">
        <v>21</v>
      </c>
      <c r="E2183" t="s">
        <v>2449</v>
      </c>
      <c r="F2183" t="s">
        <v>2449</v>
      </c>
      <c r="G2183" s="2">
        <v>45678</v>
      </c>
      <c r="H2183" s="2">
        <v>45708</v>
      </c>
      <c r="I2183">
        <v>928</v>
      </c>
      <c r="J2183">
        <v>928</v>
      </c>
      <c r="K2183" t="s">
        <v>20</v>
      </c>
      <c r="L2183">
        <v>0</v>
      </c>
      <c r="M2183">
        <v>928</v>
      </c>
    </row>
    <row r="2184" spans="1:13">
      <c r="A2184" t="s">
        <v>2152</v>
      </c>
      <c r="B2184" t="s">
        <v>2153</v>
      </c>
      <c r="C2184" t="s">
        <v>16</v>
      </c>
      <c r="D2184" t="s">
        <v>21</v>
      </c>
      <c r="E2184" t="s">
        <v>2450</v>
      </c>
      <c r="F2184" t="s">
        <v>2450</v>
      </c>
      <c r="G2184" s="2">
        <v>45678</v>
      </c>
      <c r="H2184" s="2">
        <v>45708</v>
      </c>
      <c r="I2184" s="1">
        <v>1317.56</v>
      </c>
      <c r="J2184">
        <v>1317.56</v>
      </c>
      <c r="K2184" t="s">
        <v>20</v>
      </c>
      <c r="L2184">
        <v>0</v>
      </c>
      <c r="M2184">
        <v>1317.56</v>
      </c>
    </row>
    <row r="2185" spans="1:13">
      <c r="A2185" t="s">
        <v>2152</v>
      </c>
      <c r="B2185" t="s">
        <v>2153</v>
      </c>
      <c r="C2185" t="s">
        <v>16</v>
      </c>
      <c r="D2185" t="s">
        <v>21</v>
      </c>
      <c r="E2185" t="s">
        <v>2451</v>
      </c>
      <c r="F2185" t="s">
        <v>2451</v>
      </c>
      <c r="G2185" s="2">
        <v>45678</v>
      </c>
      <c r="H2185" s="2">
        <v>45708</v>
      </c>
      <c r="I2185" s="1">
        <v>1999.72</v>
      </c>
      <c r="J2185">
        <v>1999.72</v>
      </c>
      <c r="K2185" t="s">
        <v>20</v>
      </c>
      <c r="L2185">
        <v>0</v>
      </c>
      <c r="M2185">
        <v>1999.72</v>
      </c>
    </row>
    <row r="2186" spans="1:13">
      <c r="A2186" t="s">
        <v>2152</v>
      </c>
      <c r="B2186" t="s">
        <v>2153</v>
      </c>
      <c r="C2186" t="s">
        <v>16</v>
      </c>
      <c r="D2186" t="s">
        <v>21</v>
      </c>
      <c r="E2186" t="s">
        <v>2452</v>
      </c>
      <c r="F2186" t="s">
        <v>2452</v>
      </c>
      <c r="G2186" s="2">
        <v>45678</v>
      </c>
      <c r="H2186" s="2">
        <v>45708</v>
      </c>
      <c r="I2186">
        <v>348.23</v>
      </c>
      <c r="J2186">
        <v>348.23</v>
      </c>
      <c r="K2186" t="s">
        <v>20</v>
      </c>
      <c r="L2186">
        <v>0</v>
      </c>
      <c r="M2186">
        <v>348.23</v>
      </c>
    </row>
    <row r="2187" spans="1:13">
      <c r="A2187" t="s">
        <v>2152</v>
      </c>
      <c r="B2187" t="s">
        <v>2153</v>
      </c>
      <c r="C2187" t="s">
        <v>16</v>
      </c>
      <c r="D2187" t="s">
        <v>21</v>
      </c>
      <c r="E2187" t="s">
        <v>2453</v>
      </c>
      <c r="F2187" t="s">
        <v>2453</v>
      </c>
      <c r="G2187" s="2">
        <v>45678</v>
      </c>
      <c r="H2187" s="2">
        <v>45708</v>
      </c>
      <c r="I2187" s="1">
        <v>2173.5</v>
      </c>
      <c r="J2187">
        <v>2173.5</v>
      </c>
      <c r="K2187" t="s">
        <v>20</v>
      </c>
      <c r="L2187">
        <v>0</v>
      </c>
      <c r="M2187">
        <v>2173.5</v>
      </c>
    </row>
    <row r="2188" spans="1:13">
      <c r="A2188" t="s">
        <v>2152</v>
      </c>
      <c r="B2188" t="s">
        <v>2153</v>
      </c>
      <c r="C2188" t="s">
        <v>16</v>
      </c>
      <c r="D2188" t="s">
        <v>21</v>
      </c>
      <c r="E2188" t="s">
        <v>2454</v>
      </c>
      <c r="F2188" t="s">
        <v>2454</v>
      </c>
      <c r="G2188" s="2">
        <v>45678</v>
      </c>
      <c r="H2188" s="2">
        <v>45708</v>
      </c>
      <c r="I2188">
        <v>823.5</v>
      </c>
      <c r="J2188">
        <v>823.5</v>
      </c>
      <c r="K2188" t="s">
        <v>20</v>
      </c>
      <c r="L2188">
        <v>0</v>
      </c>
      <c r="M2188">
        <v>823.5</v>
      </c>
    </row>
    <row r="2189" spans="1:13">
      <c r="A2189" t="s">
        <v>2152</v>
      </c>
      <c r="B2189" t="s">
        <v>2153</v>
      </c>
      <c r="C2189" t="s">
        <v>16</v>
      </c>
      <c r="D2189" t="s">
        <v>21</v>
      </c>
      <c r="E2189" t="s">
        <v>2455</v>
      </c>
      <c r="F2189" t="s">
        <v>2455</v>
      </c>
      <c r="G2189" s="2">
        <v>45678</v>
      </c>
      <c r="H2189" s="2">
        <v>45708</v>
      </c>
      <c r="I2189">
        <v>443</v>
      </c>
      <c r="J2189">
        <v>443</v>
      </c>
      <c r="K2189" t="s">
        <v>20</v>
      </c>
      <c r="L2189">
        <v>0</v>
      </c>
      <c r="M2189">
        <v>443</v>
      </c>
    </row>
    <row r="2190" spans="1:13">
      <c r="A2190" t="s">
        <v>2152</v>
      </c>
      <c r="B2190" t="s">
        <v>2153</v>
      </c>
      <c r="C2190" t="s">
        <v>16</v>
      </c>
      <c r="D2190" t="s">
        <v>21</v>
      </c>
      <c r="E2190" t="s">
        <v>2456</v>
      </c>
      <c r="F2190" t="s">
        <v>2456</v>
      </c>
      <c r="G2190" s="2">
        <v>45678</v>
      </c>
      <c r="H2190" s="2">
        <v>45708</v>
      </c>
      <c r="I2190" s="1">
        <v>1071.9000000000001</v>
      </c>
      <c r="J2190">
        <v>1071.9000000000001</v>
      </c>
      <c r="K2190" t="s">
        <v>20</v>
      </c>
      <c r="L2190">
        <v>0</v>
      </c>
      <c r="M2190">
        <v>1071.9000000000001</v>
      </c>
    </row>
    <row r="2191" spans="1:13">
      <c r="A2191" t="s">
        <v>2152</v>
      </c>
      <c r="B2191" t="s">
        <v>2153</v>
      </c>
      <c r="C2191" t="s">
        <v>16</v>
      </c>
      <c r="D2191" t="s">
        <v>21</v>
      </c>
      <c r="E2191" t="s">
        <v>2457</v>
      </c>
      <c r="F2191" t="s">
        <v>2457</v>
      </c>
      <c r="G2191" s="2">
        <v>45678</v>
      </c>
      <c r="H2191" s="2">
        <v>45708</v>
      </c>
      <c r="I2191">
        <v>460</v>
      </c>
      <c r="J2191">
        <v>460</v>
      </c>
      <c r="K2191" t="s">
        <v>20</v>
      </c>
      <c r="L2191">
        <v>0</v>
      </c>
      <c r="M2191">
        <v>460</v>
      </c>
    </row>
    <row r="2192" spans="1:13">
      <c r="A2192" t="s">
        <v>2152</v>
      </c>
      <c r="B2192" t="s">
        <v>2153</v>
      </c>
      <c r="C2192" t="s">
        <v>16</v>
      </c>
      <c r="D2192" t="s">
        <v>21</v>
      </c>
      <c r="E2192" t="s">
        <v>2458</v>
      </c>
      <c r="F2192" t="s">
        <v>2458</v>
      </c>
      <c r="G2192" s="2">
        <v>45678</v>
      </c>
      <c r="H2192" s="2">
        <v>45708</v>
      </c>
      <c r="I2192">
        <v>150.9</v>
      </c>
      <c r="J2192">
        <v>150.9</v>
      </c>
      <c r="K2192" t="s">
        <v>20</v>
      </c>
      <c r="L2192">
        <v>0</v>
      </c>
      <c r="M2192">
        <v>150.9</v>
      </c>
    </row>
    <row r="2193" spans="1:13">
      <c r="A2193" t="s">
        <v>2152</v>
      </c>
      <c r="B2193" t="s">
        <v>2153</v>
      </c>
      <c r="C2193" t="s">
        <v>16</v>
      </c>
      <c r="D2193" t="s">
        <v>21</v>
      </c>
      <c r="E2193" t="s">
        <v>2459</v>
      </c>
      <c r="F2193" t="s">
        <v>2459</v>
      </c>
      <c r="G2193" s="2">
        <v>45678</v>
      </c>
      <c r="H2193" s="2">
        <v>45708</v>
      </c>
      <c r="I2193">
        <v>605.66</v>
      </c>
      <c r="J2193">
        <v>605.66</v>
      </c>
      <c r="K2193" t="s">
        <v>20</v>
      </c>
      <c r="L2193">
        <v>0</v>
      </c>
      <c r="M2193">
        <v>605.66</v>
      </c>
    </row>
    <row r="2194" spans="1:13">
      <c r="A2194" t="s">
        <v>2152</v>
      </c>
      <c r="B2194" t="s">
        <v>2153</v>
      </c>
      <c r="C2194" t="s">
        <v>16</v>
      </c>
      <c r="D2194" t="s">
        <v>21</v>
      </c>
      <c r="E2194" t="s">
        <v>2460</v>
      </c>
      <c r="F2194" t="s">
        <v>2460</v>
      </c>
      <c r="G2194" s="2">
        <v>45678</v>
      </c>
      <c r="H2194" s="2">
        <v>45708</v>
      </c>
      <c r="I2194" s="1">
        <v>1067.4000000000001</v>
      </c>
      <c r="J2194">
        <v>1067.4000000000001</v>
      </c>
      <c r="K2194" t="s">
        <v>20</v>
      </c>
      <c r="L2194">
        <v>0</v>
      </c>
      <c r="M2194">
        <v>1067.4000000000001</v>
      </c>
    </row>
    <row r="2195" spans="1:13">
      <c r="A2195" t="s">
        <v>2152</v>
      </c>
      <c r="B2195" t="s">
        <v>2153</v>
      </c>
      <c r="C2195" t="s">
        <v>16</v>
      </c>
      <c r="D2195" t="s">
        <v>21</v>
      </c>
      <c r="E2195" t="s">
        <v>2461</v>
      </c>
      <c r="F2195" t="s">
        <v>2461</v>
      </c>
      <c r="G2195" s="2">
        <v>45678</v>
      </c>
      <c r="H2195" s="2">
        <v>45708</v>
      </c>
      <c r="I2195">
        <v>222</v>
      </c>
      <c r="J2195">
        <v>222</v>
      </c>
      <c r="K2195" t="s">
        <v>20</v>
      </c>
      <c r="L2195">
        <v>0</v>
      </c>
      <c r="M2195">
        <v>222</v>
      </c>
    </row>
    <row r="2196" spans="1:13">
      <c r="A2196" t="s">
        <v>2152</v>
      </c>
      <c r="B2196" t="s">
        <v>2153</v>
      </c>
      <c r="C2196" t="s">
        <v>16</v>
      </c>
      <c r="D2196" t="s">
        <v>21</v>
      </c>
      <c r="E2196" t="s">
        <v>2462</v>
      </c>
      <c r="F2196" t="s">
        <v>2462</v>
      </c>
      <c r="G2196" s="2">
        <v>45678</v>
      </c>
      <c r="H2196" s="2">
        <v>45708</v>
      </c>
      <c r="I2196">
        <v>57.3</v>
      </c>
      <c r="J2196">
        <v>57.3</v>
      </c>
      <c r="K2196" t="s">
        <v>20</v>
      </c>
      <c r="L2196">
        <v>0</v>
      </c>
      <c r="M2196">
        <v>57.3</v>
      </c>
    </row>
    <row r="2197" spans="1:13">
      <c r="A2197" t="s">
        <v>2152</v>
      </c>
      <c r="B2197" t="s">
        <v>2153</v>
      </c>
      <c r="C2197" t="s">
        <v>16</v>
      </c>
      <c r="D2197" t="s">
        <v>21</v>
      </c>
      <c r="E2197" t="s">
        <v>2463</v>
      </c>
      <c r="F2197" t="s">
        <v>2463</v>
      </c>
      <c r="G2197" s="2">
        <v>45678</v>
      </c>
      <c r="H2197" s="2">
        <v>45708</v>
      </c>
      <c r="I2197">
        <v>310</v>
      </c>
      <c r="J2197">
        <v>310</v>
      </c>
      <c r="K2197" t="s">
        <v>20</v>
      </c>
      <c r="L2197">
        <v>0</v>
      </c>
      <c r="M2197">
        <v>310</v>
      </c>
    </row>
    <row r="2198" spans="1:13">
      <c r="A2198" t="s">
        <v>2152</v>
      </c>
      <c r="B2198" t="s">
        <v>2153</v>
      </c>
      <c r="C2198" t="s">
        <v>16</v>
      </c>
      <c r="D2198" t="s">
        <v>21</v>
      </c>
      <c r="E2198" t="s">
        <v>2464</v>
      </c>
      <c r="F2198" t="s">
        <v>2464</v>
      </c>
      <c r="G2198" s="2">
        <v>45678</v>
      </c>
      <c r="H2198" s="2">
        <v>45708</v>
      </c>
      <c r="I2198">
        <v>726.4</v>
      </c>
      <c r="J2198">
        <v>726.4</v>
      </c>
      <c r="K2198" t="s">
        <v>20</v>
      </c>
      <c r="L2198">
        <v>0</v>
      </c>
      <c r="M2198">
        <v>726.4</v>
      </c>
    </row>
    <row r="2199" spans="1:13">
      <c r="A2199" t="s">
        <v>2152</v>
      </c>
      <c r="B2199" t="s">
        <v>2153</v>
      </c>
      <c r="C2199" t="s">
        <v>16</v>
      </c>
      <c r="D2199" t="s">
        <v>21</v>
      </c>
      <c r="E2199" t="s">
        <v>2465</v>
      </c>
      <c r="F2199" t="s">
        <v>2465</v>
      </c>
      <c r="G2199" s="2">
        <v>45678</v>
      </c>
      <c r="H2199" s="2">
        <v>45708</v>
      </c>
      <c r="I2199" s="1">
        <v>1632.9</v>
      </c>
      <c r="J2199">
        <v>1632.9</v>
      </c>
      <c r="K2199" t="s">
        <v>20</v>
      </c>
      <c r="L2199">
        <v>0</v>
      </c>
      <c r="M2199">
        <v>1632.9</v>
      </c>
    </row>
    <row r="2200" spans="1:13">
      <c r="A2200" t="s">
        <v>2152</v>
      </c>
      <c r="B2200" t="s">
        <v>2153</v>
      </c>
      <c r="C2200" t="s">
        <v>16</v>
      </c>
      <c r="D2200" t="s">
        <v>21</v>
      </c>
      <c r="E2200" t="s">
        <v>2466</v>
      </c>
      <c r="F2200" t="s">
        <v>2466</v>
      </c>
      <c r="G2200" s="2">
        <v>45678</v>
      </c>
      <c r="H2200" s="2">
        <v>45708</v>
      </c>
      <c r="I2200">
        <v>619</v>
      </c>
      <c r="J2200">
        <v>619</v>
      </c>
      <c r="K2200" t="s">
        <v>20</v>
      </c>
      <c r="L2200">
        <v>0</v>
      </c>
      <c r="M2200">
        <v>619</v>
      </c>
    </row>
    <row r="2201" spans="1:13">
      <c r="A2201" t="s">
        <v>2152</v>
      </c>
      <c r="B2201" t="s">
        <v>2153</v>
      </c>
      <c r="C2201" t="s">
        <v>16</v>
      </c>
      <c r="D2201" t="s">
        <v>21</v>
      </c>
      <c r="E2201" t="s">
        <v>2467</v>
      </c>
      <c r="F2201" t="s">
        <v>2467</v>
      </c>
      <c r="G2201" s="2">
        <v>45678</v>
      </c>
      <c r="H2201" s="2">
        <v>45708</v>
      </c>
      <c r="I2201">
        <v>170.9</v>
      </c>
      <c r="J2201">
        <v>170.9</v>
      </c>
      <c r="K2201" t="s">
        <v>20</v>
      </c>
      <c r="L2201">
        <v>0</v>
      </c>
      <c r="M2201">
        <v>170.9</v>
      </c>
    </row>
    <row r="2202" spans="1:13">
      <c r="A2202" t="s">
        <v>2152</v>
      </c>
      <c r="B2202" t="s">
        <v>2153</v>
      </c>
      <c r="C2202" t="s">
        <v>16</v>
      </c>
      <c r="D2202" t="s">
        <v>21</v>
      </c>
      <c r="E2202" t="s">
        <v>2468</v>
      </c>
      <c r="F2202" t="s">
        <v>2468</v>
      </c>
      <c r="G2202" s="2">
        <v>45678</v>
      </c>
      <c r="H2202" s="2">
        <v>45708</v>
      </c>
      <c r="I2202">
        <v>384.06</v>
      </c>
      <c r="J2202">
        <v>384.06</v>
      </c>
      <c r="K2202" t="s">
        <v>20</v>
      </c>
      <c r="L2202">
        <v>0</v>
      </c>
      <c r="M2202">
        <v>384.06</v>
      </c>
    </row>
    <row r="2203" spans="1:13">
      <c r="A2203" t="s">
        <v>2152</v>
      </c>
      <c r="B2203" t="s">
        <v>2153</v>
      </c>
      <c r="C2203" t="s">
        <v>16</v>
      </c>
      <c r="D2203" t="s">
        <v>21</v>
      </c>
      <c r="E2203" t="s">
        <v>2469</v>
      </c>
      <c r="F2203" t="s">
        <v>2469</v>
      </c>
      <c r="G2203" s="2">
        <v>45678</v>
      </c>
      <c r="H2203" s="2">
        <v>45708</v>
      </c>
      <c r="I2203">
        <v>157.9</v>
      </c>
      <c r="J2203">
        <v>157.9</v>
      </c>
      <c r="K2203" t="s">
        <v>20</v>
      </c>
      <c r="L2203">
        <v>0</v>
      </c>
      <c r="M2203">
        <v>157.9</v>
      </c>
    </row>
    <row r="2204" spans="1:13">
      <c r="A2204" t="s">
        <v>2152</v>
      </c>
      <c r="B2204" t="s">
        <v>2153</v>
      </c>
      <c r="C2204" t="s">
        <v>16</v>
      </c>
      <c r="D2204" t="s">
        <v>21</v>
      </c>
      <c r="E2204" t="s">
        <v>2470</v>
      </c>
      <c r="F2204" t="s">
        <v>2470</v>
      </c>
      <c r="G2204" s="2">
        <v>45678</v>
      </c>
      <c r="H2204" s="2">
        <v>45708</v>
      </c>
      <c r="I2204">
        <v>294.8</v>
      </c>
      <c r="J2204">
        <v>294.8</v>
      </c>
      <c r="K2204" t="s">
        <v>20</v>
      </c>
      <c r="L2204">
        <v>0</v>
      </c>
      <c r="M2204">
        <v>294.8</v>
      </c>
    </row>
    <row r="2205" spans="1:13">
      <c r="A2205" t="s">
        <v>2152</v>
      </c>
      <c r="B2205" t="s">
        <v>2153</v>
      </c>
      <c r="C2205" t="s">
        <v>16</v>
      </c>
      <c r="D2205" t="s">
        <v>21</v>
      </c>
      <c r="E2205" t="s">
        <v>2471</v>
      </c>
      <c r="F2205" t="s">
        <v>2471</v>
      </c>
      <c r="G2205" s="2">
        <v>45679</v>
      </c>
      <c r="H2205" s="2">
        <v>45709</v>
      </c>
      <c r="I2205">
        <v>256.10000000000002</v>
      </c>
      <c r="J2205">
        <v>256.10000000000002</v>
      </c>
      <c r="K2205" t="s">
        <v>20</v>
      </c>
      <c r="L2205">
        <v>0</v>
      </c>
      <c r="M2205">
        <v>256.10000000000002</v>
      </c>
    </row>
    <row r="2206" spans="1:13">
      <c r="A2206" t="s">
        <v>2152</v>
      </c>
      <c r="B2206" t="s">
        <v>2153</v>
      </c>
      <c r="C2206" t="s">
        <v>16</v>
      </c>
      <c r="D2206" t="s">
        <v>21</v>
      </c>
      <c r="E2206" t="s">
        <v>2472</v>
      </c>
      <c r="F2206" t="s">
        <v>2472</v>
      </c>
      <c r="G2206" s="2">
        <v>45679</v>
      </c>
      <c r="H2206" s="2">
        <v>45709</v>
      </c>
      <c r="I2206">
        <v>92</v>
      </c>
      <c r="J2206">
        <v>92</v>
      </c>
      <c r="K2206" t="s">
        <v>20</v>
      </c>
      <c r="L2206">
        <v>0</v>
      </c>
      <c r="M2206">
        <v>92</v>
      </c>
    </row>
    <row r="2207" spans="1:13">
      <c r="A2207" t="s">
        <v>2152</v>
      </c>
      <c r="B2207" t="s">
        <v>2153</v>
      </c>
      <c r="C2207" t="s">
        <v>16</v>
      </c>
      <c r="D2207" t="s">
        <v>21</v>
      </c>
      <c r="E2207" t="s">
        <v>2473</v>
      </c>
      <c r="F2207" t="s">
        <v>2473</v>
      </c>
      <c r="G2207" s="2">
        <v>45679</v>
      </c>
      <c r="H2207" s="2">
        <v>45709</v>
      </c>
      <c r="I2207">
        <v>207.8</v>
      </c>
      <c r="J2207">
        <v>207.8</v>
      </c>
      <c r="K2207" t="s">
        <v>20</v>
      </c>
      <c r="L2207">
        <v>0</v>
      </c>
      <c r="M2207">
        <v>207.8</v>
      </c>
    </row>
    <row r="2208" spans="1:13">
      <c r="A2208" t="s">
        <v>2152</v>
      </c>
      <c r="B2208" t="s">
        <v>2153</v>
      </c>
      <c r="C2208" t="s">
        <v>16</v>
      </c>
      <c r="D2208" t="s">
        <v>21</v>
      </c>
      <c r="E2208" t="s">
        <v>2474</v>
      </c>
      <c r="F2208" t="s">
        <v>2474</v>
      </c>
      <c r="G2208" s="2">
        <v>45679</v>
      </c>
      <c r="H2208" s="2">
        <v>45709</v>
      </c>
      <c r="I2208">
        <v>228.2</v>
      </c>
      <c r="J2208">
        <v>228.2</v>
      </c>
      <c r="K2208" t="s">
        <v>20</v>
      </c>
      <c r="L2208">
        <v>0</v>
      </c>
      <c r="M2208">
        <v>228.2</v>
      </c>
    </row>
    <row r="2209" spans="1:13">
      <c r="A2209" t="s">
        <v>2152</v>
      </c>
      <c r="B2209" t="s">
        <v>2153</v>
      </c>
      <c r="C2209" t="s">
        <v>16</v>
      </c>
      <c r="D2209" t="s">
        <v>21</v>
      </c>
      <c r="E2209" t="s">
        <v>2475</v>
      </c>
      <c r="F2209" t="s">
        <v>2475</v>
      </c>
      <c r="G2209" s="2">
        <v>45679</v>
      </c>
      <c r="H2209" s="2">
        <v>45709</v>
      </c>
      <c r="I2209">
        <v>250.5</v>
      </c>
      <c r="J2209">
        <v>250.5</v>
      </c>
      <c r="K2209" t="s">
        <v>20</v>
      </c>
      <c r="L2209">
        <v>0</v>
      </c>
      <c r="M2209">
        <v>250.5</v>
      </c>
    </row>
    <row r="2210" spans="1:13">
      <c r="A2210" t="s">
        <v>2152</v>
      </c>
      <c r="B2210" t="s">
        <v>2153</v>
      </c>
      <c r="C2210" t="s">
        <v>16</v>
      </c>
      <c r="D2210" t="s">
        <v>21</v>
      </c>
      <c r="E2210" t="s">
        <v>2476</v>
      </c>
      <c r="F2210" t="s">
        <v>2476</v>
      </c>
      <c r="G2210" s="2">
        <v>45679</v>
      </c>
      <c r="H2210" s="2">
        <v>45709</v>
      </c>
      <c r="I2210">
        <v>274.10000000000002</v>
      </c>
      <c r="J2210">
        <v>274.10000000000002</v>
      </c>
      <c r="K2210" t="s">
        <v>20</v>
      </c>
      <c r="L2210">
        <v>0</v>
      </c>
      <c r="M2210">
        <v>274.10000000000002</v>
      </c>
    </row>
    <row r="2211" spans="1:13">
      <c r="A2211" t="s">
        <v>2152</v>
      </c>
      <c r="B2211" t="s">
        <v>2153</v>
      </c>
      <c r="C2211" t="s">
        <v>16</v>
      </c>
      <c r="D2211" t="s">
        <v>21</v>
      </c>
      <c r="E2211" t="s">
        <v>2477</v>
      </c>
      <c r="F2211" t="s">
        <v>2477</v>
      </c>
      <c r="G2211" s="2">
        <v>45679</v>
      </c>
      <c r="H2211" s="2">
        <v>45709</v>
      </c>
      <c r="I2211">
        <v>590.86</v>
      </c>
      <c r="J2211">
        <v>590.86</v>
      </c>
      <c r="K2211" t="s">
        <v>20</v>
      </c>
      <c r="L2211">
        <v>0</v>
      </c>
      <c r="M2211">
        <v>590.86</v>
      </c>
    </row>
    <row r="2212" spans="1:13">
      <c r="A2212" t="s">
        <v>2152</v>
      </c>
      <c r="B2212" t="s">
        <v>2153</v>
      </c>
      <c r="C2212" t="s">
        <v>16</v>
      </c>
      <c r="D2212" t="s">
        <v>21</v>
      </c>
      <c r="E2212" t="s">
        <v>2478</v>
      </c>
      <c r="F2212" t="s">
        <v>2478</v>
      </c>
      <c r="G2212" s="2">
        <v>45679</v>
      </c>
      <c r="H2212" s="2">
        <v>45709</v>
      </c>
      <c r="I2212">
        <v>210.2</v>
      </c>
      <c r="J2212">
        <v>210.2</v>
      </c>
      <c r="K2212" t="s">
        <v>20</v>
      </c>
      <c r="L2212">
        <v>0</v>
      </c>
      <c r="M2212">
        <v>210.2</v>
      </c>
    </row>
    <row r="2213" spans="1:13">
      <c r="A2213" t="s">
        <v>2152</v>
      </c>
      <c r="B2213" t="s">
        <v>2153</v>
      </c>
      <c r="C2213" t="s">
        <v>16</v>
      </c>
      <c r="D2213" t="s">
        <v>21</v>
      </c>
      <c r="E2213" t="s">
        <v>2479</v>
      </c>
      <c r="F2213" t="s">
        <v>2479</v>
      </c>
      <c r="G2213" s="2">
        <v>45679</v>
      </c>
      <c r="H2213" s="2">
        <v>45709</v>
      </c>
      <c r="I2213">
        <v>81.06</v>
      </c>
      <c r="J2213">
        <v>81.06</v>
      </c>
      <c r="K2213" t="s">
        <v>20</v>
      </c>
      <c r="L2213">
        <v>0</v>
      </c>
      <c r="M2213">
        <v>81.06</v>
      </c>
    </row>
    <row r="2214" spans="1:13">
      <c r="A2214" t="s">
        <v>2152</v>
      </c>
      <c r="B2214" t="s">
        <v>2153</v>
      </c>
      <c r="C2214" t="s">
        <v>16</v>
      </c>
      <c r="D2214" t="s">
        <v>21</v>
      </c>
      <c r="E2214" t="s">
        <v>2480</v>
      </c>
      <c r="F2214" t="s">
        <v>2480</v>
      </c>
      <c r="G2214" s="2">
        <v>45679</v>
      </c>
      <c r="H2214" s="2">
        <v>45709</v>
      </c>
      <c r="I2214">
        <v>53.3</v>
      </c>
      <c r="J2214">
        <v>53.3</v>
      </c>
      <c r="K2214" t="s">
        <v>20</v>
      </c>
      <c r="L2214">
        <v>0</v>
      </c>
      <c r="M2214">
        <v>53.3</v>
      </c>
    </row>
    <row r="2215" spans="1:13">
      <c r="A2215" t="s">
        <v>2152</v>
      </c>
      <c r="B2215" t="s">
        <v>2153</v>
      </c>
      <c r="C2215" t="s">
        <v>16</v>
      </c>
      <c r="D2215" t="s">
        <v>21</v>
      </c>
      <c r="E2215" t="s">
        <v>2481</v>
      </c>
      <c r="F2215" t="s">
        <v>2481</v>
      </c>
      <c r="G2215" s="2">
        <v>45679</v>
      </c>
      <c r="H2215" s="2">
        <v>45709</v>
      </c>
      <c r="I2215">
        <v>143.30000000000001</v>
      </c>
      <c r="J2215">
        <v>143.30000000000001</v>
      </c>
      <c r="K2215" t="s">
        <v>20</v>
      </c>
      <c r="L2215">
        <v>0</v>
      </c>
      <c r="M2215">
        <v>143.30000000000001</v>
      </c>
    </row>
    <row r="2216" spans="1:13">
      <c r="A2216" t="s">
        <v>2152</v>
      </c>
      <c r="B2216" t="s">
        <v>2153</v>
      </c>
      <c r="C2216" t="s">
        <v>16</v>
      </c>
      <c r="D2216" t="s">
        <v>21</v>
      </c>
      <c r="E2216" t="s">
        <v>2482</v>
      </c>
      <c r="F2216" t="s">
        <v>2482</v>
      </c>
      <c r="G2216" s="2">
        <v>45679</v>
      </c>
      <c r="H2216" s="2">
        <v>45709</v>
      </c>
      <c r="I2216">
        <v>621.4</v>
      </c>
      <c r="J2216">
        <v>621.4</v>
      </c>
      <c r="K2216" t="s">
        <v>20</v>
      </c>
      <c r="L2216">
        <v>0</v>
      </c>
      <c r="M2216">
        <v>621.4</v>
      </c>
    </row>
    <row r="2217" spans="1:13">
      <c r="A2217" t="s">
        <v>2152</v>
      </c>
      <c r="B2217" t="s">
        <v>2153</v>
      </c>
      <c r="C2217" t="s">
        <v>16</v>
      </c>
      <c r="D2217" t="s">
        <v>21</v>
      </c>
      <c r="E2217" t="s">
        <v>2483</v>
      </c>
      <c r="F2217" t="s">
        <v>2483</v>
      </c>
      <c r="G2217" s="2">
        <v>45679</v>
      </c>
      <c r="H2217" s="2">
        <v>45709</v>
      </c>
      <c r="I2217">
        <v>204.2</v>
      </c>
      <c r="J2217">
        <v>204.2</v>
      </c>
      <c r="K2217" t="s">
        <v>20</v>
      </c>
      <c r="L2217">
        <v>0</v>
      </c>
      <c r="M2217">
        <v>204.2</v>
      </c>
    </row>
    <row r="2218" spans="1:13">
      <c r="A2218" t="s">
        <v>2152</v>
      </c>
      <c r="B2218" t="s">
        <v>2153</v>
      </c>
      <c r="C2218" t="s">
        <v>16</v>
      </c>
      <c r="D2218" t="s">
        <v>21</v>
      </c>
      <c r="E2218" t="s">
        <v>2484</v>
      </c>
      <c r="F2218" t="s">
        <v>2484</v>
      </c>
      <c r="G2218" s="2">
        <v>45679</v>
      </c>
      <c r="H2218" s="2">
        <v>45709</v>
      </c>
      <c r="I2218" s="1">
        <v>1008.6</v>
      </c>
      <c r="J2218">
        <v>1008.6</v>
      </c>
      <c r="K2218" t="s">
        <v>20</v>
      </c>
      <c r="L2218">
        <v>0</v>
      </c>
      <c r="M2218">
        <v>1008.6</v>
      </c>
    </row>
    <row r="2219" spans="1:13">
      <c r="A2219" t="s">
        <v>2152</v>
      </c>
      <c r="B2219" t="s">
        <v>2153</v>
      </c>
      <c r="C2219" t="s">
        <v>16</v>
      </c>
      <c r="D2219" t="s">
        <v>21</v>
      </c>
      <c r="E2219" t="s">
        <v>2485</v>
      </c>
      <c r="F2219" t="s">
        <v>2485</v>
      </c>
      <c r="G2219" s="2">
        <v>45679</v>
      </c>
      <c r="H2219" s="2">
        <v>45709</v>
      </c>
      <c r="I2219">
        <v>170</v>
      </c>
      <c r="J2219">
        <v>170</v>
      </c>
      <c r="K2219" t="s">
        <v>20</v>
      </c>
      <c r="L2219">
        <v>0</v>
      </c>
      <c r="M2219">
        <v>170</v>
      </c>
    </row>
    <row r="2220" spans="1:13">
      <c r="A2220" t="s">
        <v>2152</v>
      </c>
      <c r="B2220" t="s">
        <v>2153</v>
      </c>
      <c r="C2220" t="s">
        <v>16</v>
      </c>
      <c r="D2220" t="s">
        <v>21</v>
      </c>
      <c r="E2220" t="s">
        <v>2486</v>
      </c>
      <c r="F2220" t="s">
        <v>2486</v>
      </c>
      <c r="G2220" s="2">
        <v>45679</v>
      </c>
      <c r="H2220" s="2">
        <v>45709</v>
      </c>
      <c r="I2220">
        <v>550</v>
      </c>
      <c r="J2220">
        <v>550</v>
      </c>
      <c r="K2220" t="s">
        <v>20</v>
      </c>
      <c r="L2220">
        <v>0</v>
      </c>
      <c r="M2220">
        <v>550</v>
      </c>
    </row>
    <row r="2221" spans="1:13">
      <c r="A2221" t="s">
        <v>2152</v>
      </c>
      <c r="B2221" t="s">
        <v>2153</v>
      </c>
      <c r="C2221" t="s">
        <v>16</v>
      </c>
      <c r="D2221" t="s">
        <v>21</v>
      </c>
      <c r="E2221" t="s">
        <v>2487</v>
      </c>
      <c r="F2221" t="s">
        <v>2487</v>
      </c>
      <c r="G2221" s="2">
        <v>45679</v>
      </c>
      <c r="H2221" s="2">
        <v>45709</v>
      </c>
      <c r="I2221">
        <v>461.5</v>
      </c>
      <c r="J2221">
        <v>461.5</v>
      </c>
      <c r="K2221" t="s">
        <v>20</v>
      </c>
      <c r="L2221">
        <v>0</v>
      </c>
      <c r="M2221">
        <v>461.5</v>
      </c>
    </row>
    <row r="2222" spans="1:13">
      <c r="A2222" t="s">
        <v>2152</v>
      </c>
      <c r="B2222" t="s">
        <v>2153</v>
      </c>
      <c r="C2222" t="s">
        <v>16</v>
      </c>
      <c r="D2222" t="s">
        <v>21</v>
      </c>
      <c r="E2222" t="s">
        <v>2488</v>
      </c>
      <c r="F2222" t="s">
        <v>2488</v>
      </c>
      <c r="G2222" s="2">
        <v>45679</v>
      </c>
      <c r="H2222" s="2">
        <v>45709</v>
      </c>
      <c r="I2222" s="1">
        <v>1839</v>
      </c>
      <c r="J2222">
        <v>1839</v>
      </c>
      <c r="K2222" t="s">
        <v>20</v>
      </c>
      <c r="L2222">
        <v>0</v>
      </c>
      <c r="M2222">
        <v>1839</v>
      </c>
    </row>
    <row r="2223" spans="1:13">
      <c r="A2223" t="s">
        <v>2152</v>
      </c>
      <c r="B2223" t="s">
        <v>2153</v>
      </c>
      <c r="C2223" t="s">
        <v>16</v>
      </c>
      <c r="D2223" t="s">
        <v>21</v>
      </c>
      <c r="E2223" t="s">
        <v>2489</v>
      </c>
      <c r="F2223" t="s">
        <v>2489</v>
      </c>
      <c r="G2223" s="2">
        <v>45679</v>
      </c>
      <c r="H2223" s="2">
        <v>45709</v>
      </c>
      <c r="I2223" s="1">
        <v>1168.5</v>
      </c>
      <c r="J2223">
        <v>1168.5</v>
      </c>
      <c r="K2223" t="s">
        <v>20</v>
      </c>
      <c r="L2223">
        <v>0</v>
      </c>
      <c r="M2223">
        <v>1168.5</v>
      </c>
    </row>
    <row r="2224" spans="1:13">
      <c r="A2224" t="s">
        <v>2152</v>
      </c>
      <c r="B2224" t="s">
        <v>2153</v>
      </c>
      <c r="C2224" t="s">
        <v>16</v>
      </c>
      <c r="D2224" t="s">
        <v>21</v>
      </c>
      <c r="E2224" t="s">
        <v>2490</v>
      </c>
      <c r="F2224" t="s">
        <v>2490</v>
      </c>
      <c r="G2224" s="2">
        <v>45679</v>
      </c>
      <c r="H2224" s="2">
        <v>45709</v>
      </c>
      <c r="I2224">
        <v>207.8</v>
      </c>
      <c r="J2224">
        <v>207.8</v>
      </c>
      <c r="K2224" t="s">
        <v>20</v>
      </c>
      <c r="L2224">
        <v>0</v>
      </c>
      <c r="M2224">
        <v>207.8</v>
      </c>
    </row>
    <row r="2225" spans="1:13">
      <c r="A2225" t="s">
        <v>2152</v>
      </c>
      <c r="B2225" t="s">
        <v>2153</v>
      </c>
      <c r="C2225" t="s">
        <v>16</v>
      </c>
      <c r="D2225" t="s">
        <v>21</v>
      </c>
      <c r="E2225" t="s">
        <v>2491</v>
      </c>
      <c r="F2225" t="s">
        <v>2491</v>
      </c>
      <c r="G2225" s="2">
        <v>45679</v>
      </c>
      <c r="H2225" s="2">
        <v>45709</v>
      </c>
      <c r="I2225">
        <v>302.2</v>
      </c>
      <c r="J2225">
        <v>302.2</v>
      </c>
      <c r="K2225" t="s">
        <v>20</v>
      </c>
      <c r="L2225">
        <v>0</v>
      </c>
      <c r="M2225">
        <v>302.2</v>
      </c>
    </row>
    <row r="2226" spans="1:13">
      <c r="A2226" t="s">
        <v>2152</v>
      </c>
      <c r="B2226" t="s">
        <v>2153</v>
      </c>
      <c r="C2226" t="s">
        <v>16</v>
      </c>
      <c r="D2226" t="s">
        <v>21</v>
      </c>
      <c r="E2226" t="s">
        <v>2492</v>
      </c>
      <c r="F2226" t="s">
        <v>2492</v>
      </c>
      <c r="G2226" s="2">
        <v>45679</v>
      </c>
      <c r="H2226" s="2">
        <v>45709</v>
      </c>
      <c r="I2226">
        <v>310</v>
      </c>
      <c r="J2226">
        <v>310</v>
      </c>
      <c r="K2226" t="s">
        <v>20</v>
      </c>
      <c r="L2226">
        <v>0</v>
      </c>
      <c r="M2226">
        <v>310</v>
      </c>
    </row>
    <row r="2227" spans="1:13">
      <c r="A2227" t="s">
        <v>2152</v>
      </c>
      <c r="B2227" t="s">
        <v>2153</v>
      </c>
      <c r="C2227" t="s">
        <v>16</v>
      </c>
      <c r="D2227" t="s">
        <v>21</v>
      </c>
      <c r="E2227" t="s">
        <v>2493</v>
      </c>
      <c r="F2227" t="s">
        <v>2493</v>
      </c>
      <c r="G2227" s="2">
        <v>45679</v>
      </c>
      <c r="H2227" s="2">
        <v>45709</v>
      </c>
      <c r="I2227">
        <v>91.13</v>
      </c>
      <c r="J2227">
        <v>91.13</v>
      </c>
      <c r="K2227" t="s">
        <v>20</v>
      </c>
      <c r="L2227">
        <v>0</v>
      </c>
      <c r="M2227">
        <v>91.13</v>
      </c>
    </row>
    <row r="2228" spans="1:13">
      <c r="A2228" t="s">
        <v>2152</v>
      </c>
      <c r="B2228" t="s">
        <v>2153</v>
      </c>
      <c r="C2228" t="s">
        <v>16</v>
      </c>
      <c r="D2228" t="s">
        <v>21</v>
      </c>
      <c r="E2228" t="s">
        <v>2494</v>
      </c>
      <c r="F2228" t="s">
        <v>2494</v>
      </c>
      <c r="G2228" s="2">
        <v>45679</v>
      </c>
      <c r="H2228" s="2">
        <v>45709</v>
      </c>
      <c r="I2228">
        <v>651.4</v>
      </c>
      <c r="J2228">
        <v>651.4</v>
      </c>
      <c r="K2228" t="s">
        <v>20</v>
      </c>
      <c r="L2228">
        <v>0</v>
      </c>
      <c r="M2228">
        <v>651.4</v>
      </c>
    </row>
    <row r="2229" spans="1:13">
      <c r="A2229" t="s">
        <v>2152</v>
      </c>
      <c r="B2229" t="s">
        <v>2153</v>
      </c>
      <c r="C2229" t="s">
        <v>16</v>
      </c>
      <c r="D2229" t="s">
        <v>21</v>
      </c>
      <c r="E2229" t="s">
        <v>2495</v>
      </c>
      <c r="F2229" t="s">
        <v>2495</v>
      </c>
      <c r="G2229" s="2">
        <v>45679</v>
      </c>
      <c r="H2229" s="2">
        <v>45709</v>
      </c>
      <c r="I2229">
        <v>207.8</v>
      </c>
      <c r="J2229">
        <v>207.8</v>
      </c>
      <c r="K2229" t="s">
        <v>20</v>
      </c>
      <c r="L2229">
        <v>0</v>
      </c>
      <c r="M2229">
        <v>207.8</v>
      </c>
    </row>
    <row r="2230" spans="1:13">
      <c r="A2230" t="s">
        <v>2152</v>
      </c>
      <c r="B2230" t="s">
        <v>2153</v>
      </c>
      <c r="C2230" t="s">
        <v>16</v>
      </c>
      <c r="D2230" t="s">
        <v>21</v>
      </c>
      <c r="E2230" t="s">
        <v>2496</v>
      </c>
      <c r="F2230" t="s">
        <v>2496</v>
      </c>
      <c r="G2230" s="2">
        <v>45679</v>
      </c>
      <c r="H2230" s="2">
        <v>45709</v>
      </c>
      <c r="I2230">
        <v>274.10000000000002</v>
      </c>
      <c r="J2230">
        <v>274.10000000000002</v>
      </c>
      <c r="K2230" t="s">
        <v>20</v>
      </c>
      <c r="L2230">
        <v>0</v>
      </c>
      <c r="M2230">
        <v>274.10000000000002</v>
      </c>
    </row>
    <row r="2231" spans="1:13">
      <c r="A2231" t="s">
        <v>2152</v>
      </c>
      <c r="B2231" t="s">
        <v>2153</v>
      </c>
      <c r="C2231" t="s">
        <v>16</v>
      </c>
      <c r="D2231" t="s">
        <v>21</v>
      </c>
      <c r="E2231" t="s">
        <v>2497</v>
      </c>
      <c r="F2231" t="s">
        <v>2497</v>
      </c>
      <c r="G2231" s="2">
        <v>45679</v>
      </c>
      <c r="H2231" s="2">
        <v>45709</v>
      </c>
      <c r="I2231">
        <v>414.6</v>
      </c>
      <c r="J2231">
        <v>414.6</v>
      </c>
      <c r="K2231" t="s">
        <v>20</v>
      </c>
      <c r="L2231">
        <v>0</v>
      </c>
      <c r="M2231">
        <v>414.6</v>
      </c>
    </row>
    <row r="2232" spans="1:13">
      <c r="A2232" t="s">
        <v>2152</v>
      </c>
      <c r="B2232" t="s">
        <v>2153</v>
      </c>
      <c r="C2232" t="s">
        <v>16</v>
      </c>
      <c r="D2232" t="s">
        <v>21</v>
      </c>
      <c r="E2232" t="s">
        <v>2498</v>
      </c>
      <c r="F2232" t="s">
        <v>2498</v>
      </c>
      <c r="G2232" s="2">
        <v>45679</v>
      </c>
      <c r="H2232" s="2">
        <v>45709</v>
      </c>
      <c r="I2232">
        <v>110.6</v>
      </c>
      <c r="J2232">
        <v>110.6</v>
      </c>
      <c r="K2232" t="s">
        <v>20</v>
      </c>
      <c r="L2232">
        <v>0</v>
      </c>
      <c r="M2232">
        <v>110.6</v>
      </c>
    </row>
    <row r="2233" spans="1:13">
      <c r="A2233" t="s">
        <v>2152</v>
      </c>
      <c r="B2233" t="s">
        <v>2153</v>
      </c>
      <c r="C2233" t="s">
        <v>16</v>
      </c>
      <c r="D2233" t="s">
        <v>21</v>
      </c>
      <c r="E2233" t="s">
        <v>2499</v>
      </c>
      <c r="F2233" t="s">
        <v>2499</v>
      </c>
      <c r="G2233" s="2">
        <v>45679</v>
      </c>
      <c r="H2233" s="2">
        <v>45709</v>
      </c>
      <c r="I2233">
        <v>53.3</v>
      </c>
      <c r="J2233">
        <v>53.3</v>
      </c>
      <c r="K2233" t="s">
        <v>20</v>
      </c>
      <c r="L2233">
        <v>0</v>
      </c>
      <c r="M2233">
        <v>53.3</v>
      </c>
    </row>
    <row r="2234" spans="1:13">
      <c r="A2234" t="s">
        <v>2152</v>
      </c>
      <c r="B2234" t="s">
        <v>2153</v>
      </c>
      <c r="C2234" t="s">
        <v>16</v>
      </c>
      <c r="D2234" t="s">
        <v>21</v>
      </c>
      <c r="E2234" t="s">
        <v>2500</v>
      </c>
      <c r="F2234" t="s">
        <v>2500</v>
      </c>
      <c r="G2234" s="2">
        <v>45679</v>
      </c>
      <c r="H2234" s="2">
        <v>45709</v>
      </c>
      <c r="I2234">
        <v>434.6</v>
      </c>
      <c r="J2234">
        <v>434.6</v>
      </c>
      <c r="K2234" t="s">
        <v>20</v>
      </c>
      <c r="L2234">
        <v>0</v>
      </c>
      <c r="M2234">
        <v>434.6</v>
      </c>
    </row>
    <row r="2235" spans="1:13">
      <c r="A2235" t="s">
        <v>2152</v>
      </c>
      <c r="B2235" t="s">
        <v>2153</v>
      </c>
      <c r="C2235" t="s">
        <v>16</v>
      </c>
      <c r="D2235" t="s">
        <v>21</v>
      </c>
      <c r="E2235" t="s">
        <v>2501</v>
      </c>
      <c r="F2235" t="s">
        <v>2501</v>
      </c>
      <c r="G2235" s="2">
        <v>45680</v>
      </c>
      <c r="H2235" s="2">
        <v>45710</v>
      </c>
      <c r="I2235" s="1">
        <v>1504.2</v>
      </c>
      <c r="J2235">
        <v>1504.2</v>
      </c>
      <c r="K2235" t="s">
        <v>20</v>
      </c>
      <c r="L2235">
        <v>0</v>
      </c>
      <c r="M2235">
        <v>1504.2</v>
      </c>
    </row>
    <row r="2236" spans="1:13">
      <c r="A2236" t="s">
        <v>2152</v>
      </c>
      <c r="B2236" t="s">
        <v>2153</v>
      </c>
      <c r="C2236" t="s">
        <v>16</v>
      </c>
      <c r="D2236" t="s">
        <v>21</v>
      </c>
      <c r="E2236" t="s">
        <v>2502</v>
      </c>
      <c r="F2236" t="s">
        <v>2502</v>
      </c>
      <c r="G2236" s="2">
        <v>45680</v>
      </c>
      <c r="H2236" s="2">
        <v>45710</v>
      </c>
      <c r="I2236" s="1">
        <v>1364</v>
      </c>
      <c r="J2236">
        <v>1364</v>
      </c>
      <c r="K2236" t="s">
        <v>20</v>
      </c>
      <c r="L2236">
        <v>0</v>
      </c>
      <c r="M2236">
        <v>1364</v>
      </c>
    </row>
    <row r="2237" spans="1:13">
      <c r="A2237" t="s">
        <v>2152</v>
      </c>
      <c r="B2237" t="s">
        <v>2153</v>
      </c>
      <c r="C2237" t="s">
        <v>16</v>
      </c>
      <c r="D2237" t="s">
        <v>21</v>
      </c>
      <c r="E2237" t="s">
        <v>2503</v>
      </c>
      <c r="F2237" t="s">
        <v>2503</v>
      </c>
      <c r="G2237" s="2">
        <v>45680</v>
      </c>
      <c r="H2237" s="2">
        <v>45710</v>
      </c>
      <c r="I2237">
        <v>289</v>
      </c>
      <c r="J2237">
        <v>289</v>
      </c>
      <c r="K2237" t="s">
        <v>20</v>
      </c>
      <c r="L2237">
        <v>0</v>
      </c>
      <c r="M2237">
        <v>289</v>
      </c>
    </row>
    <row r="2238" spans="1:13">
      <c r="A2238" t="s">
        <v>2152</v>
      </c>
      <c r="B2238" t="s">
        <v>2153</v>
      </c>
      <c r="C2238" t="s">
        <v>16</v>
      </c>
      <c r="D2238" t="s">
        <v>21</v>
      </c>
      <c r="E2238" t="s">
        <v>2504</v>
      </c>
      <c r="F2238" t="s">
        <v>2504</v>
      </c>
      <c r="G2238" s="2">
        <v>45680</v>
      </c>
      <c r="H2238" s="2">
        <v>45710</v>
      </c>
      <c r="I2238" s="1">
        <v>1104.3</v>
      </c>
      <c r="J2238">
        <v>1104.3</v>
      </c>
      <c r="K2238" t="s">
        <v>20</v>
      </c>
      <c r="L2238">
        <v>0</v>
      </c>
      <c r="M2238">
        <v>1104.3</v>
      </c>
    </row>
    <row r="2239" spans="1:13">
      <c r="A2239" t="s">
        <v>2152</v>
      </c>
      <c r="B2239" t="s">
        <v>2153</v>
      </c>
      <c r="C2239" t="s">
        <v>16</v>
      </c>
      <c r="D2239" t="s">
        <v>21</v>
      </c>
      <c r="E2239" t="s">
        <v>2505</v>
      </c>
      <c r="F2239" t="s">
        <v>2505</v>
      </c>
      <c r="G2239" s="2">
        <v>45680</v>
      </c>
      <c r="H2239" s="2">
        <v>45710</v>
      </c>
      <c r="I2239">
        <v>254</v>
      </c>
      <c r="J2239">
        <v>254</v>
      </c>
      <c r="K2239" t="s">
        <v>20</v>
      </c>
      <c r="L2239">
        <v>0</v>
      </c>
      <c r="M2239">
        <v>254</v>
      </c>
    </row>
    <row r="2240" spans="1:13">
      <c r="A2240" t="s">
        <v>2152</v>
      </c>
      <c r="B2240" t="s">
        <v>2153</v>
      </c>
      <c r="C2240" t="s">
        <v>16</v>
      </c>
      <c r="D2240" t="s">
        <v>21</v>
      </c>
      <c r="E2240" t="s">
        <v>2506</v>
      </c>
      <c r="F2240" t="s">
        <v>2506</v>
      </c>
      <c r="G2240" s="2">
        <v>45680</v>
      </c>
      <c r="H2240" s="2">
        <v>45710</v>
      </c>
      <c r="I2240">
        <v>162</v>
      </c>
      <c r="J2240">
        <v>162</v>
      </c>
      <c r="K2240" t="s">
        <v>20</v>
      </c>
      <c r="L2240">
        <v>0</v>
      </c>
      <c r="M2240">
        <v>162</v>
      </c>
    </row>
    <row r="2241" spans="1:13">
      <c r="A2241" t="s">
        <v>2152</v>
      </c>
      <c r="B2241" t="s">
        <v>2153</v>
      </c>
      <c r="C2241" t="s">
        <v>16</v>
      </c>
      <c r="D2241" t="s">
        <v>21</v>
      </c>
      <c r="E2241" t="s">
        <v>2507</v>
      </c>
      <c r="F2241" t="s">
        <v>2507</v>
      </c>
      <c r="G2241" s="2">
        <v>45680</v>
      </c>
      <c r="H2241" s="2">
        <v>45710</v>
      </c>
      <c r="I2241">
        <v>545</v>
      </c>
      <c r="J2241">
        <v>545</v>
      </c>
      <c r="K2241" t="s">
        <v>20</v>
      </c>
      <c r="L2241">
        <v>0</v>
      </c>
      <c r="M2241">
        <v>545</v>
      </c>
    </row>
    <row r="2242" spans="1:13">
      <c r="A2242" t="s">
        <v>2152</v>
      </c>
      <c r="B2242" t="s">
        <v>2153</v>
      </c>
      <c r="C2242" t="s">
        <v>16</v>
      </c>
      <c r="D2242" t="s">
        <v>21</v>
      </c>
      <c r="E2242" t="s">
        <v>2508</v>
      </c>
      <c r="F2242" t="s">
        <v>2508</v>
      </c>
      <c r="G2242" s="2">
        <v>45680</v>
      </c>
      <c r="H2242" s="2">
        <v>45710</v>
      </c>
      <c r="I2242" s="1">
        <v>1322</v>
      </c>
      <c r="J2242">
        <v>1322</v>
      </c>
      <c r="K2242" t="s">
        <v>20</v>
      </c>
      <c r="L2242">
        <v>0</v>
      </c>
      <c r="M2242">
        <v>1322</v>
      </c>
    </row>
    <row r="2243" spans="1:13">
      <c r="A2243" t="s">
        <v>2152</v>
      </c>
      <c r="B2243" t="s">
        <v>2153</v>
      </c>
      <c r="C2243" t="s">
        <v>16</v>
      </c>
      <c r="D2243" t="s">
        <v>21</v>
      </c>
      <c r="E2243" t="s">
        <v>2509</v>
      </c>
      <c r="F2243" t="s">
        <v>2509</v>
      </c>
      <c r="G2243" s="2">
        <v>45680</v>
      </c>
      <c r="H2243" s="2">
        <v>45710</v>
      </c>
      <c r="I2243" s="1">
        <v>1677.89</v>
      </c>
      <c r="J2243">
        <v>1677.89</v>
      </c>
      <c r="K2243" t="s">
        <v>20</v>
      </c>
      <c r="L2243">
        <v>0</v>
      </c>
      <c r="M2243">
        <v>1677.89</v>
      </c>
    </row>
    <row r="2244" spans="1:13">
      <c r="A2244" t="s">
        <v>2152</v>
      </c>
      <c r="B2244" t="s">
        <v>2153</v>
      </c>
      <c r="C2244" t="s">
        <v>16</v>
      </c>
      <c r="D2244" t="s">
        <v>21</v>
      </c>
      <c r="E2244" t="s">
        <v>2510</v>
      </c>
      <c r="F2244" t="s">
        <v>2510</v>
      </c>
      <c r="G2244" s="2">
        <v>45680</v>
      </c>
      <c r="H2244" s="2">
        <v>45710</v>
      </c>
      <c r="I2244">
        <v>273</v>
      </c>
      <c r="J2244">
        <v>273</v>
      </c>
      <c r="K2244" t="s">
        <v>20</v>
      </c>
      <c r="L2244">
        <v>0</v>
      </c>
      <c r="M2244">
        <v>273</v>
      </c>
    </row>
    <row r="2245" spans="1:13">
      <c r="A2245" t="s">
        <v>2152</v>
      </c>
      <c r="B2245" t="s">
        <v>2153</v>
      </c>
      <c r="C2245" t="s">
        <v>16</v>
      </c>
      <c r="D2245" t="s">
        <v>21</v>
      </c>
      <c r="E2245" t="s">
        <v>2511</v>
      </c>
      <c r="F2245" t="s">
        <v>2511</v>
      </c>
      <c r="G2245" s="2">
        <v>45680</v>
      </c>
      <c r="H2245" s="2">
        <v>45710</v>
      </c>
      <c r="I2245">
        <v>427.02</v>
      </c>
      <c r="J2245">
        <v>427.02</v>
      </c>
      <c r="K2245" t="s">
        <v>20</v>
      </c>
      <c r="L2245">
        <v>0</v>
      </c>
      <c r="M2245">
        <v>427.02</v>
      </c>
    </row>
    <row r="2246" spans="1:13">
      <c r="A2246" t="s">
        <v>2152</v>
      </c>
      <c r="B2246" t="s">
        <v>2153</v>
      </c>
      <c r="C2246" t="s">
        <v>16</v>
      </c>
      <c r="D2246" t="s">
        <v>21</v>
      </c>
      <c r="E2246" t="s">
        <v>2512</v>
      </c>
      <c r="F2246" t="s">
        <v>2512</v>
      </c>
      <c r="G2246" s="2">
        <v>45680</v>
      </c>
      <c r="H2246" s="2">
        <v>45710</v>
      </c>
      <c r="I2246">
        <v>428.1</v>
      </c>
      <c r="J2246">
        <v>428.1</v>
      </c>
      <c r="K2246" t="s">
        <v>20</v>
      </c>
      <c r="L2246">
        <v>0</v>
      </c>
      <c r="M2246">
        <v>428.1</v>
      </c>
    </row>
    <row r="2247" spans="1:13">
      <c r="A2247" t="s">
        <v>2152</v>
      </c>
      <c r="B2247" t="s">
        <v>2153</v>
      </c>
      <c r="C2247" t="s">
        <v>16</v>
      </c>
      <c r="D2247" t="s">
        <v>21</v>
      </c>
      <c r="E2247" t="s">
        <v>2513</v>
      </c>
      <c r="F2247" t="s">
        <v>2513</v>
      </c>
      <c r="G2247" s="2">
        <v>45680</v>
      </c>
      <c r="H2247" s="2">
        <v>45710</v>
      </c>
      <c r="I2247">
        <v>180</v>
      </c>
      <c r="J2247">
        <v>180</v>
      </c>
      <c r="K2247" t="s">
        <v>20</v>
      </c>
      <c r="L2247">
        <v>0</v>
      </c>
      <c r="M2247">
        <v>180</v>
      </c>
    </row>
    <row r="2248" spans="1:13">
      <c r="A2248" t="s">
        <v>2152</v>
      </c>
      <c r="B2248" t="s">
        <v>2153</v>
      </c>
      <c r="C2248" t="s">
        <v>16</v>
      </c>
      <c r="D2248" t="s">
        <v>21</v>
      </c>
      <c r="E2248" t="s">
        <v>2514</v>
      </c>
      <c r="F2248" t="s">
        <v>2514</v>
      </c>
      <c r="G2248" s="2">
        <v>45680</v>
      </c>
      <c r="H2248" s="2">
        <v>45710</v>
      </c>
      <c r="I2248">
        <v>963</v>
      </c>
      <c r="J2248">
        <v>963</v>
      </c>
      <c r="K2248" t="s">
        <v>20</v>
      </c>
      <c r="L2248">
        <v>0</v>
      </c>
      <c r="M2248">
        <v>963</v>
      </c>
    </row>
    <row r="2249" spans="1:13">
      <c r="A2249" t="s">
        <v>2152</v>
      </c>
      <c r="B2249" t="s">
        <v>2153</v>
      </c>
      <c r="C2249" t="s">
        <v>16</v>
      </c>
      <c r="D2249" t="s">
        <v>21</v>
      </c>
      <c r="E2249" t="s">
        <v>2515</v>
      </c>
      <c r="F2249" t="s">
        <v>2515</v>
      </c>
      <c r="G2249" s="2">
        <v>45680</v>
      </c>
      <c r="H2249" s="2">
        <v>45710</v>
      </c>
      <c r="I2249">
        <v>818.53</v>
      </c>
      <c r="J2249">
        <v>818.53</v>
      </c>
      <c r="K2249" t="s">
        <v>20</v>
      </c>
      <c r="L2249">
        <v>0</v>
      </c>
      <c r="M2249">
        <v>818.53</v>
      </c>
    </row>
    <row r="2250" spans="1:13">
      <c r="A2250" t="s">
        <v>2152</v>
      </c>
      <c r="B2250" t="s">
        <v>2153</v>
      </c>
      <c r="C2250" t="s">
        <v>16</v>
      </c>
      <c r="D2250" t="s">
        <v>21</v>
      </c>
      <c r="E2250" t="s">
        <v>2516</v>
      </c>
      <c r="F2250" t="s">
        <v>2516</v>
      </c>
      <c r="G2250" s="2">
        <v>45680</v>
      </c>
      <c r="H2250" s="2">
        <v>45710</v>
      </c>
      <c r="I2250">
        <v>234</v>
      </c>
      <c r="J2250">
        <v>234</v>
      </c>
      <c r="K2250" t="s">
        <v>20</v>
      </c>
      <c r="L2250">
        <v>0</v>
      </c>
      <c r="M2250">
        <v>234</v>
      </c>
    </row>
    <row r="2251" spans="1:13">
      <c r="A2251" t="s">
        <v>2152</v>
      </c>
      <c r="B2251" t="s">
        <v>2153</v>
      </c>
      <c r="C2251" t="s">
        <v>16</v>
      </c>
      <c r="D2251" t="s">
        <v>21</v>
      </c>
      <c r="E2251" t="s">
        <v>2517</v>
      </c>
      <c r="F2251" t="s">
        <v>2517</v>
      </c>
      <c r="G2251" s="2">
        <v>45680</v>
      </c>
      <c r="H2251" s="2">
        <v>45710</v>
      </c>
      <c r="I2251">
        <v>877</v>
      </c>
      <c r="J2251">
        <v>877</v>
      </c>
      <c r="K2251" t="s">
        <v>20</v>
      </c>
      <c r="L2251">
        <v>0</v>
      </c>
      <c r="M2251">
        <v>877</v>
      </c>
    </row>
    <row r="2252" spans="1:13">
      <c r="A2252" t="s">
        <v>2152</v>
      </c>
      <c r="B2252" t="s">
        <v>2153</v>
      </c>
      <c r="C2252" t="s">
        <v>16</v>
      </c>
      <c r="D2252" t="s">
        <v>21</v>
      </c>
      <c r="E2252" t="s">
        <v>2518</v>
      </c>
      <c r="F2252" t="s">
        <v>2518</v>
      </c>
      <c r="G2252" s="2">
        <v>45680</v>
      </c>
      <c r="H2252" s="2">
        <v>45710</v>
      </c>
      <c r="I2252">
        <v>167</v>
      </c>
      <c r="J2252">
        <v>167</v>
      </c>
      <c r="K2252" t="s">
        <v>20</v>
      </c>
      <c r="L2252">
        <v>0</v>
      </c>
      <c r="M2252">
        <v>167</v>
      </c>
    </row>
    <row r="2253" spans="1:13">
      <c r="A2253" t="s">
        <v>2152</v>
      </c>
      <c r="B2253" t="s">
        <v>2153</v>
      </c>
      <c r="C2253" t="s">
        <v>16</v>
      </c>
      <c r="D2253" t="s">
        <v>21</v>
      </c>
      <c r="E2253" t="s">
        <v>2519</v>
      </c>
      <c r="F2253" t="s">
        <v>2519</v>
      </c>
      <c r="G2253" s="2">
        <v>45680</v>
      </c>
      <c r="H2253" s="2">
        <v>45710</v>
      </c>
      <c r="I2253">
        <v>535</v>
      </c>
      <c r="J2253">
        <v>535</v>
      </c>
      <c r="K2253" t="s">
        <v>20</v>
      </c>
      <c r="L2253">
        <v>0</v>
      </c>
      <c r="M2253">
        <v>535</v>
      </c>
    </row>
    <row r="2254" spans="1:13">
      <c r="A2254" t="s">
        <v>2152</v>
      </c>
      <c r="B2254" t="s">
        <v>2153</v>
      </c>
      <c r="C2254" t="s">
        <v>16</v>
      </c>
      <c r="D2254" t="s">
        <v>21</v>
      </c>
      <c r="E2254" t="s">
        <v>2520</v>
      </c>
      <c r="F2254" t="s">
        <v>2520</v>
      </c>
      <c r="G2254" s="2">
        <v>45680</v>
      </c>
      <c r="H2254" s="2">
        <v>45710</v>
      </c>
      <c r="I2254">
        <v>404.6</v>
      </c>
      <c r="J2254">
        <v>404.6</v>
      </c>
      <c r="K2254" t="s">
        <v>20</v>
      </c>
      <c r="L2254">
        <v>0</v>
      </c>
      <c r="M2254">
        <v>404.6</v>
      </c>
    </row>
    <row r="2255" spans="1:13">
      <c r="A2255" t="s">
        <v>2152</v>
      </c>
      <c r="B2255" t="s">
        <v>2153</v>
      </c>
      <c r="C2255" t="s">
        <v>16</v>
      </c>
      <c r="D2255" t="s">
        <v>21</v>
      </c>
      <c r="E2255" t="s">
        <v>2521</v>
      </c>
      <c r="F2255" t="s">
        <v>2521</v>
      </c>
      <c r="G2255" s="2">
        <v>45680</v>
      </c>
      <c r="H2255" s="2">
        <v>45710</v>
      </c>
      <c r="I2255">
        <v>375.8</v>
      </c>
      <c r="J2255">
        <v>375.8</v>
      </c>
      <c r="K2255" t="s">
        <v>20</v>
      </c>
      <c r="L2255">
        <v>0</v>
      </c>
      <c r="M2255">
        <v>375.8</v>
      </c>
    </row>
    <row r="2256" spans="1:13">
      <c r="A2256" t="s">
        <v>2152</v>
      </c>
      <c r="B2256" t="s">
        <v>2153</v>
      </c>
      <c r="C2256" t="s">
        <v>16</v>
      </c>
      <c r="D2256" t="s">
        <v>21</v>
      </c>
      <c r="E2256" t="s">
        <v>2522</v>
      </c>
      <c r="F2256" t="s">
        <v>2522</v>
      </c>
      <c r="G2256" s="2">
        <v>45680</v>
      </c>
      <c r="H2256" s="2">
        <v>45710</v>
      </c>
      <c r="I2256">
        <v>464.9</v>
      </c>
      <c r="J2256">
        <v>464.9</v>
      </c>
      <c r="K2256" t="s">
        <v>20</v>
      </c>
      <c r="L2256">
        <v>0</v>
      </c>
      <c r="M2256">
        <v>464.9</v>
      </c>
    </row>
    <row r="2257" spans="1:13">
      <c r="A2257" t="s">
        <v>2152</v>
      </c>
      <c r="B2257" t="s">
        <v>2153</v>
      </c>
      <c r="C2257" t="s">
        <v>16</v>
      </c>
      <c r="D2257" t="s">
        <v>21</v>
      </c>
      <c r="E2257" t="s">
        <v>2523</v>
      </c>
      <c r="F2257" t="s">
        <v>2523</v>
      </c>
      <c r="G2257" s="2">
        <v>45680</v>
      </c>
      <c r="H2257" s="2">
        <v>45710</v>
      </c>
      <c r="I2257" s="1">
        <v>1017.5</v>
      </c>
      <c r="J2257">
        <v>1017.5</v>
      </c>
      <c r="K2257" t="s">
        <v>20</v>
      </c>
      <c r="L2257">
        <v>0</v>
      </c>
      <c r="M2257">
        <v>1017.5</v>
      </c>
    </row>
    <row r="2258" spans="1:13">
      <c r="A2258" t="s">
        <v>2152</v>
      </c>
      <c r="B2258" t="s">
        <v>2153</v>
      </c>
      <c r="C2258" t="s">
        <v>16</v>
      </c>
      <c r="D2258" t="s">
        <v>21</v>
      </c>
      <c r="E2258" t="s">
        <v>2524</v>
      </c>
      <c r="F2258" t="s">
        <v>2524</v>
      </c>
      <c r="G2258" s="2">
        <v>45680</v>
      </c>
      <c r="H2258" s="2">
        <v>45710</v>
      </c>
      <c r="I2258">
        <v>561.42999999999995</v>
      </c>
      <c r="J2258">
        <v>561.42999999999995</v>
      </c>
      <c r="K2258" t="s">
        <v>20</v>
      </c>
      <c r="L2258">
        <v>0</v>
      </c>
      <c r="M2258">
        <v>561.42999999999995</v>
      </c>
    </row>
    <row r="2259" spans="1:13">
      <c r="A2259" t="s">
        <v>2152</v>
      </c>
      <c r="B2259" t="s">
        <v>2153</v>
      </c>
      <c r="C2259" t="s">
        <v>16</v>
      </c>
      <c r="D2259" t="s">
        <v>21</v>
      </c>
      <c r="E2259" t="s">
        <v>2525</v>
      </c>
      <c r="F2259" t="s">
        <v>2525</v>
      </c>
      <c r="G2259" s="2">
        <v>45680</v>
      </c>
      <c r="H2259" s="2">
        <v>45710</v>
      </c>
      <c r="I2259">
        <v>273.10000000000002</v>
      </c>
      <c r="J2259">
        <v>273.10000000000002</v>
      </c>
      <c r="K2259" t="s">
        <v>20</v>
      </c>
      <c r="L2259">
        <v>0</v>
      </c>
      <c r="M2259">
        <v>273.10000000000002</v>
      </c>
    </row>
    <row r="2260" spans="1:13">
      <c r="A2260" t="s">
        <v>2152</v>
      </c>
      <c r="B2260" t="s">
        <v>2153</v>
      </c>
      <c r="C2260" t="s">
        <v>16</v>
      </c>
      <c r="D2260" t="s">
        <v>21</v>
      </c>
      <c r="E2260" t="s">
        <v>2526</v>
      </c>
      <c r="F2260" t="s">
        <v>2526</v>
      </c>
      <c r="G2260" s="2">
        <v>45680</v>
      </c>
      <c r="H2260" s="2">
        <v>45710</v>
      </c>
      <c r="I2260">
        <v>161.12</v>
      </c>
      <c r="J2260">
        <v>161.12</v>
      </c>
      <c r="K2260" t="s">
        <v>20</v>
      </c>
      <c r="L2260">
        <v>0</v>
      </c>
      <c r="M2260">
        <v>161.12</v>
      </c>
    </row>
    <row r="2261" spans="1:13">
      <c r="A2261" t="s">
        <v>2152</v>
      </c>
      <c r="B2261" t="s">
        <v>2153</v>
      </c>
      <c r="C2261" t="s">
        <v>16</v>
      </c>
      <c r="D2261" t="s">
        <v>21</v>
      </c>
      <c r="E2261" t="s">
        <v>2527</v>
      </c>
      <c r="F2261" t="s">
        <v>2527</v>
      </c>
      <c r="G2261" s="2">
        <v>45680</v>
      </c>
      <c r="H2261" s="2">
        <v>45710</v>
      </c>
      <c r="I2261">
        <v>159.5</v>
      </c>
      <c r="J2261">
        <v>159.5</v>
      </c>
      <c r="K2261" t="s">
        <v>20</v>
      </c>
      <c r="L2261">
        <v>0</v>
      </c>
      <c r="M2261">
        <v>159.5</v>
      </c>
    </row>
    <row r="2262" spans="1:13">
      <c r="A2262" t="s">
        <v>2152</v>
      </c>
      <c r="B2262" t="s">
        <v>2153</v>
      </c>
      <c r="C2262" t="s">
        <v>16</v>
      </c>
      <c r="D2262" t="s">
        <v>21</v>
      </c>
      <c r="E2262" t="s">
        <v>2528</v>
      </c>
      <c r="F2262" t="s">
        <v>2528</v>
      </c>
      <c r="G2262" s="2">
        <v>45680</v>
      </c>
      <c r="H2262" s="2">
        <v>45710</v>
      </c>
      <c r="I2262">
        <v>52.3</v>
      </c>
      <c r="J2262">
        <v>52.3</v>
      </c>
      <c r="K2262" t="s">
        <v>20</v>
      </c>
      <c r="L2262">
        <v>0</v>
      </c>
      <c r="M2262">
        <v>52.3</v>
      </c>
    </row>
    <row r="2263" spans="1:13">
      <c r="A2263" t="s">
        <v>2152</v>
      </c>
      <c r="B2263" t="s">
        <v>2153</v>
      </c>
      <c r="C2263" t="s">
        <v>16</v>
      </c>
      <c r="D2263" t="s">
        <v>21</v>
      </c>
      <c r="E2263" t="s">
        <v>2529</v>
      </c>
      <c r="F2263" t="s">
        <v>2529</v>
      </c>
      <c r="G2263" s="2">
        <v>45680</v>
      </c>
      <c r="H2263" s="2">
        <v>45710</v>
      </c>
      <c r="I2263">
        <v>154.5</v>
      </c>
      <c r="J2263">
        <v>154.5</v>
      </c>
      <c r="K2263" t="s">
        <v>20</v>
      </c>
      <c r="L2263">
        <v>0</v>
      </c>
      <c r="M2263">
        <v>154.5</v>
      </c>
    </row>
    <row r="2264" spans="1:13">
      <c r="A2264" t="s">
        <v>2152</v>
      </c>
      <c r="B2264" t="s">
        <v>2153</v>
      </c>
      <c r="C2264" t="s">
        <v>16</v>
      </c>
      <c r="D2264" t="s">
        <v>21</v>
      </c>
      <c r="E2264" t="s">
        <v>2530</v>
      </c>
      <c r="F2264" t="s">
        <v>2530</v>
      </c>
      <c r="G2264" s="2">
        <v>45680</v>
      </c>
      <c r="H2264" s="2">
        <v>45710</v>
      </c>
      <c r="I2264">
        <v>100.4</v>
      </c>
      <c r="J2264">
        <v>100.4</v>
      </c>
      <c r="K2264" t="s">
        <v>20</v>
      </c>
      <c r="L2264">
        <v>0</v>
      </c>
      <c r="M2264">
        <v>100.4</v>
      </c>
    </row>
    <row r="2265" spans="1:13">
      <c r="A2265" t="s">
        <v>2152</v>
      </c>
      <c r="B2265" t="s">
        <v>2153</v>
      </c>
      <c r="C2265" t="s">
        <v>16</v>
      </c>
      <c r="D2265" t="s">
        <v>21</v>
      </c>
      <c r="E2265" t="s">
        <v>2531</v>
      </c>
      <c r="F2265" t="s">
        <v>2531</v>
      </c>
      <c r="G2265" s="2">
        <v>45680</v>
      </c>
      <c r="H2265" s="2">
        <v>45710</v>
      </c>
      <c r="I2265">
        <v>412.6</v>
      </c>
      <c r="J2265">
        <v>412.6</v>
      </c>
      <c r="K2265" t="s">
        <v>20</v>
      </c>
      <c r="L2265">
        <v>0</v>
      </c>
      <c r="M2265">
        <v>412.6</v>
      </c>
    </row>
    <row r="2266" spans="1:13">
      <c r="A2266" t="s">
        <v>2152</v>
      </c>
      <c r="B2266" t="s">
        <v>2153</v>
      </c>
      <c r="C2266" t="s">
        <v>16</v>
      </c>
      <c r="D2266" t="s">
        <v>21</v>
      </c>
      <c r="E2266" t="s">
        <v>2532</v>
      </c>
      <c r="F2266" t="s">
        <v>2532</v>
      </c>
      <c r="G2266" s="2">
        <v>45680</v>
      </c>
      <c r="H2266" s="2">
        <v>45710</v>
      </c>
      <c r="I2266">
        <v>480.26</v>
      </c>
      <c r="J2266">
        <v>480.26</v>
      </c>
      <c r="K2266" t="s">
        <v>20</v>
      </c>
      <c r="L2266">
        <v>0</v>
      </c>
      <c r="M2266">
        <v>480.26</v>
      </c>
    </row>
    <row r="2267" spans="1:13">
      <c r="A2267" t="s">
        <v>2152</v>
      </c>
      <c r="B2267" t="s">
        <v>2153</v>
      </c>
      <c r="C2267" t="s">
        <v>16</v>
      </c>
      <c r="D2267" t="s">
        <v>21</v>
      </c>
      <c r="E2267" t="s">
        <v>2533</v>
      </c>
      <c r="F2267" t="s">
        <v>2533</v>
      </c>
      <c r="G2267" s="2">
        <v>45680</v>
      </c>
      <c r="H2267" s="2">
        <v>45710</v>
      </c>
      <c r="I2267">
        <v>96.2</v>
      </c>
      <c r="J2267">
        <v>96.2</v>
      </c>
      <c r="K2267" t="s">
        <v>20</v>
      </c>
      <c r="L2267">
        <v>0</v>
      </c>
      <c r="M2267">
        <v>96.2</v>
      </c>
    </row>
    <row r="2268" spans="1:13">
      <c r="A2268" t="s">
        <v>2152</v>
      </c>
      <c r="B2268" t="s">
        <v>2153</v>
      </c>
      <c r="C2268" t="s">
        <v>16</v>
      </c>
      <c r="D2268" t="s">
        <v>21</v>
      </c>
      <c r="E2268" t="s">
        <v>2534</v>
      </c>
      <c r="F2268" t="s">
        <v>2534</v>
      </c>
      <c r="G2268" s="2">
        <v>45680</v>
      </c>
      <c r="H2268" s="2">
        <v>45710</v>
      </c>
      <c r="I2268">
        <v>104.6</v>
      </c>
      <c r="J2268">
        <v>104.6</v>
      </c>
      <c r="K2268" t="s">
        <v>20</v>
      </c>
      <c r="L2268">
        <v>0</v>
      </c>
      <c r="M2268">
        <v>104.6</v>
      </c>
    </row>
    <row r="2269" spans="1:13">
      <c r="A2269" t="s">
        <v>2152</v>
      </c>
      <c r="B2269" t="s">
        <v>2153</v>
      </c>
      <c r="C2269" t="s">
        <v>16</v>
      </c>
      <c r="D2269" t="s">
        <v>21</v>
      </c>
      <c r="E2269" t="s">
        <v>2535</v>
      </c>
      <c r="F2269" t="s">
        <v>2535</v>
      </c>
      <c r="G2269" s="2">
        <v>45680</v>
      </c>
      <c r="H2269" s="2">
        <v>45710</v>
      </c>
      <c r="I2269">
        <v>569.52</v>
      </c>
      <c r="J2269">
        <v>569.52</v>
      </c>
      <c r="K2269" t="s">
        <v>20</v>
      </c>
      <c r="L2269">
        <v>0</v>
      </c>
      <c r="M2269">
        <v>569.52</v>
      </c>
    </row>
    <row r="2270" spans="1:13">
      <c r="A2270" t="s">
        <v>2152</v>
      </c>
      <c r="B2270" t="s">
        <v>2153</v>
      </c>
      <c r="C2270" t="s">
        <v>16</v>
      </c>
      <c r="D2270" t="s">
        <v>21</v>
      </c>
      <c r="E2270" t="s">
        <v>2536</v>
      </c>
      <c r="F2270" t="s">
        <v>2536</v>
      </c>
      <c r="G2270" s="2">
        <v>45680</v>
      </c>
      <c r="H2270" s="2">
        <v>45710</v>
      </c>
      <c r="I2270">
        <v>592.1</v>
      </c>
      <c r="J2270">
        <v>592.1</v>
      </c>
      <c r="K2270" t="s">
        <v>20</v>
      </c>
      <c r="L2270">
        <v>0</v>
      </c>
      <c r="M2270">
        <v>592.1</v>
      </c>
    </row>
    <row r="2271" spans="1:13">
      <c r="A2271" t="s">
        <v>2152</v>
      </c>
      <c r="B2271" t="s">
        <v>2153</v>
      </c>
      <c r="C2271" t="s">
        <v>16</v>
      </c>
      <c r="D2271" t="s">
        <v>21</v>
      </c>
      <c r="E2271" t="s">
        <v>2537</v>
      </c>
      <c r="F2271" t="s">
        <v>2537</v>
      </c>
      <c r="G2271" s="2">
        <v>45681</v>
      </c>
      <c r="H2271" s="2">
        <v>45711</v>
      </c>
      <c r="I2271">
        <v>226.2</v>
      </c>
      <c r="J2271">
        <v>226.2</v>
      </c>
      <c r="K2271" t="s">
        <v>20</v>
      </c>
      <c r="L2271">
        <v>0</v>
      </c>
      <c r="M2271">
        <v>226.2</v>
      </c>
    </row>
    <row r="2272" spans="1:13">
      <c r="A2272" t="s">
        <v>2152</v>
      </c>
      <c r="B2272" t="s">
        <v>2153</v>
      </c>
      <c r="C2272" t="s">
        <v>16</v>
      </c>
      <c r="D2272" t="s">
        <v>21</v>
      </c>
      <c r="E2272" t="s">
        <v>2538</v>
      </c>
      <c r="F2272" t="s">
        <v>2538</v>
      </c>
      <c r="G2272" s="2">
        <v>45681</v>
      </c>
      <c r="H2272" s="2">
        <v>45711</v>
      </c>
      <c r="I2272">
        <v>203.8</v>
      </c>
      <c r="J2272">
        <v>203.8</v>
      </c>
      <c r="K2272" t="s">
        <v>20</v>
      </c>
      <c r="L2272">
        <v>0</v>
      </c>
      <c r="M2272">
        <v>203.8</v>
      </c>
    </row>
    <row r="2273" spans="1:13">
      <c r="A2273" t="s">
        <v>2152</v>
      </c>
      <c r="B2273" t="s">
        <v>2153</v>
      </c>
      <c r="C2273" t="s">
        <v>16</v>
      </c>
      <c r="D2273" t="s">
        <v>21</v>
      </c>
      <c r="E2273" t="s">
        <v>2539</v>
      </c>
      <c r="F2273" t="s">
        <v>2539</v>
      </c>
      <c r="G2273" s="2">
        <v>45681</v>
      </c>
      <c r="H2273" s="2">
        <v>45711</v>
      </c>
      <c r="I2273">
        <v>309</v>
      </c>
      <c r="J2273">
        <v>309</v>
      </c>
      <c r="K2273" t="s">
        <v>20</v>
      </c>
      <c r="L2273">
        <v>0</v>
      </c>
      <c r="M2273">
        <v>309</v>
      </c>
    </row>
    <row r="2274" spans="1:13">
      <c r="A2274" t="s">
        <v>2152</v>
      </c>
      <c r="B2274" t="s">
        <v>2153</v>
      </c>
      <c r="C2274" t="s">
        <v>16</v>
      </c>
      <c r="D2274" t="s">
        <v>21</v>
      </c>
      <c r="E2274" t="s">
        <v>2540</v>
      </c>
      <c r="F2274" t="s">
        <v>2540</v>
      </c>
      <c r="G2274" s="2">
        <v>45681</v>
      </c>
      <c r="H2274" s="2">
        <v>45711</v>
      </c>
      <c r="I2274">
        <v>156.9</v>
      </c>
      <c r="J2274">
        <v>156.9</v>
      </c>
      <c r="K2274" t="s">
        <v>20</v>
      </c>
      <c r="L2274">
        <v>0</v>
      </c>
      <c r="M2274">
        <v>156.9</v>
      </c>
    </row>
    <row r="2275" spans="1:13">
      <c r="A2275" t="s">
        <v>2152</v>
      </c>
      <c r="B2275" t="s">
        <v>2153</v>
      </c>
      <c r="C2275" t="s">
        <v>16</v>
      </c>
      <c r="D2275" t="s">
        <v>21</v>
      </c>
      <c r="E2275" t="s">
        <v>2541</v>
      </c>
      <c r="F2275" t="s">
        <v>2541</v>
      </c>
      <c r="G2275" s="2">
        <v>45681</v>
      </c>
      <c r="H2275" s="2">
        <v>45711</v>
      </c>
      <c r="I2275">
        <v>206.8</v>
      </c>
      <c r="J2275">
        <v>206.8</v>
      </c>
      <c r="K2275" t="s">
        <v>20</v>
      </c>
      <c r="L2275">
        <v>0</v>
      </c>
      <c r="M2275">
        <v>206.8</v>
      </c>
    </row>
    <row r="2276" spans="1:13">
      <c r="A2276" t="s">
        <v>2152</v>
      </c>
      <c r="B2276" t="s">
        <v>2153</v>
      </c>
      <c r="C2276" t="s">
        <v>16</v>
      </c>
      <c r="D2276" t="s">
        <v>21</v>
      </c>
      <c r="E2276" t="s">
        <v>2542</v>
      </c>
      <c r="F2276" t="s">
        <v>2542</v>
      </c>
      <c r="G2276" s="2">
        <v>45681</v>
      </c>
      <c r="H2276" s="2">
        <v>45711</v>
      </c>
      <c r="I2276">
        <v>206.8</v>
      </c>
      <c r="J2276">
        <v>206.8</v>
      </c>
      <c r="K2276" t="s">
        <v>20</v>
      </c>
      <c r="L2276">
        <v>0</v>
      </c>
      <c r="M2276">
        <v>206.8</v>
      </c>
    </row>
    <row r="2277" spans="1:13">
      <c r="A2277" t="s">
        <v>2152</v>
      </c>
      <c r="B2277" t="s">
        <v>2153</v>
      </c>
      <c r="C2277" t="s">
        <v>16</v>
      </c>
      <c r="D2277" t="s">
        <v>21</v>
      </c>
      <c r="E2277" t="s">
        <v>2543</v>
      </c>
      <c r="F2277" t="s">
        <v>2543</v>
      </c>
      <c r="G2277" s="2">
        <v>45681</v>
      </c>
      <c r="H2277" s="2">
        <v>45711</v>
      </c>
      <c r="I2277">
        <v>273.60000000000002</v>
      </c>
      <c r="J2277">
        <v>273.60000000000002</v>
      </c>
      <c r="K2277" t="s">
        <v>20</v>
      </c>
      <c r="L2277">
        <v>0</v>
      </c>
      <c r="M2277">
        <v>273.60000000000002</v>
      </c>
    </row>
    <row r="2278" spans="1:13">
      <c r="A2278" t="s">
        <v>2152</v>
      </c>
      <c r="B2278" t="s">
        <v>2153</v>
      </c>
      <c r="C2278" t="s">
        <v>16</v>
      </c>
      <c r="D2278" t="s">
        <v>21</v>
      </c>
      <c r="E2278" t="s">
        <v>2544</v>
      </c>
      <c r="F2278" t="s">
        <v>2544</v>
      </c>
      <c r="G2278" s="2">
        <v>45681</v>
      </c>
      <c r="H2278" s="2">
        <v>45711</v>
      </c>
      <c r="I2278">
        <v>206.8</v>
      </c>
      <c r="J2278">
        <v>206.8</v>
      </c>
      <c r="K2278" t="s">
        <v>20</v>
      </c>
      <c r="L2278">
        <v>0</v>
      </c>
      <c r="M2278">
        <v>206.8</v>
      </c>
    </row>
    <row r="2279" spans="1:13">
      <c r="A2279" t="s">
        <v>2152</v>
      </c>
      <c r="B2279" t="s">
        <v>2153</v>
      </c>
      <c r="C2279" t="s">
        <v>16</v>
      </c>
      <c r="D2279" t="s">
        <v>21</v>
      </c>
      <c r="E2279" t="s">
        <v>2545</v>
      </c>
      <c r="F2279" t="s">
        <v>2545</v>
      </c>
      <c r="G2279" s="2">
        <v>45681</v>
      </c>
      <c r="H2279" s="2">
        <v>45711</v>
      </c>
      <c r="I2279">
        <v>875.26</v>
      </c>
      <c r="J2279">
        <v>875.26</v>
      </c>
      <c r="K2279" t="s">
        <v>20</v>
      </c>
      <c r="L2279">
        <v>0</v>
      </c>
      <c r="M2279">
        <v>875.26</v>
      </c>
    </row>
    <row r="2280" spans="1:13">
      <c r="A2280" t="s">
        <v>2152</v>
      </c>
      <c r="B2280" t="s">
        <v>2153</v>
      </c>
      <c r="C2280" t="s">
        <v>16</v>
      </c>
      <c r="D2280" t="s">
        <v>21</v>
      </c>
      <c r="E2280" t="s">
        <v>2546</v>
      </c>
      <c r="F2280" t="s">
        <v>2546</v>
      </c>
      <c r="G2280" s="2">
        <v>45684</v>
      </c>
      <c r="H2280" s="2">
        <v>45714</v>
      </c>
      <c r="I2280">
        <v>309.8</v>
      </c>
      <c r="J2280">
        <v>309.8</v>
      </c>
      <c r="K2280" t="s">
        <v>20</v>
      </c>
      <c r="L2280">
        <v>0</v>
      </c>
      <c r="M2280">
        <v>309.8</v>
      </c>
    </row>
    <row r="2281" spans="1:13">
      <c r="A2281" t="s">
        <v>2152</v>
      </c>
      <c r="B2281" t="s">
        <v>2153</v>
      </c>
      <c r="C2281" t="s">
        <v>16</v>
      </c>
      <c r="D2281" t="s">
        <v>21</v>
      </c>
      <c r="E2281" t="s">
        <v>2547</v>
      </c>
      <c r="F2281" t="s">
        <v>2547</v>
      </c>
      <c r="G2281" s="2">
        <v>45684</v>
      </c>
      <c r="H2281" s="2">
        <v>45714</v>
      </c>
      <c r="I2281">
        <v>183.13</v>
      </c>
      <c r="J2281">
        <v>183.13</v>
      </c>
      <c r="K2281" t="s">
        <v>20</v>
      </c>
      <c r="L2281">
        <v>0</v>
      </c>
      <c r="M2281">
        <v>183.13</v>
      </c>
    </row>
    <row r="2282" spans="1:13">
      <c r="A2282" t="s">
        <v>2152</v>
      </c>
      <c r="B2282" t="s">
        <v>2153</v>
      </c>
      <c r="C2282" t="s">
        <v>16</v>
      </c>
      <c r="D2282" t="s">
        <v>21</v>
      </c>
      <c r="E2282" t="s">
        <v>2548</v>
      </c>
      <c r="F2282" t="s">
        <v>2548</v>
      </c>
      <c r="G2282" s="2">
        <v>45684</v>
      </c>
      <c r="H2282" s="2">
        <v>45714</v>
      </c>
      <c r="I2282">
        <v>748</v>
      </c>
      <c r="J2282">
        <v>748</v>
      </c>
      <c r="K2282" t="s">
        <v>20</v>
      </c>
      <c r="L2282">
        <v>0</v>
      </c>
      <c r="M2282">
        <v>748</v>
      </c>
    </row>
    <row r="2283" spans="1:13">
      <c r="A2283" t="s">
        <v>2152</v>
      </c>
      <c r="B2283" t="s">
        <v>2153</v>
      </c>
      <c r="C2283" t="s">
        <v>16</v>
      </c>
      <c r="D2283" t="s">
        <v>21</v>
      </c>
      <c r="E2283" t="s">
        <v>2549</v>
      </c>
      <c r="F2283" t="s">
        <v>2549</v>
      </c>
      <c r="G2283" s="2">
        <v>45684</v>
      </c>
      <c r="H2283" s="2">
        <v>45714</v>
      </c>
      <c r="I2283">
        <v>268.10000000000002</v>
      </c>
      <c r="J2283">
        <v>268.10000000000002</v>
      </c>
      <c r="K2283" t="s">
        <v>20</v>
      </c>
      <c r="L2283">
        <v>0</v>
      </c>
      <c r="M2283">
        <v>268.10000000000002</v>
      </c>
    </row>
    <row r="2284" spans="1:13">
      <c r="A2284" t="s">
        <v>2152</v>
      </c>
      <c r="B2284" t="s">
        <v>2153</v>
      </c>
      <c r="C2284" t="s">
        <v>16</v>
      </c>
      <c r="D2284" t="s">
        <v>21</v>
      </c>
      <c r="E2284" t="s">
        <v>2550</v>
      </c>
      <c r="F2284" t="s">
        <v>2550</v>
      </c>
      <c r="G2284" s="2">
        <v>45684</v>
      </c>
      <c r="H2284" s="2">
        <v>45714</v>
      </c>
      <c r="I2284">
        <v>355.7</v>
      </c>
      <c r="J2284">
        <v>355.7</v>
      </c>
      <c r="K2284" t="s">
        <v>20</v>
      </c>
      <c r="L2284">
        <v>0</v>
      </c>
      <c r="M2284">
        <v>355.7</v>
      </c>
    </row>
    <row r="2285" spans="1:13">
      <c r="A2285" t="s">
        <v>2152</v>
      </c>
      <c r="B2285" t="s">
        <v>2153</v>
      </c>
      <c r="C2285" t="s">
        <v>16</v>
      </c>
      <c r="D2285" t="s">
        <v>21</v>
      </c>
      <c r="E2285" t="s">
        <v>2551</v>
      </c>
      <c r="F2285" t="s">
        <v>2551</v>
      </c>
      <c r="G2285" s="2">
        <v>45684</v>
      </c>
      <c r="H2285" s="2">
        <v>45714</v>
      </c>
      <c r="I2285">
        <v>412.6</v>
      </c>
      <c r="J2285">
        <v>347.35</v>
      </c>
      <c r="K2285" t="s">
        <v>20</v>
      </c>
      <c r="L2285">
        <v>0</v>
      </c>
      <c r="M2285">
        <v>347.35</v>
      </c>
    </row>
    <row r="2286" spans="1:13">
      <c r="A2286" t="s">
        <v>2152</v>
      </c>
      <c r="B2286" t="s">
        <v>2153</v>
      </c>
      <c r="C2286" t="s">
        <v>16</v>
      </c>
      <c r="D2286" t="s">
        <v>17</v>
      </c>
      <c r="E2286" t="s">
        <v>2552</v>
      </c>
      <c r="F2286" t="s">
        <v>2551</v>
      </c>
      <c r="H2286" s="2">
        <v>45720</v>
      </c>
      <c r="I2286">
        <v>-65.25</v>
      </c>
      <c r="J2286" t="s">
        <v>86</v>
      </c>
      <c r="K2286" t="s">
        <v>20</v>
      </c>
      <c r="L2286">
        <v>10</v>
      </c>
      <c r="M2286" t="s">
        <v>86</v>
      </c>
    </row>
    <row r="2287" spans="1:13">
      <c r="A2287" t="s">
        <v>2152</v>
      </c>
      <c r="B2287" t="s">
        <v>2153</v>
      </c>
      <c r="C2287" t="s">
        <v>16</v>
      </c>
      <c r="D2287" t="s">
        <v>21</v>
      </c>
      <c r="E2287" t="s">
        <v>2553</v>
      </c>
      <c r="F2287" t="s">
        <v>2553</v>
      </c>
      <c r="G2287" s="2">
        <v>45684</v>
      </c>
      <c r="H2287" s="2">
        <v>45714</v>
      </c>
      <c r="I2287">
        <v>376.3</v>
      </c>
      <c r="J2287">
        <v>376.3</v>
      </c>
      <c r="K2287" t="s">
        <v>20</v>
      </c>
      <c r="L2287">
        <v>0</v>
      </c>
      <c r="M2287">
        <v>376.3</v>
      </c>
    </row>
    <row r="2288" spans="1:13">
      <c r="A2288" t="s">
        <v>2152</v>
      </c>
      <c r="B2288" t="s">
        <v>2153</v>
      </c>
      <c r="C2288" t="s">
        <v>16</v>
      </c>
      <c r="D2288" t="s">
        <v>21</v>
      </c>
      <c r="E2288" t="s">
        <v>2554</v>
      </c>
      <c r="F2288" t="s">
        <v>2554</v>
      </c>
      <c r="G2288" s="2">
        <v>45684</v>
      </c>
      <c r="H2288" s="2">
        <v>45714</v>
      </c>
      <c r="I2288">
        <v>52.3</v>
      </c>
      <c r="J2288">
        <v>52.3</v>
      </c>
      <c r="K2288" t="s">
        <v>20</v>
      </c>
      <c r="L2288">
        <v>0</v>
      </c>
      <c r="M2288">
        <v>52.3</v>
      </c>
    </row>
    <row r="2289" spans="1:13">
      <c r="A2289" t="s">
        <v>2152</v>
      </c>
      <c r="B2289" t="s">
        <v>2153</v>
      </c>
      <c r="C2289" t="s">
        <v>16</v>
      </c>
      <c r="D2289" t="s">
        <v>21</v>
      </c>
      <c r="E2289" t="s">
        <v>2555</v>
      </c>
      <c r="F2289" t="s">
        <v>2555</v>
      </c>
      <c r="G2289" s="2">
        <v>45685</v>
      </c>
      <c r="H2289" s="2">
        <v>45715</v>
      </c>
      <c r="I2289">
        <v>99.2</v>
      </c>
      <c r="J2289">
        <v>99.2</v>
      </c>
      <c r="K2289" t="s">
        <v>20</v>
      </c>
      <c r="L2289">
        <v>0</v>
      </c>
      <c r="M2289">
        <v>99.2</v>
      </c>
    </row>
    <row r="2290" spans="1:13">
      <c r="A2290" t="s">
        <v>2152</v>
      </c>
      <c r="B2290" t="s">
        <v>2153</v>
      </c>
      <c r="C2290" t="s">
        <v>16</v>
      </c>
      <c r="D2290" t="s">
        <v>21</v>
      </c>
      <c r="E2290" t="s">
        <v>2556</v>
      </c>
      <c r="F2290" t="s">
        <v>2556</v>
      </c>
      <c r="G2290" s="2">
        <v>45685</v>
      </c>
      <c r="H2290" s="2">
        <v>45715</v>
      </c>
      <c r="I2290">
        <v>569.79999999999995</v>
      </c>
      <c r="J2290">
        <v>569.79999999999995</v>
      </c>
      <c r="K2290" t="s">
        <v>20</v>
      </c>
      <c r="L2290">
        <v>0</v>
      </c>
      <c r="M2290">
        <v>569.79999999999995</v>
      </c>
    </row>
    <row r="2291" spans="1:13">
      <c r="A2291" t="s">
        <v>2152</v>
      </c>
      <c r="B2291" t="s">
        <v>2153</v>
      </c>
      <c r="C2291" t="s">
        <v>16</v>
      </c>
      <c r="D2291" t="s">
        <v>21</v>
      </c>
      <c r="E2291" t="s">
        <v>2557</v>
      </c>
      <c r="F2291" t="s">
        <v>2557</v>
      </c>
      <c r="G2291" s="2">
        <v>45685</v>
      </c>
      <c r="H2291" s="2">
        <v>45715</v>
      </c>
      <c r="I2291">
        <v>593.4</v>
      </c>
      <c r="J2291">
        <v>593.4</v>
      </c>
      <c r="K2291" t="s">
        <v>20</v>
      </c>
      <c r="L2291">
        <v>0</v>
      </c>
      <c r="M2291">
        <v>593.4</v>
      </c>
    </row>
    <row r="2292" spans="1:13">
      <c r="A2292" t="s">
        <v>2152</v>
      </c>
      <c r="B2292" t="s">
        <v>2153</v>
      </c>
      <c r="C2292" t="s">
        <v>16</v>
      </c>
      <c r="D2292" t="s">
        <v>21</v>
      </c>
      <c r="E2292" t="s">
        <v>2558</v>
      </c>
      <c r="F2292" t="s">
        <v>2558</v>
      </c>
      <c r="G2292" s="2">
        <v>45685</v>
      </c>
      <c r="H2292" s="2">
        <v>45715</v>
      </c>
      <c r="I2292" s="1">
        <v>1390.2</v>
      </c>
      <c r="J2292">
        <v>1390.2</v>
      </c>
      <c r="K2292" t="s">
        <v>20</v>
      </c>
      <c r="L2292">
        <v>0</v>
      </c>
      <c r="M2292">
        <v>1390.2</v>
      </c>
    </row>
    <row r="2293" spans="1:13">
      <c r="A2293" t="s">
        <v>2152</v>
      </c>
      <c r="B2293" t="s">
        <v>2153</v>
      </c>
      <c r="C2293" t="s">
        <v>16</v>
      </c>
      <c r="D2293" t="s">
        <v>21</v>
      </c>
      <c r="E2293" t="s">
        <v>2559</v>
      </c>
      <c r="F2293" t="s">
        <v>2559</v>
      </c>
      <c r="G2293" s="2">
        <v>45688</v>
      </c>
      <c r="H2293" s="2">
        <v>45718</v>
      </c>
      <c r="I2293">
        <v>419.89</v>
      </c>
      <c r="J2293">
        <v>419.89</v>
      </c>
      <c r="K2293" t="s">
        <v>20</v>
      </c>
      <c r="L2293">
        <v>10</v>
      </c>
      <c r="M2293">
        <v>419.89</v>
      </c>
    </row>
    <row r="2294" spans="1:13">
      <c r="A2294" t="s">
        <v>2152</v>
      </c>
      <c r="B2294" t="s">
        <v>2153</v>
      </c>
      <c r="C2294" t="s">
        <v>16</v>
      </c>
      <c r="D2294" t="s">
        <v>21</v>
      </c>
      <c r="E2294" t="s">
        <v>2560</v>
      </c>
      <c r="F2294" t="s">
        <v>2560</v>
      </c>
      <c r="G2294" s="2">
        <v>45688</v>
      </c>
      <c r="H2294" s="2">
        <v>45718</v>
      </c>
      <c r="I2294" s="1">
        <v>1069</v>
      </c>
      <c r="J2294">
        <v>1069</v>
      </c>
      <c r="K2294" t="s">
        <v>20</v>
      </c>
      <c r="L2294">
        <v>10</v>
      </c>
      <c r="M2294">
        <v>1069</v>
      </c>
    </row>
    <row r="2295" spans="1:13">
      <c r="A2295" t="s">
        <v>2152</v>
      </c>
      <c r="B2295" t="s">
        <v>2153</v>
      </c>
      <c r="C2295" t="s">
        <v>16</v>
      </c>
      <c r="D2295" t="s">
        <v>21</v>
      </c>
      <c r="E2295" t="s">
        <v>2561</v>
      </c>
      <c r="F2295" t="s">
        <v>2561</v>
      </c>
      <c r="G2295" s="2">
        <v>45688</v>
      </c>
      <c r="H2295" s="2">
        <v>45718</v>
      </c>
      <c r="I2295">
        <v>385.7</v>
      </c>
      <c r="J2295">
        <v>385.7</v>
      </c>
      <c r="K2295" t="s">
        <v>20</v>
      </c>
      <c r="L2295">
        <v>10</v>
      </c>
      <c r="M2295">
        <v>385.7</v>
      </c>
    </row>
    <row r="2296" spans="1:13">
      <c r="A2296" t="s">
        <v>2152</v>
      </c>
      <c r="B2296" t="s">
        <v>2153</v>
      </c>
      <c r="C2296" t="s">
        <v>16</v>
      </c>
      <c r="D2296" t="s">
        <v>21</v>
      </c>
      <c r="E2296" t="s">
        <v>2562</v>
      </c>
      <c r="F2296" t="s">
        <v>2562</v>
      </c>
      <c r="G2296" s="2">
        <v>45688</v>
      </c>
      <c r="H2296" s="2">
        <v>45718</v>
      </c>
      <c r="I2296">
        <v>255.1</v>
      </c>
      <c r="J2296">
        <v>255.1</v>
      </c>
      <c r="K2296" t="s">
        <v>20</v>
      </c>
      <c r="L2296">
        <v>10</v>
      </c>
      <c r="M2296">
        <v>255.1</v>
      </c>
    </row>
    <row r="2297" spans="1:13">
      <c r="A2297" t="s">
        <v>2152</v>
      </c>
      <c r="B2297" t="s">
        <v>2153</v>
      </c>
      <c r="C2297" t="s">
        <v>16</v>
      </c>
      <c r="D2297" t="s">
        <v>21</v>
      </c>
      <c r="E2297" t="s">
        <v>2563</v>
      </c>
      <c r="F2297" t="s">
        <v>2563</v>
      </c>
      <c r="G2297" s="2">
        <v>45688</v>
      </c>
      <c r="H2297" s="2">
        <v>45718</v>
      </c>
      <c r="I2297" s="1">
        <v>1128.1600000000001</v>
      </c>
      <c r="J2297">
        <v>1128.1600000000001</v>
      </c>
      <c r="K2297" t="s">
        <v>20</v>
      </c>
      <c r="L2297">
        <v>10</v>
      </c>
      <c r="M2297">
        <v>1128.1600000000001</v>
      </c>
    </row>
    <row r="2298" spans="1:13">
      <c r="A2298" t="s">
        <v>2152</v>
      </c>
      <c r="B2298" t="s">
        <v>2153</v>
      </c>
      <c r="C2298" t="s">
        <v>16</v>
      </c>
      <c r="D2298" t="s">
        <v>21</v>
      </c>
      <c r="E2298" t="s">
        <v>2564</v>
      </c>
      <c r="F2298" t="s">
        <v>2564</v>
      </c>
      <c r="G2298" s="2">
        <v>45688</v>
      </c>
      <c r="H2298" s="2">
        <v>45718</v>
      </c>
      <c r="I2298">
        <v>155.5</v>
      </c>
      <c r="J2298">
        <v>155.5</v>
      </c>
      <c r="K2298" t="s">
        <v>20</v>
      </c>
      <c r="L2298">
        <v>10</v>
      </c>
      <c r="M2298">
        <v>155.5</v>
      </c>
    </row>
    <row r="2299" spans="1:13">
      <c r="A2299" t="s">
        <v>2152</v>
      </c>
      <c r="B2299" t="s">
        <v>2153</v>
      </c>
      <c r="C2299" t="s">
        <v>16</v>
      </c>
      <c r="D2299" t="s">
        <v>21</v>
      </c>
      <c r="E2299" t="s">
        <v>2565</v>
      </c>
      <c r="F2299" t="s">
        <v>2565</v>
      </c>
      <c r="G2299" s="2">
        <v>45688</v>
      </c>
      <c r="H2299" s="2">
        <v>45718</v>
      </c>
      <c r="I2299" s="1">
        <v>1133.0999999999999</v>
      </c>
      <c r="J2299">
        <v>1133.0999999999999</v>
      </c>
      <c r="K2299" t="s">
        <v>20</v>
      </c>
      <c r="L2299">
        <v>10</v>
      </c>
      <c r="M2299">
        <v>1133.0999999999999</v>
      </c>
    </row>
    <row r="2300" spans="1:13">
      <c r="A2300" t="s">
        <v>2152</v>
      </c>
      <c r="B2300" t="s">
        <v>2153</v>
      </c>
      <c r="C2300" t="s">
        <v>16</v>
      </c>
      <c r="D2300" t="s">
        <v>21</v>
      </c>
      <c r="E2300" t="s">
        <v>2566</v>
      </c>
      <c r="F2300" t="s">
        <v>2566</v>
      </c>
      <c r="G2300" s="2">
        <v>45688</v>
      </c>
      <c r="H2300" s="2">
        <v>45718</v>
      </c>
      <c r="I2300">
        <v>457</v>
      </c>
      <c r="J2300">
        <v>457</v>
      </c>
      <c r="K2300" t="s">
        <v>20</v>
      </c>
      <c r="L2300">
        <v>10</v>
      </c>
      <c r="M2300">
        <v>457</v>
      </c>
    </row>
    <row r="2301" spans="1:13">
      <c r="A2301" t="s">
        <v>2152</v>
      </c>
      <c r="B2301" t="s">
        <v>2153</v>
      </c>
      <c r="C2301" t="s">
        <v>16</v>
      </c>
      <c r="D2301" t="s">
        <v>21</v>
      </c>
      <c r="E2301" t="s">
        <v>2567</v>
      </c>
      <c r="F2301" t="s">
        <v>2567</v>
      </c>
      <c r="G2301" s="2">
        <v>45688</v>
      </c>
      <c r="H2301" s="2">
        <v>45718</v>
      </c>
      <c r="I2301">
        <v>448.26</v>
      </c>
      <c r="J2301">
        <v>448.26</v>
      </c>
      <c r="K2301" t="s">
        <v>20</v>
      </c>
      <c r="L2301">
        <v>10</v>
      </c>
      <c r="M2301">
        <v>448.26</v>
      </c>
    </row>
    <row r="2302" spans="1:13">
      <c r="A2302" t="s">
        <v>2152</v>
      </c>
      <c r="B2302" t="s">
        <v>2153</v>
      </c>
      <c r="C2302" t="s">
        <v>16</v>
      </c>
      <c r="D2302" t="s">
        <v>21</v>
      </c>
      <c r="E2302" t="s">
        <v>2568</v>
      </c>
      <c r="F2302" t="s">
        <v>2568</v>
      </c>
      <c r="G2302" s="2">
        <v>45688</v>
      </c>
      <c r="H2302" s="2">
        <v>45718</v>
      </c>
      <c r="I2302">
        <v>509.2</v>
      </c>
      <c r="J2302">
        <v>509.2</v>
      </c>
      <c r="K2302" t="s">
        <v>20</v>
      </c>
      <c r="L2302">
        <v>10</v>
      </c>
      <c r="M2302">
        <v>509.2</v>
      </c>
    </row>
    <row r="2303" spans="1:13">
      <c r="A2303" t="s">
        <v>2152</v>
      </c>
      <c r="B2303" t="s">
        <v>2153</v>
      </c>
      <c r="C2303" t="s">
        <v>16</v>
      </c>
      <c r="D2303" t="s">
        <v>21</v>
      </c>
      <c r="E2303" t="s">
        <v>2569</v>
      </c>
      <c r="F2303" t="s">
        <v>2569</v>
      </c>
      <c r="G2303" s="2">
        <v>45688</v>
      </c>
      <c r="H2303" s="2">
        <v>45718</v>
      </c>
      <c r="I2303">
        <v>216.8</v>
      </c>
      <c r="J2303">
        <v>216.8</v>
      </c>
      <c r="K2303" t="s">
        <v>20</v>
      </c>
      <c r="L2303">
        <v>10</v>
      </c>
      <c r="M2303">
        <v>216.8</v>
      </c>
    </row>
    <row r="2304" spans="1:13">
      <c r="A2304" t="s">
        <v>2152</v>
      </c>
      <c r="B2304" t="s">
        <v>2153</v>
      </c>
      <c r="C2304" t="s">
        <v>16</v>
      </c>
      <c r="D2304" t="s">
        <v>21</v>
      </c>
      <c r="E2304" t="s">
        <v>2570</v>
      </c>
      <c r="F2304" t="s">
        <v>2570</v>
      </c>
      <c r="G2304" s="2">
        <v>45688</v>
      </c>
      <c r="H2304" s="2">
        <v>45718</v>
      </c>
      <c r="I2304">
        <v>261.5</v>
      </c>
      <c r="J2304">
        <v>261.5</v>
      </c>
      <c r="K2304" t="s">
        <v>20</v>
      </c>
      <c r="L2304">
        <v>10</v>
      </c>
      <c r="M2304">
        <v>261.5</v>
      </c>
    </row>
    <row r="2305" spans="1:13">
      <c r="A2305" t="s">
        <v>2152</v>
      </c>
      <c r="B2305" t="s">
        <v>2153</v>
      </c>
      <c r="C2305" t="s">
        <v>16</v>
      </c>
      <c r="D2305" t="s">
        <v>21</v>
      </c>
      <c r="E2305" t="s">
        <v>2571</v>
      </c>
      <c r="F2305" t="s">
        <v>2571</v>
      </c>
      <c r="G2305" s="2">
        <v>45688</v>
      </c>
      <c r="H2305" s="2">
        <v>45718</v>
      </c>
      <c r="I2305">
        <v>365</v>
      </c>
      <c r="J2305">
        <v>365</v>
      </c>
      <c r="K2305" t="s">
        <v>20</v>
      </c>
      <c r="L2305">
        <v>10</v>
      </c>
      <c r="M2305">
        <v>365</v>
      </c>
    </row>
    <row r="2306" spans="1:13">
      <c r="A2306" t="s">
        <v>2152</v>
      </c>
      <c r="B2306" t="s">
        <v>2153</v>
      </c>
      <c r="C2306" t="s">
        <v>16</v>
      </c>
      <c r="D2306" t="s">
        <v>21</v>
      </c>
      <c r="E2306" t="s">
        <v>2572</v>
      </c>
      <c r="F2306" t="s">
        <v>2572</v>
      </c>
      <c r="G2306" s="2">
        <v>45688</v>
      </c>
      <c r="H2306" s="2">
        <v>45718</v>
      </c>
      <c r="I2306">
        <v>376.3</v>
      </c>
      <c r="J2306">
        <v>376.3</v>
      </c>
      <c r="K2306" t="s">
        <v>20</v>
      </c>
      <c r="L2306">
        <v>10</v>
      </c>
      <c r="M2306">
        <v>376.3</v>
      </c>
    </row>
    <row r="2307" spans="1:13">
      <c r="A2307" t="s">
        <v>2152</v>
      </c>
      <c r="B2307" t="s">
        <v>2153</v>
      </c>
      <c r="C2307" t="s">
        <v>16</v>
      </c>
      <c r="D2307" t="s">
        <v>21</v>
      </c>
      <c r="E2307" t="s">
        <v>2573</v>
      </c>
      <c r="F2307" t="s">
        <v>2573</v>
      </c>
      <c r="G2307" s="2">
        <v>45688</v>
      </c>
      <c r="H2307" s="2">
        <v>45718</v>
      </c>
      <c r="I2307">
        <v>847.2</v>
      </c>
      <c r="J2307">
        <v>847.2</v>
      </c>
      <c r="K2307" t="s">
        <v>20</v>
      </c>
      <c r="L2307">
        <v>10</v>
      </c>
      <c r="M2307">
        <v>847.2</v>
      </c>
    </row>
    <row r="2308" spans="1:13">
      <c r="A2308" t="s">
        <v>2152</v>
      </c>
      <c r="B2308" t="s">
        <v>2153</v>
      </c>
      <c r="C2308" t="s">
        <v>16</v>
      </c>
      <c r="D2308" t="s">
        <v>21</v>
      </c>
      <c r="E2308" t="s">
        <v>2574</v>
      </c>
      <c r="F2308" t="s">
        <v>2574</v>
      </c>
      <c r="G2308" s="2">
        <v>45688</v>
      </c>
      <c r="H2308" s="2">
        <v>45718</v>
      </c>
      <c r="I2308">
        <v>286</v>
      </c>
      <c r="J2308">
        <v>286</v>
      </c>
      <c r="K2308" t="s">
        <v>20</v>
      </c>
      <c r="L2308">
        <v>10</v>
      </c>
      <c r="M2308">
        <v>286</v>
      </c>
    </row>
    <row r="2309" spans="1:13">
      <c r="A2309" t="s">
        <v>2152</v>
      </c>
      <c r="B2309" t="s">
        <v>2153</v>
      </c>
      <c r="C2309" t="s">
        <v>16</v>
      </c>
      <c r="D2309" t="s">
        <v>21</v>
      </c>
      <c r="E2309" t="s">
        <v>2575</v>
      </c>
      <c r="F2309" t="s">
        <v>2575</v>
      </c>
      <c r="G2309" s="2">
        <v>45688</v>
      </c>
      <c r="H2309" s="2">
        <v>45718</v>
      </c>
      <c r="I2309" s="1">
        <v>1129</v>
      </c>
      <c r="J2309">
        <v>1129</v>
      </c>
      <c r="K2309" t="s">
        <v>20</v>
      </c>
      <c r="L2309">
        <v>10</v>
      </c>
      <c r="M2309">
        <v>1129</v>
      </c>
    </row>
    <row r="2310" spans="1:13">
      <c r="A2310" t="s">
        <v>2152</v>
      </c>
      <c r="B2310" t="s">
        <v>2153</v>
      </c>
      <c r="C2310" t="s">
        <v>16</v>
      </c>
      <c r="D2310" t="s">
        <v>21</v>
      </c>
      <c r="E2310" t="s">
        <v>2576</v>
      </c>
      <c r="F2310" t="s">
        <v>2576</v>
      </c>
      <c r="G2310" s="2">
        <v>45688</v>
      </c>
      <c r="H2310" s="2">
        <v>45718</v>
      </c>
      <c r="I2310" s="1">
        <v>1358.2</v>
      </c>
      <c r="J2310">
        <v>1358.2</v>
      </c>
      <c r="K2310" t="s">
        <v>20</v>
      </c>
      <c r="L2310">
        <v>10</v>
      </c>
      <c r="M2310">
        <v>1358.2</v>
      </c>
    </row>
    <row r="2311" spans="1:13">
      <c r="A2311" t="s">
        <v>2152</v>
      </c>
      <c r="B2311" t="s">
        <v>2153</v>
      </c>
      <c r="C2311" t="s">
        <v>16</v>
      </c>
      <c r="D2311" t="s">
        <v>21</v>
      </c>
      <c r="E2311" t="s">
        <v>2577</v>
      </c>
      <c r="F2311" t="s">
        <v>2577</v>
      </c>
      <c r="G2311" s="2">
        <v>45688</v>
      </c>
      <c r="H2311" s="2">
        <v>45718</v>
      </c>
      <c r="I2311">
        <v>754.42</v>
      </c>
      <c r="J2311">
        <v>754.42</v>
      </c>
      <c r="K2311" t="s">
        <v>20</v>
      </c>
      <c r="L2311">
        <v>10</v>
      </c>
      <c r="M2311">
        <v>754.42</v>
      </c>
    </row>
    <row r="2312" spans="1:13">
      <c r="A2312" t="s">
        <v>2152</v>
      </c>
      <c r="B2312" t="s">
        <v>2153</v>
      </c>
      <c r="C2312" t="s">
        <v>16</v>
      </c>
      <c r="D2312" t="s">
        <v>21</v>
      </c>
      <c r="E2312" t="s">
        <v>2578</v>
      </c>
      <c r="F2312" t="s">
        <v>2578</v>
      </c>
      <c r="G2312" s="2">
        <v>45688</v>
      </c>
      <c r="H2312" s="2">
        <v>45718</v>
      </c>
      <c r="I2312">
        <v>642.29999999999995</v>
      </c>
      <c r="J2312">
        <v>642.29999999999995</v>
      </c>
      <c r="K2312" t="s">
        <v>20</v>
      </c>
      <c r="L2312">
        <v>10</v>
      </c>
      <c r="M2312">
        <v>642.29999999999995</v>
      </c>
    </row>
    <row r="2313" spans="1:13">
      <c r="A2313" t="s">
        <v>2152</v>
      </c>
      <c r="B2313" t="s">
        <v>2153</v>
      </c>
      <c r="C2313" t="s">
        <v>16</v>
      </c>
      <c r="D2313" t="s">
        <v>21</v>
      </c>
      <c r="E2313" t="s">
        <v>2579</v>
      </c>
      <c r="F2313" t="s">
        <v>2579</v>
      </c>
      <c r="G2313" s="2">
        <v>45688</v>
      </c>
      <c r="H2313" s="2">
        <v>45718</v>
      </c>
      <c r="I2313">
        <v>612.89</v>
      </c>
      <c r="J2313">
        <v>612.89</v>
      </c>
      <c r="K2313" t="s">
        <v>20</v>
      </c>
      <c r="L2313">
        <v>10</v>
      </c>
      <c r="M2313">
        <v>612.89</v>
      </c>
    </row>
    <row r="2314" spans="1:13">
      <c r="A2314" t="s">
        <v>2152</v>
      </c>
      <c r="B2314" t="s">
        <v>2153</v>
      </c>
      <c r="C2314" t="s">
        <v>16</v>
      </c>
      <c r="D2314" t="s">
        <v>21</v>
      </c>
      <c r="E2314" t="s">
        <v>2580</v>
      </c>
      <c r="F2314" t="s">
        <v>2580</v>
      </c>
      <c r="G2314" s="2">
        <v>45688</v>
      </c>
      <c r="H2314" s="2">
        <v>45718</v>
      </c>
      <c r="I2314">
        <v>603.05999999999995</v>
      </c>
      <c r="J2314">
        <v>603.05999999999995</v>
      </c>
      <c r="K2314" t="s">
        <v>20</v>
      </c>
      <c r="L2314">
        <v>10</v>
      </c>
      <c r="M2314">
        <v>603.05999999999995</v>
      </c>
    </row>
    <row r="2315" spans="1:13">
      <c r="A2315" t="s">
        <v>2152</v>
      </c>
      <c r="B2315" t="s">
        <v>2153</v>
      </c>
      <c r="C2315" t="s">
        <v>16</v>
      </c>
      <c r="D2315" t="s">
        <v>21</v>
      </c>
      <c r="E2315" t="s">
        <v>2581</v>
      </c>
      <c r="F2315" t="s">
        <v>2581</v>
      </c>
      <c r="G2315" s="2">
        <v>45688</v>
      </c>
      <c r="H2315" s="2">
        <v>45718</v>
      </c>
      <c r="I2315">
        <v>888</v>
      </c>
      <c r="J2315">
        <v>888</v>
      </c>
      <c r="K2315" t="s">
        <v>20</v>
      </c>
      <c r="L2315">
        <v>10</v>
      </c>
      <c r="M2315">
        <v>888</v>
      </c>
    </row>
    <row r="2316" spans="1:13">
      <c r="A2316" t="s">
        <v>2152</v>
      </c>
      <c r="B2316" t="s">
        <v>2153</v>
      </c>
      <c r="C2316" t="s">
        <v>16</v>
      </c>
      <c r="D2316" t="s">
        <v>21</v>
      </c>
      <c r="E2316" t="s">
        <v>2582</v>
      </c>
      <c r="F2316" t="s">
        <v>2582</v>
      </c>
      <c r="G2316" s="2">
        <v>45688</v>
      </c>
      <c r="H2316" s="2">
        <v>45718</v>
      </c>
      <c r="I2316">
        <v>57.3</v>
      </c>
      <c r="J2316">
        <v>57.3</v>
      </c>
      <c r="K2316" t="s">
        <v>20</v>
      </c>
      <c r="L2316">
        <v>10</v>
      </c>
      <c r="M2316">
        <v>57.3</v>
      </c>
    </row>
    <row r="2317" spans="1:13">
      <c r="A2317" t="s">
        <v>2152</v>
      </c>
      <c r="B2317" t="s">
        <v>2153</v>
      </c>
      <c r="C2317" t="s">
        <v>16</v>
      </c>
      <c r="D2317" t="s">
        <v>21</v>
      </c>
      <c r="E2317" t="s">
        <v>2583</v>
      </c>
      <c r="F2317" t="s">
        <v>2583</v>
      </c>
      <c r="G2317" s="2">
        <v>45688</v>
      </c>
      <c r="H2317" s="2">
        <v>45718</v>
      </c>
      <c r="I2317">
        <v>178</v>
      </c>
      <c r="J2317">
        <v>178</v>
      </c>
      <c r="K2317" t="s">
        <v>20</v>
      </c>
      <c r="L2317">
        <v>10</v>
      </c>
      <c r="M2317">
        <v>178</v>
      </c>
    </row>
    <row r="2318" spans="1:13">
      <c r="A2318" t="s">
        <v>2152</v>
      </c>
      <c r="B2318" t="s">
        <v>2153</v>
      </c>
      <c r="C2318" t="s">
        <v>16</v>
      </c>
      <c r="D2318" t="s">
        <v>21</v>
      </c>
      <c r="E2318" t="s">
        <v>2584</v>
      </c>
      <c r="F2318" t="s">
        <v>2584</v>
      </c>
      <c r="G2318" s="2">
        <v>45688</v>
      </c>
      <c r="H2318" s="2">
        <v>45718</v>
      </c>
      <c r="I2318">
        <v>459</v>
      </c>
      <c r="J2318">
        <v>459</v>
      </c>
      <c r="K2318" t="s">
        <v>20</v>
      </c>
      <c r="L2318">
        <v>10</v>
      </c>
      <c r="M2318">
        <v>459</v>
      </c>
    </row>
    <row r="2319" spans="1:13">
      <c r="A2319" t="s">
        <v>2152</v>
      </c>
      <c r="B2319" t="s">
        <v>2153</v>
      </c>
      <c r="C2319" t="s">
        <v>16</v>
      </c>
      <c r="D2319" t="s">
        <v>21</v>
      </c>
      <c r="E2319" t="s">
        <v>2585</v>
      </c>
      <c r="F2319" t="s">
        <v>2585</v>
      </c>
      <c r="G2319" s="2">
        <v>45688</v>
      </c>
      <c r="H2319" s="2">
        <v>45718</v>
      </c>
      <c r="I2319">
        <v>590.6</v>
      </c>
      <c r="J2319">
        <v>590.6</v>
      </c>
      <c r="K2319" t="s">
        <v>20</v>
      </c>
      <c r="L2319">
        <v>10</v>
      </c>
      <c r="M2319">
        <v>590.6</v>
      </c>
    </row>
    <row r="2320" spans="1:13">
      <c r="A2320" t="s">
        <v>2152</v>
      </c>
      <c r="B2320" t="s">
        <v>2153</v>
      </c>
      <c r="C2320" t="s">
        <v>16</v>
      </c>
      <c r="D2320" t="s">
        <v>21</v>
      </c>
      <c r="E2320" t="s">
        <v>2586</v>
      </c>
      <c r="F2320" t="s">
        <v>2586</v>
      </c>
      <c r="G2320" s="2">
        <v>45688</v>
      </c>
      <c r="H2320" s="2">
        <v>45718</v>
      </c>
      <c r="I2320">
        <v>267</v>
      </c>
      <c r="J2320">
        <v>267</v>
      </c>
      <c r="K2320" t="s">
        <v>20</v>
      </c>
      <c r="L2320">
        <v>10</v>
      </c>
      <c r="M2320">
        <v>267</v>
      </c>
    </row>
    <row r="2321" spans="1:13">
      <c r="A2321" t="s">
        <v>2152</v>
      </c>
      <c r="B2321" t="s">
        <v>2153</v>
      </c>
      <c r="C2321" t="s">
        <v>16</v>
      </c>
      <c r="D2321" t="s">
        <v>21</v>
      </c>
      <c r="E2321" t="s">
        <v>2587</v>
      </c>
      <c r="F2321" t="s">
        <v>2587</v>
      </c>
      <c r="G2321" s="2">
        <v>45688</v>
      </c>
      <c r="H2321" s="2">
        <v>45718</v>
      </c>
      <c r="I2321" s="1">
        <v>1014.6</v>
      </c>
      <c r="J2321">
        <v>1014.6</v>
      </c>
      <c r="K2321" t="s">
        <v>20</v>
      </c>
      <c r="L2321">
        <v>10</v>
      </c>
      <c r="M2321">
        <v>1014.6</v>
      </c>
    </row>
    <row r="2322" spans="1:13">
      <c r="A2322" t="s">
        <v>2152</v>
      </c>
      <c r="B2322" t="s">
        <v>2153</v>
      </c>
      <c r="C2322" t="s">
        <v>16</v>
      </c>
      <c r="D2322" t="s">
        <v>21</v>
      </c>
      <c r="E2322" t="s">
        <v>2588</v>
      </c>
      <c r="F2322" t="s">
        <v>2588</v>
      </c>
      <c r="G2322" s="2">
        <v>45688</v>
      </c>
      <c r="H2322" s="2">
        <v>45718</v>
      </c>
      <c r="I2322">
        <v>365</v>
      </c>
      <c r="J2322">
        <v>365</v>
      </c>
      <c r="K2322" t="s">
        <v>20</v>
      </c>
      <c r="L2322">
        <v>10</v>
      </c>
      <c r="M2322">
        <v>365</v>
      </c>
    </row>
    <row r="2323" spans="1:13">
      <c r="A2323" t="s">
        <v>2152</v>
      </c>
      <c r="B2323" t="s">
        <v>2153</v>
      </c>
      <c r="C2323" t="s">
        <v>16</v>
      </c>
      <c r="D2323" t="s">
        <v>21</v>
      </c>
      <c r="E2323" t="s">
        <v>2589</v>
      </c>
      <c r="F2323" t="s">
        <v>2589</v>
      </c>
      <c r="G2323" s="2">
        <v>45688</v>
      </c>
      <c r="H2323" s="2">
        <v>45718</v>
      </c>
      <c r="I2323" s="1">
        <v>1014.6</v>
      </c>
      <c r="J2323">
        <v>1014.6</v>
      </c>
      <c r="K2323" t="s">
        <v>20</v>
      </c>
      <c r="L2323">
        <v>10</v>
      </c>
      <c r="M2323">
        <v>1014.6</v>
      </c>
    </row>
    <row r="2324" spans="1:13">
      <c r="A2324" t="s">
        <v>2152</v>
      </c>
      <c r="B2324" t="s">
        <v>2153</v>
      </c>
      <c r="C2324" t="s">
        <v>16</v>
      </c>
      <c r="D2324" t="s">
        <v>21</v>
      </c>
      <c r="E2324" t="s">
        <v>2590</v>
      </c>
      <c r="F2324" t="s">
        <v>2590</v>
      </c>
      <c r="G2324" s="2">
        <v>45688</v>
      </c>
      <c r="H2324" s="2">
        <v>45718</v>
      </c>
      <c r="I2324" s="1">
        <v>1673</v>
      </c>
      <c r="J2324">
        <v>1673</v>
      </c>
      <c r="K2324" t="s">
        <v>20</v>
      </c>
      <c r="L2324">
        <v>10</v>
      </c>
      <c r="M2324">
        <v>1673</v>
      </c>
    </row>
    <row r="2325" spans="1:13">
      <c r="A2325" t="s">
        <v>2152</v>
      </c>
      <c r="B2325" t="s">
        <v>2153</v>
      </c>
      <c r="C2325" t="s">
        <v>16</v>
      </c>
      <c r="D2325" t="s">
        <v>21</v>
      </c>
      <c r="E2325" t="s">
        <v>2591</v>
      </c>
      <c r="F2325" t="s">
        <v>2591</v>
      </c>
      <c r="G2325" s="2">
        <v>45688</v>
      </c>
      <c r="H2325" s="2">
        <v>45718</v>
      </c>
      <c r="I2325">
        <v>673.6</v>
      </c>
      <c r="J2325">
        <v>673.6</v>
      </c>
      <c r="K2325" t="s">
        <v>20</v>
      </c>
      <c r="L2325">
        <v>10</v>
      </c>
      <c r="M2325">
        <v>673.6</v>
      </c>
    </row>
    <row r="2326" spans="1:13">
      <c r="A2326" t="s">
        <v>2152</v>
      </c>
      <c r="B2326" t="s">
        <v>2153</v>
      </c>
      <c r="C2326" t="s">
        <v>16</v>
      </c>
      <c r="D2326" t="s">
        <v>21</v>
      </c>
      <c r="E2326" t="s">
        <v>2592</v>
      </c>
      <c r="F2326" t="s">
        <v>2592</v>
      </c>
      <c r="G2326" s="2">
        <v>45688</v>
      </c>
      <c r="H2326" s="2">
        <v>45718</v>
      </c>
      <c r="I2326">
        <v>857.09</v>
      </c>
      <c r="J2326">
        <v>857.09</v>
      </c>
      <c r="K2326" t="s">
        <v>20</v>
      </c>
      <c r="L2326">
        <v>10</v>
      </c>
      <c r="M2326">
        <v>857.09</v>
      </c>
    </row>
    <row r="2327" spans="1:13">
      <c r="A2327" t="s">
        <v>2152</v>
      </c>
      <c r="B2327" t="s">
        <v>2153</v>
      </c>
      <c r="C2327" t="s">
        <v>16</v>
      </c>
      <c r="D2327" t="s">
        <v>21</v>
      </c>
      <c r="E2327" t="s">
        <v>2593</v>
      </c>
      <c r="F2327" t="s">
        <v>2593</v>
      </c>
      <c r="G2327" s="2">
        <v>45688</v>
      </c>
      <c r="H2327" s="2">
        <v>45718</v>
      </c>
      <c r="I2327" s="1">
        <v>1037.9000000000001</v>
      </c>
      <c r="J2327">
        <v>1037.9000000000001</v>
      </c>
      <c r="K2327" t="s">
        <v>20</v>
      </c>
      <c r="L2327">
        <v>10</v>
      </c>
      <c r="M2327">
        <v>1037.9000000000001</v>
      </c>
    </row>
    <row r="2328" spans="1:13">
      <c r="A2328" t="s">
        <v>2152</v>
      </c>
      <c r="B2328" t="s">
        <v>2153</v>
      </c>
      <c r="C2328" t="s">
        <v>16</v>
      </c>
      <c r="D2328" t="s">
        <v>21</v>
      </c>
      <c r="E2328" t="s">
        <v>2594</v>
      </c>
      <c r="F2328" t="s">
        <v>2594</v>
      </c>
      <c r="G2328" s="2">
        <v>45688</v>
      </c>
      <c r="H2328" s="2">
        <v>45718</v>
      </c>
      <c r="I2328">
        <v>734</v>
      </c>
      <c r="J2328">
        <v>734</v>
      </c>
      <c r="K2328" t="s">
        <v>20</v>
      </c>
      <c r="L2328">
        <v>10</v>
      </c>
      <c r="M2328">
        <v>734</v>
      </c>
    </row>
    <row r="2329" spans="1:13">
      <c r="A2329" t="s">
        <v>2152</v>
      </c>
      <c r="B2329" t="s">
        <v>2153</v>
      </c>
      <c r="C2329" t="s">
        <v>16</v>
      </c>
      <c r="D2329" t="s">
        <v>21</v>
      </c>
      <c r="E2329" t="s">
        <v>2595</v>
      </c>
      <c r="F2329" t="s">
        <v>2595</v>
      </c>
      <c r="G2329" s="2">
        <v>45688</v>
      </c>
      <c r="H2329" s="2">
        <v>45718</v>
      </c>
      <c r="I2329">
        <v>585.6</v>
      </c>
      <c r="J2329">
        <v>585.6</v>
      </c>
      <c r="K2329" t="s">
        <v>20</v>
      </c>
      <c r="L2329">
        <v>10</v>
      </c>
      <c r="M2329">
        <v>585.6</v>
      </c>
    </row>
    <row r="2330" spans="1:13">
      <c r="A2330" t="s">
        <v>2152</v>
      </c>
      <c r="B2330" t="s">
        <v>2153</v>
      </c>
      <c r="C2330" t="s">
        <v>16</v>
      </c>
      <c r="D2330" t="s">
        <v>21</v>
      </c>
      <c r="E2330" t="s">
        <v>2596</v>
      </c>
      <c r="F2330" t="s">
        <v>2596</v>
      </c>
      <c r="G2330" s="2">
        <v>45688</v>
      </c>
      <c r="H2330" s="2">
        <v>45718</v>
      </c>
      <c r="I2330">
        <v>534</v>
      </c>
      <c r="J2330">
        <v>534</v>
      </c>
      <c r="K2330" t="s">
        <v>20</v>
      </c>
      <c r="L2330">
        <v>10</v>
      </c>
      <c r="M2330">
        <v>534</v>
      </c>
    </row>
    <row r="2331" spans="1:13">
      <c r="A2331" t="s">
        <v>2152</v>
      </c>
      <c r="B2331" t="s">
        <v>2153</v>
      </c>
      <c r="C2331" t="s">
        <v>16</v>
      </c>
      <c r="D2331" t="s">
        <v>21</v>
      </c>
      <c r="E2331" t="s">
        <v>2597</v>
      </c>
      <c r="F2331" t="s">
        <v>2597</v>
      </c>
      <c r="G2331" s="2">
        <v>45688</v>
      </c>
      <c r="H2331" s="2">
        <v>45718</v>
      </c>
      <c r="I2331">
        <v>718</v>
      </c>
      <c r="J2331">
        <v>718</v>
      </c>
      <c r="K2331" t="s">
        <v>20</v>
      </c>
      <c r="L2331">
        <v>10</v>
      </c>
      <c r="M2331">
        <v>718</v>
      </c>
    </row>
    <row r="2332" spans="1:13">
      <c r="A2332" t="s">
        <v>2152</v>
      </c>
      <c r="B2332" t="s">
        <v>2153</v>
      </c>
      <c r="C2332" t="s">
        <v>16</v>
      </c>
      <c r="D2332" t="s">
        <v>21</v>
      </c>
      <c r="E2332" t="s">
        <v>2598</v>
      </c>
      <c r="F2332" t="s">
        <v>2598</v>
      </c>
      <c r="G2332" s="2">
        <v>45688</v>
      </c>
      <c r="H2332" s="2">
        <v>45718</v>
      </c>
      <c r="I2332">
        <v>412.5</v>
      </c>
      <c r="J2332">
        <v>412.5</v>
      </c>
      <c r="K2332" t="s">
        <v>20</v>
      </c>
      <c r="L2332">
        <v>10</v>
      </c>
      <c r="M2332">
        <v>412.5</v>
      </c>
    </row>
    <row r="2333" spans="1:13">
      <c r="A2333" t="s">
        <v>2152</v>
      </c>
      <c r="B2333" t="s">
        <v>2153</v>
      </c>
      <c r="C2333" t="s">
        <v>16</v>
      </c>
      <c r="D2333" t="s">
        <v>21</v>
      </c>
      <c r="E2333" t="s">
        <v>2599</v>
      </c>
      <c r="F2333" t="s">
        <v>2599</v>
      </c>
      <c r="G2333" s="2">
        <v>45692</v>
      </c>
      <c r="H2333" s="2">
        <v>45722</v>
      </c>
      <c r="I2333">
        <v>51.3</v>
      </c>
      <c r="J2333">
        <v>51.3</v>
      </c>
      <c r="K2333" t="s">
        <v>20</v>
      </c>
      <c r="L2333">
        <v>10</v>
      </c>
      <c r="M2333">
        <v>51.3</v>
      </c>
    </row>
    <row r="2334" spans="1:13">
      <c r="A2334" t="s">
        <v>2152</v>
      </c>
      <c r="B2334" t="s">
        <v>2153</v>
      </c>
      <c r="C2334" t="s">
        <v>16</v>
      </c>
      <c r="D2334" t="s">
        <v>21</v>
      </c>
      <c r="E2334" t="s">
        <v>2600</v>
      </c>
      <c r="F2334" t="s">
        <v>2600</v>
      </c>
      <c r="G2334" s="2">
        <v>45692</v>
      </c>
      <c r="H2334" s="2">
        <v>45722</v>
      </c>
      <c r="I2334">
        <v>746.6</v>
      </c>
      <c r="J2334">
        <v>746.6</v>
      </c>
      <c r="K2334" t="s">
        <v>20</v>
      </c>
      <c r="L2334">
        <v>10</v>
      </c>
      <c r="M2334">
        <v>746.6</v>
      </c>
    </row>
    <row r="2335" spans="1:13">
      <c r="A2335" t="s">
        <v>2152</v>
      </c>
      <c r="B2335" t="s">
        <v>2153</v>
      </c>
      <c r="C2335" t="s">
        <v>16</v>
      </c>
      <c r="D2335" t="s">
        <v>21</v>
      </c>
      <c r="E2335" t="s">
        <v>2601</v>
      </c>
      <c r="F2335" t="s">
        <v>2601</v>
      </c>
      <c r="G2335" s="2">
        <v>45692</v>
      </c>
      <c r="H2335" s="2">
        <v>45722</v>
      </c>
      <c r="I2335">
        <v>91</v>
      </c>
      <c r="J2335">
        <v>91</v>
      </c>
      <c r="K2335" t="s">
        <v>20</v>
      </c>
      <c r="L2335">
        <v>10</v>
      </c>
      <c r="M2335">
        <v>91</v>
      </c>
    </row>
    <row r="2336" spans="1:13">
      <c r="A2336" t="s">
        <v>2152</v>
      </c>
      <c r="B2336" t="s">
        <v>2153</v>
      </c>
      <c r="C2336" t="s">
        <v>16</v>
      </c>
      <c r="D2336" t="s">
        <v>21</v>
      </c>
      <c r="E2336" t="s">
        <v>2602</v>
      </c>
      <c r="F2336" t="s">
        <v>2602</v>
      </c>
      <c r="G2336" s="2">
        <v>45695</v>
      </c>
      <c r="H2336" s="2">
        <v>45725</v>
      </c>
      <c r="I2336">
        <v>792.8</v>
      </c>
      <c r="J2336">
        <v>792.8</v>
      </c>
      <c r="K2336" t="s">
        <v>20</v>
      </c>
      <c r="L2336">
        <v>11</v>
      </c>
      <c r="M2336">
        <v>792.8</v>
      </c>
    </row>
    <row r="2337" spans="1:13">
      <c r="A2337" t="s">
        <v>2152</v>
      </c>
      <c r="B2337" t="s">
        <v>2153</v>
      </c>
      <c r="C2337" t="s">
        <v>16</v>
      </c>
      <c r="D2337" t="s">
        <v>21</v>
      </c>
      <c r="E2337" t="s">
        <v>2603</v>
      </c>
      <c r="F2337" t="s">
        <v>2603</v>
      </c>
      <c r="G2337" s="2">
        <v>45695</v>
      </c>
      <c r="H2337" s="2">
        <v>45725</v>
      </c>
      <c r="I2337">
        <v>224.2</v>
      </c>
      <c r="J2337">
        <v>224.2</v>
      </c>
      <c r="K2337" t="s">
        <v>20</v>
      </c>
      <c r="L2337">
        <v>11</v>
      </c>
      <c r="M2337">
        <v>224.2</v>
      </c>
    </row>
    <row r="2338" spans="1:13">
      <c r="A2338" t="s">
        <v>2152</v>
      </c>
      <c r="B2338" t="s">
        <v>2153</v>
      </c>
      <c r="C2338" t="s">
        <v>16</v>
      </c>
      <c r="D2338" t="s">
        <v>21</v>
      </c>
      <c r="E2338" t="s">
        <v>2604</v>
      </c>
      <c r="F2338" t="s">
        <v>2604</v>
      </c>
      <c r="G2338" s="2">
        <v>45695</v>
      </c>
      <c r="H2338" s="2">
        <v>45725</v>
      </c>
      <c r="I2338">
        <v>715.6</v>
      </c>
      <c r="J2338">
        <v>715.6</v>
      </c>
      <c r="K2338" t="s">
        <v>20</v>
      </c>
      <c r="L2338">
        <v>11</v>
      </c>
      <c r="M2338">
        <v>715.6</v>
      </c>
    </row>
    <row r="2339" spans="1:13">
      <c r="A2339" t="s">
        <v>2152</v>
      </c>
      <c r="B2339" t="s">
        <v>2153</v>
      </c>
      <c r="C2339" t="s">
        <v>16</v>
      </c>
      <c r="D2339" t="s">
        <v>21</v>
      </c>
      <c r="E2339" t="s">
        <v>2605</v>
      </c>
      <c r="F2339" t="s">
        <v>2605</v>
      </c>
      <c r="G2339" s="2">
        <v>45695</v>
      </c>
      <c r="H2339" s="2">
        <v>45725</v>
      </c>
      <c r="I2339">
        <v>104.6</v>
      </c>
      <c r="J2339">
        <v>104.6</v>
      </c>
      <c r="K2339" t="s">
        <v>20</v>
      </c>
      <c r="L2339">
        <v>11</v>
      </c>
      <c r="M2339">
        <v>104.6</v>
      </c>
    </row>
    <row r="2340" spans="1:13">
      <c r="A2340" t="s">
        <v>2152</v>
      </c>
      <c r="B2340" t="s">
        <v>2153</v>
      </c>
      <c r="C2340" t="s">
        <v>16</v>
      </c>
      <c r="D2340" t="s">
        <v>21</v>
      </c>
      <c r="E2340" t="s">
        <v>2606</v>
      </c>
      <c r="F2340" t="s">
        <v>2606</v>
      </c>
      <c r="G2340" s="2">
        <v>45695</v>
      </c>
      <c r="H2340" s="2">
        <v>45725</v>
      </c>
      <c r="I2340">
        <v>492.8</v>
      </c>
      <c r="J2340">
        <v>492.8</v>
      </c>
      <c r="K2340" t="s">
        <v>20</v>
      </c>
      <c r="L2340">
        <v>11</v>
      </c>
      <c r="M2340">
        <v>492.8</v>
      </c>
    </row>
    <row r="2341" spans="1:13">
      <c r="A2341" t="s">
        <v>2152</v>
      </c>
      <c r="B2341" t="s">
        <v>2153</v>
      </c>
      <c r="C2341" t="s">
        <v>16</v>
      </c>
      <c r="D2341" t="s">
        <v>21</v>
      </c>
      <c r="E2341" t="s">
        <v>2607</v>
      </c>
      <c r="F2341" t="s">
        <v>2607</v>
      </c>
      <c r="G2341" s="2">
        <v>45695</v>
      </c>
      <c r="H2341" s="2">
        <v>45725</v>
      </c>
      <c r="I2341" s="1">
        <v>1490</v>
      </c>
      <c r="J2341">
        <v>1490</v>
      </c>
      <c r="K2341" t="s">
        <v>20</v>
      </c>
      <c r="L2341">
        <v>11</v>
      </c>
      <c r="M2341">
        <v>1490</v>
      </c>
    </row>
    <row r="2342" spans="1:13">
      <c r="A2342" t="s">
        <v>2152</v>
      </c>
      <c r="B2342" t="s">
        <v>2153</v>
      </c>
      <c r="C2342" t="s">
        <v>16</v>
      </c>
      <c r="D2342" t="s">
        <v>21</v>
      </c>
      <c r="E2342" t="s">
        <v>2608</v>
      </c>
      <c r="F2342" t="s">
        <v>2608</v>
      </c>
      <c r="G2342" s="2">
        <v>45695</v>
      </c>
      <c r="H2342" s="2">
        <v>45725</v>
      </c>
      <c r="I2342">
        <v>216.8</v>
      </c>
      <c r="J2342">
        <v>216.8</v>
      </c>
      <c r="K2342" t="s">
        <v>20</v>
      </c>
      <c r="L2342">
        <v>11</v>
      </c>
      <c r="M2342">
        <v>216.8</v>
      </c>
    </row>
    <row r="2343" spans="1:13">
      <c r="A2343" t="s">
        <v>2152</v>
      </c>
      <c r="B2343" t="s">
        <v>2153</v>
      </c>
      <c r="C2343" t="s">
        <v>16</v>
      </c>
      <c r="D2343" t="s">
        <v>21</v>
      </c>
      <c r="E2343" t="s">
        <v>2609</v>
      </c>
      <c r="F2343" t="s">
        <v>2609</v>
      </c>
      <c r="G2343" s="2">
        <v>45695</v>
      </c>
      <c r="H2343" s="2">
        <v>45725</v>
      </c>
      <c r="I2343">
        <v>104.6</v>
      </c>
      <c r="J2343">
        <v>104.6</v>
      </c>
      <c r="K2343" t="s">
        <v>20</v>
      </c>
      <c r="L2343">
        <v>11</v>
      </c>
      <c r="M2343">
        <v>104.6</v>
      </c>
    </row>
    <row r="2344" spans="1:13">
      <c r="A2344" t="s">
        <v>2152</v>
      </c>
      <c r="B2344" t="s">
        <v>2153</v>
      </c>
      <c r="C2344" t="s">
        <v>16</v>
      </c>
      <c r="D2344" t="s">
        <v>21</v>
      </c>
      <c r="E2344" t="s">
        <v>2610</v>
      </c>
      <c r="F2344" t="s">
        <v>2610</v>
      </c>
      <c r="G2344" s="2">
        <v>45695</v>
      </c>
      <c r="H2344" s="2">
        <v>45725</v>
      </c>
      <c r="I2344">
        <v>100.4</v>
      </c>
      <c r="J2344">
        <v>100.4</v>
      </c>
      <c r="K2344" t="s">
        <v>20</v>
      </c>
      <c r="L2344">
        <v>11</v>
      </c>
      <c r="M2344">
        <v>100.4</v>
      </c>
    </row>
    <row r="2345" spans="1:13">
      <c r="A2345" t="s">
        <v>2152</v>
      </c>
      <c r="B2345" t="s">
        <v>2153</v>
      </c>
      <c r="C2345" t="s">
        <v>16</v>
      </c>
      <c r="D2345" t="s">
        <v>21</v>
      </c>
      <c r="E2345" t="s">
        <v>2611</v>
      </c>
      <c r="F2345" t="s">
        <v>2611</v>
      </c>
      <c r="G2345" s="2">
        <v>45695</v>
      </c>
      <c r="H2345" s="2">
        <v>45725</v>
      </c>
      <c r="I2345" s="1">
        <v>1006</v>
      </c>
      <c r="J2345">
        <v>1006</v>
      </c>
      <c r="K2345" t="s">
        <v>20</v>
      </c>
      <c r="L2345">
        <v>11</v>
      </c>
      <c r="M2345">
        <v>1006</v>
      </c>
    </row>
    <row r="2346" spans="1:13">
      <c r="A2346" t="s">
        <v>2152</v>
      </c>
      <c r="B2346" t="s">
        <v>2153</v>
      </c>
      <c r="C2346" t="s">
        <v>16</v>
      </c>
      <c r="D2346" t="s">
        <v>21</v>
      </c>
      <c r="E2346" t="s">
        <v>2612</v>
      </c>
      <c r="F2346" t="s">
        <v>2612</v>
      </c>
      <c r="G2346" s="2">
        <v>45695</v>
      </c>
      <c r="H2346" s="2">
        <v>45725</v>
      </c>
      <c r="I2346">
        <v>432.6</v>
      </c>
      <c r="J2346">
        <v>432.6</v>
      </c>
      <c r="K2346" t="s">
        <v>20</v>
      </c>
      <c r="L2346">
        <v>11</v>
      </c>
      <c r="M2346">
        <v>432.6</v>
      </c>
    </row>
    <row r="2347" spans="1:13">
      <c r="A2347" t="s">
        <v>2152</v>
      </c>
      <c r="B2347" t="s">
        <v>2153</v>
      </c>
      <c r="C2347" t="s">
        <v>16</v>
      </c>
      <c r="D2347" t="s">
        <v>21</v>
      </c>
      <c r="E2347" t="s">
        <v>2613</v>
      </c>
      <c r="F2347" t="s">
        <v>2613</v>
      </c>
      <c r="G2347" s="2">
        <v>45695</v>
      </c>
      <c r="H2347" s="2">
        <v>45725</v>
      </c>
      <c r="I2347">
        <v>432.6</v>
      </c>
      <c r="J2347">
        <v>432.6</v>
      </c>
      <c r="K2347" t="s">
        <v>20</v>
      </c>
      <c r="L2347">
        <v>11</v>
      </c>
      <c r="M2347">
        <v>432.6</v>
      </c>
    </row>
    <row r="2348" spans="1:13">
      <c r="A2348" t="s">
        <v>2152</v>
      </c>
      <c r="B2348" t="s">
        <v>2153</v>
      </c>
      <c r="C2348" t="s">
        <v>16</v>
      </c>
      <c r="D2348" t="s">
        <v>21</v>
      </c>
      <c r="E2348" t="s">
        <v>2614</v>
      </c>
      <c r="F2348" t="s">
        <v>2614</v>
      </c>
      <c r="G2348" s="2">
        <v>45695</v>
      </c>
      <c r="H2348" s="2">
        <v>45725</v>
      </c>
      <c r="I2348" s="1">
        <v>1153.7</v>
      </c>
      <c r="J2348">
        <v>1153.7</v>
      </c>
      <c r="K2348" t="s">
        <v>20</v>
      </c>
      <c r="L2348">
        <v>11</v>
      </c>
      <c r="M2348">
        <v>1153.7</v>
      </c>
    </row>
    <row r="2349" spans="1:13">
      <c r="A2349" t="s">
        <v>2152</v>
      </c>
      <c r="B2349" t="s">
        <v>2153</v>
      </c>
      <c r="C2349" t="s">
        <v>16</v>
      </c>
      <c r="D2349" t="s">
        <v>21</v>
      </c>
      <c r="E2349" t="s">
        <v>2615</v>
      </c>
      <c r="F2349" t="s">
        <v>2615</v>
      </c>
      <c r="G2349" s="2">
        <v>45695</v>
      </c>
      <c r="H2349" s="2">
        <v>45725</v>
      </c>
      <c r="I2349">
        <v>306</v>
      </c>
      <c r="J2349">
        <v>306</v>
      </c>
      <c r="K2349" t="s">
        <v>20</v>
      </c>
      <c r="L2349">
        <v>11</v>
      </c>
      <c r="M2349">
        <v>306</v>
      </c>
    </row>
    <row r="2350" spans="1:13">
      <c r="A2350" t="s">
        <v>2152</v>
      </c>
      <c r="B2350" t="s">
        <v>2153</v>
      </c>
      <c r="C2350" t="s">
        <v>16</v>
      </c>
      <c r="D2350" t="s">
        <v>21</v>
      </c>
      <c r="E2350" t="s">
        <v>2616</v>
      </c>
      <c r="F2350" t="s">
        <v>2616</v>
      </c>
      <c r="G2350" s="2">
        <v>45695</v>
      </c>
      <c r="H2350" s="2">
        <v>45725</v>
      </c>
      <c r="I2350">
        <v>412.6</v>
      </c>
      <c r="J2350">
        <v>412.6</v>
      </c>
      <c r="K2350" t="s">
        <v>20</v>
      </c>
      <c r="L2350">
        <v>11</v>
      </c>
      <c r="M2350">
        <v>412.6</v>
      </c>
    </row>
    <row r="2351" spans="1:13">
      <c r="A2351" t="s">
        <v>2152</v>
      </c>
      <c r="B2351" t="s">
        <v>2153</v>
      </c>
      <c r="C2351" t="s">
        <v>16</v>
      </c>
      <c r="D2351" t="s">
        <v>21</v>
      </c>
      <c r="E2351" t="s">
        <v>2617</v>
      </c>
      <c r="F2351" t="s">
        <v>2617</v>
      </c>
      <c r="G2351" s="2">
        <v>45695</v>
      </c>
      <c r="H2351" s="2">
        <v>45725</v>
      </c>
      <c r="I2351">
        <v>963</v>
      </c>
      <c r="J2351">
        <v>963</v>
      </c>
      <c r="K2351" t="s">
        <v>20</v>
      </c>
      <c r="L2351">
        <v>11</v>
      </c>
      <c r="M2351">
        <v>963</v>
      </c>
    </row>
    <row r="2352" spans="1:13">
      <c r="A2352" t="s">
        <v>2152</v>
      </c>
      <c r="B2352" t="s">
        <v>2153</v>
      </c>
      <c r="C2352" t="s">
        <v>16</v>
      </c>
      <c r="D2352" t="s">
        <v>21</v>
      </c>
      <c r="E2352" t="s">
        <v>2618</v>
      </c>
      <c r="F2352" t="s">
        <v>2618</v>
      </c>
      <c r="G2352" s="2">
        <v>45695</v>
      </c>
      <c r="H2352" s="2">
        <v>45725</v>
      </c>
      <c r="I2352">
        <v>594.42999999999995</v>
      </c>
      <c r="J2352">
        <v>594.42999999999995</v>
      </c>
      <c r="K2352" t="s">
        <v>20</v>
      </c>
      <c r="L2352">
        <v>11</v>
      </c>
      <c r="M2352">
        <v>594.42999999999995</v>
      </c>
    </row>
    <row r="2353" spans="1:13">
      <c r="A2353" t="s">
        <v>2152</v>
      </c>
      <c r="B2353" t="s">
        <v>2153</v>
      </c>
      <c r="C2353" t="s">
        <v>16</v>
      </c>
      <c r="D2353" t="s">
        <v>21</v>
      </c>
      <c r="E2353" t="s">
        <v>2619</v>
      </c>
      <c r="F2353" t="s">
        <v>2619</v>
      </c>
      <c r="G2353" s="2">
        <v>45695</v>
      </c>
      <c r="H2353" s="2">
        <v>45725</v>
      </c>
      <c r="I2353">
        <v>57.3</v>
      </c>
      <c r="J2353">
        <v>57.3</v>
      </c>
      <c r="K2353" t="s">
        <v>20</v>
      </c>
      <c r="L2353">
        <v>11</v>
      </c>
      <c r="M2353">
        <v>57.3</v>
      </c>
    </row>
    <row r="2354" spans="1:13">
      <c r="A2354" t="s">
        <v>2152</v>
      </c>
      <c r="B2354" t="s">
        <v>2153</v>
      </c>
      <c r="C2354" t="s">
        <v>16</v>
      </c>
      <c r="D2354" t="s">
        <v>21</v>
      </c>
      <c r="E2354" t="s">
        <v>2620</v>
      </c>
      <c r="F2354" t="s">
        <v>2620</v>
      </c>
      <c r="G2354" s="2">
        <v>45699</v>
      </c>
      <c r="H2354" s="2">
        <v>45729</v>
      </c>
      <c r="I2354">
        <v>412.6</v>
      </c>
      <c r="J2354">
        <v>412.6</v>
      </c>
      <c r="K2354" t="s">
        <v>20</v>
      </c>
      <c r="L2354">
        <v>11</v>
      </c>
      <c r="M2354">
        <v>412.6</v>
      </c>
    </row>
    <row r="2355" spans="1:13">
      <c r="A2355" t="s">
        <v>2152</v>
      </c>
      <c r="B2355" t="s">
        <v>2153</v>
      </c>
      <c r="C2355" t="s">
        <v>16</v>
      </c>
      <c r="D2355" t="s">
        <v>21</v>
      </c>
      <c r="E2355" t="s">
        <v>2621</v>
      </c>
      <c r="F2355" t="s">
        <v>2621</v>
      </c>
      <c r="G2355" s="2">
        <v>45699</v>
      </c>
      <c r="H2355" s="2">
        <v>45729</v>
      </c>
      <c r="I2355">
        <v>157.5</v>
      </c>
      <c r="J2355">
        <v>157.5</v>
      </c>
      <c r="K2355" t="s">
        <v>20</v>
      </c>
      <c r="L2355">
        <v>11</v>
      </c>
      <c r="M2355">
        <v>157.5</v>
      </c>
    </row>
    <row r="2356" spans="1:13">
      <c r="A2356" t="s">
        <v>2152</v>
      </c>
      <c r="B2356" t="s">
        <v>2153</v>
      </c>
      <c r="C2356" t="s">
        <v>16</v>
      </c>
      <c r="D2356" t="s">
        <v>21</v>
      </c>
      <c r="E2356" t="s">
        <v>2622</v>
      </c>
      <c r="F2356" t="s">
        <v>2622</v>
      </c>
      <c r="G2356" s="2">
        <v>45699</v>
      </c>
      <c r="H2356" s="2">
        <v>45729</v>
      </c>
      <c r="I2356">
        <v>225</v>
      </c>
      <c r="J2356">
        <v>225</v>
      </c>
      <c r="K2356" t="s">
        <v>20</v>
      </c>
      <c r="L2356">
        <v>11</v>
      </c>
      <c r="M2356">
        <v>225</v>
      </c>
    </row>
    <row r="2357" spans="1:13">
      <c r="A2357" t="s">
        <v>2152</v>
      </c>
      <c r="B2357" t="s">
        <v>2153</v>
      </c>
      <c r="C2357" t="s">
        <v>16</v>
      </c>
      <c r="D2357" t="s">
        <v>21</v>
      </c>
      <c r="E2357" t="s">
        <v>2623</v>
      </c>
      <c r="F2357" t="s">
        <v>2623</v>
      </c>
      <c r="G2357" s="2">
        <v>45699</v>
      </c>
      <c r="H2357" s="2">
        <v>45729</v>
      </c>
      <c r="I2357">
        <v>272</v>
      </c>
      <c r="J2357">
        <v>272</v>
      </c>
      <c r="K2357" t="s">
        <v>20</v>
      </c>
      <c r="L2357">
        <v>11</v>
      </c>
      <c r="M2357">
        <v>272</v>
      </c>
    </row>
    <row r="2358" spans="1:13">
      <c r="A2358" t="s">
        <v>2152</v>
      </c>
      <c r="B2358" t="s">
        <v>2153</v>
      </c>
      <c r="C2358" t="s">
        <v>16</v>
      </c>
      <c r="D2358" t="s">
        <v>21</v>
      </c>
      <c r="E2358" t="s">
        <v>2624</v>
      </c>
      <c r="F2358" t="s">
        <v>2624</v>
      </c>
      <c r="G2358" s="2">
        <v>45699</v>
      </c>
      <c r="H2358" s="2">
        <v>45729</v>
      </c>
      <c r="I2358">
        <v>144.30000000000001</v>
      </c>
      <c r="J2358">
        <v>144.30000000000001</v>
      </c>
      <c r="K2358" t="s">
        <v>20</v>
      </c>
      <c r="L2358">
        <v>11</v>
      </c>
      <c r="M2358">
        <v>144.30000000000001</v>
      </c>
    </row>
    <row r="2359" spans="1:13">
      <c r="A2359" t="s">
        <v>2152</v>
      </c>
      <c r="B2359" t="s">
        <v>2153</v>
      </c>
      <c r="C2359" t="s">
        <v>16</v>
      </c>
      <c r="D2359" t="s">
        <v>21</v>
      </c>
      <c r="E2359" t="s">
        <v>2625</v>
      </c>
      <c r="F2359" t="s">
        <v>2625</v>
      </c>
      <c r="G2359" s="2">
        <v>45699</v>
      </c>
      <c r="H2359" s="2">
        <v>45729</v>
      </c>
      <c r="I2359" s="1">
        <v>1178.8</v>
      </c>
      <c r="J2359">
        <v>1178.8</v>
      </c>
      <c r="K2359" t="s">
        <v>20</v>
      </c>
      <c r="L2359">
        <v>11</v>
      </c>
      <c r="M2359">
        <v>1178.8</v>
      </c>
    </row>
    <row r="2360" spans="1:13">
      <c r="A2360" t="s">
        <v>2152</v>
      </c>
      <c r="B2360" t="s">
        <v>2153</v>
      </c>
      <c r="C2360" t="s">
        <v>16</v>
      </c>
      <c r="D2360" t="s">
        <v>21</v>
      </c>
      <c r="E2360" t="s">
        <v>2626</v>
      </c>
      <c r="F2360" t="s">
        <v>2626</v>
      </c>
      <c r="G2360" s="2">
        <v>45699</v>
      </c>
      <c r="H2360" s="2">
        <v>45729</v>
      </c>
      <c r="I2360">
        <v>113.6</v>
      </c>
      <c r="J2360">
        <v>113.6</v>
      </c>
      <c r="K2360" t="s">
        <v>20</v>
      </c>
      <c r="L2360">
        <v>11</v>
      </c>
      <c r="M2360">
        <v>113.6</v>
      </c>
    </row>
    <row r="2361" spans="1:13">
      <c r="A2361" t="s">
        <v>2152</v>
      </c>
      <c r="B2361" t="s">
        <v>2153</v>
      </c>
      <c r="C2361" t="s">
        <v>16</v>
      </c>
      <c r="D2361" t="s">
        <v>21</v>
      </c>
      <c r="E2361" t="s">
        <v>2627</v>
      </c>
      <c r="F2361" t="s">
        <v>2627</v>
      </c>
      <c r="G2361" s="2">
        <v>45699</v>
      </c>
      <c r="H2361" s="2">
        <v>45729</v>
      </c>
      <c r="I2361">
        <v>101.6</v>
      </c>
      <c r="J2361">
        <v>101.6</v>
      </c>
      <c r="K2361" t="s">
        <v>20</v>
      </c>
      <c r="L2361">
        <v>11</v>
      </c>
      <c r="M2361">
        <v>101.6</v>
      </c>
    </row>
    <row r="2362" spans="1:13">
      <c r="A2362" t="s">
        <v>2152</v>
      </c>
      <c r="B2362" t="s">
        <v>2153</v>
      </c>
      <c r="C2362" t="s">
        <v>16</v>
      </c>
      <c r="D2362" t="s">
        <v>21</v>
      </c>
      <c r="E2362" t="s">
        <v>2628</v>
      </c>
      <c r="F2362" t="s">
        <v>2628</v>
      </c>
      <c r="G2362" s="2">
        <v>45699</v>
      </c>
      <c r="H2362" s="2">
        <v>45729</v>
      </c>
      <c r="I2362">
        <v>154.5</v>
      </c>
      <c r="J2362">
        <v>154.5</v>
      </c>
      <c r="K2362" t="s">
        <v>20</v>
      </c>
      <c r="L2362">
        <v>11</v>
      </c>
      <c r="M2362">
        <v>154.5</v>
      </c>
    </row>
    <row r="2363" spans="1:13">
      <c r="A2363" t="s">
        <v>2152</v>
      </c>
      <c r="B2363" t="s">
        <v>2153</v>
      </c>
      <c r="C2363" t="s">
        <v>16</v>
      </c>
      <c r="D2363" t="s">
        <v>21</v>
      </c>
      <c r="E2363" t="s">
        <v>2629</v>
      </c>
      <c r="F2363" t="s">
        <v>2629</v>
      </c>
      <c r="G2363" s="2">
        <v>45699</v>
      </c>
      <c r="H2363" s="2">
        <v>45729</v>
      </c>
      <c r="I2363">
        <v>49.3</v>
      </c>
      <c r="J2363">
        <v>49.3</v>
      </c>
      <c r="K2363" t="s">
        <v>20</v>
      </c>
      <c r="L2363">
        <v>11</v>
      </c>
      <c r="M2363">
        <v>49.3</v>
      </c>
    </row>
    <row r="2364" spans="1:13">
      <c r="A2364" t="s">
        <v>2152</v>
      </c>
      <c r="B2364" t="s">
        <v>2153</v>
      </c>
      <c r="C2364" t="s">
        <v>16</v>
      </c>
      <c r="D2364" t="s">
        <v>21</v>
      </c>
      <c r="E2364" t="s">
        <v>2630</v>
      </c>
      <c r="F2364" t="s">
        <v>2630</v>
      </c>
      <c r="G2364" s="2">
        <v>45699</v>
      </c>
      <c r="H2364" s="2">
        <v>45729</v>
      </c>
      <c r="I2364" s="1">
        <v>1063.42</v>
      </c>
      <c r="J2364">
        <v>1063.42</v>
      </c>
      <c r="K2364" t="s">
        <v>20</v>
      </c>
      <c r="L2364">
        <v>11</v>
      </c>
      <c r="M2364">
        <v>1063.42</v>
      </c>
    </row>
    <row r="2365" spans="1:13">
      <c r="A2365" t="s">
        <v>2152</v>
      </c>
      <c r="B2365" t="s">
        <v>2153</v>
      </c>
      <c r="C2365" t="s">
        <v>16</v>
      </c>
      <c r="D2365" t="s">
        <v>21</v>
      </c>
      <c r="E2365" t="s">
        <v>2631</v>
      </c>
      <c r="F2365" t="s">
        <v>2631</v>
      </c>
      <c r="G2365" s="2">
        <v>45699</v>
      </c>
      <c r="H2365" s="2">
        <v>45729</v>
      </c>
      <c r="I2365">
        <v>148</v>
      </c>
      <c r="J2365">
        <v>148</v>
      </c>
      <c r="K2365" t="s">
        <v>20</v>
      </c>
      <c r="L2365">
        <v>11</v>
      </c>
      <c r="M2365">
        <v>148</v>
      </c>
    </row>
    <row r="2366" spans="1:13">
      <c r="A2366" t="s">
        <v>2152</v>
      </c>
      <c r="B2366" t="s">
        <v>2153</v>
      </c>
      <c r="C2366" t="s">
        <v>16</v>
      </c>
      <c r="D2366" t="s">
        <v>21</v>
      </c>
      <c r="E2366" t="s">
        <v>2632</v>
      </c>
      <c r="F2366" t="s">
        <v>2632</v>
      </c>
      <c r="G2366" s="2">
        <v>45699</v>
      </c>
      <c r="H2366" s="2">
        <v>45729</v>
      </c>
      <c r="I2366">
        <v>917</v>
      </c>
      <c r="J2366">
        <v>917</v>
      </c>
      <c r="K2366" t="s">
        <v>20</v>
      </c>
      <c r="L2366">
        <v>11</v>
      </c>
      <c r="M2366">
        <v>917</v>
      </c>
    </row>
    <row r="2367" spans="1:13">
      <c r="A2367" t="s">
        <v>2152</v>
      </c>
      <c r="B2367" t="s">
        <v>2153</v>
      </c>
      <c r="C2367" t="s">
        <v>16</v>
      </c>
      <c r="D2367" t="s">
        <v>21</v>
      </c>
      <c r="E2367" t="s">
        <v>2633</v>
      </c>
      <c r="F2367" t="s">
        <v>2633</v>
      </c>
      <c r="G2367" s="2">
        <v>45699</v>
      </c>
      <c r="H2367" s="2">
        <v>45729</v>
      </c>
      <c r="I2367">
        <v>275</v>
      </c>
      <c r="J2367">
        <v>275</v>
      </c>
      <c r="K2367" t="s">
        <v>20</v>
      </c>
      <c r="L2367">
        <v>11</v>
      </c>
      <c r="M2367">
        <v>275</v>
      </c>
    </row>
    <row r="2368" spans="1:13">
      <c r="A2368" t="s">
        <v>2152</v>
      </c>
      <c r="B2368" t="s">
        <v>2153</v>
      </c>
      <c r="C2368" t="s">
        <v>16</v>
      </c>
      <c r="D2368" t="s">
        <v>21</v>
      </c>
      <c r="E2368" t="s">
        <v>2634</v>
      </c>
      <c r="F2368" t="s">
        <v>2634</v>
      </c>
      <c r="G2368" s="2">
        <v>45699</v>
      </c>
      <c r="H2368" s="2">
        <v>45729</v>
      </c>
      <c r="I2368">
        <v>154.5</v>
      </c>
      <c r="J2368">
        <v>154.5</v>
      </c>
      <c r="K2368" t="s">
        <v>20</v>
      </c>
      <c r="L2368">
        <v>11</v>
      </c>
      <c r="M2368">
        <v>154.5</v>
      </c>
    </row>
    <row r="2369" spans="1:13">
      <c r="A2369" t="s">
        <v>2152</v>
      </c>
      <c r="B2369" t="s">
        <v>2153</v>
      </c>
      <c r="C2369" t="s">
        <v>16</v>
      </c>
      <c r="D2369" t="s">
        <v>21</v>
      </c>
      <c r="E2369" t="s">
        <v>2635</v>
      </c>
      <c r="F2369" t="s">
        <v>2635</v>
      </c>
      <c r="G2369" s="2">
        <v>45699</v>
      </c>
      <c r="H2369" s="2">
        <v>45729</v>
      </c>
      <c r="I2369">
        <v>589</v>
      </c>
      <c r="J2369">
        <v>589</v>
      </c>
      <c r="K2369" t="s">
        <v>20</v>
      </c>
      <c r="L2369">
        <v>11</v>
      </c>
      <c r="M2369">
        <v>589</v>
      </c>
    </row>
    <row r="2370" spans="1:13">
      <c r="A2370" t="s">
        <v>2152</v>
      </c>
      <c r="B2370" t="s">
        <v>2153</v>
      </c>
      <c r="C2370" t="s">
        <v>16</v>
      </c>
      <c r="D2370" t="s">
        <v>21</v>
      </c>
      <c r="E2370" t="s">
        <v>2636</v>
      </c>
      <c r="F2370" t="s">
        <v>2636</v>
      </c>
      <c r="G2370" s="2">
        <v>45699</v>
      </c>
      <c r="H2370" s="2">
        <v>45729</v>
      </c>
      <c r="I2370">
        <v>444</v>
      </c>
      <c r="J2370">
        <v>444</v>
      </c>
      <c r="K2370" t="s">
        <v>20</v>
      </c>
      <c r="L2370">
        <v>11</v>
      </c>
      <c r="M2370">
        <v>444</v>
      </c>
    </row>
    <row r="2371" spans="1:13">
      <c r="A2371" t="s">
        <v>2152</v>
      </c>
      <c r="B2371" t="s">
        <v>2153</v>
      </c>
      <c r="C2371" t="s">
        <v>16</v>
      </c>
      <c r="D2371" t="s">
        <v>21</v>
      </c>
      <c r="E2371" t="s">
        <v>2637</v>
      </c>
      <c r="F2371" t="s">
        <v>2637</v>
      </c>
      <c r="G2371" s="2">
        <v>45699</v>
      </c>
      <c r="H2371" s="2">
        <v>45729</v>
      </c>
      <c r="I2371">
        <v>176.26</v>
      </c>
      <c r="J2371">
        <v>176.26</v>
      </c>
      <c r="K2371" t="s">
        <v>20</v>
      </c>
      <c r="L2371">
        <v>11</v>
      </c>
      <c r="M2371">
        <v>176.26</v>
      </c>
    </row>
    <row r="2372" spans="1:13">
      <c r="A2372" t="s">
        <v>2152</v>
      </c>
      <c r="B2372" t="s">
        <v>2153</v>
      </c>
      <c r="C2372" t="s">
        <v>16</v>
      </c>
      <c r="D2372" t="s">
        <v>21</v>
      </c>
      <c r="E2372" t="s">
        <v>2638</v>
      </c>
      <c r="F2372" t="s">
        <v>2638</v>
      </c>
      <c r="G2372" s="2">
        <v>45699</v>
      </c>
      <c r="H2372" s="2">
        <v>45729</v>
      </c>
      <c r="I2372">
        <v>156.9</v>
      </c>
      <c r="J2372">
        <v>156.9</v>
      </c>
      <c r="K2372" t="s">
        <v>20</v>
      </c>
      <c r="L2372">
        <v>11</v>
      </c>
      <c r="M2372">
        <v>156.9</v>
      </c>
    </row>
    <row r="2373" spans="1:13">
      <c r="A2373" t="s">
        <v>2152</v>
      </c>
      <c r="B2373" t="s">
        <v>2153</v>
      </c>
      <c r="C2373" t="s">
        <v>16</v>
      </c>
      <c r="D2373" t="s">
        <v>21</v>
      </c>
      <c r="E2373" t="s">
        <v>2639</v>
      </c>
      <c r="F2373" t="s">
        <v>2639</v>
      </c>
      <c r="G2373" s="2">
        <v>45699</v>
      </c>
      <c r="H2373" s="2">
        <v>45729</v>
      </c>
      <c r="I2373">
        <v>259.10000000000002</v>
      </c>
      <c r="J2373">
        <v>259.10000000000002</v>
      </c>
      <c r="K2373" t="s">
        <v>20</v>
      </c>
      <c r="L2373">
        <v>11</v>
      </c>
      <c r="M2373">
        <v>259.10000000000002</v>
      </c>
    </row>
    <row r="2374" spans="1:13">
      <c r="A2374" t="s">
        <v>2152</v>
      </c>
      <c r="B2374" t="s">
        <v>2153</v>
      </c>
      <c r="C2374" t="s">
        <v>16</v>
      </c>
      <c r="D2374" t="s">
        <v>21</v>
      </c>
      <c r="E2374" t="s">
        <v>2640</v>
      </c>
      <c r="F2374" t="s">
        <v>2640</v>
      </c>
      <c r="G2374" s="2">
        <v>45699</v>
      </c>
      <c r="H2374" s="2">
        <v>45729</v>
      </c>
      <c r="I2374">
        <v>355.7</v>
      </c>
      <c r="J2374">
        <v>355.7</v>
      </c>
      <c r="K2374" t="s">
        <v>20</v>
      </c>
      <c r="L2374">
        <v>11</v>
      </c>
      <c r="M2374">
        <v>355.7</v>
      </c>
    </row>
    <row r="2375" spans="1:13">
      <c r="A2375" t="s">
        <v>2152</v>
      </c>
      <c r="B2375" t="s">
        <v>2153</v>
      </c>
      <c r="C2375" t="s">
        <v>16</v>
      </c>
      <c r="D2375" t="s">
        <v>21</v>
      </c>
      <c r="E2375" t="s">
        <v>2641</v>
      </c>
      <c r="F2375" t="s">
        <v>2641</v>
      </c>
      <c r="G2375" s="2">
        <v>45699</v>
      </c>
      <c r="H2375" s="2">
        <v>45729</v>
      </c>
      <c r="I2375">
        <v>104.6</v>
      </c>
      <c r="J2375">
        <v>104.6</v>
      </c>
      <c r="K2375" t="s">
        <v>20</v>
      </c>
      <c r="L2375">
        <v>11</v>
      </c>
      <c r="M2375">
        <v>104.6</v>
      </c>
    </row>
    <row r="2376" spans="1:13">
      <c r="A2376" t="s">
        <v>2152</v>
      </c>
      <c r="B2376" t="s">
        <v>2153</v>
      </c>
      <c r="C2376" t="s">
        <v>16</v>
      </c>
      <c r="D2376" t="s">
        <v>21</v>
      </c>
      <c r="E2376" t="s">
        <v>2642</v>
      </c>
      <c r="F2376" t="s">
        <v>2642</v>
      </c>
      <c r="G2376" s="2">
        <v>45699</v>
      </c>
      <c r="H2376" s="2">
        <v>45729</v>
      </c>
      <c r="I2376">
        <v>206.8</v>
      </c>
      <c r="J2376">
        <v>206.8</v>
      </c>
      <c r="K2376" t="s">
        <v>20</v>
      </c>
      <c r="L2376">
        <v>11</v>
      </c>
      <c r="M2376">
        <v>206.8</v>
      </c>
    </row>
    <row r="2377" spans="1:13">
      <c r="A2377" t="s">
        <v>2152</v>
      </c>
      <c r="B2377" t="s">
        <v>2153</v>
      </c>
      <c r="C2377" t="s">
        <v>16</v>
      </c>
      <c r="D2377" t="s">
        <v>21</v>
      </c>
      <c r="E2377" t="s">
        <v>2643</v>
      </c>
      <c r="F2377" t="s">
        <v>2643</v>
      </c>
      <c r="G2377" s="2">
        <v>45699</v>
      </c>
      <c r="H2377" s="2">
        <v>45729</v>
      </c>
      <c r="I2377">
        <v>169.9</v>
      </c>
      <c r="J2377">
        <v>169.9</v>
      </c>
      <c r="K2377" t="s">
        <v>20</v>
      </c>
      <c r="L2377">
        <v>11</v>
      </c>
      <c r="M2377">
        <v>169.9</v>
      </c>
    </row>
    <row r="2378" spans="1:13">
      <c r="A2378" t="s">
        <v>2152</v>
      </c>
      <c r="B2378" t="s">
        <v>2153</v>
      </c>
      <c r="C2378" t="s">
        <v>16</v>
      </c>
      <c r="D2378" t="s">
        <v>21</v>
      </c>
      <c r="E2378" t="s">
        <v>2644</v>
      </c>
      <c r="F2378" t="s">
        <v>2644</v>
      </c>
      <c r="G2378" s="2">
        <v>45699</v>
      </c>
      <c r="H2378" s="2">
        <v>45729</v>
      </c>
      <c r="I2378">
        <v>198</v>
      </c>
      <c r="J2378">
        <v>198</v>
      </c>
      <c r="K2378" t="s">
        <v>20</v>
      </c>
      <c r="L2378">
        <v>11</v>
      </c>
      <c r="M2378">
        <v>198</v>
      </c>
    </row>
    <row r="2379" spans="1:13">
      <c r="A2379" t="s">
        <v>2152</v>
      </c>
      <c r="B2379" t="s">
        <v>2153</v>
      </c>
      <c r="C2379" t="s">
        <v>16</v>
      </c>
      <c r="D2379" t="s">
        <v>21</v>
      </c>
      <c r="E2379" t="s">
        <v>2645</v>
      </c>
      <c r="F2379" t="s">
        <v>2645</v>
      </c>
      <c r="G2379" s="2">
        <v>45699</v>
      </c>
      <c r="H2379" s="2">
        <v>45729</v>
      </c>
      <c r="I2379">
        <v>267.10000000000002</v>
      </c>
      <c r="J2379">
        <v>267.10000000000002</v>
      </c>
      <c r="K2379" t="s">
        <v>20</v>
      </c>
      <c r="L2379">
        <v>11</v>
      </c>
      <c r="M2379">
        <v>267.10000000000002</v>
      </c>
    </row>
    <row r="2380" spans="1:13">
      <c r="A2380" t="s">
        <v>2152</v>
      </c>
      <c r="B2380" t="s">
        <v>2153</v>
      </c>
      <c r="C2380" t="s">
        <v>16</v>
      </c>
      <c r="D2380" t="s">
        <v>21</v>
      </c>
      <c r="E2380" t="s">
        <v>2646</v>
      </c>
      <c r="F2380" t="s">
        <v>2646</v>
      </c>
      <c r="G2380" s="2">
        <v>45699</v>
      </c>
      <c r="H2380" s="2">
        <v>45729</v>
      </c>
      <c r="I2380">
        <v>154.5</v>
      </c>
      <c r="J2380">
        <v>154.5</v>
      </c>
      <c r="K2380" t="s">
        <v>20</v>
      </c>
      <c r="L2380">
        <v>11</v>
      </c>
      <c r="M2380">
        <v>154.5</v>
      </c>
    </row>
    <row r="2381" spans="1:13">
      <c r="A2381" t="s">
        <v>2152</v>
      </c>
      <c r="B2381" t="s">
        <v>2153</v>
      </c>
      <c r="C2381" t="s">
        <v>16</v>
      </c>
      <c r="D2381" t="s">
        <v>21</v>
      </c>
      <c r="E2381" t="s">
        <v>2647</v>
      </c>
      <c r="F2381" t="s">
        <v>2647</v>
      </c>
      <c r="G2381" s="2">
        <v>45699</v>
      </c>
      <c r="H2381" s="2">
        <v>45729</v>
      </c>
      <c r="I2381">
        <v>198.8</v>
      </c>
      <c r="J2381">
        <v>198.8</v>
      </c>
      <c r="K2381" t="s">
        <v>20</v>
      </c>
      <c r="L2381">
        <v>11</v>
      </c>
      <c r="M2381">
        <v>198.8</v>
      </c>
    </row>
    <row r="2382" spans="1:13">
      <c r="A2382" t="s">
        <v>2152</v>
      </c>
      <c r="B2382" t="s">
        <v>2153</v>
      </c>
      <c r="C2382" t="s">
        <v>16</v>
      </c>
      <c r="D2382" t="s">
        <v>21</v>
      </c>
      <c r="E2382" t="s">
        <v>2648</v>
      </c>
      <c r="F2382" t="s">
        <v>2648</v>
      </c>
      <c r="G2382" s="2">
        <v>45700</v>
      </c>
      <c r="H2382" s="2">
        <v>45730</v>
      </c>
      <c r="I2382" s="1">
        <v>2228.6</v>
      </c>
      <c r="J2382">
        <v>2228.6</v>
      </c>
      <c r="K2382" t="s">
        <v>20</v>
      </c>
      <c r="L2382">
        <v>11</v>
      </c>
      <c r="M2382">
        <v>2228.6</v>
      </c>
    </row>
    <row r="2383" spans="1:13">
      <c r="A2383" t="s">
        <v>2152</v>
      </c>
      <c r="B2383" t="s">
        <v>2153</v>
      </c>
      <c r="C2383" t="s">
        <v>16</v>
      </c>
      <c r="D2383" t="s">
        <v>21</v>
      </c>
      <c r="E2383" t="s">
        <v>2649</v>
      </c>
      <c r="F2383" t="s">
        <v>2649</v>
      </c>
      <c r="G2383" s="2">
        <v>45700</v>
      </c>
      <c r="H2383" s="2">
        <v>45730</v>
      </c>
      <c r="I2383">
        <v>239.5</v>
      </c>
      <c r="J2383">
        <v>239.5</v>
      </c>
      <c r="K2383" t="s">
        <v>20</v>
      </c>
      <c r="L2383">
        <v>11</v>
      </c>
      <c r="M2383">
        <v>239.5</v>
      </c>
    </row>
    <row r="2384" spans="1:13">
      <c r="A2384" t="s">
        <v>2152</v>
      </c>
      <c r="B2384" t="s">
        <v>2153</v>
      </c>
      <c r="C2384" t="s">
        <v>16</v>
      </c>
      <c r="D2384" t="s">
        <v>21</v>
      </c>
      <c r="E2384" t="s">
        <v>2650</v>
      </c>
      <c r="F2384" t="s">
        <v>2650</v>
      </c>
      <c r="G2384" s="2">
        <v>45701</v>
      </c>
      <c r="H2384" s="2">
        <v>45731</v>
      </c>
      <c r="I2384">
        <v>274</v>
      </c>
      <c r="J2384">
        <v>274</v>
      </c>
      <c r="K2384" t="s">
        <v>20</v>
      </c>
      <c r="L2384">
        <v>11</v>
      </c>
      <c r="M2384">
        <v>274</v>
      </c>
    </row>
    <row r="2385" spans="1:13">
      <c r="A2385" t="s">
        <v>2152</v>
      </c>
      <c r="B2385" t="s">
        <v>2153</v>
      </c>
      <c r="C2385" t="s">
        <v>16</v>
      </c>
      <c r="D2385" t="s">
        <v>21</v>
      </c>
      <c r="E2385" t="s">
        <v>2651</v>
      </c>
      <c r="F2385" t="s">
        <v>2651</v>
      </c>
      <c r="G2385" s="2">
        <v>45701</v>
      </c>
      <c r="H2385" s="2">
        <v>45731</v>
      </c>
      <c r="I2385">
        <v>440</v>
      </c>
      <c r="J2385">
        <v>440</v>
      </c>
      <c r="K2385" t="s">
        <v>20</v>
      </c>
      <c r="L2385">
        <v>11</v>
      </c>
      <c r="M2385">
        <v>440</v>
      </c>
    </row>
    <row r="2386" spans="1:13">
      <c r="A2386" t="s">
        <v>2152</v>
      </c>
      <c r="B2386" t="s">
        <v>2153</v>
      </c>
      <c r="C2386" t="s">
        <v>16</v>
      </c>
      <c r="D2386" t="s">
        <v>21</v>
      </c>
      <c r="E2386" t="s">
        <v>2652</v>
      </c>
      <c r="F2386" t="s">
        <v>2652</v>
      </c>
      <c r="G2386" s="2">
        <v>45701</v>
      </c>
      <c r="H2386" s="2">
        <v>45731</v>
      </c>
      <c r="I2386">
        <v>582.6</v>
      </c>
      <c r="J2386">
        <v>582.6</v>
      </c>
      <c r="K2386" t="s">
        <v>20</v>
      </c>
      <c r="L2386">
        <v>11</v>
      </c>
      <c r="M2386">
        <v>582.6</v>
      </c>
    </row>
    <row r="2387" spans="1:13">
      <c r="A2387" t="s">
        <v>2152</v>
      </c>
      <c r="B2387" t="s">
        <v>2153</v>
      </c>
      <c r="C2387" t="s">
        <v>16</v>
      </c>
      <c r="D2387" t="s">
        <v>21</v>
      </c>
      <c r="E2387" t="s">
        <v>2653</v>
      </c>
      <c r="F2387" t="s">
        <v>2653</v>
      </c>
      <c r="G2387" s="2">
        <v>45701</v>
      </c>
      <c r="H2387" s="2">
        <v>45731</v>
      </c>
      <c r="I2387">
        <v>868</v>
      </c>
      <c r="J2387">
        <v>868</v>
      </c>
      <c r="K2387" t="s">
        <v>20</v>
      </c>
      <c r="L2387">
        <v>11</v>
      </c>
      <c r="M2387">
        <v>868</v>
      </c>
    </row>
    <row r="2388" spans="1:13">
      <c r="A2388" t="s">
        <v>2152</v>
      </c>
      <c r="B2388" t="s">
        <v>2153</v>
      </c>
      <c r="C2388" t="s">
        <v>16</v>
      </c>
      <c r="D2388" t="s">
        <v>21</v>
      </c>
      <c r="E2388" t="s">
        <v>2654</v>
      </c>
      <c r="F2388" t="s">
        <v>2654</v>
      </c>
      <c r="G2388" s="2">
        <v>45701</v>
      </c>
      <c r="H2388" s="2">
        <v>45731</v>
      </c>
      <c r="I2388">
        <v>267</v>
      </c>
      <c r="J2388">
        <v>267</v>
      </c>
      <c r="K2388" t="s">
        <v>20</v>
      </c>
      <c r="L2388">
        <v>11</v>
      </c>
      <c r="M2388">
        <v>267</v>
      </c>
    </row>
    <row r="2389" spans="1:13">
      <c r="A2389" t="s">
        <v>2152</v>
      </c>
      <c r="B2389" t="s">
        <v>2153</v>
      </c>
      <c r="C2389" t="s">
        <v>16</v>
      </c>
      <c r="D2389" t="s">
        <v>21</v>
      </c>
      <c r="E2389" t="s">
        <v>2655</v>
      </c>
      <c r="F2389" t="s">
        <v>2655</v>
      </c>
      <c r="G2389" s="2">
        <v>45701</v>
      </c>
      <c r="H2389" s="2">
        <v>45731</v>
      </c>
      <c r="I2389" s="1">
        <v>1885.3</v>
      </c>
      <c r="J2389">
        <v>1885.3</v>
      </c>
      <c r="K2389" t="s">
        <v>20</v>
      </c>
      <c r="L2389">
        <v>11</v>
      </c>
      <c r="M2389">
        <v>1885.3</v>
      </c>
    </row>
    <row r="2390" spans="1:13">
      <c r="A2390" t="s">
        <v>2152</v>
      </c>
      <c r="B2390" t="s">
        <v>2153</v>
      </c>
      <c r="C2390" t="s">
        <v>16</v>
      </c>
      <c r="D2390" t="s">
        <v>21</v>
      </c>
      <c r="E2390" t="s">
        <v>2656</v>
      </c>
      <c r="F2390" t="s">
        <v>2656</v>
      </c>
      <c r="G2390" s="2">
        <v>45701</v>
      </c>
      <c r="H2390" s="2">
        <v>45731</v>
      </c>
      <c r="I2390">
        <v>144.43</v>
      </c>
      <c r="J2390">
        <v>144.43</v>
      </c>
      <c r="K2390" t="s">
        <v>20</v>
      </c>
      <c r="L2390">
        <v>11</v>
      </c>
      <c r="M2390">
        <v>144.43</v>
      </c>
    </row>
    <row r="2391" spans="1:13">
      <c r="A2391" t="s">
        <v>2152</v>
      </c>
      <c r="B2391" t="s">
        <v>2153</v>
      </c>
      <c r="C2391" t="s">
        <v>16</v>
      </c>
      <c r="D2391" t="s">
        <v>21</v>
      </c>
      <c r="E2391" t="s">
        <v>2657</v>
      </c>
      <c r="F2391" t="s">
        <v>2657</v>
      </c>
      <c r="G2391" s="2">
        <v>45701</v>
      </c>
      <c r="H2391" s="2">
        <v>45731</v>
      </c>
      <c r="I2391">
        <v>57.3</v>
      </c>
      <c r="J2391">
        <v>57.3</v>
      </c>
      <c r="K2391" t="s">
        <v>20</v>
      </c>
      <c r="L2391">
        <v>11</v>
      </c>
      <c r="M2391">
        <v>57.3</v>
      </c>
    </row>
    <row r="2392" spans="1:13">
      <c r="A2392" t="s">
        <v>2152</v>
      </c>
      <c r="B2392" t="s">
        <v>2153</v>
      </c>
      <c r="C2392" t="s">
        <v>16</v>
      </c>
      <c r="D2392" t="s">
        <v>21</v>
      </c>
      <c r="E2392" t="s">
        <v>2658</v>
      </c>
      <c r="F2392" t="s">
        <v>2658</v>
      </c>
      <c r="G2392" s="2">
        <v>45702</v>
      </c>
      <c r="H2392" s="2">
        <v>45732</v>
      </c>
      <c r="I2392">
        <v>415.1</v>
      </c>
      <c r="J2392">
        <v>415.1</v>
      </c>
      <c r="K2392" t="s">
        <v>20</v>
      </c>
      <c r="L2392">
        <v>12</v>
      </c>
      <c r="M2392">
        <v>415.1</v>
      </c>
    </row>
    <row r="2393" spans="1:13">
      <c r="A2393" t="s">
        <v>2152</v>
      </c>
      <c r="B2393" t="s">
        <v>2153</v>
      </c>
      <c r="C2393" t="s">
        <v>16</v>
      </c>
      <c r="D2393" t="s">
        <v>21</v>
      </c>
      <c r="E2393" t="s">
        <v>2659</v>
      </c>
      <c r="F2393" t="s">
        <v>2659</v>
      </c>
      <c r="G2393" s="2">
        <v>45702</v>
      </c>
      <c r="H2393" s="2">
        <v>45732</v>
      </c>
      <c r="I2393">
        <v>322</v>
      </c>
      <c r="J2393">
        <v>322</v>
      </c>
      <c r="K2393" t="s">
        <v>20</v>
      </c>
      <c r="L2393">
        <v>12</v>
      </c>
      <c r="M2393">
        <v>322</v>
      </c>
    </row>
    <row r="2394" spans="1:13">
      <c r="A2394" t="s">
        <v>2152</v>
      </c>
      <c r="B2394" t="s">
        <v>2153</v>
      </c>
      <c r="C2394" t="s">
        <v>16</v>
      </c>
      <c r="D2394" t="s">
        <v>21</v>
      </c>
      <c r="E2394" t="s">
        <v>2660</v>
      </c>
      <c r="F2394" t="s">
        <v>2660</v>
      </c>
      <c r="G2394" s="2">
        <v>45702</v>
      </c>
      <c r="H2394" s="2">
        <v>45732</v>
      </c>
      <c r="I2394">
        <v>154.5</v>
      </c>
      <c r="J2394">
        <v>154.5</v>
      </c>
      <c r="K2394" t="s">
        <v>20</v>
      </c>
      <c r="L2394">
        <v>12</v>
      </c>
      <c r="M2394">
        <v>154.5</v>
      </c>
    </row>
    <row r="2395" spans="1:13">
      <c r="A2395" t="s">
        <v>2152</v>
      </c>
      <c r="B2395" t="s">
        <v>2153</v>
      </c>
      <c r="C2395" t="s">
        <v>16</v>
      </c>
      <c r="D2395" t="s">
        <v>21</v>
      </c>
      <c r="E2395" t="s">
        <v>2661</v>
      </c>
      <c r="F2395" t="s">
        <v>2661</v>
      </c>
      <c r="G2395" s="2">
        <v>45702</v>
      </c>
      <c r="H2395" s="2">
        <v>45732</v>
      </c>
      <c r="I2395">
        <v>533</v>
      </c>
      <c r="J2395">
        <v>533</v>
      </c>
      <c r="K2395" t="s">
        <v>20</v>
      </c>
      <c r="L2395">
        <v>12</v>
      </c>
      <c r="M2395">
        <v>533</v>
      </c>
    </row>
    <row r="2396" spans="1:13">
      <c r="A2396" t="s">
        <v>2152</v>
      </c>
      <c r="B2396" t="s">
        <v>2153</v>
      </c>
      <c r="C2396" t="s">
        <v>16</v>
      </c>
      <c r="D2396" t="s">
        <v>21</v>
      </c>
      <c r="E2396" t="s">
        <v>2662</v>
      </c>
      <c r="F2396" t="s">
        <v>2662</v>
      </c>
      <c r="G2396" s="2">
        <v>45702</v>
      </c>
      <c r="H2396" s="2">
        <v>45732</v>
      </c>
      <c r="I2396">
        <v>187</v>
      </c>
      <c r="J2396">
        <v>187</v>
      </c>
      <c r="K2396" t="s">
        <v>20</v>
      </c>
      <c r="L2396">
        <v>12</v>
      </c>
      <c r="M2396">
        <v>187</v>
      </c>
    </row>
    <row r="2397" spans="1:13">
      <c r="A2397" t="s">
        <v>2152</v>
      </c>
      <c r="B2397" t="s">
        <v>2153</v>
      </c>
      <c r="C2397" t="s">
        <v>16</v>
      </c>
      <c r="D2397" t="s">
        <v>21</v>
      </c>
      <c r="E2397" t="s">
        <v>2663</v>
      </c>
      <c r="F2397" t="s">
        <v>2663</v>
      </c>
      <c r="G2397" s="2">
        <v>45702</v>
      </c>
      <c r="H2397" s="2">
        <v>45732</v>
      </c>
      <c r="I2397">
        <v>913</v>
      </c>
      <c r="J2397">
        <v>913</v>
      </c>
      <c r="K2397" t="s">
        <v>20</v>
      </c>
      <c r="L2397">
        <v>12</v>
      </c>
      <c r="M2397">
        <v>913</v>
      </c>
    </row>
    <row r="2398" spans="1:13">
      <c r="A2398" t="s">
        <v>2152</v>
      </c>
      <c r="B2398" t="s">
        <v>2153</v>
      </c>
      <c r="C2398" t="s">
        <v>16</v>
      </c>
      <c r="D2398" t="s">
        <v>21</v>
      </c>
      <c r="E2398" t="s">
        <v>2664</v>
      </c>
      <c r="F2398" t="s">
        <v>2664</v>
      </c>
      <c r="G2398" s="2">
        <v>45702</v>
      </c>
      <c r="H2398" s="2">
        <v>45732</v>
      </c>
      <c r="I2398">
        <v>154.5</v>
      </c>
      <c r="J2398">
        <v>154.5</v>
      </c>
      <c r="K2398" t="s">
        <v>20</v>
      </c>
      <c r="L2398">
        <v>12</v>
      </c>
      <c r="M2398">
        <v>154.5</v>
      </c>
    </row>
    <row r="2399" spans="1:13">
      <c r="A2399" t="s">
        <v>2152</v>
      </c>
      <c r="B2399" t="s">
        <v>2153</v>
      </c>
      <c r="C2399" t="s">
        <v>16</v>
      </c>
      <c r="D2399" t="s">
        <v>21</v>
      </c>
      <c r="E2399" t="s">
        <v>2665</v>
      </c>
      <c r="F2399" t="s">
        <v>2665</v>
      </c>
      <c r="G2399" s="2">
        <v>45702</v>
      </c>
      <c r="H2399" s="2">
        <v>45732</v>
      </c>
      <c r="I2399">
        <v>457</v>
      </c>
      <c r="J2399">
        <v>457</v>
      </c>
      <c r="K2399" t="s">
        <v>20</v>
      </c>
      <c r="L2399">
        <v>12</v>
      </c>
      <c r="M2399">
        <v>457</v>
      </c>
    </row>
    <row r="2400" spans="1:13">
      <c r="A2400" t="s">
        <v>2152</v>
      </c>
      <c r="B2400" t="s">
        <v>2153</v>
      </c>
      <c r="C2400" t="s">
        <v>16</v>
      </c>
      <c r="D2400" t="s">
        <v>21</v>
      </c>
      <c r="E2400" t="s">
        <v>2666</v>
      </c>
      <c r="F2400" t="s">
        <v>2666</v>
      </c>
      <c r="G2400" s="2">
        <v>45702</v>
      </c>
      <c r="H2400" s="2">
        <v>45732</v>
      </c>
      <c r="I2400">
        <v>578.59</v>
      </c>
      <c r="J2400">
        <v>578.59</v>
      </c>
      <c r="K2400" t="s">
        <v>20</v>
      </c>
      <c r="L2400">
        <v>12</v>
      </c>
      <c r="M2400">
        <v>578.59</v>
      </c>
    </row>
    <row r="2401" spans="1:13">
      <c r="A2401" t="s">
        <v>2152</v>
      </c>
      <c r="B2401" t="s">
        <v>2153</v>
      </c>
      <c r="C2401" t="s">
        <v>16</v>
      </c>
      <c r="D2401" t="s">
        <v>21</v>
      </c>
      <c r="E2401" t="s">
        <v>2667</v>
      </c>
      <c r="F2401" t="s">
        <v>2667</v>
      </c>
      <c r="G2401" s="2">
        <v>45702</v>
      </c>
      <c r="H2401" s="2">
        <v>45732</v>
      </c>
      <c r="I2401">
        <v>309</v>
      </c>
      <c r="J2401">
        <v>309</v>
      </c>
      <c r="K2401" t="s">
        <v>20</v>
      </c>
      <c r="L2401">
        <v>12</v>
      </c>
      <c r="M2401">
        <v>309</v>
      </c>
    </row>
    <row r="2402" spans="1:13">
      <c r="A2402" t="s">
        <v>2152</v>
      </c>
      <c r="B2402" t="s">
        <v>2153</v>
      </c>
      <c r="C2402" t="s">
        <v>16</v>
      </c>
      <c r="D2402" t="s">
        <v>21</v>
      </c>
      <c r="E2402" t="s">
        <v>2668</v>
      </c>
      <c r="F2402" t="s">
        <v>2668</v>
      </c>
      <c r="G2402" s="2">
        <v>45702</v>
      </c>
      <c r="H2402" s="2">
        <v>45732</v>
      </c>
      <c r="I2402">
        <v>480.69</v>
      </c>
      <c r="J2402">
        <v>480.69</v>
      </c>
      <c r="K2402" t="s">
        <v>20</v>
      </c>
      <c r="L2402">
        <v>12</v>
      </c>
      <c r="M2402">
        <v>480.69</v>
      </c>
    </row>
    <row r="2403" spans="1:13">
      <c r="A2403" t="s">
        <v>2152</v>
      </c>
      <c r="B2403" t="s">
        <v>2153</v>
      </c>
      <c r="C2403" t="s">
        <v>16</v>
      </c>
      <c r="D2403" t="s">
        <v>21</v>
      </c>
      <c r="E2403" t="s">
        <v>2669</v>
      </c>
      <c r="F2403" t="s">
        <v>2669</v>
      </c>
      <c r="G2403" s="2">
        <v>45702</v>
      </c>
      <c r="H2403" s="2">
        <v>45732</v>
      </c>
      <c r="I2403">
        <v>267.10000000000002</v>
      </c>
      <c r="J2403">
        <v>267.10000000000002</v>
      </c>
      <c r="K2403" t="s">
        <v>20</v>
      </c>
      <c r="L2403">
        <v>12</v>
      </c>
      <c r="M2403">
        <v>267.10000000000002</v>
      </c>
    </row>
    <row r="2404" spans="1:13">
      <c r="A2404" t="s">
        <v>2152</v>
      </c>
      <c r="B2404" t="s">
        <v>2153</v>
      </c>
      <c r="C2404" t="s">
        <v>16</v>
      </c>
      <c r="D2404" t="s">
        <v>21</v>
      </c>
      <c r="E2404" t="s">
        <v>2670</v>
      </c>
      <c r="F2404" t="s">
        <v>2670</v>
      </c>
      <c r="G2404" s="2">
        <v>45702</v>
      </c>
      <c r="H2404" s="2">
        <v>45732</v>
      </c>
      <c r="I2404">
        <v>434.96</v>
      </c>
      <c r="J2404">
        <v>434.96</v>
      </c>
      <c r="K2404" t="s">
        <v>20</v>
      </c>
      <c r="L2404">
        <v>12</v>
      </c>
      <c r="M2404">
        <v>434.96</v>
      </c>
    </row>
    <row r="2405" spans="1:13">
      <c r="A2405" t="s">
        <v>2152</v>
      </c>
      <c r="B2405" t="s">
        <v>2153</v>
      </c>
      <c r="C2405" t="s">
        <v>16</v>
      </c>
      <c r="D2405" t="s">
        <v>21</v>
      </c>
      <c r="E2405" t="s">
        <v>2671</v>
      </c>
      <c r="F2405" t="s">
        <v>2671</v>
      </c>
      <c r="G2405" s="2">
        <v>45702</v>
      </c>
      <c r="H2405" s="2">
        <v>45732</v>
      </c>
      <c r="I2405">
        <v>184</v>
      </c>
      <c r="J2405">
        <v>184</v>
      </c>
      <c r="K2405" t="s">
        <v>20</v>
      </c>
      <c r="L2405">
        <v>12</v>
      </c>
      <c r="M2405">
        <v>184</v>
      </c>
    </row>
    <row r="2406" spans="1:13">
      <c r="A2406" t="s">
        <v>2152</v>
      </c>
      <c r="B2406" t="s">
        <v>2153</v>
      </c>
      <c r="C2406" t="s">
        <v>16</v>
      </c>
      <c r="D2406" t="s">
        <v>21</v>
      </c>
      <c r="E2406" t="s">
        <v>2672</v>
      </c>
      <c r="F2406" t="s">
        <v>2672</v>
      </c>
      <c r="G2406" s="2">
        <v>45706</v>
      </c>
      <c r="H2406" s="2">
        <v>45736</v>
      </c>
      <c r="I2406">
        <v>139.1</v>
      </c>
      <c r="J2406">
        <v>139.1</v>
      </c>
      <c r="K2406" t="s">
        <v>20</v>
      </c>
      <c r="L2406">
        <v>12</v>
      </c>
      <c r="M2406">
        <v>139.1</v>
      </c>
    </row>
    <row r="2407" spans="1:13">
      <c r="A2407" t="s">
        <v>2152</v>
      </c>
      <c r="B2407" t="s">
        <v>2153</v>
      </c>
      <c r="C2407" t="s">
        <v>16</v>
      </c>
      <c r="D2407" t="s">
        <v>21</v>
      </c>
      <c r="E2407" t="s">
        <v>2673</v>
      </c>
      <c r="F2407" t="s">
        <v>2673</v>
      </c>
      <c r="G2407" s="2">
        <v>45707</v>
      </c>
      <c r="H2407" s="2">
        <v>45737</v>
      </c>
      <c r="I2407">
        <v>368</v>
      </c>
      <c r="J2407">
        <v>368</v>
      </c>
      <c r="K2407" t="s">
        <v>20</v>
      </c>
      <c r="L2407">
        <v>12</v>
      </c>
      <c r="M2407">
        <v>368</v>
      </c>
    </row>
    <row r="2408" spans="1:13">
      <c r="A2408" t="s">
        <v>2152</v>
      </c>
      <c r="B2408" t="s">
        <v>2153</v>
      </c>
      <c r="C2408" t="s">
        <v>16</v>
      </c>
      <c r="D2408" t="s">
        <v>21</v>
      </c>
      <c r="E2408" t="s">
        <v>2674</v>
      </c>
      <c r="F2408" t="s">
        <v>2674</v>
      </c>
      <c r="G2408" s="2">
        <v>45707</v>
      </c>
      <c r="H2408" s="2">
        <v>45737</v>
      </c>
      <c r="I2408">
        <v>622</v>
      </c>
      <c r="J2408">
        <v>622</v>
      </c>
      <c r="K2408" t="s">
        <v>20</v>
      </c>
      <c r="L2408">
        <v>12</v>
      </c>
      <c r="M2408">
        <v>622</v>
      </c>
    </row>
    <row r="2409" spans="1:13">
      <c r="A2409" t="s">
        <v>2152</v>
      </c>
      <c r="B2409" t="s">
        <v>2153</v>
      </c>
      <c r="C2409" t="s">
        <v>16</v>
      </c>
      <c r="D2409" t="s">
        <v>21</v>
      </c>
      <c r="E2409" t="s">
        <v>2675</v>
      </c>
      <c r="F2409" t="s">
        <v>2675</v>
      </c>
      <c r="G2409" s="2">
        <v>45707</v>
      </c>
      <c r="H2409" s="2">
        <v>45737</v>
      </c>
      <c r="I2409">
        <v>148</v>
      </c>
      <c r="J2409">
        <v>148</v>
      </c>
      <c r="K2409" t="s">
        <v>20</v>
      </c>
      <c r="L2409">
        <v>12</v>
      </c>
      <c r="M2409">
        <v>148</v>
      </c>
    </row>
    <row r="2410" spans="1:13">
      <c r="A2410" t="s">
        <v>2152</v>
      </c>
      <c r="B2410" t="s">
        <v>2153</v>
      </c>
      <c r="C2410" t="s">
        <v>16</v>
      </c>
      <c r="D2410" t="s">
        <v>21</v>
      </c>
      <c r="E2410" t="s">
        <v>2676</v>
      </c>
      <c r="F2410" t="s">
        <v>2676</v>
      </c>
      <c r="G2410" s="2">
        <v>45707</v>
      </c>
      <c r="H2410" s="2">
        <v>45737</v>
      </c>
      <c r="I2410">
        <v>148</v>
      </c>
      <c r="J2410">
        <v>148</v>
      </c>
      <c r="K2410" t="s">
        <v>20</v>
      </c>
      <c r="L2410">
        <v>12</v>
      </c>
      <c r="M2410">
        <v>148</v>
      </c>
    </row>
    <row r="2411" spans="1:13">
      <c r="A2411" t="s">
        <v>2152</v>
      </c>
      <c r="B2411" t="s">
        <v>2153</v>
      </c>
      <c r="C2411" t="s">
        <v>16</v>
      </c>
      <c r="D2411" t="s">
        <v>21</v>
      </c>
      <c r="E2411" t="s">
        <v>2677</v>
      </c>
      <c r="F2411" t="s">
        <v>2677</v>
      </c>
      <c r="G2411" s="2">
        <v>45707</v>
      </c>
      <c r="H2411" s="2">
        <v>45737</v>
      </c>
      <c r="I2411" s="1">
        <v>1332</v>
      </c>
      <c r="J2411">
        <v>1332</v>
      </c>
      <c r="K2411" t="s">
        <v>20</v>
      </c>
      <c r="L2411">
        <v>12</v>
      </c>
      <c r="M2411">
        <v>1332</v>
      </c>
    </row>
    <row r="2412" spans="1:13">
      <c r="A2412" t="s">
        <v>2152</v>
      </c>
      <c r="B2412" t="s">
        <v>2153</v>
      </c>
      <c r="C2412" t="s">
        <v>16</v>
      </c>
      <c r="D2412" t="s">
        <v>21</v>
      </c>
      <c r="E2412" t="s">
        <v>2678</v>
      </c>
      <c r="F2412" t="s">
        <v>2678</v>
      </c>
      <c r="G2412" s="2">
        <v>45707</v>
      </c>
      <c r="H2412" s="2">
        <v>45737</v>
      </c>
      <c r="I2412">
        <v>548</v>
      </c>
      <c r="J2412">
        <v>548</v>
      </c>
      <c r="K2412" t="s">
        <v>20</v>
      </c>
      <c r="L2412">
        <v>12</v>
      </c>
      <c r="M2412">
        <v>548</v>
      </c>
    </row>
    <row r="2413" spans="1:13">
      <c r="A2413" t="s">
        <v>2152</v>
      </c>
      <c r="B2413" t="s">
        <v>2153</v>
      </c>
      <c r="C2413" t="s">
        <v>16</v>
      </c>
      <c r="D2413" t="s">
        <v>21</v>
      </c>
      <c r="E2413" t="s">
        <v>2679</v>
      </c>
      <c r="F2413" t="s">
        <v>2679</v>
      </c>
      <c r="G2413" s="2">
        <v>45707</v>
      </c>
      <c r="H2413" s="2">
        <v>45737</v>
      </c>
      <c r="I2413">
        <v>282</v>
      </c>
      <c r="J2413">
        <v>282</v>
      </c>
      <c r="K2413" t="s">
        <v>20</v>
      </c>
      <c r="L2413">
        <v>12</v>
      </c>
      <c r="M2413">
        <v>282</v>
      </c>
    </row>
    <row r="2414" spans="1:13">
      <c r="A2414" t="s">
        <v>2152</v>
      </c>
      <c r="B2414" t="s">
        <v>2153</v>
      </c>
      <c r="C2414" t="s">
        <v>16</v>
      </c>
      <c r="D2414" t="s">
        <v>21</v>
      </c>
      <c r="E2414" t="s">
        <v>2680</v>
      </c>
      <c r="F2414" t="s">
        <v>2680</v>
      </c>
      <c r="G2414" s="2">
        <v>45707</v>
      </c>
      <c r="H2414" s="2">
        <v>45737</v>
      </c>
      <c r="I2414" s="1">
        <v>1066</v>
      </c>
      <c r="J2414">
        <v>1066</v>
      </c>
      <c r="K2414" t="s">
        <v>20</v>
      </c>
      <c r="L2414">
        <v>12</v>
      </c>
      <c r="M2414">
        <v>1066</v>
      </c>
    </row>
    <row r="2415" spans="1:13">
      <c r="A2415" t="s">
        <v>2152</v>
      </c>
      <c r="B2415" t="s">
        <v>2153</v>
      </c>
      <c r="C2415" t="s">
        <v>16</v>
      </c>
      <c r="D2415" t="s">
        <v>21</v>
      </c>
      <c r="E2415" t="s">
        <v>2681</v>
      </c>
      <c r="F2415" t="s">
        <v>2681</v>
      </c>
      <c r="G2415" s="2">
        <v>45707</v>
      </c>
      <c r="H2415" s="2">
        <v>45737</v>
      </c>
      <c r="I2415">
        <v>153</v>
      </c>
      <c r="J2415">
        <v>153</v>
      </c>
      <c r="K2415" t="s">
        <v>20</v>
      </c>
      <c r="L2415">
        <v>12</v>
      </c>
      <c r="M2415">
        <v>153</v>
      </c>
    </row>
    <row r="2416" spans="1:13">
      <c r="A2416" t="s">
        <v>2152</v>
      </c>
      <c r="B2416" t="s">
        <v>2153</v>
      </c>
      <c r="C2416" t="s">
        <v>16</v>
      </c>
      <c r="D2416" t="s">
        <v>21</v>
      </c>
      <c r="E2416" t="s">
        <v>2682</v>
      </c>
      <c r="F2416" t="s">
        <v>2682</v>
      </c>
      <c r="G2416" s="2">
        <v>45708</v>
      </c>
      <c r="H2416" s="2">
        <v>45738</v>
      </c>
      <c r="I2416">
        <v>62</v>
      </c>
      <c r="J2416">
        <v>62</v>
      </c>
      <c r="K2416" t="s">
        <v>20</v>
      </c>
      <c r="L2416">
        <v>12</v>
      </c>
      <c r="M2416">
        <v>62</v>
      </c>
    </row>
    <row r="2417" spans="1:13">
      <c r="A2417" t="s">
        <v>2152</v>
      </c>
      <c r="B2417" t="s">
        <v>2153</v>
      </c>
      <c r="C2417" t="s">
        <v>16</v>
      </c>
      <c r="D2417" t="s">
        <v>21</v>
      </c>
      <c r="E2417" t="s">
        <v>2683</v>
      </c>
      <c r="F2417" t="s">
        <v>2683</v>
      </c>
      <c r="G2417" s="2">
        <v>45708</v>
      </c>
      <c r="H2417" s="2">
        <v>45738</v>
      </c>
      <c r="I2417">
        <v>716</v>
      </c>
      <c r="J2417">
        <v>716</v>
      </c>
      <c r="K2417" t="s">
        <v>20</v>
      </c>
      <c r="L2417">
        <v>12</v>
      </c>
      <c r="M2417">
        <v>716</v>
      </c>
    </row>
    <row r="2418" spans="1:13">
      <c r="A2418" t="s">
        <v>2152</v>
      </c>
      <c r="B2418" t="s">
        <v>2153</v>
      </c>
      <c r="C2418" t="s">
        <v>16</v>
      </c>
      <c r="D2418" t="s">
        <v>21</v>
      </c>
      <c r="E2418" t="s">
        <v>2684</v>
      </c>
      <c r="F2418" t="s">
        <v>2684</v>
      </c>
      <c r="G2418" s="2">
        <v>45708</v>
      </c>
      <c r="H2418" s="2">
        <v>45738</v>
      </c>
      <c r="I2418">
        <v>159.5</v>
      </c>
      <c r="J2418">
        <v>159.5</v>
      </c>
      <c r="K2418" t="s">
        <v>20</v>
      </c>
      <c r="L2418">
        <v>12</v>
      </c>
      <c r="M2418">
        <v>159.5</v>
      </c>
    </row>
    <row r="2419" spans="1:13">
      <c r="A2419" t="s">
        <v>2152</v>
      </c>
      <c r="B2419" t="s">
        <v>2153</v>
      </c>
      <c r="C2419" t="s">
        <v>16</v>
      </c>
      <c r="D2419" t="s">
        <v>21</v>
      </c>
      <c r="E2419" t="s">
        <v>2685</v>
      </c>
      <c r="F2419" t="s">
        <v>2685</v>
      </c>
      <c r="G2419" s="2">
        <v>45712</v>
      </c>
      <c r="H2419" s="2">
        <v>45742</v>
      </c>
      <c r="I2419">
        <v>543</v>
      </c>
      <c r="J2419">
        <v>543</v>
      </c>
      <c r="K2419" t="s">
        <v>20</v>
      </c>
      <c r="L2419">
        <v>13</v>
      </c>
      <c r="M2419">
        <v>543</v>
      </c>
    </row>
    <row r="2420" spans="1:13">
      <c r="A2420" t="s">
        <v>2152</v>
      </c>
      <c r="B2420" t="s">
        <v>2153</v>
      </c>
      <c r="C2420" t="s">
        <v>16</v>
      </c>
      <c r="D2420" t="s">
        <v>21</v>
      </c>
      <c r="E2420" t="s">
        <v>2686</v>
      </c>
      <c r="F2420" t="s">
        <v>2686</v>
      </c>
      <c r="G2420" s="2">
        <v>45713</v>
      </c>
      <c r="H2420" s="2">
        <v>45743</v>
      </c>
      <c r="I2420">
        <v>275</v>
      </c>
      <c r="J2420">
        <v>275</v>
      </c>
      <c r="K2420" t="s">
        <v>20</v>
      </c>
      <c r="L2420">
        <v>13</v>
      </c>
      <c r="M2420">
        <v>275</v>
      </c>
    </row>
    <row r="2421" spans="1:13">
      <c r="A2421" t="s">
        <v>2152</v>
      </c>
      <c r="B2421" t="s">
        <v>2153</v>
      </c>
      <c r="C2421" t="s">
        <v>16</v>
      </c>
      <c r="D2421" t="s">
        <v>21</v>
      </c>
      <c r="E2421" t="s">
        <v>2687</v>
      </c>
      <c r="F2421" t="s">
        <v>2687</v>
      </c>
      <c r="G2421" s="2">
        <v>45713</v>
      </c>
      <c r="H2421" s="2">
        <v>45743</v>
      </c>
      <c r="I2421">
        <v>148</v>
      </c>
      <c r="J2421">
        <v>148</v>
      </c>
      <c r="K2421" t="s">
        <v>20</v>
      </c>
      <c r="L2421">
        <v>13</v>
      </c>
      <c r="M2421">
        <v>148</v>
      </c>
    </row>
    <row r="2422" spans="1:13">
      <c r="A2422" t="s">
        <v>2152</v>
      </c>
      <c r="B2422" t="s">
        <v>2153</v>
      </c>
      <c r="C2422" t="s">
        <v>16</v>
      </c>
      <c r="D2422" t="s">
        <v>21</v>
      </c>
      <c r="E2422" t="s">
        <v>2688</v>
      </c>
      <c r="F2422" t="s">
        <v>2688</v>
      </c>
      <c r="G2422" s="2">
        <v>45713</v>
      </c>
      <c r="H2422" s="2">
        <v>45743</v>
      </c>
      <c r="I2422">
        <v>536</v>
      </c>
      <c r="J2422">
        <v>536</v>
      </c>
      <c r="K2422" t="s">
        <v>20</v>
      </c>
      <c r="L2422">
        <v>13</v>
      </c>
      <c r="M2422">
        <v>536</v>
      </c>
    </row>
    <row r="2423" spans="1:13">
      <c r="A2423" t="s">
        <v>2152</v>
      </c>
      <c r="B2423" t="s">
        <v>2153</v>
      </c>
      <c r="C2423" t="s">
        <v>16</v>
      </c>
      <c r="D2423" t="s">
        <v>21</v>
      </c>
      <c r="E2423" t="s">
        <v>2689</v>
      </c>
      <c r="F2423" t="s">
        <v>2689</v>
      </c>
      <c r="G2423" s="2">
        <v>45713</v>
      </c>
      <c r="H2423" s="2">
        <v>45743</v>
      </c>
      <c r="I2423">
        <v>154.5</v>
      </c>
      <c r="J2423">
        <v>154.5</v>
      </c>
      <c r="K2423" t="s">
        <v>20</v>
      </c>
      <c r="L2423">
        <v>13</v>
      </c>
      <c r="M2423">
        <v>154.5</v>
      </c>
    </row>
    <row r="2424" spans="1:13">
      <c r="A2424" t="s">
        <v>2152</v>
      </c>
      <c r="B2424" t="s">
        <v>2153</v>
      </c>
      <c r="C2424" t="s">
        <v>16</v>
      </c>
      <c r="D2424" t="s">
        <v>21</v>
      </c>
      <c r="E2424" t="s">
        <v>2690</v>
      </c>
      <c r="F2424" t="s">
        <v>2690</v>
      </c>
      <c r="G2424" s="2">
        <v>45713</v>
      </c>
      <c r="H2424" s="2">
        <v>45743</v>
      </c>
      <c r="I2424">
        <v>367</v>
      </c>
      <c r="J2424">
        <v>367</v>
      </c>
      <c r="K2424" t="s">
        <v>20</v>
      </c>
      <c r="L2424">
        <v>13</v>
      </c>
      <c r="M2424">
        <v>367</v>
      </c>
    </row>
    <row r="2425" spans="1:13">
      <c r="A2425" t="s">
        <v>2152</v>
      </c>
      <c r="B2425" t="s">
        <v>2153</v>
      </c>
      <c r="C2425" t="s">
        <v>16</v>
      </c>
      <c r="D2425" t="s">
        <v>21</v>
      </c>
      <c r="E2425" t="s">
        <v>2691</v>
      </c>
      <c r="F2425" t="s">
        <v>2691</v>
      </c>
      <c r="G2425" s="2">
        <v>45714</v>
      </c>
      <c r="H2425" s="2">
        <v>45744</v>
      </c>
      <c r="I2425">
        <v>206.8</v>
      </c>
      <c r="J2425">
        <v>206.8</v>
      </c>
      <c r="K2425" t="s">
        <v>20</v>
      </c>
      <c r="L2425">
        <v>13</v>
      </c>
      <c r="M2425">
        <v>206.8</v>
      </c>
    </row>
    <row r="2426" spans="1:13">
      <c r="A2426" t="s">
        <v>2152</v>
      </c>
      <c r="B2426" t="s">
        <v>2153</v>
      </c>
      <c r="C2426" t="s">
        <v>16</v>
      </c>
      <c r="D2426" t="s">
        <v>21</v>
      </c>
      <c r="E2426" t="s">
        <v>2692</v>
      </c>
      <c r="F2426" t="s">
        <v>2692</v>
      </c>
      <c r="G2426" s="2">
        <v>45714</v>
      </c>
      <c r="H2426" s="2">
        <v>45744</v>
      </c>
      <c r="I2426">
        <v>315.3</v>
      </c>
      <c r="J2426">
        <v>315.3</v>
      </c>
      <c r="K2426" t="s">
        <v>20</v>
      </c>
      <c r="L2426">
        <v>13</v>
      </c>
      <c r="M2426">
        <v>315.3</v>
      </c>
    </row>
    <row r="2427" spans="1:13">
      <c r="A2427" t="s">
        <v>2152</v>
      </c>
      <c r="B2427" t="s">
        <v>2153</v>
      </c>
      <c r="C2427" t="s">
        <v>16</v>
      </c>
      <c r="D2427" t="s">
        <v>21</v>
      </c>
      <c r="E2427" t="s">
        <v>2693</v>
      </c>
      <c r="F2427" t="s">
        <v>2693</v>
      </c>
      <c r="G2427" s="2">
        <v>45714</v>
      </c>
      <c r="H2427" s="2">
        <v>45744</v>
      </c>
      <c r="I2427">
        <v>113.6</v>
      </c>
      <c r="J2427">
        <v>113.6</v>
      </c>
      <c r="K2427" t="s">
        <v>20</v>
      </c>
      <c r="L2427">
        <v>13</v>
      </c>
      <c r="M2427">
        <v>113.6</v>
      </c>
    </row>
    <row r="2428" spans="1:13">
      <c r="A2428" t="s">
        <v>2152</v>
      </c>
      <c r="B2428" t="s">
        <v>2153</v>
      </c>
      <c r="C2428" t="s">
        <v>16</v>
      </c>
      <c r="D2428" t="s">
        <v>21</v>
      </c>
      <c r="E2428" t="s">
        <v>2694</v>
      </c>
      <c r="F2428" t="s">
        <v>2694</v>
      </c>
      <c r="G2428" s="2">
        <v>45714</v>
      </c>
      <c r="H2428" s="2">
        <v>45744</v>
      </c>
      <c r="I2428">
        <v>198.8</v>
      </c>
      <c r="J2428">
        <v>198.8</v>
      </c>
      <c r="K2428" t="s">
        <v>20</v>
      </c>
      <c r="L2428">
        <v>13</v>
      </c>
      <c r="M2428">
        <v>198.8</v>
      </c>
    </row>
    <row r="2429" spans="1:13">
      <c r="A2429" t="s">
        <v>2152</v>
      </c>
      <c r="B2429" t="s">
        <v>2153</v>
      </c>
      <c r="C2429" t="s">
        <v>16</v>
      </c>
      <c r="D2429" t="s">
        <v>21</v>
      </c>
      <c r="E2429" t="s">
        <v>2695</v>
      </c>
      <c r="F2429" t="s">
        <v>2695</v>
      </c>
      <c r="G2429" s="2">
        <v>45714</v>
      </c>
      <c r="H2429" s="2">
        <v>45744</v>
      </c>
      <c r="I2429">
        <v>590.6</v>
      </c>
      <c r="J2429">
        <v>590.6</v>
      </c>
      <c r="K2429" t="s">
        <v>20</v>
      </c>
      <c r="L2429">
        <v>13</v>
      </c>
      <c r="M2429">
        <v>590.6</v>
      </c>
    </row>
    <row r="2430" spans="1:13">
      <c r="A2430" t="s">
        <v>2152</v>
      </c>
      <c r="B2430" t="s">
        <v>2153</v>
      </c>
      <c r="C2430" t="s">
        <v>16</v>
      </c>
      <c r="D2430" t="s">
        <v>21</v>
      </c>
      <c r="E2430" t="s">
        <v>2696</v>
      </c>
      <c r="F2430" t="s">
        <v>2696</v>
      </c>
      <c r="G2430" s="2">
        <v>45714</v>
      </c>
      <c r="H2430" s="2">
        <v>45744</v>
      </c>
      <c r="I2430">
        <v>842.1</v>
      </c>
      <c r="J2430">
        <v>842.1</v>
      </c>
      <c r="K2430" t="s">
        <v>20</v>
      </c>
      <c r="L2430">
        <v>13</v>
      </c>
      <c r="M2430">
        <v>842.1</v>
      </c>
    </row>
    <row r="2431" spans="1:13">
      <c r="A2431" t="s">
        <v>2152</v>
      </c>
      <c r="B2431" t="s">
        <v>2153</v>
      </c>
      <c r="C2431" t="s">
        <v>16</v>
      </c>
      <c r="D2431" t="s">
        <v>21</v>
      </c>
      <c r="E2431" t="s">
        <v>2697</v>
      </c>
      <c r="F2431" t="s">
        <v>2697</v>
      </c>
      <c r="G2431" s="2">
        <v>45714</v>
      </c>
      <c r="H2431" s="2">
        <v>45744</v>
      </c>
      <c r="I2431">
        <v>345.3</v>
      </c>
      <c r="J2431">
        <v>345.3</v>
      </c>
      <c r="K2431" t="s">
        <v>20</v>
      </c>
      <c r="L2431">
        <v>13</v>
      </c>
      <c r="M2431">
        <v>345.3</v>
      </c>
    </row>
    <row r="2432" spans="1:13">
      <c r="A2432" t="s">
        <v>2152</v>
      </c>
      <c r="B2432" t="s">
        <v>2153</v>
      </c>
      <c r="C2432" t="s">
        <v>16</v>
      </c>
      <c r="D2432" t="s">
        <v>21</v>
      </c>
      <c r="E2432" t="s">
        <v>2698</v>
      </c>
      <c r="F2432" t="s">
        <v>2698</v>
      </c>
      <c r="G2432" s="2">
        <v>45714</v>
      </c>
      <c r="H2432" s="2">
        <v>45744</v>
      </c>
      <c r="I2432">
        <v>216.8</v>
      </c>
      <c r="J2432">
        <v>216.8</v>
      </c>
      <c r="K2432" t="s">
        <v>20</v>
      </c>
      <c r="L2432">
        <v>13</v>
      </c>
      <c r="M2432">
        <v>216.8</v>
      </c>
    </row>
    <row r="2433" spans="1:13">
      <c r="A2433" t="s">
        <v>2152</v>
      </c>
      <c r="B2433" t="s">
        <v>2153</v>
      </c>
      <c r="C2433" t="s">
        <v>16</v>
      </c>
      <c r="D2433" t="s">
        <v>21</v>
      </c>
      <c r="E2433" t="s">
        <v>2699</v>
      </c>
      <c r="F2433" t="s">
        <v>2699</v>
      </c>
      <c r="G2433" s="2">
        <v>45714</v>
      </c>
      <c r="H2433" s="2">
        <v>45744</v>
      </c>
      <c r="I2433">
        <v>209.2</v>
      </c>
      <c r="J2433">
        <v>209.2</v>
      </c>
      <c r="K2433" t="s">
        <v>20</v>
      </c>
      <c r="L2433">
        <v>13</v>
      </c>
      <c r="M2433">
        <v>209.2</v>
      </c>
    </row>
    <row r="2434" spans="1:13">
      <c r="A2434" t="s">
        <v>2152</v>
      </c>
      <c r="B2434" t="s">
        <v>2153</v>
      </c>
      <c r="C2434" t="s">
        <v>16</v>
      </c>
      <c r="D2434" t="s">
        <v>21</v>
      </c>
      <c r="E2434" t="s">
        <v>2700</v>
      </c>
      <c r="F2434" t="s">
        <v>2700</v>
      </c>
      <c r="G2434" s="2">
        <v>45714</v>
      </c>
      <c r="H2434" s="2">
        <v>45744</v>
      </c>
      <c r="I2434">
        <v>203.8</v>
      </c>
      <c r="J2434">
        <v>203.8</v>
      </c>
      <c r="K2434" t="s">
        <v>20</v>
      </c>
      <c r="L2434">
        <v>13</v>
      </c>
      <c r="M2434">
        <v>203.8</v>
      </c>
    </row>
    <row r="2435" spans="1:13">
      <c r="A2435" t="s">
        <v>2152</v>
      </c>
      <c r="B2435" t="s">
        <v>2153</v>
      </c>
      <c r="C2435" t="s">
        <v>16</v>
      </c>
      <c r="D2435" t="s">
        <v>21</v>
      </c>
      <c r="E2435" t="s">
        <v>2701</v>
      </c>
      <c r="F2435" t="s">
        <v>2701</v>
      </c>
      <c r="G2435" s="2">
        <v>45714</v>
      </c>
      <c r="H2435" s="2">
        <v>45744</v>
      </c>
      <c r="I2435">
        <v>57.3</v>
      </c>
      <c r="J2435">
        <v>57.3</v>
      </c>
      <c r="K2435" t="s">
        <v>20</v>
      </c>
      <c r="L2435">
        <v>13</v>
      </c>
      <c r="M2435">
        <v>57.3</v>
      </c>
    </row>
    <row r="2436" spans="1:13">
      <c r="A2436" t="s">
        <v>2152</v>
      </c>
      <c r="B2436" t="s">
        <v>2153</v>
      </c>
      <c r="C2436" t="s">
        <v>16</v>
      </c>
      <c r="D2436" t="s">
        <v>21</v>
      </c>
      <c r="E2436" t="s">
        <v>2702</v>
      </c>
      <c r="F2436" t="s">
        <v>2702</v>
      </c>
      <c r="G2436" s="2">
        <v>45714</v>
      </c>
      <c r="H2436" s="2">
        <v>45744</v>
      </c>
      <c r="I2436" s="1">
        <v>1032</v>
      </c>
      <c r="J2436">
        <v>1032</v>
      </c>
      <c r="K2436" t="s">
        <v>20</v>
      </c>
      <c r="L2436">
        <v>13</v>
      </c>
      <c r="M2436">
        <v>1032</v>
      </c>
    </row>
    <row r="2437" spans="1:13">
      <c r="A2437" t="s">
        <v>2152</v>
      </c>
      <c r="B2437" t="s">
        <v>2153</v>
      </c>
      <c r="C2437" t="s">
        <v>16</v>
      </c>
      <c r="D2437" t="s">
        <v>21</v>
      </c>
      <c r="E2437" t="s">
        <v>2703</v>
      </c>
      <c r="F2437" t="s">
        <v>2703</v>
      </c>
      <c r="G2437" s="2">
        <v>45714</v>
      </c>
      <c r="H2437" s="2">
        <v>45744</v>
      </c>
      <c r="I2437">
        <v>206.8</v>
      </c>
      <c r="J2437">
        <v>206.8</v>
      </c>
      <c r="K2437" t="s">
        <v>20</v>
      </c>
      <c r="L2437">
        <v>13</v>
      </c>
      <c r="M2437">
        <v>206.8</v>
      </c>
    </row>
    <row r="2438" spans="1:13">
      <c r="A2438" t="s">
        <v>2152</v>
      </c>
      <c r="B2438" t="s">
        <v>2153</v>
      </c>
      <c r="C2438" t="s">
        <v>16</v>
      </c>
      <c r="D2438" t="s">
        <v>21</v>
      </c>
      <c r="E2438" t="s">
        <v>2704</v>
      </c>
      <c r="F2438" t="s">
        <v>2704</v>
      </c>
      <c r="G2438" s="2">
        <v>45714</v>
      </c>
      <c r="H2438" s="2">
        <v>45744</v>
      </c>
      <c r="I2438">
        <v>273.10000000000002</v>
      </c>
      <c r="J2438">
        <v>273.10000000000002</v>
      </c>
      <c r="K2438" t="s">
        <v>20</v>
      </c>
      <c r="L2438">
        <v>13</v>
      </c>
      <c r="M2438">
        <v>273.10000000000002</v>
      </c>
    </row>
    <row r="2439" spans="1:13">
      <c r="A2439" t="s">
        <v>2152</v>
      </c>
      <c r="B2439" t="s">
        <v>2153</v>
      </c>
      <c r="C2439" t="s">
        <v>16</v>
      </c>
      <c r="D2439" t="s">
        <v>21</v>
      </c>
      <c r="E2439" t="s">
        <v>2705</v>
      </c>
      <c r="F2439" t="s">
        <v>2705</v>
      </c>
      <c r="G2439" s="2">
        <v>45714</v>
      </c>
      <c r="H2439" s="2">
        <v>45744</v>
      </c>
      <c r="I2439">
        <v>198.8</v>
      </c>
      <c r="J2439">
        <v>198.8</v>
      </c>
      <c r="K2439" t="s">
        <v>20</v>
      </c>
      <c r="L2439">
        <v>13</v>
      </c>
      <c r="M2439">
        <v>198.8</v>
      </c>
    </row>
    <row r="2440" spans="1:13">
      <c r="A2440" t="s">
        <v>2152</v>
      </c>
      <c r="B2440" t="s">
        <v>2153</v>
      </c>
      <c r="C2440" t="s">
        <v>16</v>
      </c>
      <c r="D2440" t="s">
        <v>21</v>
      </c>
      <c r="E2440" t="s">
        <v>2706</v>
      </c>
      <c r="F2440" t="s">
        <v>2706</v>
      </c>
      <c r="G2440" s="2">
        <v>45714</v>
      </c>
      <c r="H2440" s="2">
        <v>45744</v>
      </c>
      <c r="I2440">
        <v>864.2</v>
      </c>
      <c r="J2440">
        <v>864.2</v>
      </c>
      <c r="K2440" t="s">
        <v>20</v>
      </c>
      <c r="L2440">
        <v>13</v>
      </c>
      <c r="M2440">
        <v>864.2</v>
      </c>
    </row>
    <row r="2441" spans="1:13">
      <c r="A2441" t="s">
        <v>2152</v>
      </c>
      <c r="B2441" t="s">
        <v>2153</v>
      </c>
      <c r="C2441" t="s">
        <v>16</v>
      </c>
      <c r="D2441" t="s">
        <v>21</v>
      </c>
      <c r="E2441" t="s">
        <v>2707</v>
      </c>
      <c r="F2441" t="s">
        <v>2707</v>
      </c>
      <c r="G2441" s="2">
        <v>45714</v>
      </c>
      <c r="H2441" s="2">
        <v>45744</v>
      </c>
      <c r="I2441">
        <v>388.2</v>
      </c>
      <c r="J2441">
        <v>388.2</v>
      </c>
      <c r="K2441" t="s">
        <v>20</v>
      </c>
      <c r="L2441">
        <v>13</v>
      </c>
      <c r="M2441">
        <v>388.2</v>
      </c>
    </row>
    <row r="2442" spans="1:13">
      <c r="A2442" t="s">
        <v>2152</v>
      </c>
      <c r="B2442" t="s">
        <v>2153</v>
      </c>
      <c r="C2442" t="s">
        <v>16</v>
      </c>
      <c r="D2442" t="s">
        <v>21</v>
      </c>
      <c r="E2442" t="s">
        <v>2708</v>
      </c>
      <c r="F2442" t="s">
        <v>2708</v>
      </c>
      <c r="G2442" s="2">
        <v>45714</v>
      </c>
      <c r="H2442" s="2">
        <v>45744</v>
      </c>
      <c r="I2442">
        <v>201.8</v>
      </c>
      <c r="J2442">
        <v>201.8</v>
      </c>
      <c r="K2442" t="s">
        <v>20</v>
      </c>
      <c r="L2442">
        <v>13</v>
      </c>
      <c r="M2442">
        <v>201.8</v>
      </c>
    </row>
    <row r="2443" spans="1:13">
      <c r="A2443" t="s">
        <v>2152</v>
      </c>
      <c r="B2443" t="s">
        <v>2153</v>
      </c>
      <c r="C2443" t="s">
        <v>16</v>
      </c>
      <c r="D2443" t="s">
        <v>21</v>
      </c>
      <c r="E2443" t="s">
        <v>2709</v>
      </c>
      <c r="F2443" t="s">
        <v>2709</v>
      </c>
      <c r="G2443" s="2">
        <v>45716</v>
      </c>
      <c r="H2443" s="2">
        <v>45746</v>
      </c>
      <c r="I2443" s="1">
        <v>1375</v>
      </c>
      <c r="J2443">
        <v>1375</v>
      </c>
      <c r="K2443" t="s">
        <v>20</v>
      </c>
      <c r="L2443">
        <v>13</v>
      </c>
      <c r="M2443">
        <v>1375</v>
      </c>
    </row>
    <row r="2444" spans="1:13">
      <c r="A2444" t="s">
        <v>2152</v>
      </c>
      <c r="B2444" t="s">
        <v>2153</v>
      </c>
      <c r="C2444" t="s">
        <v>16</v>
      </c>
      <c r="D2444" t="s">
        <v>21</v>
      </c>
      <c r="E2444" t="s">
        <v>2710</v>
      </c>
      <c r="F2444" t="s">
        <v>2710</v>
      </c>
      <c r="G2444" s="2">
        <v>45716</v>
      </c>
      <c r="H2444" s="2">
        <v>45746</v>
      </c>
      <c r="I2444">
        <v>92</v>
      </c>
      <c r="J2444">
        <v>92</v>
      </c>
      <c r="K2444" t="s">
        <v>20</v>
      </c>
      <c r="L2444">
        <v>13</v>
      </c>
      <c r="M2444">
        <v>92</v>
      </c>
    </row>
    <row r="2445" spans="1:13">
      <c r="A2445" t="s">
        <v>2152</v>
      </c>
      <c r="B2445" t="s">
        <v>2153</v>
      </c>
      <c r="C2445" t="s">
        <v>16</v>
      </c>
      <c r="D2445" t="s">
        <v>21</v>
      </c>
      <c r="E2445" t="s">
        <v>2711</v>
      </c>
      <c r="F2445" t="s">
        <v>2711</v>
      </c>
      <c r="G2445" s="2">
        <v>45716</v>
      </c>
      <c r="H2445" s="2">
        <v>45746</v>
      </c>
      <c r="I2445">
        <v>309</v>
      </c>
      <c r="J2445">
        <v>309</v>
      </c>
      <c r="K2445" t="s">
        <v>20</v>
      </c>
      <c r="L2445">
        <v>13</v>
      </c>
      <c r="M2445">
        <v>309</v>
      </c>
    </row>
    <row r="2446" spans="1:13">
      <c r="A2446" t="s">
        <v>2152</v>
      </c>
      <c r="B2446" t="s">
        <v>2153</v>
      </c>
      <c r="C2446" t="s">
        <v>16</v>
      </c>
      <c r="D2446" t="s">
        <v>21</v>
      </c>
      <c r="E2446" t="s">
        <v>2712</v>
      </c>
      <c r="F2446" t="s">
        <v>2712</v>
      </c>
      <c r="G2446" s="2">
        <v>45716</v>
      </c>
      <c r="H2446" s="2">
        <v>45746</v>
      </c>
      <c r="I2446">
        <v>537</v>
      </c>
      <c r="J2446">
        <v>537</v>
      </c>
      <c r="K2446" t="s">
        <v>20</v>
      </c>
      <c r="L2446">
        <v>13</v>
      </c>
      <c r="M2446">
        <v>537</v>
      </c>
    </row>
    <row r="2447" spans="1:13">
      <c r="A2447" t="s">
        <v>2152</v>
      </c>
      <c r="B2447" t="s">
        <v>2153</v>
      </c>
      <c r="C2447" t="s">
        <v>16</v>
      </c>
      <c r="D2447" t="s">
        <v>21</v>
      </c>
      <c r="E2447" t="s">
        <v>2713</v>
      </c>
      <c r="F2447" t="s">
        <v>2713</v>
      </c>
      <c r="G2447" s="2">
        <v>45716</v>
      </c>
      <c r="H2447" s="2">
        <v>45746</v>
      </c>
      <c r="I2447">
        <v>356</v>
      </c>
      <c r="J2447">
        <v>356</v>
      </c>
      <c r="K2447" t="s">
        <v>20</v>
      </c>
      <c r="L2447">
        <v>13</v>
      </c>
      <c r="M2447">
        <v>356</v>
      </c>
    </row>
    <row r="2448" spans="1:13">
      <c r="A2448" t="s">
        <v>2152</v>
      </c>
      <c r="B2448" t="s">
        <v>2153</v>
      </c>
      <c r="C2448" t="s">
        <v>16</v>
      </c>
      <c r="D2448" t="s">
        <v>21</v>
      </c>
      <c r="E2448" t="s">
        <v>2714</v>
      </c>
      <c r="F2448" t="s">
        <v>2714</v>
      </c>
      <c r="G2448" s="2">
        <v>45716</v>
      </c>
      <c r="H2448" s="2">
        <v>45746</v>
      </c>
      <c r="I2448">
        <v>81.06</v>
      </c>
      <c r="J2448">
        <v>81.06</v>
      </c>
      <c r="K2448" t="s">
        <v>20</v>
      </c>
      <c r="L2448">
        <v>13</v>
      </c>
      <c r="M2448">
        <v>81.06</v>
      </c>
    </row>
    <row r="2449" spans="1:13">
      <c r="A2449" t="s">
        <v>2152</v>
      </c>
      <c r="B2449" t="s">
        <v>2153</v>
      </c>
      <c r="C2449" t="s">
        <v>16</v>
      </c>
      <c r="D2449" t="s">
        <v>21</v>
      </c>
      <c r="E2449" t="s">
        <v>2715</v>
      </c>
      <c r="F2449" t="s">
        <v>2715</v>
      </c>
      <c r="G2449" s="2">
        <v>45716</v>
      </c>
      <c r="H2449" s="2">
        <v>45746</v>
      </c>
      <c r="I2449">
        <v>159.5</v>
      </c>
      <c r="J2449">
        <v>159.5</v>
      </c>
      <c r="K2449" t="s">
        <v>20</v>
      </c>
      <c r="L2449">
        <v>13</v>
      </c>
      <c r="M2449">
        <v>159.5</v>
      </c>
    </row>
    <row r="2450" spans="1:13">
      <c r="A2450" t="s">
        <v>2152</v>
      </c>
      <c r="B2450" t="s">
        <v>2153</v>
      </c>
      <c r="C2450" t="s">
        <v>16</v>
      </c>
      <c r="D2450" t="s">
        <v>21</v>
      </c>
      <c r="E2450" t="s">
        <v>2716</v>
      </c>
      <c r="F2450" t="s">
        <v>2716</v>
      </c>
      <c r="G2450" s="2">
        <v>45716</v>
      </c>
      <c r="H2450" s="2">
        <v>45746</v>
      </c>
      <c r="I2450">
        <v>309</v>
      </c>
      <c r="J2450">
        <v>309</v>
      </c>
      <c r="K2450" t="s">
        <v>20</v>
      </c>
      <c r="L2450">
        <v>13</v>
      </c>
      <c r="M2450">
        <v>309</v>
      </c>
    </row>
    <row r="2451" spans="1:13">
      <c r="A2451" t="s">
        <v>2152</v>
      </c>
      <c r="B2451" t="s">
        <v>2153</v>
      </c>
      <c r="C2451" t="s">
        <v>16</v>
      </c>
      <c r="D2451" t="s">
        <v>21</v>
      </c>
      <c r="E2451" t="s">
        <v>2717</v>
      </c>
      <c r="F2451" t="s">
        <v>2717</v>
      </c>
      <c r="G2451" s="2">
        <v>45716</v>
      </c>
      <c r="H2451" s="2">
        <v>45746</v>
      </c>
      <c r="I2451">
        <v>154.5</v>
      </c>
      <c r="J2451">
        <v>154.5</v>
      </c>
      <c r="K2451" t="s">
        <v>20</v>
      </c>
      <c r="L2451">
        <v>13</v>
      </c>
      <c r="M2451">
        <v>154.5</v>
      </c>
    </row>
    <row r="2452" spans="1:13">
      <c r="A2452" t="s">
        <v>2152</v>
      </c>
      <c r="B2452" t="s">
        <v>2153</v>
      </c>
      <c r="C2452" t="s">
        <v>16</v>
      </c>
      <c r="D2452" t="s">
        <v>21</v>
      </c>
      <c r="E2452" t="s">
        <v>2718</v>
      </c>
      <c r="F2452" t="s">
        <v>2718</v>
      </c>
      <c r="G2452" s="2">
        <v>45716</v>
      </c>
      <c r="H2452" s="2">
        <v>45746</v>
      </c>
      <c r="I2452">
        <v>259.10000000000002</v>
      </c>
      <c r="J2452">
        <v>259.10000000000002</v>
      </c>
      <c r="K2452" t="s">
        <v>20</v>
      </c>
      <c r="L2452">
        <v>13</v>
      </c>
      <c r="M2452">
        <v>259.10000000000002</v>
      </c>
    </row>
    <row r="2453" spans="1:13">
      <c r="A2453" t="s">
        <v>2152</v>
      </c>
      <c r="B2453" t="s">
        <v>2153</v>
      </c>
      <c r="C2453" t="s">
        <v>16</v>
      </c>
      <c r="D2453" t="s">
        <v>21</v>
      </c>
      <c r="E2453" t="s">
        <v>2719</v>
      </c>
      <c r="F2453" t="s">
        <v>2719</v>
      </c>
      <c r="G2453" s="2">
        <v>45716</v>
      </c>
      <c r="H2453" s="2">
        <v>45746</v>
      </c>
      <c r="I2453">
        <v>365</v>
      </c>
      <c r="J2453">
        <v>365</v>
      </c>
      <c r="K2453" t="s">
        <v>20</v>
      </c>
      <c r="L2453">
        <v>13</v>
      </c>
      <c r="M2453">
        <v>365</v>
      </c>
    </row>
    <row r="2454" spans="1:13">
      <c r="A2454" t="s">
        <v>2152</v>
      </c>
      <c r="B2454" t="s">
        <v>2153</v>
      </c>
      <c r="C2454" t="s">
        <v>16</v>
      </c>
      <c r="D2454" t="s">
        <v>21</v>
      </c>
      <c r="E2454" t="s">
        <v>2720</v>
      </c>
      <c r="F2454" t="s">
        <v>2720</v>
      </c>
      <c r="G2454" s="2">
        <v>45716</v>
      </c>
      <c r="H2454" s="2">
        <v>45746</v>
      </c>
      <c r="I2454">
        <v>226.2</v>
      </c>
      <c r="J2454">
        <v>226.2</v>
      </c>
      <c r="K2454" t="s">
        <v>20</v>
      </c>
      <c r="L2454">
        <v>13</v>
      </c>
      <c r="M2454">
        <v>226.2</v>
      </c>
    </row>
    <row r="2455" spans="1:13">
      <c r="A2455" t="s">
        <v>2152</v>
      </c>
      <c r="B2455" t="s">
        <v>2153</v>
      </c>
      <c r="C2455" t="s">
        <v>16</v>
      </c>
      <c r="D2455" t="s">
        <v>21</v>
      </c>
      <c r="E2455" t="s">
        <v>2721</v>
      </c>
      <c r="F2455" t="s">
        <v>2721</v>
      </c>
      <c r="G2455" s="2">
        <v>45716</v>
      </c>
      <c r="H2455" s="2">
        <v>45746</v>
      </c>
      <c r="I2455">
        <v>739.19</v>
      </c>
      <c r="J2455">
        <v>739.19</v>
      </c>
      <c r="K2455" t="s">
        <v>20</v>
      </c>
      <c r="L2455">
        <v>13</v>
      </c>
      <c r="M2455">
        <v>739.19</v>
      </c>
    </row>
    <row r="2456" spans="1:13">
      <c r="A2456" t="s">
        <v>2152</v>
      </c>
      <c r="B2456" t="s">
        <v>2153</v>
      </c>
      <c r="C2456" t="s">
        <v>16</v>
      </c>
      <c r="D2456" t="s">
        <v>21</v>
      </c>
      <c r="E2456" t="s">
        <v>2722</v>
      </c>
      <c r="F2456" t="s">
        <v>2722</v>
      </c>
      <c r="G2456" s="2">
        <v>45716</v>
      </c>
      <c r="H2456" s="2">
        <v>45746</v>
      </c>
      <c r="I2456">
        <v>147.43</v>
      </c>
      <c r="J2456">
        <v>147.43</v>
      </c>
      <c r="K2456" t="s">
        <v>20</v>
      </c>
      <c r="L2456">
        <v>13</v>
      </c>
      <c r="M2456">
        <v>147.43</v>
      </c>
    </row>
    <row r="2457" spans="1:13">
      <c r="A2457" t="s">
        <v>2152</v>
      </c>
      <c r="B2457" t="s">
        <v>2153</v>
      </c>
      <c r="C2457" t="s">
        <v>16</v>
      </c>
      <c r="D2457" t="s">
        <v>21</v>
      </c>
      <c r="E2457" t="s">
        <v>2723</v>
      </c>
      <c r="F2457" t="s">
        <v>2723</v>
      </c>
      <c r="G2457" s="2">
        <v>45716</v>
      </c>
      <c r="H2457" s="2">
        <v>45746</v>
      </c>
      <c r="I2457">
        <v>463.4</v>
      </c>
      <c r="J2457">
        <v>463.4</v>
      </c>
      <c r="K2457" t="s">
        <v>20</v>
      </c>
      <c r="L2457">
        <v>13</v>
      </c>
      <c r="M2457">
        <v>463.4</v>
      </c>
    </row>
    <row r="2458" spans="1:13">
      <c r="A2458" t="s">
        <v>2152</v>
      </c>
      <c r="B2458" t="s">
        <v>2153</v>
      </c>
      <c r="C2458" t="s">
        <v>16</v>
      </c>
      <c r="D2458" t="s">
        <v>21</v>
      </c>
      <c r="E2458" t="s">
        <v>2724</v>
      </c>
      <c r="F2458" t="s">
        <v>2724</v>
      </c>
      <c r="G2458" s="2">
        <v>45716</v>
      </c>
      <c r="H2458" s="2">
        <v>45746</v>
      </c>
      <c r="I2458">
        <v>888</v>
      </c>
      <c r="J2458">
        <v>888</v>
      </c>
      <c r="K2458" t="s">
        <v>20</v>
      </c>
      <c r="L2458">
        <v>13</v>
      </c>
      <c r="M2458">
        <v>888</v>
      </c>
    </row>
    <row r="2459" spans="1:13">
      <c r="A2459" t="s">
        <v>2152</v>
      </c>
      <c r="B2459" t="s">
        <v>2153</v>
      </c>
      <c r="C2459" t="s">
        <v>16</v>
      </c>
      <c r="D2459" t="s">
        <v>21</v>
      </c>
      <c r="E2459" t="s">
        <v>2725</v>
      </c>
      <c r="F2459" t="s">
        <v>2725</v>
      </c>
      <c r="G2459" s="2">
        <v>45716</v>
      </c>
      <c r="H2459" s="2">
        <v>45746</v>
      </c>
      <c r="I2459">
        <v>815.83</v>
      </c>
      <c r="J2459">
        <v>815.83</v>
      </c>
      <c r="K2459" t="s">
        <v>20</v>
      </c>
      <c r="L2459">
        <v>13</v>
      </c>
      <c r="M2459">
        <v>815.83</v>
      </c>
    </row>
    <row r="2460" spans="1:13">
      <c r="A2460" t="s">
        <v>2152</v>
      </c>
      <c r="B2460" t="s">
        <v>2153</v>
      </c>
      <c r="C2460" t="s">
        <v>16</v>
      </c>
      <c r="D2460" t="s">
        <v>21</v>
      </c>
      <c r="E2460" t="s">
        <v>2726</v>
      </c>
      <c r="F2460" t="s">
        <v>2726</v>
      </c>
      <c r="G2460" s="2">
        <v>45716</v>
      </c>
      <c r="H2460" s="2">
        <v>45746</v>
      </c>
      <c r="I2460">
        <v>871.6</v>
      </c>
      <c r="J2460">
        <v>871.6</v>
      </c>
      <c r="K2460" t="s">
        <v>20</v>
      </c>
      <c r="L2460">
        <v>13</v>
      </c>
      <c r="M2460">
        <v>871.6</v>
      </c>
    </row>
    <row r="2461" spans="1:13">
      <c r="A2461" t="s">
        <v>2152</v>
      </c>
      <c r="B2461" t="s">
        <v>2153</v>
      </c>
      <c r="C2461" t="s">
        <v>16</v>
      </c>
      <c r="D2461" t="s">
        <v>21</v>
      </c>
      <c r="E2461" t="s">
        <v>2727</v>
      </c>
      <c r="F2461" t="s">
        <v>2727</v>
      </c>
      <c r="G2461" s="2">
        <v>45716</v>
      </c>
      <c r="H2461" s="2">
        <v>45746</v>
      </c>
      <c r="I2461">
        <v>432.4</v>
      </c>
      <c r="J2461">
        <v>432.4</v>
      </c>
      <c r="K2461" t="s">
        <v>20</v>
      </c>
      <c r="L2461">
        <v>13</v>
      </c>
      <c r="M2461">
        <v>432.4</v>
      </c>
    </row>
    <row r="2462" spans="1:13">
      <c r="A2462" t="s">
        <v>2152</v>
      </c>
      <c r="B2462" t="s">
        <v>2153</v>
      </c>
      <c r="C2462" t="s">
        <v>16</v>
      </c>
      <c r="D2462" t="s">
        <v>21</v>
      </c>
      <c r="E2462" t="s">
        <v>2728</v>
      </c>
      <c r="F2462" t="s">
        <v>2728</v>
      </c>
      <c r="G2462" s="2">
        <v>45716</v>
      </c>
      <c r="H2462" s="2">
        <v>45746</v>
      </c>
      <c r="I2462">
        <v>206.7</v>
      </c>
      <c r="J2462">
        <v>206.7</v>
      </c>
      <c r="K2462" t="s">
        <v>20</v>
      </c>
      <c r="L2462">
        <v>13</v>
      </c>
      <c r="M2462">
        <v>206.7</v>
      </c>
    </row>
    <row r="2463" spans="1:13">
      <c r="A2463" t="s">
        <v>2152</v>
      </c>
      <c r="B2463" t="s">
        <v>2153</v>
      </c>
      <c r="C2463" t="s">
        <v>16</v>
      </c>
      <c r="D2463" t="s">
        <v>21</v>
      </c>
      <c r="E2463" t="s">
        <v>2729</v>
      </c>
      <c r="F2463" t="s">
        <v>2729</v>
      </c>
      <c r="G2463" s="2">
        <v>45716</v>
      </c>
      <c r="H2463" s="2">
        <v>45746</v>
      </c>
      <c r="I2463">
        <v>57.3</v>
      </c>
      <c r="J2463">
        <v>57.3</v>
      </c>
      <c r="K2463" t="s">
        <v>20</v>
      </c>
      <c r="L2463">
        <v>13</v>
      </c>
      <c r="M2463">
        <v>57.3</v>
      </c>
    </row>
    <row r="2464" spans="1:13">
      <c r="A2464" t="s">
        <v>2152</v>
      </c>
      <c r="B2464" t="s">
        <v>2153</v>
      </c>
      <c r="C2464" t="s">
        <v>16</v>
      </c>
      <c r="D2464" t="s">
        <v>21</v>
      </c>
      <c r="E2464" t="s">
        <v>2730</v>
      </c>
      <c r="F2464" t="s">
        <v>2730</v>
      </c>
      <c r="G2464" s="2">
        <v>45716</v>
      </c>
      <c r="H2464" s="2">
        <v>45746</v>
      </c>
      <c r="I2464">
        <v>295.8</v>
      </c>
      <c r="J2464">
        <v>295.8</v>
      </c>
      <c r="K2464" t="s">
        <v>20</v>
      </c>
      <c r="L2464">
        <v>13</v>
      </c>
      <c r="M2464">
        <v>295.8</v>
      </c>
    </row>
    <row r="2465" spans="1:13">
      <c r="A2465" t="s">
        <v>2152</v>
      </c>
      <c r="B2465" t="s">
        <v>2153</v>
      </c>
      <c r="C2465" t="s">
        <v>16</v>
      </c>
      <c r="D2465" t="s">
        <v>21</v>
      </c>
      <c r="E2465" t="s">
        <v>2731</v>
      </c>
      <c r="F2465" t="s">
        <v>2731</v>
      </c>
      <c r="G2465" s="2">
        <v>45716</v>
      </c>
      <c r="H2465" s="2">
        <v>45746</v>
      </c>
      <c r="I2465">
        <v>457</v>
      </c>
      <c r="J2465">
        <v>457</v>
      </c>
      <c r="K2465" t="s">
        <v>20</v>
      </c>
      <c r="L2465">
        <v>13</v>
      </c>
      <c r="M2465">
        <v>457</v>
      </c>
    </row>
    <row r="2466" spans="1:13">
      <c r="A2466" t="s">
        <v>2152</v>
      </c>
      <c r="B2466" t="s">
        <v>2153</v>
      </c>
      <c r="C2466" t="s">
        <v>16</v>
      </c>
      <c r="D2466" t="s">
        <v>21</v>
      </c>
      <c r="E2466" t="s">
        <v>2732</v>
      </c>
      <c r="F2466" t="s">
        <v>2732</v>
      </c>
      <c r="G2466" s="2">
        <v>45716</v>
      </c>
      <c r="H2466" s="2">
        <v>45746</v>
      </c>
      <c r="I2466">
        <v>52.3</v>
      </c>
      <c r="J2466">
        <v>52.3</v>
      </c>
      <c r="K2466" t="s">
        <v>20</v>
      </c>
      <c r="L2466">
        <v>13</v>
      </c>
      <c r="M2466">
        <v>52.3</v>
      </c>
    </row>
    <row r="2467" spans="1:13">
      <c r="A2467" t="s">
        <v>2152</v>
      </c>
      <c r="B2467" t="s">
        <v>2153</v>
      </c>
      <c r="C2467" t="s">
        <v>16</v>
      </c>
      <c r="D2467" t="s">
        <v>21</v>
      </c>
      <c r="E2467" t="s">
        <v>2733</v>
      </c>
      <c r="F2467" t="s">
        <v>2733</v>
      </c>
      <c r="G2467" s="2">
        <v>45716</v>
      </c>
      <c r="H2467" s="2">
        <v>45746</v>
      </c>
      <c r="I2467">
        <v>309</v>
      </c>
      <c r="J2467">
        <v>309</v>
      </c>
      <c r="K2467" t="s">
        <v>20</v>
      </c>
      <c r="L2467">
        <v>13</v>
      </c>
      <c r="M2467">
        <v>309</v>
      </c>
    </row>
    <row r="2468" spans="1:13">
      <c r="A2468" t="s">
        <v>2152</v>
      </c>
      <c r="B2468" t="s">
        <v>2153</v>
      </c>
      <c r="C2468" t="s">
        <v>16</v>
      </c>
      <c r="D2468" t="s">
        <v>21</v>
      </c>
      <c r="E2468" t="s">
        <v>2734</v>
      </c>
      <c r="F2468" t="s">
        <v>2734</v>
      </c>
      <c r="G2468" s="2">
        <v>45716</v>
      </c>
      <c r="H2468" s="2">
        <v>45746</v>
      </c>
      <c r="I2468">
        <v>563</v>
      </c>
      <c r="J2468">
        <v>563</v>
      </c>
      <c r="K2468" t="s">
        <v>20</v>
      </c>
      <c r="L2468">
        <v>13</v>
      </c>
      <c r="M2468">
        <v>563</v>
      </c>
    </row>
    <row r="2469" spans="1:13">
      <c r="A2469" t="s">
        <v>2152</v>
      </c>
      <c r="B2469" t="s">
        <v>2153</v>
      </c>
      <c r="C2469" t="s">
        <v>16</v>
      </c>
      <c r="D2469" t="s">
        <v>21</v>
      </c>
      <c r="E2469" t="s">
        <v>2735</v>
      </c>
      <c r="F2469" t="s">
        <v>2735</v>
      </c>
      <c r="G2469" s="2">
        <v>45716</v>
      </c>
      <c r="H2469" s="2">
        <v>45746</v>
      </c>
      <c r="I2469">
        <v>319</v>
      </c>
      <c r="J2469">
        <v>319</v>
      </c>
      <c r="K2469" t="s">
        <v>20</v>
      </c>
      <c r="L2469">
        <v>13</v>
      </c>
      <c r="M2469">
        <v>319</v>
      </c>
    </row>
    <row r="2470" spans="1:13">
      <c r="A2470" t="s">
        <v>2152</v>
      </c>
      <c r="B2470" t="s">
        <v>2153</v>
      </c>
      <c r="C2470" t="s">
        <v>16</v>
      </c>
      <c r="D2470" t="s">
        <v>21</v>
      </c>
      <c r="E2470" t="s">
        <v>2736</v>
      </c>
      <c r="F2470" t="s">
        <v>2736</v>
      </c>
      <c r="G2470" s="2">
        <v>45716</v>
      </c>
      <c r="H2470" s="2">
        <v>45746</v>
      </c>
      <c r="I2470">
        <v>786.2</v>
      </c>
      <c r="J2470">
        <v>786.2</v>
      </c>
      <c r="K2470" t="s">
        <v>20</v>
      </c>
      <c r="L2470">
        <v>13</v>
      </c>
      <c r="M2470">
        <v>786.2</v>
      </c>
    </row>
    <row r="2471" spans="1:13">
      <c r="A2471" t="s">
        <v>2152</v>
      </c>
      <c r="B2471" t="s">
        <v>2153</v>
      </c>
      <c r="C2471" t="s">
        <v>16</v>
      </c>
      <c r="D2471" t="s">
        <v>21</v>
      </c>
      <c r="E2471" t="s">
        <v>2737</v>
      </c>
      <c r="F2471" t="s">
        <v>2737</v>
      </c>
      <c r="G2471" s="2">
        <v>45716</v>
      </c>
      <c r="H2471" s="2">
        <v>45746</v>
      </c>
      <c r="I2471">
        <v>412.6</v>
      </c>
      <c r="J2471">
        <v>412.6</v>
      </c>
      <c r="K2471" t="s">
        <v>20</v>
      </c>
      <c r="L2471">
        <v>13</v>
      </c>
      <c r="M2471">
        <v>412.6</v>
      </c>
    </row>
    <row r="2472" spans="1:13">
      <c r="A2472" t="s">
        <v>2152</v>
      </c>
      <c r="B2472" t="s">
        <v>2153</v>
      </c>
      <c r="C2472" t="s">
        <v>16</v>
      </c>
      <c r="D2472" t="s">
        <v>21</v>
      </c>
      <c r="E2472" t="s">
        <v>2738</v>
      </c>
      <c r="F2472" t="s">
        <v>2738</v>
      </c>
      <c r="G2472" s="2">
        <v>45716</v>
      </c>
      <c r="H2472" s="2">
        <v>45746</v>
      </c>
      <c r="I2472">
        <v>259.10000000000002</v>
      </c>
      <c r="J2472">
        <v>259.10000000000002</v>
      </c>
      <c r="K2472" t="s">
        <v>20</v>
      </c>
      <c r="L2472">
        <v>13</v>
      </c>
      <c r="M2472">
        <v>259.10000000000002</v>
      </c>
    </row>
    <row r="2473" spans="1:13">
      <c r="A2473" t="s">
        <v>2152</v>
      </c>
      <c r="B2473" t="s">
        <v>2153</v>
      </c>
      <c r="C2473" t="s">
        <v>16</v>
      </c>
      <c r="D2473" t="s">
        <v>21</v>
      </c>
      <c r="E2473" t="s">
        <v>2739</v>
      </c>
      <c r="F2473" t="s">
        <v>2739</v>
      </c>
      <c r="G2473" s="2">
        <v>45716</v>
      </c>
      <c r="H2473" s="2">
        <v>45746</v>
      </c>
      <c r="I2473">
        <v>412.6</v>
      </c>
      <c r="J2473">
        <v>412.6</v>
      </c>
      <c r="K2473" t="s">
        <v>20</v>
      </c>
      <c r="L2473">
        <v>13</v>
      </c>
      <c r="M2473">
        <v>412.6</v>
      </c>
    </row>
    <row r="2474" spans="1:13">
      <c r="A2474" t="s">
        <v>2152</v>
      </c>
      <c r="B2474" t="s">
        <v>2153</v>
      </c>
      <c r="C2474" t="s">
        <v>16</v>
      </c>
      <c r="D2474" t="s">
        <v>21</v>
      </c>
      <c r="E2474" t="s">
        <v>2740</v>
      </c>
      <c r="F2474" t="s">
        <v>2740</v>
      </c>
      <c r="G2474" s="2">
        <v>45716</v>
      </c>
      <c r="H2474" s="2">
        <v>45746</v>
      </c>
      <c r="I2474">
        <v>39.299999999999997</v>
      </c>
      <c r="J2474">
        <v>39.299999999999997</v>
      </c>
      <c r="K2474" t="s">
        <v>20</v>
      </c>
      <c r="L2474">
        <v>13</v>
      </c>
      <c r="M2474">
        <v>39.299999999999997</v>
      </c>
    </row>
    <row r="2475" spans="1:13">
      <c r="A2475" t="s">
        <v>2152</v>
      </c>
      <c r="B2475" t="s">
        <v>2153</v>
      </c>
      <c r="C2475" t="s">
        <v>16</v>
      </c>
      <c r="D2475" t="s">
        <v>21</v>
      </c>
      <c r="E2475" t="s">
        <v>2741</v>
      </c>
      <c r="F2475" t="s">
        <v>2741</v>
      </c>
      <c r="G2475" s="2">
        <v>45716</v>
      </c>
      <c r="H2475" s="2">
        <v>45746</v>
      </c>
      <c r="I2475">
        <v>183</v>
      </c>
      <c r="J2475">
        <v>183</v>
      </c>
      <c r="K2475" t="s">
        <v>20</v>
      </c>
      <c r="L2475">
        <v>13</v>
      </c>
      <c r="M2475">
        <v>183</v>
      </c>
    </row>
    <row r="2476" spans="1:13">
      <c r="A2476" t="s">
        <v>2152</v>
      </c>
      <c r="B2476" t="s">
        <v>2153</v>
      </c>
      <c r="C2476" t="s">
        <v>16</v>
      </c>
      <c r="D2476" t="s">
        <v>21</v>
      </c>
      <c r="E2476" t="s">
        <v>2742</v>
      </c>
      <c r="F2476" t="s">
        <v>2742</v>
      </c>
      <c r="G2476" s="2">
        <v>45716</v>
      </c>
      <c r="H2476" s="2">
        <v>45746</v>
      </c>
      <c r="I2476">
        <v>12</v>
      </c>
      <c r="J2476">
        <v>12</v>
      </c>
      <c r="K2476" t="s">
        <v>20</v>
      </c>
      <c r="L2476">
        <v>13</v>
      </c>
      <c r="M2476">
        <v>12</v>
      </c>
    </row>
    <row r="2477" spans="1:13">
      <c r="A2477" t="s">
        <v>2152</v>
      </c>
      <c r="B2477" t="s">
        <v>2153</v>
      </c>
      <c r="C2477" t="s">
        <v>16</v>
      </c>
      <c r="D2477" t="s">
        <v>21</v>
      </c>
      <c r="E2477" t="s">
        <v>2743</v>
      </c>
      <c r="F2477" t="s">
        <v>2743</v>
      </c>
      <c r="G2477" s="2">
        <v>45719</v>
      </c>
      <c r="H2477" s="2">
        <v>45749</v>
      </c>
      <c r="I2477">
        <v>340</v>
      </c>
      <c r="J2477">
        <v>340</v>
      </c>
      <c r="K2477" t="s">
        <v>20</v>
      </c>
      <c r="L2477">
        <v>0</v>
      </c>
      <c r="M2477">
        <v>0</v>
      </c>
    </row>
    <row r="2478" spans="1:13">
      <c r="A2478" t="s">
        <v>2152</v>
      </c>
      <c r="B2478" t="s">
        <v>2153</v>
      </c>
      <c r="C2478" t="s">
        <v>16</v>
      </c>
      <c r="D2478" t="s">
        <v>21</v>
      </c>
      <c r="E2478" t="s">
        <v>2744</v>
      </c>
      <c r="F2478" t="s">
        <v>2744</v>
      </c>
      <c r="G2478" s="2">
        <v>45719</v>
      </c>
      <c r="H2478" s="2">
        <v>45749</v>
      </c>
      <c r="I2478">
        <v>155.5</v>
      </c>
      <c r="J2478">
        <v>155.5</v>
      </c>
      <c r="K2478" t="s">
        <v>20</v>
      </c>
      <c r="L2478">
        <v>0</v>
      </c>
      <c r="M2478">
        <v>0</v>
      </c>
    </row>
    <row r="2479" spans="1:13">
      <c r="A2479" t="s">
        <v>2152</v>
      </c>
      <c r="B2479" t="s">
        <v>2153</v>
      </c>
      <c r="C2479" t="s">
        <v>16</v>
      </c>
      <c r="D2479" t="s">
        <v>21</v>
      </c>
      <c r="E2479" t="s">
        <v>2745</v>
      </c>
      <c r="F2479" t="s">
        <v>2745</v>
      </c>
      <c r="G2479" s="2">
        <v>45719</v>
      </c>
      <c r="H2479" s="2">
        <v>45749</v>
      </c>
      <c r="I2479">
        <v>154.5</v>
      </c>
      <c r="J2479">
        <v>154.5</v>
      </c>
      <c r="K2479" t="s">
        <v>20</v>
      </c>
      <c r="L2479">
        <v>0</v>
      </c>
      <c r="M2479">
        <v>0</v>
      </c>
    </row>
    <row r="2480" spans="1:13">
      <c r="A2480" t="s">
        <v>2152</v>
      </c>
      <c r="B2480" t="s">
        <v>2153</v>
      </c>
      <c r="C2480" t="s">
        <v>16</v>
      </c>
      <c r="D2480" t="s">
        <v>21</v>
      </c>
      <c r="E2480" t="s">
        <v>2746</v>
      </c>
      <c r="F2480" t="s">
        <v>2746</v>
      </c>
      <c r="G2480" s="2">
        <v>45720</v>
      </c>
      <c r="H2480" s="2">
        <v>45750</v>
      </c>
      <c r="I2480">
        <v>173</v>
      </c>
      <c r="J2480">
        <v>173</v>
      </c>
      <c r="K2480" t="s">
        <v>20</v>
      </c>
      <c r="L2480">
        <v>0</v>
      </c>
      <c r="M2480">
        <v>0</v>
      </c>
    </row>
    <row r="2481" spans="1:13">
      <c r="A2481" t="s">
        <v>2152</v>
      </c>
      <c r="B2481" t="s">
        <v>2153</v>
      </c>
      <c r="C2481" t="s">
        <v>16</v>
      </c>
      <c r="D2481" t="s">
        <v>21</v>
      </c>
      <c r="E2481" t="s">
        <v>2747</v>
      </c>
      <c r="F2481" t="s">
        <v>2747</v>
      </c>
      <c r="G2481" s="2">
        <v>45721</v>
      </c>
      <c r="H2481" s="2">
        <v>45751</v>
      </c>
      <c r="I2481">
        <v>341</v>
      </c>
      <c r="J2481">
        <v>341</v>
      </c>
      <c r="K2481" t="s">
        <v>20</v>
      </c>
      <c r="L2481">
        <v>0</v>
      </c>
      <c r="M2481">
        <v>0</v>
      </c>
    </row>
    <row r="2482" spans="1:13">
      <c r="A2482" t="s">
        <v>2152</v>
      </c>
      <c r="B2482" t="s">
        <v>2153</v>
      </c>
      <c r="C2482" t="s">
        <v>16</v>
      </c>
      <c r="D2482" t="s">
        <v>21</v>
      </c>
      <c r="E2482" t="s">
        <v>2748</v>
      </c>
      <c r="F2482" t="s">
        <v>2748</v>
      </c>
      <c r="G2482" s="2">
        <v>45721</v>
      </c>
      <c r="H2482" s="2">
        <v>45751</v>
      </c>
      <c r="I2482">
        <v>97.2</v>
      </c>
      <c r="J2482">
        <v>97.2</v>
      </c>
      <c r="K2482" t="s">
        <v>20</v>
      </c>
      <c r="L2482">
        <v>0</v>
      </c>
      <c r="M2482">
        <v>0</v>
      </c>
    </row>
    <row r="2483" spans="1:13">
      <c r="A2483" t="s">
        <v>2152</v>
      </c>
      <c r="B2483" t="s">
        <v>2153</v>
      </c>
      <c r="C2483" t="s">
        <v>16</v>
      </c>
      <c r="D2483" t="s">
        <v>21</v>
      </c>
      <c r="E2483" t="s">
        <v>2749</v>
      </c>
      <c r="F2483" t="s">
        <v>2749</v>
      </c>
      <c r="G2483" s="2">
        <v>45721</v>
      </c>
      <c r="H2483" s="2">
        <v>45751</v>
      </c>
      <c r="I2483">
        <v>540</v>
      </c>
      <c r="J2483">
        <v>540</v>
      </c>
      <c r="K2483" t="s">
        <v>20</v>
      </c>
      <c r="L2483">
        <v>0</v>
      </c>
      <c r="M2483">
        <v>0</v>
      </c>
    </row>
    <row r="2484" spans="1:13">
      <c r="A2484" t="s">
        <v>2152</v>
      </c>
      <c r="B2484" t="s">
        <v>2153</v>
      </c>
      <c r="C2484" t="s">
        <v>16</v>
      </c>
      <c r="D2484" t="s">
        <v>21</v>
      </c>
      <c r="E2484" t="s">
        <v>2750</v>
      </c>
      <c r="F2484" t="s">
        <v>2750</v>
      </c>
      <c r="G2484" s="2">
        <v>45721</v>
      </c>
      <c r="H2484" s="2">
        <v>45751</v>
      </c>
      <c r="I2484">
        <v>356.52</v>
      </c>
      <c r="J2484">
        <v>356.52</v>
      </c>
      <c r="K2484" t="s">
        <v>20</v>
      </c>
      <c r="L2484">
        <v>0</v>
      </c>
      <c r="M2484">
        <v>0</v>
      </c>
    </row>
    <row r="2485" spans="1:13">
      <c r="A2485" t="s">
        <v>2152</v>
      </c>
      <c r="B2485" t="s">
        <v>2153</v>
      </c>
      <c r="C2485" t="s">
        <v>16</v>
      </c>
      <c r="D2485" t="s">
        <v>21</v>
      </c>
      <c r="E2485" t="s">
        <v>2751</v>
      </c>
      <c r="F2485" t="s">
        <v>2751</v>
      </c>
      <c r="G2485" s="2">
        <v>45721</v>
      </c>
      <c r="H2485" s="2">
        <v>45751</v>
      </c>
      <c r="I2485">
        <v>41.03</v>
      </c>
      <c r="J2485">
        <v>41.03</v>
      </c>
      <c r="K2485" t="s">
        <v>20</v>
      </c>
      <c r="L2485">
        <v>0</v>
      </c>
      <c r="M2485">
        <v>0</v>
      </c>
    </row>
    <row r="2486" spans="1:13">
      <c r="A2486" t="s">
        <v>2152</v>
      </c>
      <c r="B2486" t="s">
        <v>2153</v>
      </c>
      <c r="C2486" t="s">
        <v>16</v>
      </c>
      <c r="D2486" t="s">
        <v>21</v>
      </c>
      <c r="E2486" t="s">
        <v>2752</v>
      </c>
      <c r="F2486" t="s">
        <v>2752</v>
      </c>
      <c r="G2486" s="2">
        <v>45723</v>
      </c>
      <c r="H2486" s="2">
        <v>45753</v>
      </c>
      <c r="I2486">
        <v>309</v>
      </c>
      <c r="J2486">
        <v>309</v>
      </c>
      <c r="K2486" t="s">
        <v>20</v>
      </c>
      <c r="L2486">
        <v>0</v>
      </c>
      <c r="M2486">
        <v>0</v>
      </c>
    </row>
    <row r="2487" spans="1:13">
      <c r="A2487" t="s">
        <v>2152</v>
      </c>
      <c r="B2487" t="s">
        <v>2153</v>
      </c>
      <c r="C2487" t="s">
        <v>16</v>
      </c>
      <c r="D2487" t="s">
        <v>21</v>
      </c>
      <c r="E2487" t="s">
        <v>2753</v>
      </c>
      <c r="F2487" t="s">
        <v>2753</v>
      </c>
      <c r="G2487" s="2">
        <v>45723</v>
      </c>
      <c r="H2487" s="2">
        <v>45753</v>
      </c>
      <c r="I2487">
        <v>57</v>
      </c>
      <c r="J2487">
        <v>57</v>
      </c>
      <c r="K2487" t="s">
        <v>20</v>
      </c>
      <c r="L2487">
        <v>0</v>
      </c>
      <c r="M2487">
        <v>0</v>
      </c>
    </row>
    <row r="2488" spans="1:13">
      <c r="A2488" t="s">
        <v>2152</v>
      </c>
      <c r="B2488" t="s">
        <v>2153</v>
      </c>
      <c r="C2488" t="s">
        <v>16</v>
      </c>
      <c r="D2488" t="s">
        <v>21</v>
      </c>
      <c r="E2488" t="s">
        <v>2754</v>
      </c>
      <c r="F2488" t="s">
        <v>2754</v>
      </c>
      <c r="G2488" s="2">
        <v>45723</v>
      </c>
      <c r="H2488" s="2">
        <v>45753</v>
      </c>
      <c r="I2488">
        <v>92</v>
      </c>
      <c r="J2488">
        <v>92</v>
      </c>
      <c r="K2488" t="s">
        <v>20</v>
      </c>
      <c r="L2488">
        <v>0</v>
      </c>
      <c r="M2488">
        <v>0</v>
      </c>
    </row>
    <row r="2489" spans="1:13">
      <c r="A2489" t="s">
        <v>2152</v>
      </c>
      <c r="B2489" t="s">
        <v>2153</v>
      </c>
      <c r="C2489" t="s">
        <v>16</v>
      </c>
      <c r="D2489" t="s">
        <v>21</v>
      </c>
      <c r="E2489" t="s">
        <v>2755</v>
      </c>
      <c r="F2489" t="s">
        <v>2755</v>
      </c>
      <c r="G2489" s="2">
        <v>45726</v>
      </c>
      <c r="H2489" s="2">
        <v>45756</v>
      </c>
      <c r="I2489">
        <v>58.3</v>
      </c>
      <c r="J2489">
        <v>58.3</v>
      </c>
      <c r="K2489" t="s">
        <v>20</v>
      </c>
      <c r="L2489">
        <v>0</v>
      </c>
      <c r="M2489">
        <v>0</v>
      </c>
    </row>
    <row r="2490" spans="1:13">
      <c r="A2490" t="s">
        <v>2152</v>
      </c>
      <c r="B2490" t="s">
        <v>2153</v>
      </c>
      <c r="C2490" t="s">
        <v>16</v>
      </c>
      <c r="D2490" t="s">
        <v>21</v>
      </c>
      <c r="E2490" t="s">
        <v>2756</v>
      </c>
      <c r="F2490" t="s">
        <v>2756</v>
      </c>
      <c r="G2490" s="2">
        <v>45726</v>
      </c>
      <c r="H2490" s="2">
        <v>45756</v>
      </c>
      <c r="I2490">
        <v>286.60000000000002</v>
      </c>
      <c r="J2490">
        <v>286.60000000000002</v>
      </c>
      <c r="K2490" t="s">
        <v>20</v>
      </c>
      <c r="L2490">
        <v>0</v>
      </c>
      <c r="M2490">
        <v>0</v>
      </c>
    </row>
    <row r="2491" spans="1:13">
      <c r="A2491" t="s">
        <v>2152</v>
      </c>
      <c r="B2491" t="s">
        <v>2153</v>
      </c>
      <c r="C2491" t="s">
        <v>16</v>
      </c>
      <c r="D2491" t="s">
        <v>21</v>
      </c>
      <c r="E2491" t="s">
        <v>2757</v>
      </c>
      <c r="F2491" t="s">
        <v>2757</v>
      </c>
      <c r="G2491" s="2">
        <v>45726</v>
      </c>
      <c r="H2491" s="2">
        <v>45756</v>
      </c>
      <c r="I2491">
        <v>56.3</v>
      </c>
      <c r="J2491">
        <v>56.3</v>
      </c>
      <c r="K2491" t="s">
        <v>20</v>
      </c>
      <c r="L2491">
        <v>0</v>
      </c>
      <c r="M2491">
        <v>0</v>
      </c>
    </row>
    <row r="2492" spans="1:13">
      <c r="A2492" t="s">
        <v>2152</v>
      </c>
      <c r="B2492" t="s">
        <v>2153</v>
      </c>
      <c r="C2492" t="s">
        <v>16</v>
      </c>
      <c r="D2492" t="s">
        <v>21</v>
      </c>
      <c r="E2492" t="s">
        <v>2758</v>
      </c>
      <c r="F2492" t="s">
        <v>2758</v>
      </c>
      <c r="G2492" s="2">
        <v>45726</v>
      </c>
      <c r="H2492" s="2">
        <v>45756</v>
      </c>
      <c r="I2492">
        <v>106.6</v>
      </c>
      <c r="J2492">
        <v>106.6</v>
      </c>
      <c r="K2492" t="s">
        <v>20</v>
      </c>
      <c r="L2492">
        <v>0</v>
      </c>
      <c r="M2492">
        <v>0</v>
      </c>
    </row>
    <row r="2493" spans="1:13">
      <c r="A2493" t="s">
        <v>2152</v>
      </c>
      <c r="B2493" t="s">
        <v>2153</v>
      </c>
      <c r="C2493" t="s">
        <v>16</v>
      </c>
      <c r="D2493" t="s">
        <v>21</v>
      </c>
      <c r="E2493" t="s">
        <v>2759</v>
      </c>
      <c r="F2493" t="s">
        <v>2759</v>
      </c>
      <c r="G2493" s="2">
        <v>45726</v>
      </c>
      <c r="H2493" s="2">
        <v>45756</v>
      </c>
      <c r="I2493" s="1">
        <v>1006.9</v>
      </c>
      <c r="J2493">
        <v>1006.9</v>
      </c>
      <c r="K2493" t="s">
        <v>20</v>
      </c>
      <c r="L2493">
        <v>0</v>
      </c>
      <c r="M2493">
        <v>0</v>
      </c>
    </row>
    <row r="2494" spans="1:13">
      <c r="A2494" t="s">
        <v>2152</v>
      </c>
      <c r="B2494" t="s">
        <v>2153</v>
      </c>
      <c r="C2494" t="s">
        <v>16</v>
      </c>
      <c r="D2494" t="s">
        <v>21</v>
      </c>
      <c r="E2494" t="s">
        <v>2760</v>
      </c>
      <c r="F2494" t="s">
        <v>2760</v>
      </c>
      <c r="G2494" s="2">
        <v>45726</v>
      </c>
      <c r="H2494" s="2">
        <v>45756</v>
      </c>
      <c r="I2494">
        <v>277.10000000000002</v>
      </c>
      <c r="J2494">
        <v>277.10000000000002</v>
      </c>
      <c r="K2494" t="s">
        <v>20</v>
      </c>
      <c r="L2494">
        <v>0</v>
      </c>
      <c r="M2494">
        <v>0</v>
      </c>
    </row>
    <row r="2495" spans="1:13">
      <c r="A2495" t="s">
        <v>2152</v>
      </c>
      <c r="B2495" t="s">
        <v>2153</v>
      </c>
      <c r="C2495" t="s">
        <v>16</v>
      </c>
      <c r="D2495" t="s">
        <v>21</v>
      </c>
      <c r="E2495" t="s">
        <v>2761</v>
      </c>
      <c r="F2495" t="s">
        <v>2761</v>
      </c>
      <c r="G2495" s="2">
        <v>45726</v>
      </c>
      <c r="H2495" s="2">
        <v>45756</v>
      </c>
      <c r="I2495">
        <v>238.3</v>
      </c>
      <c r="J2495">
        <v>238.3</v>
      </c>
      <c r="K2495" t="s">
        <v>20</v>
      </c>
      <c r="L2495">
        <v>0</v>
      </c>
      <c r="M2495">
        <v>0</v>
      </c>
    </row>
    <row r="2496" spans="1:13">
      <c r="A2496" t="s">
        <v>2152</v>
      </c>
      <c r="B2496" t="s">
        <v>2153</v>
      </c>
      <c r="C2496" t="s">
        <v>16</v>
      </c>
      <c r="D2496" t="s">
        <v>21</v>
      </c>
      <c r="E2496" t="s">
        <v>2762</v>
      </c>
      <c r="F2496" t="s">
        <v>2762</v>
      </c>
      <c r="G2496" s="2">
        <v>45726</v>
      </c>
      <c r="H2496" s="2">
        <v>45756</v>
      </c>
      <c r="I2496">
        <v>214.8</v>
      </c>
      <c r="J2496">
        <v>214.8</v>
      </c>
      <c r="K2496" t="s">
        <v>20</v>
      </c>
      <c r="L2496">
        <v>0</v>
      </c>
      <c r="M2496">
        <v>0</v>
      </c>
    </row>
    <row r="2497" spans="1:13">
      <c r="A2497" t="s">
        <v>2152</v>
      </c>
      <c r="B2497" t="s">
        <v>2153</v>
      </c>
      <c r="C2497" t="s">
        <v>16</v>
      </c>
      <c r="D2497" t="s">
        <v>21</v>
      </c>
      <c r="E2497" t="s">
        <v>2763</v>
      </c>
      <c r="F2497" t="s">
        <v>2763</v>
      </c>
      <c r="G2497" s="2">
        <v>45726</v>
      </c>
      <c r="H2497" s="2">
        <v>45756</v>
      </c>
      <c r="I2497">
        <v>926.73</v>
      </c>
      <c r="J2497">
        <v>926.73</v>
      </c>
      <c r="K2497" t="s">
        <v>20</v>
      </c>
      <c r="L2497">
        <v>0</v>
      </c>
      <c r="M2497">
        <v>0</v>
      </c>
    </row>
    <row r="2498" spans="1:13">
      <c r="A2498" t="s">
        <v>2152</v>
      </c>
      <c r="B2498" t="s">
        <v>2153</v>
      </c>
      <c r="C2498" t="s">
        <v>16</v>
      </c>
      <c r="D2498" t="s">
        <v>21</v>
      </c>
      <c r="E2498" t="s">
        <v>2764</v>
      </c>
      <c r="F2498" t="s">
        <v>2764</v>
      </c>
      <c r="G2498" s="2">
        <v>45726</v>
      </c>
      <c r="H2498" s="2">
        <v>45756</v>
      </c>
      <c r="I2498">
        <v>644.79999999999995</v>
      </c>
      <c r="J2498">
        <v>644.79999999999995</v>
      </c>
      <c r="K2498" t="s">
        <v>20</v>
      </c>
      <c r="L2498">
        <v>0</v>
      </c>
      <c r="M2498">
        <v>0</v>
      </c>
    </row>
    <row r="2499" spans="1:13">
      <c r="A2499" t="s">
        <v>2152</v>
      </c>
      <c r="B2499" t="s">
        <v>2153</v>
      </c>
      <c r="C2499" t="s">
        <v>16</v>
      </c>
      <c r="D2499" t="s">
        <v>21</v>
      </c>
      <c r="E2499" t="s">
        <v>2765</v>
      </c>
      <c r="F2499" t="s">
        <v>2765</v>
      </c>
      <c r="G2499" s="2">
        <v>45726</v>
      </c>
      <c r="H2499" s="2">
        <v>45756</v>
      </c>
      <c r="I2499">
        <v>53.3</v>
      </c>
      <c r="J2499">
        <v>53.3</v>
      </c>
      <c r="K2499" t="s">
        <v>20</v>
      </c>
      <c r="L2499">
        <v>0</v>
      </c>
      <c r="M2499">
        <v>0</v>
      </c>
    </row>
    <row r="2500" spans="1:13">
      <c r="A2500" t="s">
        <v>2152</v>
      </c>
      <c r="B2500" t="s">
        <v>2153</v>
      </c>
      <c r="C2500" t="s">
        <v>16</v>
      </c>
      <c r="D2500" t="s">
        <v>21</v>
      </c>
      <c r="E2500" t="s">
        <v>2766</v>
      </c>
      <c r="F2500" t="s">
        <v>2766</v>
      </c>
      <c r="G2500" s="2">
        <v>45726</v>
      </c>
      <c r="H2500" s="2">
        <v>45756</v>
      </c>
      <c r="I2500">
        <v>553.20000000000005</v>
      </c>
      <c r="J2500">
        <v>553.20000000000005</v>
      </c>
      <c r="K2500" t="s">
        <v>20</v>
      </c>
      <c r="L2500">
        <v>0</v>
      </c>
      <c r="M2500">
        <v>0</v>
      </c>
    </row>
    <row r="2501" spans="1:13">
      <c r="A2501" t="s">
        <v>2152</v>
      </c>
      <c r="B2501" t="s">
        <v>2153</v>
      </c>
      <c r="C2501" t="s">
        <v>16</v>
      </c>
      <c r="D2501" t="s">
        <v>21</v>
      </c>
      <c r="E2501" t="s">
        <v>2767</v>
      </c>
      <c r="F2501" t="s">
        <v>2767</v>
      </c>
      <c r="G2501" s="2">
        <v>45726</v>
      </c>
      <c r="H2501" s="2">
        <v>45756</v>
      </c>
      <c r="I2501">
        <v>106.6</v>
      </c>
      <c r="J2501">
        <v>106.6</v>
      </c>
      <c r="K2501" t="s">
        <v>20</v>
      </c>
      <c r="L2501">
        <v>0</v>
      </c>
      <c r="M2501">
        <v>0</v>
      </c>
    </row>
    <row r="2502" spans="1:13">
      <c r="A2502" t="s">
        <v>2152</v>
      </c>
      <c r="B2502" t="s">
        <v>2153</v>
      </c>
      <c r="C2502" t="s">
        <v>16</v>
      </c>
      <c r="D2502" t="s">
        <v>21</v>
      </c>
      <c r="E2502" t="s">
        <v>2768</v>
      </c>
      <c r="F2502" t="s">
        <v>2768</v>
      </c>
      <c r="G2502" s="2">
        <v>45726</v>
      </c>
      <c r="H2502" s="2">
        <v>45756</v>
      </c>
      <c r="I2502">
        <v>53.3</v>
      </c>
      <c r="J2502">
        <v>53.3</v>
      </c>
      <c r="K2502" t="s">
        <v>20</v>
      </c>
      <c r="L2502">
        <v>0</v>
      </c>
      <c r="M2502">
        <v>0</v>
      </c>
    </row>
    <row r="2503" spans="1:13">
      <c r="A2503" t="s">
        <v>2152</v>
      </c>
      <c r="B2503" t="s">
        <v>2153</v>
      </c>
      <c r="C2503" t="s">
        <v>16</v>
      </c>
      <c r="D2503" t="s">
        <v>21</v>
      </c>
      <c r="E2503" t="s">
        <v>2769</v>
      </c>
      <c r="F2503" t="s">
        <v>2769</v>
      </c>
      <c r="G2503" s="2">
        <v>45726</v>
      </c>
      <c r="H2503" s="2">
        <v>45756</v>
      </c>
      <c r="I2503">
        <v>417.6</v>
      </c>
      <c r="J2503">
        <v>417.6</v>
      </c>
      <c r="K2503" t="s">
        <v>20</v>
      </c>
      <c r="L2503">
        <v>0</v>
      </c>
      <c r="M2503">
        <v>0</v>
      </c>
    </row>
    <row r="2504" spans="1:13">
      <c r="A2504" t="s">
        <v>2152</v>
      </c>
      <c r="B2504" t="s">
        <v>2153</v>
      </c>
      <c r="C2504" t="s">
        <v>16</v>
      </c>
      <c r="D2504" t="s">
        <v>21</v>
      </c>
      <c r="E2504" t="s">
        <v>2770</v>
      </c>
      <c r="F2504" t="s">
        <v>2770</v>
      </c>
      <c r="G2504" s="2">
        <v>45726</v>
      </c>
      <c r="H2504" s="2">
        <v>45756</v>
      </c>
      <c r="I2504">
        <v>674.08</v>
      </c>
      <c r="J2504">
        <v>674.08</v>
      </c>
      <c r="K2504" t="s">
        <v>20</v>
      </c>
      <c r="L2504">
        <v>0</v>
      </c>
      <c r="M2504">
        <v>0</v>
      </c>
    </row>
    <row r="2505" spans="1:13">
      <c r="A2505" t="s">
        <v>2152</v>
      </c>
      <c r="B2505" t="s">
        <v>2153</v>
      </c>
      <c r="C2505" t="s">
        <v>16</v>
      </c>
      <c r="D2505" t="s">
        <v>21</v>
      </c>
      <c r="E2505" t="s">
        <v>2771</v>
      </c>
      <c r="F2505" t="s">
        <v>2771</v>
      </c>
      <c r="G2505" s="2">
        <v>45726</v>
      </c>
      <c r="H2505" s="2">
        <v>45756</v>
      </c>
      <c r="I2505">
        <v>302.13</v>
      </c>
      <c r="J2505">
        <v>302.13</v>
      </c>
      <c r="K2505" t="s">
        <v>20</v>
      </c>
      <c r="L2505">
        <v>0</v>
      </c>
      <c r="M2505">
        <v>0</v>
      </c>
    </row>
    <row r="2506" spans="1:13">
      <c r="A2506" t="s">
        <v>2152</v>
      </c>
      <c r="B2506" t="s">
        <v>2153</v>
      </c>
      <c r="C2506" t="s">
        <v>16</v>
      </c>
      <c r="D2506" t="s">
        <v>21</v>
      </c>
      <c r="E2506" t="s">
        <v>2772</v>
      </c>
      <c r="F2506" t="s">
        <v>2772</v>
      </c>
      <c r="G2506" s="2">
        <v>45727</v>
      </c>
      <c r="H2506" s="2">
        <v>45757</v>
      </c>
      <c r="I2506">
        <v>208.8</v>
      </c>
      <c r="J2506">
        <v>208.8</v>
      </c>
      <c r="K2506" t="s">
        <v>20</v>
      </c>
      <c r="L2506">
        <v>0</v>
      </c>
      <c r="M2506">
        <v>0</v>
      </c>
    </row>
    <row r="2507" spans="1:13">
      <c r="A2507" t="s">
        <v>2152</v>
      </c>
      <c r="B2507" t="s">
        <v>2153</v>
      </c>
      <c r="C2507" t="s">
        <v>16</v>
      </c>
      <c r="D2507" t="s">
        <v>21</v>
      </c>
      <c r="E2507" t="s">
        <v>2773</v>
      </c>
      <c r="F2507" t="s">
        <v>2773</v>
      </c>
      <c r="G2507" s="2">
        <v>45727</v>
      </c>
      <c r="H2507" s="2">
        <v>45757</v>
      </c>
      <c r="I2507">
        <v>155.5</v>
      </c>
      <c r="J2507">
        <v>155.5</v>
      </c>
      <c r="K2507" t="s">
        <v>20</v>
      </c>
      <c r="L2507">
        <v>0</v>
      </c>
      <c r="M2507">
        <v>0</v>
      </c>
    </row>
    <row r="2508" spans="1:13">
      <c r="A2508" t="s">
        <v>2152</v>
      </c>
      <c r="B2508" t="s">
        <v>2153</v>
      </c>
      <c r="C2508" t="s">
        <v>16</v>
      </c>
      <c r="D2508" t="s">
        <v>21</v>
      </c>
      <c r="E2508" t="s">
        <v>2774</v>
      </c>
      <c r="F2508" t="s">
        <v>2774</v>
      </c>
      <c r="G2508" s="2">
        <v>45727</v>
      </c>
      <c r="H2508" s="2">
        <v>45757</v>
      </c>
      <c r="I2508">
        <v>184</v>
      </c>
      <c r="J2508">
        <v>184</v>
      </c>
      <c r="K2508" t="s">
        <v>20</v>
      </c>
      <c r="L2508">
        <v>0</v>
      </c>
      <c r="M2508">
        <v>0</v>
      </c>
    </row>
    <row r="2509" spans="1:13">
      <c r="A2509" t="s">
        <v>2152</v>
      </c>
      <c r="B2509" t="s">
        <v>2153</v>
      </c>
      <c r="C2509" t="s">
        <v>16</v>
      </c>
      <c r="D2509" t="s">
        <v>21</v>
      </c>
      <c r="E2509" t="s">
        <v>2775</v>
      </c>
      <c r="F2509" t="s">
        <v>2775</v>
      </c>
      <c r="G2509" s="2">
        <v>45727</v>
      </c>
      <c r="H2509" s="2">
        <v>45757</v>
      </c>
      <c r="I2509">
        <v>370</v>
      </c>
      <c r="J2509">
        <v>370</v>
      </c>
      <c r="K2509" t="s">
        <v>20</v>
      </c>
      <c r="L2509">
        <v>0</v>
      </c>
      <c r="M2509">
        <v>0</v>
      </c>
    </row>
    <row r="2510" spans="1:13">
      <c r="A2510" t="s">
        <v>2152</v>
      </c>
      <c r="B2510" t="s">
        <v>2153</v>
      </c>
      <c r="C2510" t="s">
        <v>16</v>
      </c>
      <c r="D2510" t="s">
        <v>21</v>
      </c>
      <c r="E2510" t="s">
        <v>2776</v>
      </c>
      <c r="F2510" t="s">
        <v>2776</v>
      </c>
      <c r="G2510" s="2">
        <v>45727</v>
      </c>
      <c r="H2510" s="2">
        <v>45757</v>
      </c>
      <c r="I2510">
        <v>208.8</v>
      </c>
      <c r="J2510">
        <v>208.8</v>
      </c>
      <c r="K2510" t="s">
        <v>20</v>
      </c>
      <c r="L2510">
        <v>0</v>
      </c>
      <c r="M2510">
        <v>0</v>
      </c>
    </row>
    <row r="2511" spans="1:13">
      <c r="A2511" t="s">
        <v>2152</v>
      </c>
      <c r="B2511" t="s">
        <v>2153</v>
      </c>
      <c r="C2511" t="s">
        <v>16</v>
      </c>
      <c r="D2511" t="s">
        <v>21</v>
      </c>
      <c r="E2511" t="s">
        <v>2777</v>
      </c>
      <c r="F2511" t="s">
        <v>2777</v>
      </c>
      <c r="G2511" s="2">
        <v>45727</v>
      </c>
      <c r="H2511" s="2">
        <v>45757</v>
      </c>
      <c r="I2511">
        <v>311</v>
      </c>
      <c r="J2511">
        <v>311</v>
      </c>
      <c r="K2511" t="s">
        <v>20</v>
      </c>
      <c r="L2511">
        <v>0</v>
      </c>
      <c r="M2511">
        <v>0</v>
      </c>
    </row>
    <row r="2512" spans="1:13">
      <c r="A2512" t="s">
        <v>2152</v>
      </c>
      <c r="B2512" t="s">
        <v>2153</v>
      </c>
      <c r="C2512" t="s">
        <v>16</v>
      </c>
      <c r="D2512" t="s">
        <v>21</v>
      </c>
      <c r="E2512" t="s">
        <v>2778</v>
      </c>
      <c r="F2512" t="s">
        <v>2778</v>
      </c>
      <c r="G2512" s="2">
        <v>45728</v>
      </c>
      <c r="H2512" s="2">
        <v>45758</v>
      </c>
      <c r="I2512">
        <v>597</v>
      </c>
      <c r="J2512">
        <v>597</v>
      </c>
      <c r="K2512" t="s">
        <v>20</v>
      </c>
      <c r="L2512">
        <v>0</v>
      </c>
      <c r="M2512">
        <v>0</v>
      </c>
    </row>
    <row r="2513" spans="1:13">
      <c r="A2513" t="s">
        <v>2152</v>
      </c>
      <c r="B2513" t="s">
        <v>2153</v>
      </c>
      <c r="C2513" t="s">
        <v>16</v>
      </c>
      <c r="D2513" t="s">
        <v>21</v>
      </c>
      <c r="E2513" t="s">
        <v>2779</v>
      </c>
      <c r="F2513" t="s">
        <v>2779</v>
      </c>
      <c r="G2513" s="2">
        <v>45728</v>
      </c>
      <c r="H2513" s="2">
        <v>45758</v>
      </c>
      <c r="I2513">
        <v>277</v>
      </c>
      <c r="J2513">
        <v>277</v>
      </c>
      <c r="K2513" t="s">
        <v>20</v>
      </c>
      <c r="L2513">
        <v>0</v>
      </c>
      <c r="M2513">
        <v>0</v>
      </c>
    </row>
    <row r="2514" spans="1:13">
      <c r="A2514" t="s">
        <v>2152</v>
      </c>
      <c r="B2514" t="s">
        <v>2153</v>
      </c>
      <c r="C2514" t="s">
        <v>16</v>
      </c>
      <c r="D2514" t="s">
        <v>21</v>
      </c>
      <c r="E2514" t="s">
        <v>2780</v>
      </c>
      <c r="F2514" t="s">
        <v>2780</v>
      </c>
      <c r="G2514" s="2">
        <v>45728</v>
      </c>
      <c r="H2514" s="2">
        <v>45758</v>
      </c>
      <c r="I2514">
        <v>555</v>
      </c>
      <c r="J2514">
        <v>555</v>
      </c>
      <c r="K2514" t="s">
        <v>20</v>
      </c>
      <c r="L2514">
        <v>0</v>
      </c>
      <c r="M2514">
        <v>0</v>
      </c>
    </row>
    <row r="2515" spans="1:13">
      <c r="A2515" t="s">
        <v>2152</v>
      </c>
      <c r="B2515" t="s">
        <v>2153</v>
      </c>
      <c r="C2515" t="s">
        <v>16</v>
      </c>
      <c r="D2515" t="s">
        <v>21</v>
      </c>
      <c r="E2515" t="s">
        <v>2781</v>
      </c>
      <c r="F2515" t="s">
        <v>2781</v>
      </c>
      <c r="G2515" s="2">
        <v>45728</v>
      </c>
      <c r="H2515" s="2">
        <v>45758</v>
      </c>
      <c r="I2515">
        <v>58.3</v>
      </c>
      <c r="J2515">
        <v>58.3</v>
      </c>
      <c r="K2515" t="s">
        <v>20</v>
      </c>
      <c r="L2515">
        <v>0</v>
      </c>
      <c r="M2515">
        <v>0</v>
      </c>
    </row>
    <row r="2516" spans="1:13">
      <c r="A2516" t="s">
        <v>2152</v>
      </c>
      <c r="B2516" t="s">
        <v>2153</v>
      </c>
      <c r="C2516" t="s">
        <v>16</v>
      </c>
      <c r="D2516" t="s">
        <v>21</v>
      </c>
      <c r="E2516" t="s">
        <v>2782</v>
      </c>
      <c r="F2516" t="s">
        <v>2782</v>
      </c>
      <c r="G2516" s="2">
        <v>45728</v>
      </c>
      <c r="H2516" s="2">
        <v>45758</v>
      </c>
      <c r="I2516">
        <v>115.6</v>
      </c>
      <c r="J2516">
        <v>115.6</v>
      </c>
      <c r="K2516" t="s">
        <v>20</v>
      </c>
      <c r="L2516">
        <v>0</v>
      </c>
      <c r="M2516">
        <v>0</v>
      </c>
    </row>
    <row r="2517" spans="1:13">
      <c r="A2517" t="s">
        <v>2152</v>
      </c>
      <c r="B2517" t="s">
        <v>2153</v>
      </c>
      <c r="C2517" t="s">
        <v>16</v>
      </c>
      <c r="D2517" t="s">
        <v>21</v>
      </c>
      <c r="E2517" t="s">
        <v>2783</v>
      </c>
      <c r="F2517" t="s">
        <v>2783</v>
      </c>
      <c r="G2517" s="2">
        <v>45728</v>
      </c>
      <c r="H2517" s="2">
        <v>45758</v>
      </c>
      <c r="I2517">
        <v>158.5</v>
      </c>
      <c r="J2517">
        <v>158.5</v>
      </c>
      <c r="K2517" t="s">
        <v>20</v>
      </c>
      <c r="L2517">
        <v>0</v>
      </c>
      <c r="M2517">
        <v>0</v>
      </c>
    </row>
    <row r="2518" spans="1:13">
      <c r="A2518" t="s">
        <v>2152</v>
      </c>
      <c r="B2518" t="s">
        <v>2153</v>
      </c>
      <c r="C2518" t="s">
        <v>16</v>
      </c>
      <c r="D2518" t="s">
        <v>21</v>
      </c>
      <c r="E2518" t="s">
        <v>2784</v>
      </c>
      <c r="F2518" t="s">
        <v>2784</v>
      </c>
      <c r="G2518" s="2">
        <v>45729</v>
      </c>
      <c r="H2518" s="2">
        <v>45759</v>
      </c>
      <c r="I2518">
        <v>130.19999999999999</v>
      </c>
      <c r="J2518">
        <v>130.19999999999999</v>
      </c>
      <c r="K2518" t="s">
        <v>20</v>
      </c>
      <c r="L2518">
        <v>0</v>
      </c>
      <c r="M2518">
        <v>0</v>
      </c>
    </row>
    <row r="2519" spans="1:13">
      <c r="A2519" t="s">
        <v>2152</v>
      </c>
      <c r="B2519" t="s">
        <v>2153</v>
      </c>
      <c r="C2519" t="s">
        <v>16</v>
      </c>
      <c r="D2519" t="s">
        <v>21</v>
      </c>
      <c r="E2519" t="s">
        <v>2785</v>
      </c>
      <c r="F2519" t="s">
        <v>2785</v>
      </c>
      <c r="G2519" s="2">
        <v>45730</v>
      </c>
      <c r="H2519" s="2">
        <v>45760</v>
      </c>
      <c r="I2519">
        <v>370</v>
      </c>
      <c r="J2519">
        <v>370</v>
      </c>
      <c r="K2519" t="s">
        <v>20</v>
      </c>
      <c r="L2519">
        <v>0</v>
      </c>
      <c r="M2519">
        <v>0</v>
      </c>
    </row>
    <row r="2520" spans="1:13">
      <c r="A2520" t="s">
        <v>2152</v>
      </c>
      <c r="B2520" t="s">
        <v>2153</v>
      </c>
      <c r="C2520" t="s">
        <v>16</v>
      </c>
      <c r="D2520" t="s">
        <v>21</v>
      </c>
      <c r="E2520" t="s">
        <v>2786</v>
      </c>
      <c r="F2520" t="s">
        <v>2786</v>
      </c>
      <c r="G2520" s="2">
        <v>45730</v>
      </c>
      <c r="H2520" s="2">
        <v>45760</v>
      </c>
      <c r="I2520">
        <v>447.36</v>
      </c>
      <c r="J2520">
        <v>447.36</v>
      </c>
      <c r="K2520" t="s">
        <v>20</v>
      </c>
      <c r="L2520">
        <v>0</v>
      </c>
      <c r="M2520">
        <v>0</v>
      </c>
    </row>
    <row r="2521" spans="1:13">
      <c r="A2521" t="s">
        <v>2152</v>
      </c>
      <c r="B2521" t="s">
        <v>2153</v>
      </c>
      <c r="C2521" t="s">
        <v>16</v>
      </c>
      <c r="D2521" t="s">
        <v>21</v>
      </c>
      <c r="E2521" t="s">
        <v>2787</v>
      </c>
      <c r="F2521" t="s">
        <v>2787</v>
      </c>
      <c r="G2521" s="2">
        <v>45730</v>
      </c>
      <c r="H2521" s="2">
        <v>45760</v>
      </c>
      <c r="I2521">
        <v>569.41999999999996</v>
      </c>
      <c r="J2521">
        <v>569.41999999999996</v>
      </c>
      <c r="K2521" t="s">
        <v>20</v>
      </c>
      <c r="L2521">
        <v>0</v>
      </c>
      <c r="M2521">
        <v>0</v>
      </c>
    </row>
    <row r="2522" spans="1:13">
      <c r="A2522" t="s">
        <v>2152</v>
      </c>
      <c r="B2522" t="s">
        <v>2153</v>
      </c>
      <c r="C2522" t="s">
        <v>16</v>
      </c>
      <c r="D2522" t="s">
        <v>21</v>
      </c>
      <c r="E2522" t="s">
        <v>2788</v>
      </c>
      <c r="F2522" t="s">
        <v>2788</v>
      </c>
      <c r="G2522" s="2">
        <v>45730</v>
      </c>
      <c r="H2522" s="2">
        <v>45760</v>
      </c>
      <c r="I2522">
        <v>53.3</v>
      </c>
      <c r="J2522">
        <v>53.3</v>
      </c>
      <c r="K2522" t="s">
        <v>20</v>
      </c>
      <c r="L2522">
        <v>0</v>
      </c>
      <c r="M2522">
        <v>0</v>
      </c>
    </row>
    <row r="2523" spans="1:13">
      <c r="A2523" t="s">
        <v>2152</v>
      </c>
      <c r="B2523" t="s">
        <v>2153</v>
      </c>
      <c r="C2523" t="s">
        <v>16</v>
      </c>
      <c r="D2523" t="s">
        <v>21</v>
      </c>
      <c r="E2523" t="s">
        <v>2789</v>
      </c>
      <c r="F2523" t="s">
        <v>2789</v>
      </c>
      <c r="G2523" s="2">
        <v>45730</v>
      </c>
      <c r="H2523" s="2">
        <v>45760</v>
      </c>
      <c r="I2523">
        <v>212.2</v>
      </c>
      <c r="J2523">
        <v>212.2</v>
      </c>
      <c r="K2523" t="s">
        <v>20</v>
      </c>
      <c r="L2523">
        <v>0</v>
      </c>
      <c r="M2523">
        <v>0</v>
      </c>
    </row>
    <row r="2524" spans="1:13">
      <c r="A2524" t="s">
        <v>2152</v>
      </c>
      <c r="B2524" t="s">
        <v>2153</v>
      </c>
      <c r="C2524" t="s">
        <v>16</v>
      </c>
      <c r="D2524" t="s">
        <v>21</v>
      </c>
      <c r="E2524" t="s">
        <v>2790</v>
      </c>
      <c r="F2524" t="s">
        <v>2790</v>
      </c>
      <c r="G2524" s="2">
        <v>45733</v>
      </c>
      <c r="H2524" s="2">
        <v>45763</v>
      </c>
      <c r="I2524">
        <v>380</v>
      </c>
      <c r="J2524">
        <v>380</v>
      </c>
      <c r="K2524" t="s">
        <v>20</v>
      </c>
      <c r="L2524">
        <v>0</v>
      </c>
      <c r="M2524">
        <v>0</v>
      </c>
    </row>
    <row r="2525" spans="1:13">
      <c r="A2525" t="s">
        <v>2152</v>
      </c>
      <c r="B2525" t="s">
        <v>2153</v>
      </c>
      <c r="C2525" t="s">
        <v>16</v>
      </c>
      <c r="D2525" t="s">
        <v>21</v>
      </c>
      <c r="E2525" t="s">
        <v>2791</v>
      </c>
      <c r="F2525" t="s">
        <v>2791</v>
      </c>
      <c r="G2525" s="2">
        <v>45734</v>
      </c>
      <c r="H2525" s="2">
        <v>45764</v>
      </c>
      <c r="I2525">
        <v>376</v>
      </c>
      <c r="J2525">
        <v>376</v>
      </c>
      <c r="K2525" t="s">
        <v>20</v>
      </c>
      <c r="L2525">
        <v>0</v>
      </c>
      <c r="M2525">
        <v>0</v>
      </c>
    </row>
    <row r="2526" spans="1:13">
      <c r="A2526" t="s">
        <v>2152</v>
      </c>
      <c r="B2526" t="s">
        <v>2153</v>
      </c>
      <c r="C2526" t="s">
        <v>16</v>
      </c>
      <c r="D2526" t="s">
        <v>21</v>
      </c>
      <c r="E2526" t="s">
        <v>2792</v>
      </c>
      <c r="F2526" t="s">
        <v>2792</v>
      </c>
      <c r="G2526" s="2">
        <v>45734</v>
      </c>
      <c r="H2526" s="2">
        <v>45764</v>
      </c>
      <c r="I2526">
        <v>106.6</v>
      </c>
      <c r="J2526">
        <v>106.6</v>
      </c>
      <c r="K2526" t="s">
        <v>20</v>
      </c>
      <c r="L2526">
        <v>0</v>
      </c>
      <c r="M2526">
        <v>0</v>
      </c>
    </row>
    <row r="2527" spans="1:13">
      <c r="A2527" t="s">
        <v>2152</v>
      </c>
      <c r="B2527" t="s">
        <v>2153</v>
      </c>
      <c r="C2527" t="s">
        <v>16</v>
      </c>
      <c r="D2527" t="s">
        <v>21</v>
      </c>
      <c r="E2527" t="s">
        <v>2793</v>
      </c>
      <c r="F2527" t="s">
        <v>2793</v>
      </c>
      <c r="G2527" s="2">
        <v>45734</v>
      </c>
      <c r="H2527" s="2">
        <v>45764</v>
      </c>
      <c r="I2527">
        <v>202.3</v>
      </c>
      <c r="J2527">
        <v>202.3</v>
      </c>
      <c r="K2527" t="s">
        <v>20</v>
      </c>
      <c r="L2527">
        <v>0</v>
      </c>
      <c r="M2527">
        <v>0</v>
      </c>
    </row>
    <row r="2528" spans="1:13">
      <c r="A2528" t="s">
        <v>2152</v>
      </c>
      <c r="B2528" t="s">
        <v>2153</v>
      </c>
      <c r="C2528" t="s">
        <v>16</v>
      </c>
      <c r="D2528" t="s">
        <v>21</v>
      </c>
      <c r="E2528" t="s">
        <v>2794</v>
      </c>
      <c r="F2528" t="s">
        <v>2794</v>
      </c>
      <c r="G2528" s="2">
        <v>45734</v>
      </c>
      <c r="H2528" s="2">
        <v>45764</v>
      </c>
      <c r="I2528">
        <v>93</v>
      </c>
      <c r="J2528">
        <v>93</v>
      </c>
      <c r="K2528" t="s">
        <v>20</v>
      </c>
      <c r="L2528">
        <v>0</v>
      </c>
      <c r="M2528">
        <v>0</v>
      </c>
    </row>
    <row r="2529" spans="1:13">
      <c r="A2529" t="s">
        <v>2152</v>
      </c>
      <c r="B2529" t="s">
        <v>2153</v>
      </c>
      <c r="C2529" t="s">
        <v>16</v>
      </c>
      <c r="D2529" t="s">
        <v>21</v>
      </c>
      <c r="E2529" t="s">
        <v>2795</v>
      </c>
      <c r="F2529" t="s">
        <v>2795</v>
      </c>
      <c r="G2529" s="2">
        <v>45734</v>
      </c>
      <c r="H2529" s="2">
        <v>45764</v>
      </c>
      <c r="I2529">
        <v>290</v>
      </c>
      <c r="J2529">
        <v>290</v>
      </c>
      <c r="K2529" t="s">
        <v>20</v>
      </c>
      <c r="L2529">
        <v>0</v>
      </c>
      <c r="M2529">
        <v>0</v>
      </c>
    </row>
    <row r="2530" spans="1:13">
      <c r="A2530" t="s">
        <v>2152</v>
      </c>
      <c r="B2530" t="s">
        <v>2153</v>
      </c>
      <c r="C2530" t="s">
        <v>16</v>
      </c>
      <c r="D2530" t="s">
        <v>21</v>
      </c>
      <c r="E2530" t="s">
        <v>2796</v>
      </c>
      <c r="F2530" t="s">
        <v>2796</v>
      </c>
      <c r="G2530" s="2">
        <v>45734</v>
      </c>
      <c r="H2530" s="2">
        <v>45764</v>
      </c>
      <c r="I2530">
        <v>250.5</v>
      </c>
      <c r="J2530">
        <v>250.5</v>
      </c>
      <c r="K2530" t="s">
        <v>20</v>
      </c>
      <c r="L2530">
        <v>0</v>
      </c>
      <c r="M2530">
        <v>0</v>
      </c>
    </row>
    <row r="2531" spans="1:13">
      <c r="A2531" t="s">
        <v>2152</v>
      </c>
      <c r="B2531" t="s">
        <v>2153</v>
      </c>
      <c r="C2531" t="s">
        <v>16</v>
      </c>
      <c r="D2531" t="s">
        <v>21</v>
      </c>
      <c r="E2531" t="s">
        <v>2797</v>
      </c>
      <c r="F2531" t="s">
        <v>2797</v>
      </c>
      <c r="G2531" s="2">
        <v>45734</v>
      </c>
      <c r="H2531" s="2">
        <v>45764</v>
      </c>
      <c r="I2531">
        <v>228</v>
      </c>
      <c r="J2531">
        <v>228</v>
      </c>
      <c r="K2531" t="s">
        <v>20</v>
      </c>
      <c r="L2531">
        <v>0</v>
      </c>
      <c r="M2531">
        <v>0</v>
      </c>
    </row>
    <row r="2532" spans="1:13">
      <c r="A2532" t="s">
        <v>2152</v>
      </c>
      <c r="B2532" t="s">
        <v>2153</v>
      </c>
      <c r="C2532" t="s">
        <v>16</v>
      </c>
      <c r="D2532" t="s">
        <v>21</v>
      </c>
      <c r="E2532" t="s">
        <v>2798</v>
      </c>
      <c r="F2532" t="s">
        <v>2798</v>
      </c>
      <c r="G2532" s="2">
        <v>45734</v>
      </c>
      <c r="H2532" s="2">
        <v>45764</v>
      </c>
      <c r="I2532">
        <v>447</v>
      </c>
      <c r="J2532">
        <v>447</v>
      </c>
      <c r="K2532" t="s">
        <v>20</v>
      </c>
      <c r="L2532">
        <v>0</v>
      </c>
      <c r="M2532">
        <v>0</v>
      </c>
    </row>
    <row r="2533" spans="1:13">
      <c r="A2533" t="s">
        <v>2152</v>
      </c>
      <c r="B2533" t="s">
        <v>2153</v>
      </c>
      <c r="C2533" t="s">
        <v>16</v>
      </c>
      <c r="D2533" t="s">
        <v>21</v>
      </c>
      <c r="E2533" t="s">
        <v>2799</v>
      </c>
      <c r="F2533" t="s">
        <v>2799</v>
      </c>
      <c r="G2533" s="2">
        <v>45734</v>
      </c>
      <c r="H2533" s="2">
        <v>45764</v>
      </c>
      <c r="I2533">
        <v>150</v>
      </c>
      <c r="J2533">
        <v>150</v>
      </c>
      <c r="K2533" t="s">
        <v>20</v>
      </c>
      <c r="L2533">
        <v>0</v>
      </c>
      <c r="M2533">
        <v>0</v>
      </c>
    </row>
    <row r="2534" spans="1:13">
      <c r="A2534" t="s">
        <v>2152</v>
      </c>
      <c r="B2534" t="s">
        <v>2153</v>
      </c>
      <c r="C2534" t="s">
        <v>16</v>
      </c>
      <c r="D2534" t="s">
        <v>21</v>
      </c>
      <c r="E2534" t="s">
        <v>2800</v>
      </c>
      <c r="F2534" t="s">
        <v>2800</v>
      </c>
      <c r="G2534" s="2">
        <v>45734</v>
      </c>
      <c r="H2534" s="2">
        <v>45764</v>
      </c>
      <c r="I2534">
        <v>285.20999999999998</v>
      </c>
      <c r="J2534">
        <v>285.20999999999998</v>
      </c>
      <c r="K2534" t="s">
        <v>20</v>
      </c>
      <c r="L2534">
        <v>0</v>
      </c>
      <c r="M2534">
        <v>0</v>
      </c>
    </row>
    <row r="2535" spans="1:13">
      <c r="A2535" t="s">
        <v>2152</v>
      </c>
      <c r="B2535" t="s">
        <v>2153</v>
      </c>
      <c r="C2535" t="s">
        <v>16</v>
      </c>
      <c r="D2535" t="s">
        <v>21</v>
      </c>
      <c r="E2535" t="s">
        <v>2801</v>
      </c>
      <c r="F2535" t="s">
        <v>2801</v>
      </c>
      <c r="G2535" s="2">
        <v>45735</v>
      </c>
      <c r="H2535" s="2">
        <v>45765</v>
      </c>
      <c r="I2535">
        <v>411.4</v>
      </c>
      <c r="J2535">
        <v>411.4</v>
      </c>
      <c r="K2535" t="s">
        <v>20</v>
      </c>
      <c r="L2535">
        <v>0</v>
      </c>
      <c r="M2535">
        <v>0</v>
      </c>
    </row>
    <row r="2536" spans="1:13">
      <c r="A2536" t="s">
        <v>2152</v>
      </c>
      <c r="B2536" t="s">
        <v>2153</v>
      </c>
      <c r="C2536" t="s">
        <v>16</v>
      </c>
      <c r="D2536" t="s">
        <v>21</v>
      </c>
      <c r="E2536" t="s">
        <v>2802</v>
      </c>
      <c r="F2536" t="s">
        <v>2802</v>
      </c>
      <c r="G2536" s="2">
        <v>45735</v>
      </c>
      <c r="H2536" s="2">
        <v>45765</v>
      </c>
      <c r="I2536">
        <v>395.26</v>
      </c>
      <c r="J2536">
        <v>395.26</v>
      </c>
      <c r="K2536" t="s">
        <v>20</v>
      </c>
      <c r="L2536">
        <v>0</v>
      </c>
      <c r="M2536">
        <v>0</v>
      </c>
    </row>
    <row r="2537" spans="1:13">
      <c r="A2537" t="s">
        <v>2152</v>
      </c>
      <c r="B2537" t="s">
        <v>2153</v>
      </c>
      <c r="C2537" t="s">
        <v>16</v>
      </c>
      <c r="D2537" t="s">
        <v>21</v>
      </c>
      <c r="E2537" t="s">
        <v>2803</v>
      </c>
      <c r="F2537" t="s">
        <v>2803</v>
      </c>
      <c r="G2537" s="2">
        <v>45735</v>
      </c>
      <c r="H2537" s="2">
        <v>45765</v>
      </c>
      <c r="I2537">
        <v>418.9</v>
      </c>
      <c r="J2537">
        <v>418.9</v>
      </c>
      <c r="K2537" t="s">
        <v>20</v>
      </c>
      <c r="L2537">
        <v>0</v>
      </c>
      <c r="M2537">
        <v>0</v>
      </c>
    </row>
    <row r="2538" spans="1:13">
      <c r="A2538" t="s">
        <v>2152</v>
      </c>
      <c r="B2538" t="s">
        <v>2153</v>
      </c>
      <c r="C2538" t="s">
        <v>16</v>
      </c>
      <c r="D2538" t="s">
        <v>21</v>
      </c>
      <c r="E2538" t="s">
        <v>2804</v>
      </c>
      <c r="F2538" t="s">
        <v>2804</v>
      </c>
      <c r="G2538" s="2">
        <v>45736</v>
      </c>
      <c r="H2538" s="2">
        <v>45766</v>
      </c>
      <c r="I2538">
        <v>305</v>
      </c>
      <c r="J2538">
        <v>305</v>
      </c>
      <c r="K2538" t="s">
        <v>20</v>
      </c>
      <c r="L2538">
        <v>0</v>
      </c>
      <c r="M2538">
        <v>0</v>
      </c>
    </row>
    <row r="2539" spans="1:13">
      <c r="A2539" t="s">
        <v>2152</v>
      </c>
      <c r="B2539" t="s">
        <v>2153</v>
      </c>
      <c r="C2539" t="s">
        <v>16</v>
      </c>
      <c r="D2539" t="s">
        <v>21</v>
      </c>
      <c r="E2539" t="s">
        <v>2805</v>
      </c>
      <c r="F2539" t="s">
        <v>2805</v>
      </c>
      <c r="G2539" s="2">
        <v>45736</v>
      </c>
      <c r="H2539" s="2">
        <v>45766</v>
      </c>
      <c r="I2539">
        <v>625.4</v>
      </c>
      <c r="J2539">
        <v>625.4</v>
      </c>
      <c r="K2539" t="s">
        <v>20</v>
      </c>
      <c r="L2539">
        <v>0</v>
      </c>
      <c r="M2539">
        <v>0</v>
      </c>
    </row>
    <row r="2540" spans="1:13">
      <c r="A2540" t="s">
        <v>2152</v>
      </c>
      <c r="B2540" t="s">
        <v>2153</v>
      </c>
      <c r="C2540" t="s">
        <v>16</v>
      </c>
      <c r="D2540" t="s">
        <v>21</v>
      </c>
      <c r="E2540" t="s">
        <v>2806</v>
      </c>
      <c r="F2540" t="s">
        <v>2806</v>
      </c>
      <c r="G2540" s="2">
        <v>45736</v>
      </c>
      <c r="H2540" s="2">
        <v>45766</v>
      </c>
      <c r="I2540">
        <v>122.09</v>
      </c>
      <c r="J2540">
        <v>122.09</v>
      </c>
      <c r="K2540" t="s">
        <v>20</v>
      </c>
      <c r="L2540">
        <v>0</v>
      </c>
      <c r="M2540">
        <v>0</v>
      </c>
    </row>
    <row r="2541" spans="1:13">
      <c r="A2541" t="s">
        <v>2152</v>
      </c>
      <c r="B2541" t="s">
        <v>2153</v>
      </c>
      <c r="C2541" t="s">
        <v>16</v>
      </c>
      <c r="D2541" t="s">
        <v>21</v>
      </c>
      <c r="E2541" t="s">
        <v>2807</v>
      </c>
      <c r="F2541" t="s">
        <v>2807</v>
      </c>
      <c r="G2541" s="2">
        <v>45736</v>
      </c>
      <c r="H2541" s="2">
        <v>45766</v>
      </c>
      <c r="I2541">
        <v>251.4</v>
      </c>
      <c r="J2541">
        <v>251.4</v>
      </c>
      <c r="K2541" t="s">
        <v>20</v>
      </c>
      <c r="L2541">
        <v>0</v>
      </c>
      <c r="M2541">
        <v>0</v>
      </c>
    </row>
    <row r="2542" spans="1:13">
      <c r="A2542" t="s">
        <v>2152</v>
      </c>
      <c r="B2542" t="s">
        <v>2153</v>
      </c>
      <c r="C2542" t="s">
        <v>16</v>
      </c>
      <c r="D2542" t="s">
        <v>21</v>
      </c>
      <c r="E2542" t="s">
        <v>2808</v>
      </c>
      <c r="F2542" t="s">
        <v>2808</v>
      </c>
      <c r="G2542" s="2">
        <v>45740</v>
      </c>
      <c r="H2542" s="2">
        <v>45770</v>
      </c>
      <c r="I2542">
        <v>106.6</v>
      </c>
      <c r="J2542">
        <v>106.6</v>
      </c>
      <c r="K2542" t="s">
        <v>20</v>
      </c>
      <c r="L2542">
        <v>0</v>
      </c>
      <c r="M2542">
        <v>0</v>
      </c>
    </row>
    <row r="2543" spans="1:13">
      <c r="A2543" t="s">
        <v>2152</v>
      </c>
      <c r="B2543" t="s">
        <v>2153</v>
      </c>
      <c r="C2543" t="s">
        <v>16</v>
      </c>
      <c r="D2543" t="s">
        <v>21</v>
      </c>
      <c r="E2543" t="s">
        <v>2809</v>
      </c>
      <c r="F2543" t="s">
        <v>2809</v>
      </c>
      <c r="G2543" s="2">
        <v>45740</v>
      </c>
      <c r="H2543" s="2">
        <v>45770</v>
      </c>
      <c r="I2543">
        <v>53.3</v>
      </c>
      <c r="J2543">
        <v>53.3</v>
      </c>
      <c r="K2543" t="s">
        <v>20</v>
      </c>
      <c r="L2543">
        <v>0</v>
      </c>
      <c r="M2543">
        <v>0</v>
      </c>
    </row>
    <row r="2544" spans="1:13">
      <c r="A2544" t="s">
        <v>2152</v>
      </c>
      <c r="B2544" t="s">
        <v>2153</v>
      </c>
      <c r="C2544" t="s">
        <v>16</v>
      </c>
      <c r="D2544" t="s">
        <v>21</v>
      </c>
      <c r="E2544" t="s">
        <v>2810</v>
      </c>
      <c r="F2544" t="s">
        <v>2810</v>
      </c>
      <c r="G2544" s="2">
        <v>45740</v>
      </c>
      <c r="H2544" s="2">
        <v>45770</v>
      </c>
      <c r="I2544">
        <v>368</v>
      </c>
      <c r="J2544">
        <v>368</v>
      </c>
      <c r="K2544" t="s">
        <v>20</v>
      </c>
      <c r="L2544">
        <v>0</v>
      </c>
      <c r="M2544">
        <v>0</v>
      </c>
    </row>
    <row r="2545" spans="1:13">
      <c r="A2545" t="s">
        <v>2152</v>
      </c>
      <c r="B2545" t="s">
        <v>2153</v>
      </c>
      <c r="C2545" t="s">
        <v>16</v>
      </c>
      <c r="D2545" t="s">
        <v>21</v>
      </c>
      <c r="E2545" t="s">
        <v>2811</v>
      </c>
      <c r="F2545" t="s">
        <v>2811</v>
      </c>
      <c r="G2545" s="2">
        <v>45740</v>
      </c>
      <c r="H2545" s="2">
        <v>45770</v>
      </c>
      <c r="I2545">
        <v>188</v>
      </c>
      <c r="J2545">
        <v>188</v>
      </c>
      <c r="K2545" t="s">
        <v>20</v>
      </c>
      <c r="L2545">
        <v>0</v>
      </c>
      <c r="M2545">
        <v>0</v>
      </c>
    </row>
    <row r="2546" spans="1:13">
      <c r="A2546" t="s">
        <v>2152</v>
      </c>
      <c r="B2546" t="s">
        <v>2153</v>
      </c>
      <c r="C2546" t="s">
        <v>16</v>
      </c>
      <c r="D2546" t="s">
        <v>21</v>
      </c>
      <c r="E2546" t="s">
        <v>2812</v>
      </c>
      <c r="F2546" t="s">
        <v>2812</v>
      </c>
      <c r="G2546" s="2">
        <v>45740</v>
      </c>
      <c r="H2546" s="2">
        <v>45770</v>
      </c>
      <c r="I2546">
        <v>237.56</v>
      </c>
      <c r="J2546">
        <v>237.56</v>
      </c>
      <c r="K2546" t="s">
        <v>20</v>
      </c>
      <c r="L2546">
        <v>0</v>
      </c>
      <c r="M2546">
        <v>0</v>
      </c>
    </row>
    <row r="2547" spans="1:13">
      <c r="A2547" t="s">
        <v>2152</v>
      </c>
      <c r="B2547" t="s">
        <v>2153</v>
      </c>
      <c r="C2547" t="s">
        <v>16</v>
      </c>
      <c r="D2547" t="s">
        <v>21</v>
      </c>
      <c r="E2547" t="s">
        <v>2813</v>
      </c>
      <c r="F2547" t="s">
        <v>2813</v>
      </c>
      <c r="G2547" s="2">
        <v>45740</v>
      </c>
      <c r="H2547" s="2">
        <v>45770</v>
      </c>
      <c r="I2547">
        <v>370</v>
      </c>
      <c r="J2547">
        <v>370</v>
      </c>
      <c r="K2547" t="s">
        <v>20</v>
      </c>
      <c r="L2547">
        <v>0</v>
      </c>
      <c r="M2547">
        <v>0</v>
      </c>
    </row>
    <row r="2548" spans="1:13">
      <c r="A2548" t="s">
        <v>2152</v>
      </c>
      <c r="B2548" t="s">
        <v>2153</v>
      </c>
      <c r="C2548" t="s">
        <v>16</v>
      </c>
      <c r="D2548" t="s">
        <v>21</v>
      </c>
      <c r="E2548" t="s">
        <v>2814</v>
      </c>
      <c r="F2548" t="s">
        <v>2814</v>
      </c>
      <c r="G2548" s="2">
        <v>45740</v>
      </c>
      <c r="H2548" s="2">
        <v>45770</v>
      </c>
      <c r="I2548">
        <v>184</v>
      </c>
      <c r="J2548">
        <v>184</v>
      </c>
      <c r="K2548" t="s">
        <v>20</v>
      </c>
      <c r="L2548">
        <v>0</v>
      </c>
      <c r="M2548">
        <v>0</v>
      </c>
    </row>
    <row r="2549" spans="1:13">
      <c r="A2549" t="s">
        <v>2152</v>
      </c>
      <c r="B2549" t="s">
        <v>2153</v>
      </c>
      <c r="C2549" t="s">
        <v>16</v>
      </c>
      <c r="D2549" t="s">
        <v>21</v>
      </c>
      <c r="E2549" t="s">
        <v>2815</v>
      </c>
      <c r="F2549" t="s">
        <v>2815</v>
      </c>
      <c r="G2549" s="2">
        <v>45740</v>
      </c>
      <c r="H2549" s="2">
        <v>45770</v>
      </c>
      <c r="I2549">
        <v>368</v>
      </c>
      <c r="J2549">
        <v>368</v>
      </c>
      <c r="K2549" t="s">
        <v>20</v>
      </c>
      <c r="L2549">
        <v>0</v>
      </c>
      <c r="M2549">
        <v>0</v>
      </c>
    </row>
    <row r="2550" spans="1:13">
      <c r="A2550" t="s">
        <v>2152</v>
      </c>
      <c r="B2550" t="s">
        <v>2153</v>
      </c>
      <c r="C2550" t="s">
        <v>16</v>
      </c>
      <c r="D2550" t="s">
        <v>21</v>
      </c>
      <c r="E2550" t="s">
        <v>2816</v>
      </c>
      <c r="F2550" t="s">
        <v>2816</v>
      </c>
      <c r="G2550" s="2">
        <v>45740</v>
      </c>
      <c r="H2550" s="2">
        <v>45770</v>
      </c>
      <c r="I2550">
        <v>447</v>
      </c>
      <c r="J2550">
        <v>447</v>
      </c>
      <c r="K2550" t="s">
        <v>20</v>
      </c>
      <c r="L2550">
        <v>0</v>
      </c>
      <c r="M2550">
        <v>0</v>
      </c>
    </row>
    <row r="2551" spans="1:13">
      <c r="A2551" t="s">
        <v>2152</v>
      </c>
      <c r="B2551" t="s">
        <v>2153</v>
      </c>
      <c r="C2551" t="s">
        <v>16</v>
      </c>
      <c r="D2551" t="s">
        <v>21</v>
      </c>
      <c r="E2551" t="s">
        <v>2817</v>
      </c>
      <c r="F2551" t="s">
        <v>2817</v>
      </c>
      <c r="G2551" s="2">
        <v>45740</v>
      </c>
      <c r="H2551" s="2">
        <v>45770</v>
      </c>
      <c r="I2551">
        <v>212.2</v>
      </c>
      <c r="J2551">
        <v>212.2</v>
      </c>
      <c r="K2551" t="s">
        <v>20</v>
      </c>
      <c r="L2551">
        <v>0</v>
      </c>
      <c r="M2551">
        <v>0</v>
      </c>
    </row>
    <row r="2552" spans="1:13">
      <c r="A2552" t="s">
        <v>2152</v>
      </c>
      <c r="B2552" t="s">
        <v>2153</v>
      </c>
      <c r="C2552" t="s">
        <v>16</v>
      </c>
      <c r="D2552" t="s">
        <v>21</v>
      </c>
      <c r="E2552" t="s">
        <v>2818</v>
      </c>
      <c r="F2552" t="s">
        <v>2818</v>
      </c>
      <c r="G2552" s="2">
        <v>45740</v>
      </c>
      <c r="H2552" s="2">
        <v>45770</v>
      </c>
      <c r="I2552">
        <v>159.9</v>
      </c>
      <c r="J2552">
        <v>159.9</v>
      </c>
      <c r="K2552" t="s">
        <v>20</v>
      </c>
      <c r="L2552">
        <v>0</v>
      </c>
      <c r="M2552">
        <v>0</v>
      </c>
    </row>
    <row r="2553" spans="1:13">
      <c r="A2553" t="s">
        <v>2152</v>
      </c>
      <c r="B2553" t="s">
        <v>2153</v>
      </c>
      <c r="C2553" t="s">
        <v>16</v>
      </c>
      <c r="D2553" t="s">
        <v>21</v>
      </c>
      <c r="E2553" t="s">
        <v>2819</v>
      </c>
      <c r="F2553" t="s">
        <v>2819</v>
      </c>
      <c r="G2553" s="2">
        <v>45741</v>
      </c>
      <c r="H2553" s="2">
        <v>45771</v>
      </c>
      <c r="I2553">
        <v>103.6</v>
      </c>
      <c r="J2553">
        <v>103.6</v>
      </c>
      <c r="K2553" t="s">
        <v>20</v>
      </c>
      <c r="L2553">
        <v>0</v>
      </c>
      <c r="M2553">
        <v>0</v>
      </c>
    </row>
    <row r="2554" spans="1:13">
      <c r="A2554" t="s">
        <v>2152</v>
      </c>
      <c r="B2554" t="s">
        <v>2153</v>
      </c>
      <c r="C2554" t="s">
        <v>16</v>
      </c>
      <c r="D2554" t="s">
        <v>21</v>
      </c>
      <c r="E2554" t="s">
        <v>2820</v>
      </c>
      <c r="F2554" t="s">
        <v>2820</v>
      </c>
      <c r="G2554" s="2">
        <v>45742</v>
      </c>
      <c r="H2554" s="2">
        <v>45772</v>
      </c>
      <c r="I2554">
        <v>58.3</v>
      </c>
      <c r="J2554">
        <v>58.3</v>
      </c>
      <c r="K2554" t="s">
        <v>20</v>
      </c>
      <c r="L2554">
        <v>0</v>
      </c>
      <c r="M2554">
        <v>0</v>
      </c>
    </row>
    <row r="2555" spans="1:13">
      <c r="A2555" t="s">
        <v>2152</v>
      </c>
      <c r="B2555" t="s">
        <v>2153</v>
      </c>
      <c r="C2555" t="s">
        <v>16</v>
      </c>
      <c r="D2555" t="s">
        <v>21</v>
      </c>
      <c r="E2555" t="s">
        <v>2821</v>
      </c>
      <c r="F2555" t="s">
        <v>2821</v>
      </c>
      <c r="G2555" s="2">
        <v>45742</v>
      </c>
      <c r="H2555" s="2">
        <v>45772</v>
      </c>
      <c r="I2555">
        <v>391.7</v>
      </c>
      <c r="J2555">
        <v>391.7</v>
      </c>
      <c r="K2555" t="s">
        <v>20</v>
      </c>
      <c r="L2555">
        <v>0</v>
      </c>
      <c r="M2555">
        <v>0</v>
      </c>
    </row>
    <row r="2556" spans="1:13">
      <c r="A2556" t="s">
        <v>2152</v>
      </c>
      <c r="B2556" t="s">
        <v>2153</v>
      </c>
      <c r="C2556" t="s">
        <v>16</v>
      </c>
      <c r="D2556" t="s">
        <v>21</v>
      </c>
      <c r="E2556" t="s">
        <v>2822</v>
      </c>
      <c r="F2556" t="s">
        <v>2822</v>
      </c>
      <c r="G2556" s="2">
        <v>45742</v>
      </c>
      <c r="H2556" s="2">
        <v>45772</v>
      </c>
      <c r="I2556">
        <v>154.9</v>
      </c>
      <c r="J2556">
        <v>154.9</v>
      </c>
      <c r="K2556" t="s">
        <v>20</v>
      </c>
      <c r="L2556">
        <v>0</v>
      </c>
      <c r="M2556">
        <v>0</v>
      </c>
    </row>
    <row r="2557" spans="1:13">
      <c r="A2557" t="s">
        <v>2152</v>
      </c>
      <c r="B2557" t="s">
        <v>2153</v>
      </c>
      <c r="C2557" t="s">
        <v>16</v>
      </c>
      <c r="D2557" t="s">
        <v>21</v>
      </c>
      <c r="E2557" t="s">
        <v>2823</v>
      </c>
      <c r="F2557" t="s">
        <v>2823</v>
      </c>
      <c r="G2557" s="2">
        <v>45742</v>
      </c>
      <c r="H2557" s="2">
        <v>45772</v>
      </c>
      <c r="I2557" s="1">
        <v>1484.4</v>
      </c>
      <c r="J2557">
        <v>1484.4</v>
      </c>
      <c r="K2557" t="s">
        <v>20</v>
      </c>
      <c r="L2557">
        <v>0</v>
      </c>
      <c r="M2557">
        <v>0</v>
      </c>
    </row>
    <row r="2558" spans="1:13">
      <c r="A2558" t="s">
        <v>2152</v>
      </c>
      <c r="B2558" t="s">
        <v>2153</v>
      </c>
      <c r="C2558" t="s">
        <v>16</v>
      </c>
      <c r="D2558" t="s">
        <v>21</v>
      </c>
      <c r="E2558" t="s">
        <v>2824</v>
      </c>
      <c r="F2558" t="s">
        <v>2824</v>
      </c>
      <c r="G2558" s="2">
        <v>45742</v>
      </c>
      <c r="H2558" s="2">
        <v>45772</v>
      </c>
      <c r="I2558">
        <v>227</v>
      </c>
      <c r="J2558">
        <v>227</v>
      </c>
      <c r="K2558" t="s">
        <v>20</v>
      </c>
      <c r="L2558">
        <v>0</v>
      </c>
      <c r="M2558">
        <v>0</v>
      </c>
    </row>
    <row r="2559" spans="1:13">
      <c r="A2559" t="s">
        <v>2825</v>
      </c>
      <c r="B2559" t="s">
        <v>2826</v>
      </c>
      <c r="C2559" t="s">
        <v>213</v>
      </c>
      <c r="D2559" t="s">
        <v>17</v>
      </c>
      <c r="E2559" t="s">
        <v>2827</v>
      </c>
      <c r="F2559" t="s">
        <v>19</v>
      </c>
      <c r="H2559" s="2">
        <v>45473</v>
      </c>
      <c r="I2559">
        <v>-100</v>
      </c>
      <c r="J2559">
        <v>-100</v>
      </c>
      <c r="K2559" t="s">
        <v>20</v>
      </c>
      <c r="L2559">
        <v>0</v>
      </c>
      <c r="M2559">
        <v>-100</v>
      </c>
    </row>
    <row r="2560" spans="1:13">
      <c r="A2560" t="s">
        <v>2828</v>
      </c>
      <c r="B2560" t="s">
        <v>2829</v>
      </c>
      <c r="C2560" t="s">
        <v>16</v>
      </c>
      <c r="D2560" t="s">
        <v>21</v>
      </c>
      <c r="E2560" t="s">
        <v>2830</v>
      </c>
      <c r="F2560" t="s">
        <v>2830</v>
      </c>
      <c r="G2560" s="2">
        <v>45621</v>
      </c>
      <c r="H2560" s="2">
        <v>45651</v>
      </c>
      <c r="I2560">
        <v>502.82</v>
      </c>
      <c r="J2560">
        <v>502.82</v>
      </c>
      <c r="K2560" t="s">
        <v>20</v>
      </c>
      <c r="L2560">
        <v>0</v>
      </c>
      <c r="M2560">
        <v>502.82</v>
      </c>
    </row>
    <row r="2561" spans="1:13">
      <c r="A2561" t="s">
        <v>2831</v>
      </c>
      <c r="B2561" t="s">
        <v>2832</v>
      </c>
      <c r="C2561" t="s">
        <v>213</v>
      </c>
      <c r="D2561" t="s">
        <v>55</v>
      </c>
      <c r="E2561" t="s">
        <v>19</v>
      </c>
      <c r="F2561" t="s">
        <v>19</v>
      </c>
      <c r="H2561" s="2">
        <v>45621</v>
      </c>
      <c r="I2561">
        <v>-103.5</v>
      </c>
      <c r="J2561">
        <v>-103.5</v>
      </c>
      <c r="K2561" t="s">
        <v>20</v>
      </c>
      <c r="L2561">
        <v>0</v>
      </c>
      <c r="M2561">
        <v>-103.5</v>
      </c>
    </row>
    <row r="2562" spans="1:13">
      <c r="A2562" t="s">
        <v>2833</v>
      </c>
      <c r="B2562" t="s">
        <v>2834</v>
      </c>
      <c r="C2562" t="s">
        <v>213</v>
      </c>
      <c r="D2562" t="s">
        <v>21</v>
      </c>
      <c r="E2562" t="s">
        <v>2835</v>
      </c>
      <c r="F2562" t="s">
        <v>2835</v>
      </c>
      <c r="G2562" s="2">
        <v>45678</v>
      </c>
      <c r="H2562" s="2">
        <v>45678</v>
      </c>
      <c r="I2562">
        <v>232</v>
      </c>
      <c r="J2562">
        <v>232</v>
      </c>
      <c r="K2562" t="s">
        <v>20</v>
      </c>
      <c r="L2562">
        <v>0</v>
      </c>
      <c r="M2562">
        <v>232</v>
      </c>
    </row>
    <row r="2563" spans="1:13">
      <c r="A2563" t="s">
        <v>2836</v>
      </c>
      <c r="B2563" t="s">
        <v>2837</v>
      </c>
      <c r="C2563" t="s">
        <v>213</v>
      </c>
      <c r="D2563" t="s">
        <v>21</v>
      </c>
      <c r="E2563" t="s">
        <v>2838</v>
      </c>
      <c r="F2563" t="s">
        <v>2838</v>
      </c>
      <c r="G2563" s="2">
        <v>45671</v>
      </c>
      <c r="H2563" s="2">
        <v>45671</v>
      </c>
      <c r="I2563">
        <v>284.7</v>
      </c>
      <c r="J2563">
        <v>284.7</v>
      </c>
      <c r="K2563" t="s">
        <v>20</v>
      </c>
      <c r="L2563">
        <v>0</v>
      </c>
      <c r="M2563">
        <v>284.7</v>
      </c>
    </row>
    <row r="2564" spans="1:13">
      <c r="A2564" t="s">
        <v>2836</v>
      </c>
      <c r="B2564" t="s">
        <v>2837</v>
      </c>
      <c r="C2564" t="s">
        <v>213</v>
      </c>
      <c r="D2564" t="s">
        <v>21</v>
      </c>
      <c r="E2564" t="s">
        <v>2839</v>
      </c>
      <c r="F2564" t="s">
        <v>2839</v>
      </c>
      <c r="G2564" s="2">
        <v>45719</v>
      </c>
      <c r="H2564" s="2">
        <v>45719</v>
      </c>
      <c r="I2564">
        <v>504.43</v>
      </c>
      <c r="J2564">
        <v>492.13</v>
      </c>
      <c r="K2564" t="s">
        <v>20</v>
      </c>
      <c r="L2564">
        <v>10</v>
      </c>
      <c r="M2564">
        <v>492.13</v>
      </c>
    </row>
    <row r="2565" spans="1:13">
      <c r="A2565" t="s">
        <v>2836</v>
      </c>
      <c r="B2565" t="s">
        <v>2837</v>
      </c>
      <c r="C2565" t="s">
        <v>213</v>
      </c>
      <c r="D2565" t="s">
        <v>17</v>
      </c>
      <c r="E2565" t="s">
        <v>2840</v>
      </c>
      <c r="F2565" t="s">
        <v>2839</v>
      </c>
      <c r="H2565" s="2">
        <v>45727</v>
      </c>
      <c r="I2565">
        <v>-12.3</v>
      </c>
      <c r="J2565" t="s">
        <v>86</v>
      </c>
      <c r="K2565" t="s">
        <v>20</v>
      </c>
      <c r="L2565">
        <v>11</v>
      </c>
      <c r="M2565" t="s">
        <v>86</v>
      </c>
    </row>
    <row r="2566" spans="1:13">
      <c r="A2566" t="s">
        <v>2841</v>
      </c>
      <c r="B2566" t="s">
        <v>2842</v>
      </c>
      <c r="C2566" t="s">
        <v>213</v>
      </c>
      <c r="D2566" t="s">
        <v>17</v>
      </c>
      <c r="E2566" t="s">
        <v>2843</v>
      </c>
      <c r="F2566" t="s">
        <v>19</v>
      </c>
      <c r="H2566" s="2">
        <v>45716</v>
      </c>
      <c r="I2566">
        <v>-378.35</v>
      </c>
      <c r="J2566">
        <v>-378.35</v>
      </c>
      <c r="K2566" t="s">
        <v>20</v>
      </c>
      <c r="L2566">
        <v>0</v>
      </c>
      <c r="M2566">
        <v>-378.35</v>
      </c>
    </row>
    <row r="2567" spans="1:13">
      <c r="A2567" t="s">
        <v>2841</v>
      </c>
      <c r="B2567" t="s">
        <v>2842</v>
      </c>
      <c r="C2567" t="s">
        <v>213</v>
      </c>
      <c r="D2567" t="s">
        <v>17</v>
      </c>
      <c r="E2567" t="s">
        <v>2844</v>
      </c>
      <c r="F2567" t="s">
        <v>19</v>
      </c>
      <c r="H2567" s="2">
        <v>45716</v>
      </c>
      <c r="I2567">
        <v>-68.95</v>
      </c>
      <c r="J2567">
        <v>-68.95</v>
      </c>
      <c r="K2567" t="s">
        <v>20</v>
      </c>
      <c r="L2567">
        <v>0</v>
      </c>
      <c r="M2567">
        <v>-68.95</v>
      </c>
    </row>
    <row r="2568" spans="1:13">
      <c r="A2568" t="s">
        <v>2845</v>
      </c>
      <c r="B2568" t="s">
        <v>2846</v>
      </c>
      <c r="C2568" t="s">
        <v>213</v>
      </c>
      <c r="D2568" t="s">
        <v>21</v>
      </c>
      <c r="E2568" t="s">
        <v>2847</v>
      </c>
      <c r="F2568" t="s">
        <v>2847</v>
      </c>
      <c r="G2568" s="2">
        <v>45665</v>
      </c>
      <c r="H2568" s="2">
        <v>45665</v>
      </c>
      <c r="I2568">
        <v>796.88</v>
      </c>
      <c r="J2568">
        <v>796.88</v>
      </c>
      <c r="K2568" t="s">
        <v>20</v>
      </c>
      <c r="L2568">
        <v>0</v>
      </c>
      <c r="M2568">
        <v>796.88</v>
      </c>
    </row>
    <row r="2569" spans="1:13">
      <c r="A2569" t="s">
        <v>2848</v>
      </c>
      <c r="B2569" t="s">
        <v>2849</v>
      </c>
      <c r="C2569" t="s">
        <v>16</v>
      </c>
      <c r="D2569" t="s">
        <v>21</v>
      </c>
      <c r="E2569" t="s">
        <v>2850</v>
      </c>
      <c r="F2569" t="s">
        <v>2850</v>
      </c>
      <c r="G2569" s="2">
        <v>45582</v>
      </c>
      <c r="H2569" s="2">
        <v>45582</v>
      </c>
      <c r="I2569" s="1">
        <v>4230</v>
      </c>
      <c r="J2569">
        <v>4230</v>
      </c>
      <c r="K2569" t="s">
        <v>20</v>
      </c>
      <c r="L2569">
        <v>0</v>
      </c>
      <c r="M2569">
        <v>4230</v>
      </c>
    </row>
    <row r="2570" spans="1:13">
      <c r="A2570" t="s">
        <v>2851</v>
      </c>
      <c r="B2570" t="s">
        <v>2852</v>
      </c>
      <c r="C2570" t="s">
        <v>213</v>
      </c>
      <c r="D2570" t="s">
        <v>21</v>
      </c>
      <c r="E2570" t="s">
        <v>2853</v>
      </c>
      <c r="F2570" t="s">
        <v>2853</v>
      </c>
      <c r="G2570" s="2">
        <v>45596</v>
      </c>
      <c r="H2570" s="2">
        <v>45596</v>
      </c>
      <c r="I2570">
        <v>700</v>
      </c>
      <c r="J2570">
        <v>625.33000000000004</v>
      </c>
      <c r="K2570" t="s">
        <v>20</v>
      </c>
      <c r="L2570">
        <v>0</v>
      </c>
      <c r="M2570">
        <v>625.33000000000004</v>
      </c>
    </row>
    <row r="2571" spans="1:13">
      <c r="A2571" t="s">
        <v>2851</v>
      </c>
      <c r="B2571" t="s">
        <v>2852</v>
      </c>
      <c r="C2571" t="s">
        <v>213</v>
      </c>
      <c r="D2571" t="s">
        <v>17</v>
      </c>
      <c r="E2571" t="s">
        <v>2854</v>
      </c>
      <c r="F2571" t="s">
        <v>2853</v>
      </c>
      <c r="H2571" s="2">
        <v>45614</v>
      </c>
      <c r="I2571">
        <v>-70</v>
      </c>
      <c r="J2571" t="s">
        <v>86</v>
      </c>
      <c r="K2571" t="s">
        <v>20</v>
      </c>
      <c r="L2571">
        <v>0</v>
      </c>
      <c r="M2571" t="s">
        <v>86</v>
      </c>
    </row>
    <row r="2572" spans="1:13">
      <c r="A2572" t="s">
        <v>2851</v>
      </c>
      <c r="B2572" t="s">
        <v>2852</v>
      </c>
      <c r="C2572" t="s">
        <v>213</v>
      </c>
      <c r="D2572" t="s">
        <v>55</v>
      </c>
      <c r="E2572" t="s">
        <v>2853</v>
      </c>
      <c r="F2572" t="s">
        <v>2853</v>
      </c>
      <c r="H2572" s="2">
        <v>45616</v>
      </c>
      <c r="I2572">
        <v>-4.67</v>
      </c>
      <c r="J2572" t="s">
        <v>86</v>
      </c>
      <c r="K2572" t="s">
        <v>20</v>
      </c>
      <c r="L2572">
        <v>0</v>
      </c>
      <c r="M2572" t="s">
        <v>86</v>
      </c>
    </row>
    <row r="2573" spans="1:13">
      <c r="A2573" t="s">
        <v>2855</v>
      </c>
      <c r="B2573" t="s">
        <v>2856</v>
      </c>
      <c r="C2573" t="s">
        <v>16</v>
      </c>
      <c r="D2573" t="s">
        <v>21</v>
      </c>
      <c r="E2573" t="s">
        <v>2857</v>
      </c>
      <c r="F2573" t="s">
        <v>2857</v>
      </c>
      <c r="G2573" s="2">
        <v>45716</v>
      </c>
      <c r="H2573" s="2">
        <v>45746</v>
      </c>
      <c r="I2573">
        <v>162</v>
      </c>
      <c r="J2573">
        <v>162</v>
      </c>
      <c r="K2573" t="s">
        <v>20</v>
      </c>
      <c r="L2573">
        <v>13</v>
      </c>
      <c r="M2573">
        <v>162</v>
      </c>
    </row>
    <row r="2574" spans="1:13">
      <c r="A2574" t="s">
        <v>2855</v>
      </c>
      <c r="B2574" t="s">
        <v>2856</v>
      </c>
      <c r="C2574" t="s">
        <v>16</v>
      </c>
      <c r="D2574" t="s">
        <v>21</v>
      </c>
      <c r="E2574" t="s">
        <v>2858</v>
      </c>
      <c r="F2574" t="s">
        <v>2858</v>
      </c>
      <c r="G2574" s="2">
        <v>45719</v>
      </c>
      <c r="H2574" s="2">
        <v>45749</v>
      </c>
      <c r="I2574">
        <v>103.68</v>
      </c>
      <c r="J2574">
        <v>103.68</v>
      </c>
      <c r="K2574" t="s">
        <v>20</v>
      </c>
      <c r="L2574">
        <v>0</v>
      </c>
      <c r="M2574">
        <v>0</v>
      </c>
    </row>
    <row r="2575" spans="1:13">
      <c r="A2575" t="s">
        <v>2855</v>
      </c>
      <c r="B2575" t="s">
        <v>2856</v>
      </c>
      <c r="C2575" t="s">
        <v>16</v>
      </c>
      <c r="D2575" t="s">
        <v>21</v>
      </c>
      <c r="E2575" t="s">
        <v>2859</v>
      </c>
      <c r="F2575" t="s">
        <v>2859</v>
      </c>
      <c r="G2575" s="2">
        <v>45720</v>
      </c>
      <c r="H2575" s="2">
        <v>45750</v>
      </c>
      <c r="I2575" s="1">
        <v>1838.25</v>
      </c>
      <c r="J2575">
        <v>1838.25</v>
      </c>
      <c r="K2575" t="s">
        <v>20</v>
      </c>
      <c r="L2575">
        <v>0</v>
      </c>
      <c r="M2575">
        <v>0</v>
      </c>
    </row>
    <row r="2576" spans="1:13">
      <c r="A2576" t="s">
        <v>2855</v>
      </c>
      <c r="B2576" t="s">
        <v>2856</v>
      </c>
      <c r="C2576" t="s">
        <v>16</v>
      </c>
      <c r="D2576" t="s">
        <v>21</v>
      </c>
      <c r="E2576" t="s">
        <v>2860</v>
      </c>
      <c r="F2576" t="s">
        <v>2860</v>
      </c>
      <c r="G2576" s="2">
        <v>45721</v>
      </c>
      <c r="H2576" s="2">
        <v>45751</v>
      </c>
      <c r="I2576">
        <v>978</v>
      </c>
      <c r="J2576">
        <v>978</v>
      </c>
      <c r="K2576" t="s">
        <v>20</v>
      </c>
      <c r="L2576">
        <v>0</v>
      </c>
      <c r="M2576">
        <v>0</v>
      </c>
    </row>
    <row r="2577" spans="1:13">
      <c r="A2577" t="s">
        <v>2855</v>
      </c>
      <c r="B2577" t="s">
        <v>2856</v>
      </c>
      <c r="C2577" t="s">
        <v>16</v>
      </c>
      <c r="D2577" t="s">
        <v>21</v>
      </c>
      <c r="E2577" t="s">
        <v>2861</v>
      </c>
      <c r="F2577" t="s">
        <v>2861</v>
      </c>
      <c r="G2577" s="2">
        <v>45726</v>
      </c>
      <c r="H2577" s="2">
        <v>45756</v>
      </c>
      <c r="I2577" s="1">
        <v>11217</v>
      </c>
      <c r="J2577">
        <v>11217</v>
      </c>
      <c r="K2577" t="s">
        <v>20</v>
      </c>
      <c r="L2577">
        <v>0</v>
      </c>
      <c r="M2577">
        <v>0</v>
      </c>
    </row>
    <row r="2578" spans="1:13">
      <c r="A2578" t="s">
        <v>2855</v>
      </c>
      <c r="B2578" t="s">
        <v>2856</v>
      </c>
      <c r="C2578" t="s">
        <v>16</v>
      </c>
      <c r="D2578" t="s">
        <v>21</v>
      </c>
      <c r="E2578" t="s">
        <v>2862</v>
      </c>
      <c r="F2578" t="s">
        <v>2862</v>
      </c>
      <c r="G2578" s="2">
        <v>45726</v>
      </c>
      <c r="H2578" s="2">
        <v>45756</v>
      </c>
      <c r="I2578">
        <v>695.52</v>
      </c>
      <c r="J2578">
        <v>695.52</v>
      </c>
      <c r="K2578" t="s">
        <v>20</v>
      </c>
      <c r="L2578">
        <v>0</v>
      </c>
      <c r="M2578">
        <v>0</v>
      </c>
    </row>
    <row r="2579" spans="1:13">
      <c r="A2579" t="s">
        <v>2855</v>
      </c>
      <c r="B2579" t="s">
        <v>2856</v>
      </c>
      <c r="C2579" t="s">
        <v>16</v>
      </c>
      <c r="D2579" t="s">
        <v>21</v>
      </c>
      <c r="E2579" t="s">
        <v>2863</v>
      </c>
      <c r="F2579" t="s">
        <v>2863</v>
      </c>
      <c r="G2579" s="2">
        <v>45726</v>
      </c>
      <c r="H2579" s="2">
        <v>45756</v>
      </c>
      <c r="I2579" s="1">
        <v>4186.6000000000004</v>
      </c>
      <c r="J2579">
        <v>4186.6000000000004</v>
      </c>
      <c r="K2579" t="s">
        <v>20</v>
      </c>
      <c r="L2579">
        <v>0</v>
      </c>
      <c r="M2579">
        <v>0</v>
      </c>
    </row>
    <row r="2580" spans="1:13">
      <c r="A2580" t="s">
        <v>2855</v>
      </c>
      <c r="B2580" t="s">
        <v>2856</v>
      </c>
      <c r="C2580" t="s">
        <v>16</v>
      </c>
      <c r="D2580" t="s">
        <v>21</v>
      </c>
      <c r="E2580" t="s">
        <v>2864</v>
      </c>
      <c r="F2580" t="s">
        <v>2864</v>
      </c>
      <c r="G2580" s="2">
        <v>45726</v>
      </c>
      <c r="H2580" s="2">
        <v>45756</v>
      </c>
      <c r="I2580" s="1">
        <v>3141.6</v>
      </c>
      <c r="J2580">
        <v>3141.6</v>
      </c>
      <c r="K2580" t="s">
        <v>20</v>
      </c>
      <c r="L2580">
        <v>0</v>
      </c>
      <c r="M2580">
        <v>0</v>
      </c>
    </row>
    <row r="2581" spans="1:13">
      <c r="A2581" t="s">
        <v>2855</v>
      </c>
      <c r="B2581" t="s">
        <v>2856</v>
      </c>
      <c r="C2581" t="s">
        <v>16</v>
      </c>
      <c r="D2581" t="s">
        <v>21</v>
      </c>
      <c r="E2581" t="s">
        <v>2865</v>
      </c>
      <c r="F2581" t="s">
        <v>2865</v>
      </c>
      <c r="G2581" s="2">
        <v>45726</v>
      </c>
      <c r="H2581" s="2">
        <v>45756</v>
      </c>
      <c r="I2581" s="1">
        <v>4931</v>
      </c>
      <c r="J2581">
        <v>4931</v>
      </c>
      <c r="K2581" t="s">
        <v>20</v>
      </c>
      <c r="L2581">
        <v>0</v>
      </c>
      <c r="M2581">
        <v>0</v>
      </c>
    </row>
    <row r="2582" spans="1:13">
      <c r="A2582" t="s">
        <v>2855</v>
      </c>
      <c r="B2582" t="s">
        <v>2856</v>
      </c>
      <c r="C2582" t="s">
        <v>16</v>
      </c>
      <c r="D2582" t="s">
        <v>21</v>
      </c>
      <c r="E2582" t="s">
        <v>2866</v>
      </c>
      <c r="F2582" t="s">
        <v>2866</v>
      </c>
      <c r="G2582" s="2">
        <v>45733</v>
      </c>
      <c r="H2582" s="2">
        <v>45763</v>
      </c>
      <c r="I2582" s="1">
        <v>1155</v>
      </c>
      <c r="J2582">
        <v>1155</v>
      </c>
      <c r="K2582" t="s">
        <v>20</v>
      </c>
      <c r="L2582">
        <v>0</v>
      </c>
      <c r="M2582">
        <v>0</v>
      </c>
    </row>
    <row r="2583" spans="1:13">
      <c r="A2583" t="s">
        <v>2855</v>
      </c>
      <c r="B2583" t="s">
        <v>2856</v>
      </c>
      <c r="C2583" t="s">
        <v>16</v>
      </c>
      <c r="D2583" t="s">
        <v>21</v>
      </c>
      <c r="E2583" t="s">
        <v>2867</v>
      </c>
      <c r="F2583" t="s">
        <v>2867</v>
      </c>
      <c r="G2583" s="2">
        <v>45742</v>
      </c>
      <c r="H2583" s="2">
        <v>45772</v>
      </c>
      <c r="I2583" s="1">
        <v>2436</v>
      </c>
      <c r="J2583">
        <v>2436</v>
      </c>
      <c r="K2583" t="s">
        <v>20</v>
      </c>
      <c r="L2583">
        <v>0</v>
      </c>
      <c r="M2583">
        <v>0</v>
      </c>
    </row>
    <row r="2584" spans="1:13">
      <c r="A2584" t="s">
        <v>2868</v>
      </c>
      <c r="B2584" t="s">
        <v>2869</v>
      </c>
      <c r="C2584" t="s">
        <v>16</v>
      </c>
      <c r="D2584" t="s">
        <v>21</v>
      </c>
      <c r="E2584" t="s">
        <v>2870</v>
      </c>
      <c r="F2584" t="s">
        <v>2870</v>
      </c>
      <c r="G2584" s="2">
        <v>45555</v>
      </c>
      <c r="H2584" s="2">
        <v>45585</v>
      </c>
      <c r="I2584">
        <v>385</v>
      </c>
      <c r="J2584">
        <v>385</v>
      </c>
      <c r="K2584" t="s">
        <v>20</v>
      </c>
      <c r="L2584">
        <v>0</v>
      </c>
      <c r="M2584">
        <v>385</v>
      </c>
    </row>
    <row r="2585" spans="1:13">
      <c r="A2585" t="s">
        <v>2868</v>
      </c>
      <c r="B2585" t="s">
        <v>2869</v>
      </c>
      <c r="C2585" t="s">
        <v>16</v>
      </c>
      <c r="D2585" t="s">
        <v>21</v>
      </c>
      <c r="E2585" t="s">
        <v>2871</v>
      </c>
      <c r="F2585" t="s">
        <v>2871</v>
      </c>
      <c r="G2585" s="2">
        <v>45558</v>
      </c>
      <c r="H2585" s="2">
        <v>45588</v>
      </c>
      <c r="I2585">
        <v>385</v>
      </c>
      <c r="J2585">
        <v>385</v>
      </c>
      <c r="K2585" t="s">
        <v>20</v>
      </c>
      <c r="L2585">
        <v>0</v>
      </c>
      <c r="M2585">
        <v>385</v>
      </c>
    </row>
    <row r="2586" spans="1:13">
      <c r="A2586" t="s">
        <v>2868</v>
      </c>
      <c r="B2586" t="s">
        <v>2869</v>
      </c>
      <c r="C2586" t="s">
        <v>16</v>
      </c>
      <c r="D2586" t="s">
        <v>17</v>
      </c>
      <c r="E2586" t="s">
        <v>2872</v>
      </c>
      <c r="F2586" t="s">
        <v>19</v>
      </c>
      <c r="H2586" s="2">
        <v>45716</v>
      </c>
      <c r="I2586" s="1">
        <v>-3380</v>
      </c>
      <c r="J2586">
        <v>-3380</v>
      </c>
      <c r="K2586" t="s">
        <v>20</v>
      </c>
      <c r="L2586">
        <v>0</v>
      </c>
      <c r="M2586">
        <v>-3380</v>
      </c>
    </row>
    <row r="2587" spans="1:13">
      <c r="A2587" t="s">
        <v>2868</v>
      </c>
      <c r="B2587" t="s">
        <v>2869</v>
      </c>
      <c r="C2587" t="s">
        <v>16</v>
      </c>
      <c r="D2587" t="s">
        <v>21</v>
      </c>
      <c r="E2587" t="s">
        <v>2873</v>
      </c>
      <c r="F2587" t="s">
        <v>2873</v>
      </c>
      <c r="G2587" s="2">
        <v>45698</v>
      </c>
      <c r="H2587" s="2">
        <v>45728</v>
      </c>
      <c r="I2587" s="1">
        <v>5292</v>
      </c>
      <c r="J2587">
        <v>2514.08</v>
      </c>
      <c r="K2587" t="s">
        <v>20</v>
      </c>
      <c r="L2587">
        <v>11</v>
      </c>
      <c r="M2587">
        <v>2514.08</v>
      </c>
    </row>
    <row r="2588" spans="1:13">
      <c r="A2588" t="s">
        <v>2868</v>
      </c>
      <c r="B2588" t="s">
        <v>2869</v>
      </c>
      <c r="C2588" t="s">
        <v>16</v>
      </c>
      <c r="D2588" t="s">
        <v>55</v>
      </c>
      <c r="E2588" t="s">
        <v>2873</v>
      </c>
      <c r="F2588" t="s">
        <v>2873</v>
      </c>
      <c r="H2588" s="2">
        <v>45719</v>
      </c>
      <c r="I2588" s="1">
        <v>-2777.92</v>
      </c>
      <c r="J2588" t="s">
        <v>86</v>
      </c>
      <c r="K2588" t="s">
        <v>20</v>
      </c>
      <c r="L2588">
        <v>10</v>
      </c>
      <c r="M2588" t="s">
        <v>86</v>
      </c>
    </row>
    <row r="2589" spans="1:13">
      <c r="A2589" t="s">
        <v>2868</v>
      </c>
      <c r="B2589" t="s">
        <v>2869</v>
      </c>
      <c r="C2589" t="s">
        <v>16</v>
      </c>
      <c r="D2589" t="s">
        <v>21</v>
      </c>
      <c r="E2589" t="s">
        <v>2874</v>
      </c>
      <c r="F2589" t="s">
        <v>2874</v>
      </c>
      <c r="G2589" s="2">
        <v>45714</v>
      </c>
      <c r="H2589" s="2">
        <v>45744</v>
      </c>
      <c r="I2589" s="1">
        <v>30355.200000000001</v>
      </c>
      <c r="J2589">
        <v>30355.200000000001</v>
      </c>
      <c r="K2589" t="s">
        <v>20</v>
      </c>
      <c r="L2589">
        <v>13</v>
      </c>
      <c r="M2589">
        <v>30355.200000000001</v>
      </c>
    </row>
    <row r="2590" spans="1:13">
      <c r="A2590" t="s">
        <v>2868</v>
      </c>
      <c r="B2590" t="s">
        <v>2869</v>
      </c>
      <c r="C2590" t="s">
        <v>16</v>
      </c>
      <c r="D2590" t="s">
        <v>21</v>
      </c>
      <c r="E2590" t="s">
        <v>2875</v>
      </c>
      <c r="F2590" t="s">
        <v>2875</v>
      </c>
      <c r="G2590" s="2">
        <v>45715</v>
      </c>
      <c r="H2590" s="2">
        <v>45745</v>
      </c>
      <c r="I2590" s="1">
        <v>3591</v>
      </c>
      <c r="J2590">
        <v>3591</v>
      </c>
      <c r="K2590" t="s">
        <v>20</v>
      </c>
      <c r="L2590">
        <v>13</v>
      </c>
      <c r="M2590">
        <v>3591</v>
      </c>
    </row>
    <row r="2591" spans="1:13">
      <c r="A2591" t="s">
        <v>2868</v>
      </c>
      <c r="B2591" t="s">
        <v>2869</v>
      </c>
      <c r="C2591" t="s">
        <v>16</v>
      </c>
      <c r="D2591" t="s">
        <v>21</v>
      </c>
      <c r="E2591" t="s">
        <v>2876</v>
      </c>
      <c r="F2591" t="s">
        <v>2876</v>
      </c>
      <c r="G2591" s="2">
        <v>45716</v>
      </c>
      <c r="H2591" s="2">
        <v>45746</v>
      </c>
      <c r="I2591" s="1">
        <v>3380</v>
      </c>
      <c r="J2591">
        <v>3380</v>
      </c>
      <c r="K2591" t="s">
        <v>20</v>
      </c>
      <c r="L2591">
        <v>13</v>
      </c>
      <c r="M2591">
        <v>3380</v>
      </c>
    </row>
    <row r="2592" spans="1:13">
      <c r="A2592" t="s">
        <v>2868</v>
      </c>
      <c r="B2592" t="s">
        <v>2869</v>
      </c>
      <c r="C2592" t="s">
        <v>16</v>
      </c>
      <c r="D2592" t="s">
        <v>21</v>
      </c>
      <c r="E2592" t="s">
        <v>2877</v>
      </c>
      <c r="F2592" t="s">
        <v>2877</v>
      </c>
      <c r="G2592" s="2">
        <v>45722</v>
      </c>
      <c r="H2592" s="2">
        <v>45752</v>
      </c>
      <c r="I2592" s="1">
        <v>3556.8</v>
      </c>
      <c r="J2592">
        <v>3556.8</v>
      </c>
      <c r="K2592" t="s">
        <v>20</v>
      </c>
      <c r="L2592">
        <v>0</v>
      </c>
      <c r="M2592">
        <v>0</v>
      </c>
    </row>
    <row r="2593" spans="1:13">
      <c r="A2593" t="s">
        <v>2868</v>
      </c>
      <c r="B2593" t="s">
        <v>2869</v>
      </c>
      <c r="C2593" t="s">
        <v>16</v>
      </c>
      <c r="D2593" t="s">
        <v>21</v>
      </c>
      <c r="E2593" t="s">
        <v>2878</v>
      </c>
      <c r="F2593" t="s">
        <v>2878</v>
      </c>
      <c r="G2593" s="2">
        <v>45722</v>
      </c>
      <c r="H2593" s="2">
        <v>45752</v>
      </c>
      <c r="I2593" s="1">
        <v>3556.8</v>
      </c>
      <c r="J2593">
        <v>3556.8</v>
      </c>
      <c r="K2593" t="s">
        <v>20</v>
      </c>
      <c r="L2593">
        <v>0</v>
      </c>
      <c r="M2593">
        <v>0</v>
      </c>
    </row>
    <row r="2594" spans="1:13">
      <c r="A2594" t="s">
        <v>2868</v>
      </c>
      <c r="B2594" t="s">
        <v>2869</v>
      </c>
      <c r="C2594" t="s">
        <v>16</v>
      </c>
      <c r="D2594" t="s">
        <v>21</v>
      </c>
      <c r="E2594" t="s">
        <v>2879</v>
      </c>
      <c r="F2594" t="s">
        <v>2879</v>
      </c>
      <c r="G2594" s="2">
        <v>45728</v>
      </c>
      <c r="H2594" s="2">
        <v>45758</v>
      </c>
      <c r="I2594" s="1">
        <v>20744.64</v>
      </c>
      <c r="J2594">
        <v>20744.64</v>
      </c>
      <c r="K2594" t="s">
        <v>20</v>
      </c>
      <c r="L2594">
        <v>0</v>
      </c>
      <c r="M2594">
        <v>0</v>
      </c>
    </row>
    <row r="2595" spans="1:13">
      <c r="A2595" t="s">
        <v>2868</v>
      </c>
      <c r="B2595" t="s">
        <v>2869</v>
      </c>
      <c r="C2595" t="s">
        <v>16</v>
      </c>
      <c r="D2595" t="s">
        <v>21</v>
      </c>
      <c r="E2595" t="s">
        <v>2880</v>
      </c>
      <c r="F2595" t="s">
        <v>2880</v>
      </c>
      <c r="G2595" s="2">
        <v>45728</v>
      </c>
      <c r="H2595" s="2">
        <v>45758</v>
      </c>
      <c r="I2595" s="1">
        <v>20744.64</v>
      </c>
      <c r="J2595">
        <v>20744.64</v>
      </c>
      <c r="K2595" t="s">
        <v>20</v>
      </c>
      <c r="L2595">
        <v>0</v>
      </c>
      <c r="M2595">
        <v>0</v>
      </c>
    </row>
    <row r="2596" spans="1:13">
      <c r="A2596" t="s">
        <v>2868</v>
      </c>
      <c r="B2596" t="s">
        <v>2869</v>
      </c>
      <c r="C2596" t="s">
        <v>16</v>
      </c>
      <c r="D2596" t="s">
        <v>21</v>
      </c>
      <c r="E2596" t="s">
        <v>2881</v>
      </c>
      <c r="F2596" t="s">
        <v>2881</v>
      </c>
      <c r="G2596" s="2">
        <v>45728</v>
      </c>
      <c r="H2596" s="2">
        <v>45758</v>
      </c>
      <c r="I2596" s="1">
        <v>20744.64</v>
      </c>
      <c r="J2596">
        <v>20744.64</v>
      </c>
      <c r="K2596" t="s">
        <v>20</v>
      </c>
      <c r="L2596">
        <v>0</v>
      </c>
      <c r="M2596">
        <v>0</v>
      </c>
    </row>
    <row r="2597" spans="1:13">
      <c r="A2597" t="s">
        <v>2868</v>
      </c>
      <c r="B2597" t="s">
        <v>2869</v>
      </c>
      <c r="C2597" t="s">
        <v>16</v>
      </c>
      <c r="D2597" t="s">
        <v>21</v>
      </c>
      <c r="E2597" t="s">
        <v>2882</v>
      </c>
      <c r="F2597" t="s">
        <v>2882</v>
      </c>
      <c r="G2597" s="2">
        <v>45733</v>
      </c>
      <c r="H2597" s="2">
        <v>45763</v>
      </c>
      <c r="I2597" s="1">
        <v>8820</v>
      </c>
      <c r="J2597">
        <v>8820</v>
      </c>
      <c r="K2597" t="s">
        <v>20</v>
      </c>
      <c r="L2597">
        <v>0</v>
      </c>
      <c r="M2597">
        <v>0</v>
      </c>
    </row>
    <row r="2598" spans="1:13">
      <c r="A2598" t="s">
        <v>2868</v>
      </c>
      <c r="B2598" t="s">
        <v>2869</v>
      </c>
      <c r="C2598" t="s">
        <v>16</v>
      </c>
      <c r="D2598" t="s">
        <v>21</v>
      </c>
      <c r="E2598" t="s">
        <v>2883</v>
      </c>
      <c r="F2598" t="s">
        <v>2883</v>
      </c>
      <c r="G2598" s="2">
        <v>45733</v>
      </c>
      <c r="H2598" s="2">
        <v>45763</v>
      </c>
      <c r="I2598" s="1">
        <v>9408</v>
      </c>
      <c r="J2598">
        <v>9408</v>
      </c>
      <c r="K2598" t="s">
        <v>20</v>
      </c>
      <c r="L2598">
        <v>0</v>
      </c>
      <c r="M2598">
        <v>0</v>
      </c>
    </row>
    <row r="2599" spans="1:13">
      <c r="A2599" t="s">
        <v>2868</v>
      </c>
      <c r="B2599" t="s">
        <v>2869</v>
      </c>
      <c r="C2599" t="s">
        <v>16</v>
      </c>
      <c r="D2599" t="s">
        <v>21</v>
      </c>
      <c r="E2599" t="s">
        <v>2884</v>
      </c>
      <c r="F2599" t="s">
        <v>2884</v>
      </c>
      <c r="G2599" s="2">
        <v>45741</v>
      </c>
      <c r="H2599" s="2">
        <v>45771</v>
      </c>
      <c r="I2599">
        <v>920</v>
      </c>
      <c r="J2599">
        <v>920</v>
      </c>
      <c r="K2599" t="s">
        <v>20</v>
      </c>
      <c r="L2599">
        <v>0</v>
      </c>
      <c r="M2599">
        <v>0</v>
      </c>
    </row>
    <row r="2600" spans="1:13">
      <c r="A2600" t="s">
        <v>2885</v>
      </c>
      <c r="B2600" t="s">
        <v>2886</v>
      </c>
      <c r="C2600" t="s">
        <v>347</v>
      </c>
      <c r="D2600" t="s">
        <v>17</v>
      </c>
      <c r="E2600" t="s">
        <v>2887</v>
      </c>
      <c r="F2600" t="s">
        <v>19</v>
      </c>
      <c r="H2600" s="2">
        <v>45519</v>
      </c>
      <c r="I2600">
        <v>-15.77</v>
      </c>
      <c r="J2600">
        <v>-15.77</v>
      </c>
      <c r="K2600" t="s">
        <v>20</v>
      </c>
      <c r="L2600">
        <v>0</v>
      </c>
      <c r="M2600">
        <v>-15.77</v>
      </c>
    </row>
    <row r="2601" spans="1:13">
      <c r="A2601" t="s">
        <v>2885</v>
      </c>
      <c r="B2601" t="s">
        <v>2886</v>
      </c>
      <c r="C2601" t="s">
        <v>347</v>
      </c>
      <c r="D2601" t="s">
        <v>17</v>
      </c>
      <c r="E2601" t="s">
        <v>2888</v>
      </c>
      <c r="F2601" t="s">
        <v>19</v>
      </c>
      <c r="H2601" s="2">
        <v>45519</v>
      </c>
      <c r="I2601">
        <v>-3.65</v>
      </c>
      <c r="J2601">
        <v>-3.65</v>
      </c>
      <c r="K2601" t="s">
        <v>20</v>
      </c>
      <c r="L2601">
        <v>0</v>
      </c>
      <c r="M2601">
        <v>-3.65</v>
      </c>
    </row>
    <row r="2602" spans="1:13">
      <c r="A2602" t="s">
        <v>2885</v>
      </c>
      <c r="B2602" t="s">
        <v>2886</v>
      </c>
      <c r="C2602" t="s">
        <v>347</v>
      </c>
      <c r="D2602" t="s">
        <v>17</v>
      </c>
      <c r="E2602" t="s">
        <v>2889</v>
      </c>
      <c r="F2602" t="s">
        <v>19</v>
      </c>
      <c r="H2602" s="2">
        <v>45519</v>
      </c>
      <c r="I2602">
        <v>-4.76</v>
      </c>
      <c r="J2602">
        <v>-4.76</v>
      </c>
      <c r="K2602" t="s">
        <v>20</v>
      </c>
      <c r="L2602">
        <v>0</v>
      </c>
      <c r="M2602">
        <v>-4.76</v>
      </c>
    </row>
    <row r="2603" spans="1:13">
      <c r="A2603" t="s">
        <v>2890</v>
      </c>
      <c r="B2603" t="s">
        <v>2891</v>
      </c>
      <c r="C2603" t="s">
        <v>16</v>
      </c>
      <c r="D2603" t="s">
        <v>55</v>
      </c>
      <c r="E2603" t="s">
        <v>19</v>
      </c>
      <c r="F2603" t="s">
        <v>19</v>
      </c>
      <c r="H2603" s="2">
        <v>45252</v>
      </c>
      <c r="I2603">
        <v>-308</v>
      </c>
      <c r="J2603">
        <v>-308</v>
      </c>
      <c r="K2603" t="s">
        <v>20</v>
      </c>
      <c r="L2603">
        <v>0</v>
      </c>
      <c r="M2603">
        <v>-308</v>
      </c>
    </row>
    <row r="2604" spans="1:13">
      <c r="A2604" t="s">
        <v>2890</v>
      </c>
      <c r="B2604" t="s">
        <v>2891</v>
      </c>
      <c r="C2604" t="s">
        <v>16</v>
      </c>
      <c r="D2604" t="s">
        <v>17</v>
      </c>
      <c r="E2604" t="s">
        <v>2892</v>
      </c>
      <c r="F2604" t="s">
        <v>19</v>
      </c>
      <c r="H2604" s="2">
        <v>45412</v>
      </c>
      <c r="I2604">
        <v>-9.94</v>
      </c>
      <c r="J2604">
        <v>-9.94</v>
      </c>
      <c r="K2604" t="s">
        <v>20</v>
      </c>
      <c r="L2604">
        <v>0</v>
      </c>
      <c r="M2604">
        <v>-9.94</v>
      </c>
    </row>
    <row r="2605" spans="1:13">
      <c r="A2605" t="s">
        <v>2890</v>
      </c>
      <c r="B2605" t="s">
        <v>2891</v>
      </c>
      <c r="C2605" t="s">
        <v>16</v>
      </c>
      <c r="D2605" t="s">
        <v>17</v>
      </c>
      <c r="E2605" t="s">
        <v>2893</v>
      </c>
      <c r="F2605" t="s">
        <v>19</v>
      </c>
      <c r="H2605" s="2">
        <v>45412</v>
      </c>
      <c r="I2605">
        <v>-12.8</v>
      </c>
      <c r="J2605">
        <v>-12.8</v>
      </c>
      <c r="K2605" t="s">
        <v>20</v>
      </c>
      <c r="L2605">
        <v>0</v>
      </c>
      <c r="M2605">
        <v>-12.8</v>
      </c>
    </row>
    <row r="2606" spans="1:13">
      <c r="A2606" t="s">
        <v>2890</v>
      </c>
      <c r="B2606" t="s">
        <v>2891</v>
      </c>
      <c r="C2606" t="s">
        <v>16</v>
      </c>
      <c r="D2606" t="s">
        <v>17</v>
      </c>
      <c r="E2606" t="s">
        <v>2894</v>
      </c>
      <c r="F2606" t="s">
        <v>19</v>
      </c>
      <c r="H2606" s="2">
        <v>45412</v>
      </c>
      <c r="I2606">
        <v>-9.94</v>
      </c>
      <c r="J2606">
        <v>-9.94</v>
      </c>
      <c r="K2606" t="s">
        <v>20</v>
      </c>
      <c r="L2606">
        <v>0</v>
      </c>
      <c r="M2606">
        <v>-9.94</v>
      </c>
    </row>
    <row r="2607" spans="1:13">
      <c r="A2607" t="s">
        <v>2890</v>
      </c>
      <c r="B2607" t="s">
        <v>2891</v>
      </c>
      <c r="C2607" t="s">
        <v>16</v>
      </c>
      <c r="D2607" t="s">
        <v>17</v>
      </c>
      <c r="E2607" t="s">
        <v>2895</v>
      </c>
      <c r="F2607" t="s">
        <v>19</v>
      </c>
      <c r="H2607" s="2">
        <v>45412</v>
      </c>
      <c r="I2607">
        <v>-11.01</v>
      </c>
      <c r="J2607">
        <v>-11.01</v>
      </c>
      <c r="K2607" t="s">
        <v>20</v>
      </c>
      <c r="L2607">
        <v>0</v>
      </c>
      <c r="M2607">
        <v>-11.01</v>
      </c>
    </row>
    <row r="2608" spans="1:13">
      <c r="A2608" t="s">
        <v>2890</v>
      </c>
      <c r="B2608" t="s">
        <v>2891</v>
      </c>
      <c r="C2608" t="s">
        <v>16</v>
      </c>
      <c r="D2608" t="s">
        <v>17</v>
      </c>
      <c r="E2608" t="s">
        <v>2896</v>
      </c>
      <c r="F2608" t="s">
        <v>19</v>
      </c>
      <c r="H2608" s="2">
        <v>45412</v>
      </c>
      <c r="I2608">
        <v>-8.94</v>
      </c>
      <c r="J2608">
        <v>-8.94</v>
      </c>
      <c r="K2608" t="s">
        <v>20</v>
      </c>
      <c r="L2608">
        <v>0</v>
      </c>
      <c r="M2608">
        <v>-8.94</v>
      </c>
    </row>
    <row r="2609" spans="1:13">
      <c r="A2609" t="s">
        <v>2890</v>
      </c>
      <c r="B2609" t="s">
        <v>2891</v>
      </c>
      <c r="C2609" t="s">
        <v>16</v>
      </c>
      <c r="D2609" t="s">
        <v>17</v>
      </c>
      <c r="E2609" t="s">
        <v>2897</v>
      </c>
      <c r="F2609" t="s">
        <v>19</v>
      </c>
      <c r="H2609" s="2">
        <v>45412</v>
      </c>
      <c r="I2609">
        <v>-9.94</v>
      </c>
      <c r="J2609">
        <v>-9.94</v>
      </c>
      <c r="K2609" t="s">
        <v>20</v>
      </c>
      <c r="L2609">
        <v>0</v>
      </c>
      <c r="M2609">
        <v>-9.94</v>
      </c>
    </row>
    <row r="2610" spans="1:13">
      <c r="A2610" t="s">
        <v>2890</v>
      </c>
      <c r="B2610" t="s">
        <v>2891</v>
      </c>
      <c r="C2610" t="s">
        <v>16</v>
      </c>
      <c r="D2610" t="s">
        <v>21</v>
      </c>
      <c r="E2610" t="s">
        <v>2898</v>
      </c>
      <c r="F2610" t="s">
        <v>2898</v>
      </c>
      <c r="G2610" s="2">
        <v>45544</v>
      </c>
      <c r="H2610" s="2">
        <v>45574</v>
      </c>
      <c r="I2610">
        <v>142</v>
      </c>
      <c r="J2610">
        <v>142</v>
      </c>
      <c r="K2610" t="s">
        <v>20</v>
      </c>
      <c r="L2610">
        <v>0</v>
      </c>
      <c r="M2610">
        <v>142</v>
      </c>
    </row>
    <row r="2611" spans="1:13">
      <c r="A2611" t="s">
        <v>2890</v>
      </c>
      <c r="B2611" t="s">
        <v>2891</v>
      </c>
      <c r="C2611" t="s">
        <v>16</v>
      </c>
      <c r="D2611" t="s">
        <v>21</v>
      </c>
      <c r="E2611" t="s">
        <v>2899</v>
      </c>
      <c r="F2611" t="s">
        <v>2899</v>
      </c>
      <c r="G2611" s="2">
        <v>45546</v>
      </c>
      <c r="H2611" s="2">
        <v>45576</v>
      </c>
      <c r="I2611" s="1">
        <v>1399</v>
      </c>
      <c r="J2611">
        <v>1399</v>
      </c>
      <c r="K2611" t="s">
        <v>20</v>
      </c>
      <c r="L2611">
        <v>0</v>
      </c>
      <c r="M2611">
        <v>1399</v>
      </c>
    </row>
    <row r="2612" spans="1:13">
      <c r="A2612" t="s">
        <v>2890</v>
      </c>
      <c r="B2612" t="s">
        <v>2891</v>
      </c>
      <c r="C2612" t="s">
        <v>16</v>
      </c>
      <c r="D2612" t="s">
        <v>21</v>
      </c>
      <c r="E2612" t="s">
        <v>2900</v>
      </c>
      <c r="F2612" t="s">
        <v>2900</v>
      </c>
      <c r="G2612" s="2">
        <v>45560</v>
      </c>
      <c r="H2612" s="2">
        <v>45590</v>
      </c>
      <c r="I2612">
        <v>70</v>
      </c>
      <c r="J2612">
        <v>55.92</v>
      </c>
      <c r="K2612" t="s">
        <v>20</v>
      </c>
      <c r="L2612">
        <v>0</v>
      </c>
      <c r="M2612">
        <v>55.92</v>
      </c>
    </row>
    <row r="2613" spans="1:13">
      <c r="A2613" t="s">
        <v>2890</v>
      </c>
      <c r="B2613" t="s">
        <v>2891</v>
      </c>
      <c r="C2613" t="s">
        <v>16</v>
      </c>
      <c r="D2613" t="s">
        <v>55</v>
      </c>
      <c r="E2613" t="s">
        <v>2900</v>
      </c>
      <c r="F2613" t="s">
        <v>2900</v>
      </c>
      <c r="H2613" s="2">
        <v>45610</v>
      </c>
      <c r="I2613">
        <v>-14.08</v>
      </c>
      <c r="J2613" t="s">
        <v>86</v>
      </c>
      <c r="K2613" t="s">
        <v>20</v>
      </c>
      <c r="L2613">
        <v>0</v>
      </c>
      <c r="M2613" t="s">
        <v>86</v>
      </c>
    </row>
    <row r="2614" spans="1:13">
      <c r="A2614" t="s">
        <v>2890</v>
      </c>
      <c r="B2614" t="s">
        <v>2891</v>
      </c>
      <c r="C2614" t="s">
        <v>16</v>
      </c>
      <c r="D2614" t="s">
        <v>21</v>
      </c>
      <c r="E2614" t="s">
        <v>2901</v>
      </c>
      <c r="F2614" t="s">
        <v>2901</v>
      </c>
      <c r="G2614" s="2">
        <v>45737</v>
      </c>
      <c r="H2614" s="2">
        <v>45767</v>
      </c>
      <c r="I2614">
        <v>980</v>
      </c>
      <c r="J2614">
        <v>980</v>
      </c>
      <c r="K2614" t="s">
        <v>20</v>
      </c>
      <c r="L2614">
        <v>0</v>
      </c>
      <c r="M2614">
        <v>0</v>
      </c>
    </row>
    <row r="2615" spans="1:13">
      <c r="A2615" t="s">
        <v>2902</v>
      </c>
      <c r="B2615" t="s">
        <v>2903</v>
      </c>
      <c r="C2615" t="s">
        <v>347</v>
      </c>
      <c r="D2615" t="s">
        <v>21</v>
      </c>
      <c r="E2615" t="s">
        <v>2904</v>
      </c>
      <c r="F2615" t="s">
        <v>2904</v>
      </c>
      <c r="G2615" s="2">
        <v>45708</v>
      </c>
      <c r="H2615" s="2">
        <v>45738</v>
      </c>
      <c r="I2615">
        <v>33.200000000000003</v>
      </c>
      <c r="J2615">
        <v>33.200000000000003</v>
      </c>
      <c r="K2615" t="s">
        <v>20</v>
      </c>
      <c r="L2615">
        <v>12</v>
      </c>
      <c r="M2615">
        <v>33.200000000000003</v>
      </c>
    </row>
    <row r="2616" spans="1:13">
      <c r="A2616" t="s">
        <v>2905</v>
      </c>
      <c r="B2616" t="s">
        <v>2906</v>
      </c>
      <c r="C2616" t="s">
        <v>347</v>
      </c>
      <c r="D2616" t="s">
        <v>55</v>
      </c>
      <c r="E2616" t="s">
        <v>19</v>
      </c>
      <c r="F2616" t="s">
        <v>19</v>
      </c>
      <c r="H2616" s="2">
        <v>44788</v>
      </c>
      <c r="I2616">
        <v>-184</v>
      </c>
      <c r="J2616">
        <v>-184</v>
      </c>
      <c r="K2616" t="s">
        <v>20</v>
      </c>
      <c r="L2616">
        <v>0</v>
      </c>
      <c r="M2616">
        <v>-184</v>
      </c>
    </row>
    <row r="2617" spans="1:13">
      <c r="A2617" t="s">
        <v>2905</v>
      </c>
      <c r="B2617" t="s">
        <v>2906</v>
      </c>
      <c r="C2617" t="s">
        <v>347</v>
      </c>
      <c r="D2617" t="s">
        <v>17</v>
      </c>
      <c r="E2617" t="s">
        <v>2907</v>
      </c>
      <c r="F2617" t="s">
        <v>19</v>
      </c>
      <c r="H2617" s="2">
        <v>45380</v>
      </c>
      <c r="I2617">
        <v>-270.5</v>
      </c>
      <c r="J2617">
        <v>-270.5</v>
      </c>
      <c r="K2617" t="s">
        <v>20</v>
      </c>
      <c r="L2617">
        <v>0</v>
      </c>
      <c r="M2617">
        <v>-270.5</v>
      </c>
    </row>
    <row r="2618" spans="1:13">
      <c r="A2618" t="s">
        <v>2905</v>
      </c>
      <c r="B2618" t="s">
        <v>2906</v>
      </c>
      <c r="C2618" t="s">
        <v>347</v>
      </c>
      <c r="D2618" t="s">
        <v>17</v>
      </c>
      <c r="E2618" t="s">
        <v>2908</v>
      </c>
      <c r="F2618" t="s">
        <v>19</v>
      </c>
      <c r="H2618" s="2">
        <v>45388</v>
      </c>
      <c r="I2618" s="1">
        <v>-2074</v>
      </c>
      <c r="J2618">
        <v>-2074</v>
      </c>
      <c r="K2618" t="s">
        <v>20</v>
      </c>
      <c r="L2618">
        <v>0</v>
      </c>
      <c r="M2618">
        <v>-2074</v>
      </c>
    </row>
    <row r="2619" spans="1:13">
      <c r="A2619" t="s">
        <v>2905</v>
      </c>
      <c r="B2619" t="s">
        <v>2906</v>
      </c>
      <c r="C2619" t="s">
        <v>347</v>
      </c>
      <c r="D2619" t="s">
        <v>17</v>
      </c>
      <c r="E2619" t="s">
        <v>2909</v>
      </c>
      <c r="F2619" t="s">
        <v>19</v>
      </c>
      <c r="H2619" s="2">
        <v>45412</v>
      </c>
      <c r="I2619">
        <v>-402.34</v>
      </c>
      <c r="J2619">
        <v>-402.34</v>
      </c>
      <c r="K2619" t="s">
        <v>20</v>
      </c>
      <c r="L2619">
        <v>0</v>
      </c>
      <c r="M2619">
        <v>-402.34</v>
      </c>
    </row>
    <row r="2620" spans="1:13">
      <c r="A2620" t="s">
        <v>2905</v>
      </c>
      <c r="B2620" t="s">
        <v>2906</v>
      </c>
      <c r="C2620" t="s">
        <v>347</v>
      </c>
      <c r="D2620" t="s">
        <v>17</v>
      </c>
      <c r="E2620" t="s">
        <v>2910</v>
      </c>
      <c r="F2620" t="s">
        <v>19</v>
      </c>
      <c r="H2620" s="2">
        <v>45412</v>
      </c>
      <c r="I2620">
        <v>-480.28</v>
      </c>
      <c r="J2620">
        <v>-480.28</v>
      </c>
      <c r="K2620" t="s">
        <v>20</v>
      </c>
      <c r="L2620">
        <v>0</v>
      </c>
      <c r="M2620">
        <v>-480.28</v>
      </c>
    </row>
    <row r="2621" spans="1:13">
      <c r="A2621" t="s">
        <v>2905</v>
      </c>
      <c r="B2621" t="s">
        <v>2906</v>
      </c>
      <c r="C2621" t="s">
        <v>347</v>
      </c>
      <c r="D2621" t="s">
        <v>17</v>
      </c>
      <c r="E2621" t="s">
        <v>2911</v>
      </c>
      <c r="F2621" t="s">
        <v>19</v>
      </c>
      <c r="H2621" s="2">
        <v>45412</v>
      </c>
      <c r="I2621">
        <v>-121.84</v>
      </c>
      <c r="J2621">
        <v>-121.84</v>
      </c>
      <c r="K2621" t="s">
        <v>20</v>
      </c>
      <c r="L2621">
        <v>0</v>
      </c>
      <c r="M2621">
        <v>-121.84</v>
      </c>
    </row>
    <row r="2622" spans="1:13">
      <c r="A2622" t="s">
        <v>2905</v>
      </c>
      <c r="B2622" t="s">
        <v>2906</v>
      </c>
      <c r="C2622" t="s">
        <v>347</v>
      </c>
      <c r="D2622" t="s">
        <v>17</v>
      </c>
      <c r="E2622" t="s">
        <v>2912</v>
      </c>
      <c r="F2622" t="s">
        <v>19</v>
      </c>
      <c r="H2622" s="2">
        <v>45428</v>
      </c>
      <c r="I2622">
        <v>-59.5</v>
      </c>
      <c r="J2622">
        <v>-59.5</v>
      </c>
      <c r="K2622" t="s">
        <v>20</v>
      </c>
      <c r="L2622">
        <v>0</v>
      </c>
      <c r="M2622">
        <v>-59.5</v>
      </c>
    </row>
    <row r="2623" spans="1:13">
      <c r="A2623" t="s">
        <v>2905</v>
      </c>
      <c r="B2623" t="s">
        <v>2906</v>
      </c>
      <c r="C2623" t="s">
        <v>347</v>
      </c>
      <c r="D2623" t="s">
        <v>17</v>
      </c>
      <c r="E2623" t="s">
        <v>2913</v>
      </c>
      <c r="F2623" t="s">
        <v>19</v>
      </c>
      <c r="H2623" s="2">
        <v>45443</v>
      </c>
      <c r="I2623">
        <v>-212.06</v>
      </c>
      <c r="J2623">
        <v>-212.06</v>
      </c>
      <c r="K2623" t="s">
        <v>20</v>
      </c>
      <c r="L2623">
        <v>0</v>
      </c>
      <c r="M2623">
        <v>-212.06</v>
      </c>
    </row>
    <row r="2624" spans="1:13">
      <c r="A2624" t="s">
        <v>2905</v>
      </c>
      <c r="B2624" t="s">
        <v>2906</v>
      </c>
      <c r="C2624" t="s">
        <v>347</v>
      </c>
      <c r="D2624" t="s">
        <v>21</v>
      </c>
      <c r="E2624" t="s">
        <v>2914</v>
      </c>
      <c r="F2624" t="s">
        <v>2914</v>
      </c>
      <c r="G2624" s="2">
        <v>45573</v>
      </c>
      <c r="H2624" s="2">
        <v>45603</v>
      </c>
      <c r="I2624">
        <v>253.5</v>
      </c>
      <c r="J2624">
        <v>253.5</v>
      </c>
      <c r="K2624" t="s">
        <v>20</v>
      </c>
      <c r="L2624">
        <v>0</v>
      </c>
      <c r="M2624">
        <v>253.5</v>
      </c>
    </row>
    <row r="2625" spans="1:13">
      <c r="A2625" t="s">
        <v>2905</v>
      </c>
      <c r="B2625" t="s">
        <v>2906</v>
      </c>
      <c r="C2625" t="s">
        <v>347</v>
      </c>
      <c r="D2625" t="s">
        <v>21</v>
      </c>
      <c r="E2625" t="s">
        <v>2915</v>
      </c>
      <c r="F2625" t="s">
        <v>2915</v>
      </c>
      <c r="G2625" s="2">
        <v>45573</v>
      </c>
      <c r="H2625" s="2">
        <v>45603</v>
      </c>
      <c r="I2625" s="1">
        <v>1050</v>
      </c>
      <c r="J2625">
        <v>1050</v>
      </c>
      <c r="K2625" t="s">
        <v>20</v>
      </c>
      <c r="L2625">
        <v>0</v>
      </c>
      <c r="M2625">
        <v>1050</v>
      </c>
    </row>
    <row r="2626" spans="1:13">
      <c r="A2626" t="s">
        <v>2905</v>
      </c>
      <c r="B2626" t="s">
        <v>2906</v>
      </c>
      <c r="C2626" t="s">
        <v>347</v>
      </c>
      <c r="D2626" t="s">
        <v>21</v>
      </c>
      <c r="E2626" t="s">
        <v>2916</v>
      </c>
      <c r="F2626" t="s">
        <v>2916</v>
      </c>
      <c r="G2626" s="2">
        <v>45664</v>
      </c>
      <c r="H2626" s="2">
        <v>45694</v>
      </c>
      <c r="I2626">
        <v>440</v>
      </c>
      <c r="J2626">
        <v>440</v>
      </c>
      <c r="K2626" t="s">
        <v>20</v>
      </c>
      <c r="L2626">
        <v>0</v>
      </c>
      <c r="M2626">
        <v>440</v>
      </c>
    </row>
    <row r="2627" spans="1:13">
      <c r="A2627" t="s">
        <v>2905</v>
      </c>
      <c r="B2627" t="s">
        <v>2906</v>
      </c>
      <c r="C2627" t="s">
        <v>347</v>
      </c>
      <c r="D2627" t="s">
        <v>21</v>
      </c>
      <c r="E2627" t="s">
        <v>2917</v>
      </c>
      <c r="F2627" t="s">
        <v>2917</v>
      </c>
      <c r="G2627" s="2">
        <v>45667</v>
      </c>
      <c r="H2627" s="2">
        <v>45697</v>
      </c>
      <c r="I2627" s="1">
        <v>3252.55</v>
      </c>
      <c r="J2627">
        <v>3252.55</v>
      </c>
      <c r="K2627" t="s">
        <v>20</v>
      </c>
      <c r="L2627">
        <v>0</v>
      </c>
      <c r="M2627">
        <v>3252.55</v>
      </c>
    </row>
    <row r="2628" spans="1:13">
      <c r="A2628" t="s">
        <v>2905</v>
      </c>
      <c r="B2628" t="s">
        <v>2906</v>
      </c>
      <c r="C2628" t="s">
        <v>347</v>
      </c>
      <c r="D2628" t="s">
        <v>21</v>
      </c>
      <c r="E2628" t="s">
        <v>2918</v>
      </c>
      <c r="F2628" t="s">
        <v>2918</v>
      </c>
      <c r="G2628" s="2">
        <v>45670</v>
      </c>
      <c r="H2628" s="2">
        <v>45700</v>
      </c>
      <c r="I2628">
        <v>114</v>
      </c>
      <c r="J2628">
        <v>114</v>
      </c>
      <c r="K2628" t="s">
        <v>20</v>
      </c>
      <c r="L2628">
        <v>0</v>
      </c>
      <c r="M2628">
        <v>114</v>
      </c>
    </row>
    <row r="2629" spans="1:13">
      <c r="A2629" t="s">
        <v>2905</v>
      </c>
      <c r="B2629" t="s">
        <v>2906</v>
      </c>
      <c r="C2629" t="s">
        <v>347</v>
      </c>
      <c r="D2629" t="s">
        <v>21</v>
      </c>
      <c r="E2629" t="s">
        <v>2919</v>
      </c>
      <c r="F2629" t="s">
        <v>2919</v>
      </c>
      <c r="G2629" s="2">
        <v>45673</v>
      </c>
      <c r="H2629" s="2">
        <v>45703</v>
      </c>
      <c r="I2629">
        <v>816</v>
      </c>
      <c r="J2629">
        <v>816</v>
      </c>
      <c r="K2629" t="s">
        <v>20</v>
      </c>
      <c r="L2629">
        <v>0</v>
      </c>
      <c r="M2629">
        <v>816</v>
      </c>
    </row>
    <row r="2630" spans="1:13">
      <c r="A2630" t="s">
        <v>2905</v>
      </c>
      <c r="B2630" t="s">
        <v>2906</v>
      </c>
      <c r="C2630" t="s">
        <v>347</v>
      </c>
      <c r="D2630" t="s">
        <v>21</v>
      </c>
      <c r="E2630" t="s">
        <v>2920</v>
      </c>
      <c r="F2630" t="s">
        <v>2920</v>
      </c>
      <c r="G2630" s="2">
        <v>45673</v>
      </c>
      <c r="H2630" s="2">
        <v>45703</v>
      </c>
      <c r="I2630" s="1">
        <v>2112</v>
      </c>
      <c r="J2630">
        <v>2112</v>
      </c>
      <c r="K2630" t="s">
        <v>20</v>
      </c>
      <c r="L2630">
        <v>0</v>
      </c>
      <c r="M2630">
        <v>2112</v>
      </c>
    </row>
    <row r="2631" spans="1:13">
      <c r="A2631" t="s">
        <v>2905</v>
      </c>
      <c r="B2631" t="s">
        <v>2906</v>
      </c>
      <c r="C2631" t="s">
        <v>347</v>
      </c>
      <c r="D2631" t="s">
        <v>21</v>
      </c>
      <c r="E2631" t="s">
        <v>2921</v>
      </c>
      <c r="F2631" t="s">
        <v>2921</v>
      </c>
      <c r="G2631" s="2">
        <v>45674</v>
      </c>
      <c r="H2631" s="2">
        <v>45704</v>
      </c>
      <c r="I2631">
        <v>408</v>
      </c>
      <c r="J2631">
        <v>408</v>
      </c>
      <c r="K2631" t="s">
        <v>20</v>
      </c>
      <c r="L2631">
        <v>0</v>
      </c>
      <c r="M2631">
        <v>408</v>
      </c>
    </row>
    <row r="2632" spans="1:13">
      <c r="A2632" t="s">
        <v>2905</v>
      </c>
      <c r="B2632" t="s">
        <v>2906</v>
      </c>
      <c r="C2632" t="s">
        <v>347</v>
      </c>
      <c r="D2632" t="s">
        <v>21</v>
      </c>
      <c r="E2632" t="s">
        <v>2922</v>
      </c>
      <c r="F2632" t="s">
        <v>2922</v>
      </c>
      <c r="G2632" s="2">
        <v>45674</v>
      </c>
      <c r="H2632" s="2">
        <v>45704</v>
      </c>
      <c r="I2632">
        <v>539</v>
      </c>
      <c r="J2632">
        <v>539</v>
      </c>
      <c r="K2632" t="s">
        <v>20</v>
      </c>
      <c r="L2632">
        <v>0</v>
      </c>
      <c r="M2632">
        <v>539</v>
      </c>
    </row>
    <row r="2633" spans="1:13">
      <c r="A2633" t="s">
        <v>2905</v>
      </c>
      <c r="B2633" t="s">
        <v>2906</v>
      </c>
      <c r="C2633" t="s">
        <v>347</v>
      </c>
      <c r="D2633" t="s">
        <v>21</v>
      </c>
      <c r="E2633" t="s">
        <v>2923</v>
      </c>
      <c r="F2633" t="s">
        <v>2923</v>
      </c>
      <c r="G2633" s="2">
        <v>45688</v>
      </c>
      <c r="H2633" s="2">
        <v>45718</v>
      </c>
      <c r="I2633" s="1">
        <v>11695.5</v>
      </c>
      <c r="J2633">
        <v>1345.5</v>
      </c>
      <c r="K2633" t="s">
        <v>20</v>
      </c>
      <c r="L2633">
        <v>10</v>
      </c>
      <c r="M2633">
        <v>1345.5</v>
      </c>
    </row>
    <row r="2634" spans="1:13">
      <c r="A2634" t="s">
        <v>2905</v>
      </c>
      <c r="B2634" t="s">
        <v>2906</v>
      </c>
      <c r="C2634" t="s">
        <v>347</v>
      </c>
      <c r="D2634" t="s">
        <v>55</v>
      </c>
      <c r="E2634" t="s">
        <v>2923</v>
      </c>
      <c r="F2634" t="s">
        <v>2923</v>
      </c>
      <c r="H2634" s="2">
        <v>45728</v>
      </c>
      <c r="I2634" s="1">
        <v>-10350</v>
      </c>
      <c r="J2634" t="s">
        <v>86</v>
      </c>
      <c r="K2634" t="s">
        <v>20</v>
      </c>
      <c r="L2634">
        <v>11</v>
      </c>
      <c r="M2634" t="s">
        <v>86</v>
      </c>
    </row>
    <row r="2635" spans="1:13">
      <c r="A2635" t="s">
        <v>2905</v>
      </c>
      <c r="B2635" t="s">
        <v>2906</v>
      </c>
      <c r="C2635" t="s">
        <v>347</v>
      </c>
      <c r="D2635" t="s">
        <v>21</v>
      </c>
      <c r="E2635" t="s">
        <v>2924</v>
      </c>
      <c r="F2635" t="s">
        <v>2924</v>
      </c>
      <c r="G2635" s="2">
        <v>45688</v>
      </c>
      <c r="H2635" s="2">
        <v>45718</v>
      </c>
      <c r="I2635" s="1">
        <v>18244.98</v>
      </c>
      <c r="J2635">
        <v>18244.98</v>
      </c>
      <c r="K2635" t="s">
        <v>20</v>
      </c>
      <c r="L2635">
        <v>10</v>
      </c>
      <c r="M2635">
        <v>18244.98</v>
      </c>
    </row>
    <row r="2636" spans="1:13">
      <c r="A2636" t="s">
        <v>2905</v>
      </c>
      <c r="B2636" t="s">
        <v>2906</v>
      </c>
      <c r="C2636" t="s">
        <v>347</v>
      </c>
      <c r="D2636" t="s">
        <v>21</v>
      </c>
      <c r="E2636" t="s">
        <v>2925</v>
      </c>
      <c r="F2636" t="s">
        <v>2925</v>
      </c>
      <c r="G2636" s="2">
        <v>45691</v>
      </c>
      <c r="H2636" s="2">
        <v>45721</v>
      </c>
      <c r="I2636" s="1">
        <v>4051.3</v>
      </c>
      <c r="J2636">
        <v>4051.3</v>
      </c>
      <c r="K2636" t="s">
        <v>20</v>
      </c>
      <c r="L2636">
        <v>10</v>
      </c>
      <c r="M2636">
        <v>4051.3</v>
      </c>
    </row>
    <row r="2637" spans="1:13">
      <c r="A2637" t="s">
        <v>2905</v>
      </c>
      <c r="B2637" t="s">
        <v>2906</v>
      </c>
      <c r="C2637" t="s">
        <v>347</v>
      </c>
      <c r="D2637" t="s">
        <v>21</v>
      </c>
      <c r="E2637" t="s">
        <v>2926</v>
      </c>
      <c r="F2637" t="s">
        <v>2926</v>
      </c>
      <c r="G2637" s="2">
        <v>45707</v>
      </c>
      <c r="H2637" s="2">
        <v>45737</v>
      </c>
      <c r="I2637" s="1">
        <v>2476</v>
      </c>
      <c r="J2637">
        <v>2476</v>
      </c>
      <c r="K2637" t="s">
        <v>20</v>
      </c>
      <c r="L2637">
        <v>12</v>
      </c>
      <c r="M2637">
        <v>2476</v>
      </c>
    </row>
    <row r="2638" spans="1:13">
      <c r="A2638" t="s">
        <v>2905</v>
      </c>
      <c r="B2638" t="s">
        <v>2906</v>
      </c>
      <c r="C2638" t="s">
        <v>347</v>
      </c>
      <c r="D2638" t="s">
        <v>21</v>
      </c>
      <c r="E2638" t="s">
        <v>2927</v>
      </c>
      <c r="F2638" t="s">
        <v>2927</v>
      </c>
      <c r="G2638" s="2">
        <v>45707</v>
      </c>
      <c r="H2638" s="2">
        <v>45737</v>
      </c>
      <c r="I2638" s="1">
        <v>5563.5</v>
      </c>
      <c r="J2638">
        <v>5563.5</v>
      </c>
      <c r="K2638" t="s">
        <v>20</v>
      </c>
      <c r="L2638">
        <v>12</v>
      </c>
      <c r="M2638">
        <v>5563.5</v>
      </c>
    </row>
    <row r="2639" spans="1:13">
      <c r="A2639" t="s">
        <v>2905</v>
      </c>
      <c r="B2639" t="s">
        <v>2906</v>
      </c>
      <c r="C2639" t="s">
        <v>347</v>
      </c>
      <c r="D2639" t="s">
        <v>21</v>
      </c>
      <c r="E2639" t="s">
        <v>2928</v>
      </c>
      <c r="F2639" t="s">
        <v>2928</v>
      </c>
      <c r="G2639" s="2">
        <v>45707</v>
      </c>
      <c r="H2639" s="2">
        <v>45737</v>
      </c>
      <c r="I2639" s="1">
        <v>3762.5</v>
      </c>
      <c r="J2639">
        <v>3762.5</v>
      </c>
      <c r="K2639" t="s">
        <v>20</v>
      </c>
      <c r="L2639">
        <v>12</v>
      </c>
      <c r="M2639">
        <v>3762.5</v>
      </c>
    </row>
    <row r="2640" spans="1:13">
      <c r="A2640" t="s">
        <v>2905</v>
      </c>
      <c r="B2640" t="s">
        <v>2906</v>
      </c>
      <c r="C2640" t="s">
        <v>347</v>
      </c>
      <c r="D2640" t="s">
        <v>21</v>
      </c>
      <c r="E2640" t="s">
        <v>2929</v>
      </c>
      <c r="F2640" t="s">
        <v>2929</v>
      </c>
      <c r="G2640" s="2">
        <v>45707</v>
      </c>
      <c r="H2640" s="2">
        <v>45737</v>
      </c>
      <c r="I2640" s="1">
        <v>1764</v>
      </c>
      <c r="J2640">
        <v>1764</v>
      </c>
      <c r="K2640" t="s">
        <v>20</v>
      </c>
      <c r="L2640">
        <v>12</v>
      </c>
      <c r="M2640">
        <v>1764</v>
      </c>
    </row>
    <row r="2641" spans="1:13">
      <c r="A2641" t="s">
        <v>2905</v>
      </c>
      <c r="B2641" t="s">
        <v>2906</v>
      </c>
      <c r="C2641" t="s">
        <v>347</v>
      </c>
      <c r="D2641" t="s">
        <v>21</v>
      </c>
      <c r="E2641" t="s">
        <v>2930</v>
      </c>
      <c r="F2641" t="s">
        <v>2930</v>
      </c>
      <c r="G2641" s="2">
        <v>45715</v>
      </c>
      <c r="H2641" s="2">
        <v>45745</v>
      </c>
      <c r="I2641" s="1">
        <v>4095</v>
      </c>
      <c r="J2641">
        <v>4095</v>
      </c>
      <c r="K2641" t="s">
        <v>20</v>
      </c>
      <c r="L2641">
        <v>13</v>
      </c>
      <c r="M2641">
        <v>4095</v>
      </c>
    </row>
    <row r="2642" spans="1:13">
      <c r="A2642" t="s">
        <v>2905</v>
      </c>
      <c r="B2642" t="s">
        <v>2906</v>
      </c>
      <c r="C2642" t="s">
        <v>347</v>
      </c>
      <c r="D2642" t="s">
        <v>21</v>
      </c>
      <c r="E2642" t="s">
        <v>2931</v>
      </c>
      <c r="F2642" t="s">
        <v>2931</v>
      </c>
      <c r="G2642" s="2">
        <v>45715</v>
      </c>
      <c r="H2642" s="2">
        <v>45745</v>
      </c>
      <c r="I2642" s="1">
        <v>2208.16</v>
      </c>
      <c r="J2642">
        <v>2208.16</v>
      </c>
      <c r="K2642" t="s">
        <v>20</v>
      </c>
      <c r="L2642">
        <v>13</v>
      </c>
      <c r="M2642">
        <v>2208.16</v>
      </c>
    </row>
    <row r="2643" spans="1:13">
      <c r="A2643" t="s">
        <v>2905</v>
      </c>
      <c r="B2643" t="s">
        <v>2906</v>
      </c>
      <c r="C2643" t="s">
        <v>347</v>
      </c>
      <c r="D2643" t="s">
        <v>21</v>
      </c>
      <c r="E2643" t="s">
        <v>2932</v>
      </c>
      <c r="F2643" t="s">
        <v>2932</v>
      </c>
      <c r="G2643" s="2">
        <v>45715</v>
      </c>
      <c r="H2643" s="2">
        <v>45745</v>
      </c>
      <c r="I2643" s="1">
        <v>1330</v>
      </c>
      <c r="J2643">
        <v>1330</v>
      </c>
      <c r="K2643" t="s">
        <v>20</v>
      </c>
      <c r="L2643">
        <v>13</v>
      </c>
      <c r="M2643">
        <v>1330</v>
      </c>
    </row>
    <row r="2644" spans="1:13">
      <c r="A2644" t="s">
        <v>2905</v>
      </c>
      <c r="B2644" t="s">
        <v>2906</v>
      </c>
      <c r="C2644" t="s">
        <v>347</v>
      </c>
      <c r="D2644" t="s">
        <v>21</v>
      </c>
      <c r="E2644" t="s">
        <v>2933</v>
      </c>
      <c r="F2644" t="s">
        <v>2933</v>
      </c>
      <c r="G2644" s="2">
        <v>45721</v>
      </c>
      <c r="H2644" s="2">
        <v>45751</v>
      </c>
      <c r="I2644" s="1">
        <v>12846.42</v>
      </c>
      <c r="J2644">
        <v>12846.42</v>
      </c>
      <c r="K2644" t="s">
        <v>20</v>
      </c>
      <c r="L2644">
        <v>0</v>
      </c>
      <c r="M2644">
        <v>0</v>
      </c>
    </row>
    <row r="2645" spans="1:13">
      <c r="A2645" t="s">
        <v>2905</v>
      </c>
      <c r="B2645" t="s">
        <v>2906</v>
      </c>
      <c r="C2645" t="s">
        <v>347</v>
      </c>
      <c r="D2645" t="s">
        <v>21</v>
      </c>
      <c r="E2645" t="s">
        <v>2934</v>
      </c>
      <c r="F2645" t="s">
        <v>2934</v>
      </c>
      <c r="G2645" s="2">
        <v>45726</v>
      </c>
      <c r="H2645" s="2">
        <v>45756</v>
      </c>
      <c r="I2645" s="1">
        <v>6186.75</v>
      </c>
      <c r="J2645">
        <v>6114.75</v>
      </c>
      <c r="K2645" t="s">
        <v>20</v>
      </c>
      <c r="L2645">
        <v>0</v>
      </c>
      <c r="M2645">
        <v>0</v>
      </c>
    </row>
    <row r="2646" spans="1:13">
      <c r="A2646" t="s">
        <v>2905</v>
      </c>
      <c r="B2646" t="s">
        <v>2906</v>
      </c>
      <c r="C2646" t="s">
        <v>347</v>
      </c>
      <c r="D2646" t="s">
        <v>17</v>
      </c>
      <c r="E2646" t="s">
        <v>2935</v>
      </c>
      <c r="F2646" t="s">
        <v>2934</v>
      </c>
      <c r="H2646" s="2">
        <v>45728</v>
      </c>
      <c r="I2646">
        <v>-72</v>
      </c>
      <c r="J2646" t="s">
        <v>86</v>
      </c>
      <c r="K2646" t="s">
        <v>20</v>
      </c>
      <c r="L2646">
        <v>11</v>
      </c>
      <c r="M2646" t="s">
        <v>86</v>
      </c>
    </row>
    <row r="2647" spans="1:13">
      <c r="A2647" t="s">
        <v>2905</v>
      </c>
      <c r="B2647" t="s">
        <v>2906</v>
      </c>
      <c r="C2647" t="s">
        <v>347</v>
      </c>
      <c r="D2647" t="s">
        <v>21</v>
      </c>
      <c r="E2647" t="s">
        <v>2936</v>
      </c>
      <c r="F2647" t="s">
        <v>2936</v>
      </c>
      <c r="G2647" s="2">
        <v>45726</v>
      </c>
      <c r="H2647" s="2">
        <v>45756</v>
      </c>
      <c r="I2647" s="1">
        <v>17133</v>
      </c>
      <c r="J2647">
        <v>17133</v>
      </c>
      <c r="K2647" t="s">
        <v>20</v>
      </c>
      <c r="L2647">
        <v>0</v>
      </c>
      <c r="M2647">
        <v>0</v>
      </c>
    </row>
    <row r="2648" spans="1:13">
      <c r="A2648" t="s">
        <v>2905</v>
      </c>
      <c r="B2648" t="s">
        <v>2906</v>
      </c>
      <c r="C2648" t="s">
        <v>347</v>
      </c>
      <c r="D2648" t="s">
        <v>21</v>
      </c>
      <c r="E2648" t="s">
        <v>2937</v>
      </c>
      <c r="F2648" t="s">
        <v>2937</v>
      </c>
      <c r="G2648" s="2">
        <v>45727</v>
      </c>
      <c r="H2648" s="2">
        <v>45757</v>
      </c>
      <c r="I2648" s="1">
        <v>5563.5</v>
      </c>
      <c r="J2648">
        <v>5563.5</v>
      </c>
      <c r="K2648" t="s">
        <v>20</v>
      </c>
      <c r="L2648">
        <v>0</v>
      </c>
      <c r="M2648">
        <v>0</v>
      </c>
    </row>
    <row r="2649" spans="1:13">
      <c r="A2649" t="s">
        <v>2905</v>
      </c>
      <c r="B2649" t="s">
        <v>2906</v>
      </c>
      <c r="C2649" t="s">
        <v>347</v>
      </c>
      <c r="D2649" t="s">
        <v>21</v>
      </c>
      <c r="E2649" t="s">
        <v>2938</v>
      </c>
      <c r="F2649" t="s">
        <v>2938</v>
      </c>
      <c r="G2649" s="2">
        <v>45727</v>
      </c>
      <c r="H2649" s="2">
        <v>45757</v>
      </c>
      <c r="I2649" s="1">
        <v>7755.25</v>
      </c>
      <c r="J2649">
        <v>7755.25</v>
      </c>
      <c r="K2649" t="s">
        <v>20</v>
      </c>
      <c r="L2649">
        <v>0</v>
      </c>
      <c r="M2649">
        <v>0</v>
      </c>
    </row>
    <row r="2650" spans="1:13">
      <c r="A2650" t="s">
        <v>2905</v>
      </c>
      <c r="B2650" t="s">
        <v>2906</v>
      </c>
      <c r="C2650" t="s">
        <v>347</v>
      </c>
      <c r="D2650" t="s">
        <v>21</v>
      </c>
      <c r="E2650" t="s">
        <v>2939</v>
      </c>
      <c r="F2650" t="s">
        <v>2939</v>
      </c>
      <c r="G2650" s="2">
        <v>45730</v>
      </c>
      <c r="H2650" s="2">
        <v>45760</v>
      </c>
      <c r="I2650" s="1">
        <v>1710</v>
      </c>
      <c r="J2650">
        <v>1710</v>
      </c>
      <c r="K2650" t="s">
        <v>20</v>
      </c>
      <c r="L2650">
        <v>0</v>
      </c>
      <c r="M2650">
        <v>0</v>
      </c>
    </row>
    <row r="2651" spans="1:13">
      <c r="A2651" t="s">
        <v>2940</v>
      </c>
      <c r="B2651" t="s">
        <v>2941</v>
      </c>
      <c r="C2651" t="s">
        <v>347</v>
      </c>
      <c r="D2651" t="s">
        <v>55</v>
      </c>
      <c r="E2651" t="s">
        <v>19</v>
      </c>
      <c r="F2651" t="s">
        <v>19</v>
      </c>
      <c r="H2651" s="2">
        <v>45322</v>
      </c>
      <c r="I2651">
        <v>-0.01</v>
      </c>
      <c r="J2651">
        <v>-0.01</v>
      </c>
      <c r="K2651" t="s">
        <v>20</v>
      </c>
      <c r="L2651">
        <v>0</v>
      </c>
      <c r="M2651">
        <v>-0.01</v>
      </c>
    </row>
    <row r="2652" spans="1:13">
      <c r="A2652" t="s">
        <v>2940</v>
      </c>
      <c r="B2652" t="s">
        <v>2941</v>
      </c>
      <c r="C2652" t="s">
        <v>347</v>
      </c>
      <c r="D2652" t="s">
        <v>55</v>
      </c>
      <c r="E2652" t="s">
        <v>19</v>
      </c>
      <c r="F2652" t="s">
        <v>19</v>
      </c>
      <c r="H2652" s="2">
        <v>45323</v>
      </c>
      <c r="I2652">
        <v>-0.01</v>
      </c>
      <c r="J2652">
        <v>-0.01</v>
      </c>
      <c r="K2652" t="s">
        <v>20</v>
      </c>
      <c r="L2652">
        <v>0</v>
      </c>
      <c r="M2652">
        <v>-0.01</v>
      </c>
    </row>
    <row r="2653" spans="1:13">
      <c r="A2653" t="s">
        <v>2942</v>
      </c>
      <c r="B2653" t="s">
        <v>2943</v>
      </c>
      <c r="C2653" t="s">
        <v>213</v>
      </c>
      <c r="D2653" t="s">
        <v>55</v>
      </c>
      <c r="E2653" t="s">
        <v>19</v>
      </c>
      <c r="F2653" t="s">
        <v>19</v>
      </c>
      <c r="H2653" s="2">
        <v>45413</v>
      </c>
      <c r="I2653">
        <v>-234.36</v>
      </c>
      <c r="J2653">
        <v>-234.36</v>
      </c>
      <c r="K2653" t="s">
        <v>20</v>
      </c>
      <c r="L2653">
        <v>0</v>
      </c>
      <c r="M2653">
        <v>-234.36</v>
      </c>
    </row>
    <row r="2654" spans="1:13">
      <c r="A2654" t="s">
        <v>2942</v>
      </c>
      <c r="B2654" t="s">
        <v>2943</v>
      </c>
      <c r="C2654" t="s">
        <v>213</v>
      </c>
      <c r="D2654" t="s">
        <v>17</v>
      </c>
      <c r="E2654" t="s">
        <v>2944</v>
      </c>
      <c r="F2654" t="s">
        <v>19</v>
      </c>
      <c r="H2654" s="2">
        <v>45443</v>
      </c>
      <c r="I2654">
        <v>-17.64</v>
      </c>
      <c r="J2654">
        <v>-17.64</v>
      </c>
      <c r="K2654" t="s">
        <v>20</v>
      </c>
      <c r="L2654">
        <v>0</v>
      </c>
      <c r="M2654">
        <v>-17.64</v>
      </c>
    </row>
    <row r="2655" spans="1:13">
      <c r="A2655" t="s">
        <v>2945</v>
      </c>
      <c r="B2655" t="s">
        <v>2946</v>
      </c>
      <c r="C2655" t="s">
        <v>213</v>
      </c>
      <c r="D2655" t="s">
        <v>21</v>
      </c>
      <c r="E2655" t="s">
        <v>2947</v>
      </c>
      <c r="F2655" t="s">
        <v>2947</v>
      </c>
      <c r="G2655" s="2">
        <v>45656</v>
      </c>
      <c r="H2655" s="2">
        <v>45656</v>
      </c>
      <c r="I2655">
        <v>711.06</v>
      </c>
      <c r="J2655">
        <v>711.06</v>
      </c>
      <c r="K2655" t="s">
        <v>20</v>
      </c>
      <c r="L2655">
        <v>0</v>
      </c>
      <c r="M2655">
        <v>711.06</v>
      </c>
    </row>
    <row r="2656" spans="1:13">
      <c r="A2656" t="s">
        <v>2948</v>
      </c>
      <c r="B2656" t="s">
        <v>2949</v>
      </c>
      <c r="C2656" t="s">
        <v>213</v>
      </c>
      <c r="D2656" t="s">
        <v>21</v>
      </c>
      <c r="E2656" t="s">
        <v>2950</v>
      </c>
      <c r="F2656" t="s">
        <v>2950</v>
      </c>
      <c r="G2656" s="2">
        <v>45590</v>
      </c>
      <c r="H2656" s="2">
        <v>45590</v>
      </c>
      <c r="I2656" s="1">
        <v>2310</v>
      </c>
      <c r="J2656">
        <v>1155</v>
      </c>
      <c r="K2656" t="s">
        <v>20</v>
      </c>
      <c r="L2656">
        <v>0</v>
      </c>
      <c r="M2656">
        <v>1155</v>
      </c>
    </row>
    <row r="2657" spans="1:13">
      <c r="A2657" t="s">
        <v>2948</v>
      </c>
      <c r="B2657" t="s">
        <v>2949</v>
      </c>
      <c r="C2657" t="s">
        <v>213</v>
      </c>
      <c r="D2657" t="s">
        <v>17</v>
      </c>
      <c r="E2657" t="s">
        <v>2951</v>
      </c>
      <c r="F2657" t="s">
        <v>2950</v>
      </c>
      <c r="H2657" s="2">
        <v>45736</v>
      </c>
      <c r="I2657" s="1">
        <v>-1155</v>
      </c>
      <c r="J2657" t="s">
        <v>86</v>
      </c>
      <c r="K2657" t="s">
        <v>20</v>
      </c>
      <c r="L2657">
        <v>12</v>
      </c>
      <c r="M2657" t="s">
        <v>86</v>
      </c>
    </row>
    <row r="2658" spans="1:13">
      <c r="A2658" t="s">
        <v>2952</v>
      </c>
      <c r="B2658" t="s">
        <v>2953</v>
      </c>
      <c r="C2658" t="s">
        <v>16</v>
      </c>
      <c r="D2658" t="s">
        <v>21</v>
      </c>
      <c r="E2658" t="s">
        <v>2954</v>
      </c>
      <c r="F2658" t="s">
        <v>2954</v>
      </c>
      <c r="G2658" s="2">
        <v>45698</v>
      </c>
      <c r="H2658" s="2">
        <v>45728</v>
      </c>
      <c r="I2658" s="1">
        <v>16380</v>
      </c>
      <c r="J2658">
        <v>16380</v>
      </c>
      <c r="K2658" t="s">
        <v>20</v>
      </c>
      <c r="L2658">
        <v>11</v>
      </c>
      <c r="M2658">
        <v>16380</v>
      </c>
    </row>
    <row r="2659" spans="1:13">
      <c r="A2659" t="s">
        <v>2952</v>
      </c>
      <c r="B2659" t="s">
        <v>2953</v>
      </c>
      <c r="C2659" t="s">
        <v>16</v>
      </c>
      <c r="D2659" t="s">
        <v>21</v>
      </c>
      <c r="E2659" t="s">
        <v>2955</v>
      </c>
      <c r="F2659" t="s">
        <v>2955</v>
      </c>
      <c r="G2659" s="2">
        <v>45698</v>
      </c>
      <c r="H2659" s="2">
        <v>45728</v>
      </c>
      <c r="I2659" s="1">
        <v>12390</v>
      </c>
      <c r="J2659">
        <v>12390</v>
      </c>
      <c r="K2659" t="s">
        <v>20</v>
      </c>
      <c r="L2659">
        <v>11</v>
      </c>
      <c r="M2659">
        <v>12390</v>
      </c>
    </row>
    <row r="2660" spans="1:13">
      <c r="A2660" t="s">
        <v>2952</v>
      </c>
      <c r="B2660" t="s">
        <v>2953</v>
      </c>
      <c r="C2660" t="s">
        <v>16</v>
      </c>
      <c r="D2660" t="s">
        <v>21</v>
      </c>
      <c r="E2660" t="s">
        <v>2956</v>
      </c>
      <c r="F2660" t="s">
        <v>2956</v>
      </c>
      <c r="G2660" s="2">
        <v>45698</v>
      </c>
      <c r="H2660" s="2">
        <v>45728</v>
      </c>
      <c r="I2660" s="1">
        <v>15960</v>
      </c>
      <c r="J2660">
        <v>15960</v>
      </c>
      <c r="K2660" t="s">
        <v>20</v>
      </c>
      <c r="L2660">
        <v>11</v>
      </c>
      <c r="M2660">
        <v>15960</v>
      </c>
    </row>
    <row r="2661" spans="1:13">
      <c r="A2661" t="s">
        <v>2952</v>
      </c>
      <c r="B2661" t="s">
        <v>2953</v>
      </c>
      <c r="C2661" t="s">
        <v>16</v>
      </c>
      <c r="D2661" t="s">
        <v>21</v>
      </c>
      <c r="E2661" t="s">
        <v>2957</v>
      </c>
      <c r="F2661" t="s">
        <v>2957</v>
      </c>
      <c r="G2661" s="2">
        <v>45698</v>
      </c>
      <c r="H2661" s="2">
        <v>45728</v>
      </c>
      <c r="I2661" s="1">
        <v>3780</v>
      </c>
      <c r="J2661">
        <v>3780</v>
      </c>
      <c r="K2661" t="s">
        <v>20</v>
      </c>
      <c r="L2661">
        <v>11</v>
      </c>
      <c r="M2661">
        <v>3780</v>
      </c>
    </row>
    <row r="2662" spans="1:13">
      <c r="A2662" t="s">
        <v>2952</v>
      </c>
      <c r="B2662" t="s">
        <v>2953</v>
      </c>
      <c r="C2662" t="s">
        <v>16</v>
      </c>
      <c r="D2662" t="s">
        <v>21</v>
      </c>
      <c r="E2662" t="s">
        <v>2958</v>
      </c>
      <c r="F2662" t="s">
        <v>2958</v>
      </c>
      <c r="G2662" s="2">
        <v>45698</v>
      </c>
      <c r="H2662" s="2">
        <v>45728</v>
      </c>
      <c r="I2662" s="1">
        <v>9240</v>
      </c>
      <c r="J2662">
        <v>9240</v>
      </c>
      <c r="K2662" t="s">
        <v>20</v>
      </c>
      <c r="L2662">
        <v>11</v>
      </c>
      <c r="M2662">
        <v>9240</v>
      </c>
    </row>
    <row r="2663" spans="1:13">
      <c r="A2663" t="s">
        <v>2952</v>
      </c>
      <c r="B2663" t="s">
        <v>2953</v>
      </c>
      <c r="C2663" t="s">
        <v>16</v>
      </c>
      <c r="D2663" t="s">
        <v>21</v>
      </c>
      <c r="E2663" t="s">
        <v>2959</v>
      </c>
      <c r="F2663" t="s">
        <v>2959</v>
      </c>
      <c r="G2663" s="2">
        <v>45698</v>
      </c>
      <c r="H2663" s="2">
        <v>45728</v>
      </c>
      <c r="I2663" s="1">
        <v>7980</v>
      </c>
      <c r="J2663">
        <v>7980</v>
      </c>
      <c r="K2663" t="s">
        <v>20</v>
      </c>
      <c r="L2663">
        <v>11</v>
      </c>
      <c r="M2663">
        <v>7980</v>
      </c>
    </row>
    <row r="2664" spans="1:13">
      <c r="A2664" t="s">
        <v>2952</v>
      </c>
      <c r="B2664" t="s">
        <v>2953</v>
      </c>
      <c r="C2664" t="s">
        <v>16</v>
      </c>
      <c r="D2664" t="s">
        <v>21</v>
      </c>
      <c r="E2664" t="s">
        <v>2960</v>
      </c>
      <c r="F2664" t="s">
        <v>2960</v>
      </c>
      <c r="G2664" s="2">
        <v>45698</v>
      </c>
      <c r="H2664" s="2">
        <v>45728</v>
      </c>
      <c r="I2664" s="1">
        <v>7560</v>
      </c>
      <c r="J2664">
        <v>7560</v>
      </c>
      <c r="K2664" t="s">
        <v>20</v>
      </c>
      <c r="L2664">
        <v>11</v>
      </c>
      <c r="M2664">
        <v>7560</v>
      </c>
    </row>
    <row r="2665" spans="1:13">
      <c r="A2665" t="s">
        <v>2952</v>
      </c>
      <c r="B2665" t="s">
        <v>2953</v>
      </c>
      <c r="C2665" t="s">
        <v>16</v>
      </c>
      <c r="D2665" t="s">
        <v>21</v>
      </c>
      <c r="E2665" t="s">
        <v>2961</v>
      </c>
      <c r="F2665" t="s">
        <v>2961</v>
      </c>
      <c r="G2665" s="2">
        <v>45698</v>
      </c>
      <c r="H2665" s="2">
        <v>45728</v>
      </c>
      <c r="I2665" s="1">
        <v>9030</v>
      </c>
      <c r="J2665">
        <v>9030</v>
      </c>
      <c r="K2665" t="s">
        <v>20</v>
      </c>
      <c r="L2665">
        <v>11</v>
      </c>
      <c r="M2665">
        <v>9030</v>
      </c>
    </row>
    <row r="2666" spans="1:13">
      <c r="A2666" t="s">
        <v>2952</v>
      </c>
      <c r="B2666" t="s">
        <v>2953</v>
      </c>
      <c r="C2666" t="s">
        <v>16</v>
      </c>
      <c r="D2666" t="s">
        <v>21</v>
      </c>
      <c r="E2666" t="s">
        <v>2962</v>
      </c>
      <c r="F2666" t="s">
        <v>2962</v>
      </c>
      <c r="G2666" s="2">
        <v>45698</v>
      </c>
      <c r="H2666" s="2">
        <v>45728</v>
      </c>
      <c r="I2666" s="1">
        <v>2520</v>
      </c>
      <c r="J2666">
        <v>2520</v>
      </c>
      <c r="K2666" t="s">
        <v>20</v>
      </c>
      <c r="L2666">
        <v>11</v>
      </c>
      <c r="M2666">
        <v>2520</v>
      </c>
    </row>
    <row r="2667" spans="1:13">
      <c r="A2667" t="s">
        <v>2952</v>
      </c>
      <c r="B2667" t="s">
        <v>2953</v>
      </c>
      <c r="C2667" t="s">
        <v>16</v>
      </c>
      <c r="D2667" t="s">
        <v>21</v>
      </c>
      <c r="E2667" t="s">
        <v>2963</v>
      </c>
      <c r="F2667" t="s">
        <v>2963</v>
      </c>
      <c r="G2667" s="2">
        <v>45722</v>
      </c>
      <c r="H2667" s="2">
        <v>45752</v>
      </c>
      <c r="I2667">
        <v>477</v>
      </c>
      <c r="J2667">
        <v>477</v>
      </c>
      <c r="K2667" t="s">
        <v>20</v>
      </c>
      <c r="L2667">
        <v>0</v>
      </c>
      <c r="M2667">
        <v>0</v>
      </c>
    </row>
    <row r="2668" spans="1:13">
      <c r="A2668" t="s">
        <v>2952</v>
      </c>
      <c r="B2668" t="s">
        <v>2953</v>
      </c>
      <c r="C2668" t="s">
        <v>16</v>
      </c>
      <c r="D2668" t="s">
        <v>21</v>
      </c>
      <c r="E2668" t="s">
        <v>2964</v>
      </c>
      <c r="F2668" t="s">
        <v>2964</v>
      </c>
      <c r="G2668" s="2">
        <v>45726</v>
      </c>
      <c r="H2668" s="2">
        <v>45756</v>
      </c>
      <c r="I2668">
        <v>795</v>
      </c>
      <c r="J2668">
        <v>795</v>
      </c>
      <c r="K2668" t="s">
        <v>20</v>
      </c>
      <c r="L2668">
        <v>0</v>
      </c>
      <c r="M2668">
        <v>0</v>
      </c>
    </row>
    <row r="2669" spans="1:13">
      <c r="A2669" t="s">
        <v>2952</v>
      </c>
      <c r="B2669" t="s">
        <v>2953</v>
      </c>
      <c r="C2669" t="s">
        <v>16</v>
      </c>
      <c r="D2669" t="s">
        <v>21</v>
      </c>
      <c r="E2669" t="s">
        <v>2965</v>
      </c>
      <c r="F2669" t="s">
        <v>2965</v>
      </c>
      <c r="G2669" s="2">
        <v>45726</v>
      </c>
      <c r="H2669" s="2">
        <v>45756</v>
      </c>
      <c r="I2669">
        <v>318</v>
      </c>
      <c r="J2669">
        <v>318</v>
      </c>
      <c r="K2669" t="s">
        <v>20</v>
      </c>
      <c r="L2669">
        <v>0</v>
      </c>
      <c r="M2669">
        <v>0</v>
      </c>
    </row>
    <row r="2670" spans="1:13">
      <c r="A2670" t="s">
        <v>2952</v>
      </c>
      <c r="B2670" t="s">
        <v>2953</v>
      </c>
      <c r="C2670" t="s">
        <v>16</v>
      </c>
      <c r="D2670" t="s">
        <v>21</v>
      </c>
      <c r="E2670" t="s">
        <v>2966</v>
      </c>
      <c r="F2670" t="s">
        <v>2966</v>
      </c>
      <c r="G2670" s="2">
        <v>45726</v>
      </c>
      <c r="H2670" s="2">
        <v>45756</v>
      </c>
      <c r="I2670" s="1">
        <v>1272</v>
      </c>
      <c r="J2670">
        <v>1272</v>
      </c>
      <c r="K2670" t="s">
        <v>20</v>
      </c>
      <c r="L2670">
        <v>0</v>
      </c>
      <c r="M2670">
        <v>0</v>
      </c>
    </row>
    <row r="2671" spans="1:13">
      <c r="A2671" t="s">
        <v>2952</v>
      </c>
      <c r="B2671" t="s">
        <v>2953</v>
      </c>
      <c r="C2671" t="s">
        <v>16</v>
      </c>
      <c r="D2671" t="s">
        <v>21</v>
      </c>
      <c r="E2671" t="s">
        <v>2967</v>
      </c>
      <c r="F2671" t="s">
        <v>2967</v>
      </c>
      <c r="G2671" s="2">
        <v>45726</v>
      </c>
      <c r="H2671" s="2">
        <v>45756</v>
      </c>
      <c r="I2671">
        <v>318</v>
      </c>
      <c r="J2671">
        <v>318</v>
      </c>
      <c r="K2671" t="s">
        <v>20</v>
      </c>
      <c r="L2671">
        <v>0</v>
      </c>
      <c r="M2671">
        <v>0</v>
      </c>
    </row>
    <row r="2672" spans="1:13">
      <c r="A2672" t="s">
        <v>2952</v>
      </c>
      <c r="B2672" t="s">
        <v>2953</v>
      </c>
      <c r="C2672" t="s">
        <v>16</v>
      </c>
      <c r="D2672" t="s">
        <v>21</v>
      </c>
      <c r="E2672" t="s">
        <v>2968</v>
      </c>
      <c r="F2672" t="s">
        <v>2968</v>
      </c>
      <c r="G2672" s="2">
        <v>45726</v>
      </c>
      <c r="H2672" s="2">
        <v>45756</v>
      </c>
      <c r="I2672">
        <v>636</v>
      </c>
      <c r="J2672">
        <v>636</v>
      </c>
      <c r="K2672" t="s">
        <v>20</v>
      </c>
      <c r="L2672">
        <v>0</v>
      </c>
      <c r="M2672">
        <v>0</v>
      </c>
    </row>
    <row r="2673" spans="1:13">
      <c r="A2673" t="s">
        <v>2952</v>
      </c>
      <c r="B2673" t="s">
        <v>2953</v>
      </c>
      <c r="C2673" t="s">
        <v>16</v>
      </c>
      <c r="D2673" t="s">
        <v>21</v>
      </c>
      <c r="E2673" t="s">
        <v>2969</v>
      </c>
      <c r="F2673" t="s">
        <v>2969</v>
      </c>
      <c r="G2673" s="2">
        <v>45726</v>
      </c>
      <c r="H2673" s="2">
        <v>45756</v>
      </c>
      <c r="I2673" s="1">
        <v>1908</v>
      </c>
      <c r="J2673">
        <v>1908</v>
      </c>
      <c r="K2673" t="s">
        <v>20</v>
      </c>
      <c r="L2673">
        <v>0</v>
      </c>
      <c r="M2673">
        <v>0</v>
      </c>
    </row>
    <row r="2674" spans="1:13">
      <c r="A2674" t="s">
        <v>2952</v>
      </c>
      <c r="B2674" t="s">
        <v>2953</v>
      </c>
      <c r="C2674" t="s">
        <v>16</v>
      </c>
      <c r="D2674" t="s">
        <v>21</v>
      </c>
      <c r="E2674" t="s">
        <v>2970</v>
      </c>
      <c r="F2674" t="s">
        <v>2970</v>
      </c>
      <c r="G2674" s="2">
        <v>45727</v>
      </c>
      <c r="H2674" s="2">
        <v>45757</v>
      </c>
      <c r="I2674">
        <v>477</v>
      </c>
      <c r="J2674">
        <v>477</v>
      </c>
      <c r="K2674" t="s">
        <v>20</v>
      </c>
      <c r="L2674">
        <v>0</v>
      </c>
      <c r="M2674">
        <v>0</v>
      </c>
    </row>
    <row r="2675" spans="1:13">
      <c r="A2675" t="s">
        <v>2952</v>
      </c>
      <c r="B2675" t="s">
        <v>2953</v>
      </c>
      <c r="C2675" t="s">
        <v>16</v>
      </c>
      <c r="D2675" t="s">
        <v>21</v>
      </c>
      <c r="E2675" t="s">
        <v>2971</v>
      </c>
      <c r="F2675" t="s">
        <v>2971</v>
      </c>
      <c r="G2675" s="2">
        <v>45727</v>
      </c>
      <c r="H2675" s="2">
        <v>45757</v>
      </c>
      <c r="I2675">
        <v>318</v>
      </c>
      <c r="J2675">
        <v>318</v>
      </c>
      <c r="K2675" t="s">
        <v>20</v>
      </c>
      <c r="L2675">
        <v>0</v>
      </c>
      <c r="M2675">
        <v>0</v>
      </c>
    </row>
    <row r="2676" spans="1:13">
      <c r="A2676" t="s">
        <v>2952</v>
      </c>
      <c r="B2676" t="s">
        <v>2953</v>
      </c>
      <c r="C2676" t="s">
        <v>16</v>
      </c>
      <c r="D2676" t="s">
        <v>21</v>
      </c>
      <c r="E2676" t="s">
        <v>2972</v>
      </c>
      <c r="F2676" t="s">
        <v>2972</v>
      </c>
      <c r="G2676" s="2">
        <v>45727</v>
      </c>
      <c r="H2676" s="2">
        <v>45757</v>
      </c>
      <c r="I2676">
        <v>795</v>
      </c>
      <c r="J2676">
        <v>795</v>
      </c>
      <c r="K2676" t="s">
        <v>20</v>
      </c>
      <c r="L2676">
        <v>0</v>
      </c>
      <c r="M2676">
        <v>0</v>
      </c>
    </row>
    <row r="2677" spans="1:13">
      <c r="A2677" t="s">
        <v>2952</v>
      </c>
      <c r="B2677" t="s">
        <v>2953</v>
      </c>
      <c r="C2677" t="s">
        <v>16</v>
      </c>
      <c r="D2677" t="s">
        <v>21</v>
      </c>
      <c r="E2677" t="s">
        <v>2973</v>
      </c>
      <c r="F2677" t="s">
        <v>2973</v>
      </c>
      <c r="G2677" s="2">
        <v>45727</v>
      </c>
      <c r="H2677" s="2">
        <v>45757</v>
      </c>
      <c r="I2677">
        <v>477</v>
      </c>
      <c r="J2677">
        <v>477</v>
      </c>
      <c r="K2677" t="s">
        <v>20</v>
      </c>
      <c r="L2677">
        <v>0</v>
      </c>
      <c r="M2677">
        <v>0</v>
      </c>
    </row>
    <row r="2678" spans="1:13">
      <c r="A2678" t="s">
        <v>2952</v>
      </c>
      <c r="B2678" t="s">
        <v>2953</v>
      </c>
      <c r="C2678" t="s">
        <v>16</v>
      </c>
      <c r="D2678" t="s">
        <v>21</v>
      </c>
      <c r="E2678" t="s">
        <v>2974</v>
      </c>
      <c r="F2678" t="s">
        <v>2974</v>
      </c>
      <c r="G2678" s="2">
        <v>45727</v>
      </c>
      <c r="H2678" s="2">
        <v>45757</v>
      </c>
      <c r="I2678">
        <v>477</v>
      </c>
      <c r="J2678">
        <v>477</v>
      </c>
      <c r="K2678" t="s">
        <v>20</v>
      </c>
      <c r="L2678">
        <v>0</v>
      </c>
      <c r="M2678">
        <v>0</v>
      </c>
    </row>
    <row r="2679" spans="1:13">
      <c r="A2679" t="s">
        <v>2952</v>
      </c>
      <c r="B2679" t="s">
        <v>2953</v>
      </c>
      <c r="C2679" t="s">
        <v>16</v>
      </c>
      <c r="D2679" t="s">
        <v>21</v>
      </c>
      <c r="E2679" t="s">
        <v>2975</v>
      </c>
      <c r="F2679" t="s">
        <v>2975</v>
      </c>
      <c r="G2679" s="2">
        <v>45727</v>
      </c>
      <c r="H2679" s="2">
        <v>45757</v>
      </c>
      <c r="I2679" s="1">
        <v>1113</v>
      </c>
      <c r="J2679">
        <v>1113</v>
      </c>
      <c r="K2679" t="s">
        <v>20</v>
      </c>
      <c r="L2679">
        <v>0</v>
      </c>
      <c r="M2679">
        <v>0</v>
      </c>
    </row>
    <row r="2680" spans="1:13">
      <c r="A2680" t="s">
        <v>2952</v>
      </c>
      <c r="B2680" t="s">
        <v>2953</v>
      </c>
      <c r="C2680" t="s">
        <v>16</v>
      </c>
      <c r="D2680" t="s">
        <v>21</v>
      </c>
      <c r="E2680" t="s">
        <v>2976</v>
      </c>
      <c r="F2680" t="s">
        <v>2976</v>
      </c>
      <c r="G2680" s="2">
        <v>45727</v>
      </c>
      <c r="H2680" s="2">
        <v>45757</v>
      </c>
      <c r="I2680" s="1">
        <v>1431</v>
      </c>
      <c r="J2680">
        <v>1431</v>
      </c>
      <c r="K2680" t="s">
        <v>20</v>
      </c>
      <c r="L2680">
        <v>0</v>
      </c>
      <c r="M2680">
        <v>0</v>
      </c>
    </row>
    <row r="2681" spans="1:13">
      <c r="A2681" t="s">
        <v>2952</v>
      </c>
      <c r="B2681" t="s">
        <v>2953</v>
      </c>
      <c r="C2681" t="s">
        <v>16</v>
      </c>
      <c r="D2681" t="s">
        <v>21</v>
      </c>
      <c r="E2681" t="s">
        <v>2977</v>
      </c>
      <c r="F2681" t="s">
        <v>2977</v>
      </c>
      <c r="G2681" s="2">
        <v>45728</v>
      </c>
      <c r="H2681" s="2">
        <v>45758</v>
      </c>
      <c r="I2681">
        <v>636</v>
      </c>
      <c r="J2681">
        <v>636</v>
      </c>
      <c r="K2681" t="s">
        <v>20</v>
      </c>
      <c r="L2681">
        <v>0</v>
      </c>
      <c r="M2681">
        <v>0</v>
      </c>
    </row>
    <row r="2682" spans="1:13">
      <c r="A2682" t="s">
        <v>2952</v>
      </c>
      <c r="B2682" t="s">
        <v>2953</v>
      </c>
      <c r="C2682" t="s">
        <v>16</v>
      </c>
      <c r="D2682" t="s">
        <v>21</v>
      </c>
      <c r="E2682" t="s">
        <v>2978</v>
      </c>
      <c r="F2682" t="s">
        <v>2978</v>
      </c>
      <c r="G2682" s="2">
        <v>45728</v>
      </c>
      <c r="H2682" s="2">
        <v>45758</v>
      </c>
      <c r="I2682">
        <v>636</v>
      </c>
      <c r="J2682">
        <v>636</v>
      </c>
      <c r="K2682" t="s">
        <v>20</v>
      </c>
      <c r="L2682">
        <v>0</v>
      </c>
      <c r="M2682">
        <v>0</v>
      </c>
    </row>
    <row r="2683" spans="1:13">
      <c r="A2683" t="s">
        <v>2952</v>
      </c>
      <c r="B2683" t="s">
        <v>2953</v>
      </c>
      <c r="C2683" t="s">
        <v>16</v>
      </c>
      <c r="D2683" t="s">
        <v>21</v>
      </c>
      <c r="E2683" t="s">
        <v>2979</v>
      </c>
      <c r="F2683" t="s">
        <v>2979</v>
      </c>
      <c r="G2683" s="2">
        <v>45728</v>
      </c>
      <c r="H2683" s="2">
        <v>45758</v>
      </c>
      <c r="I2683">
        <v>795</v>
      </c>
      <c r="J2683">
        <v>795</v>
      </c>
      <c r="K2683" t="s">
        <v>20</v>
      </c>
      <c r="L2683">
        <v>0</v>
      </c>
      <c r="M2683">
        <v>0</v>
      </c>
    </row>
    <row r="2684" spans="1:13">
      <c r="A2684" t="s">
        <v>2952</v>
      </c>
      <c r="B2684" t="s">
        <v>2953</v>
      </c>
      <c r="C2684" t="s">
        <v>16</v>
      </c>
      <c r="D2684" t="s">
        <v>21</v>
      </c>
      <c r="E2684" t="s">
        <v>2980</v>
      </c>
      <c r="F2684" t="s">
        <v>2980</v>
      </c>
      <c r="G2684" s="2">
        <v>45728</v>
      </c>
      <c r="H2684" s="2">
        <v>45758</v>
      </c>
      <c r="I2684">
        <v>159</v>
      </c>
      <c r="J2684">
        <v>159</v>
      </c>
      <c r="K2684" t="s">
        <v>20</v>
      </c>
      <c r="L2684">
        <v>0</v>
      </c>
      <c r="M2684">
        <v>0</v>
      </c>
    </row>
    <row r="2685" spans="1:13">
      <c r="A2685" t="s">
        <v>2952</v>
      </c>
      <c r="B2685" t="s">
        <v>2953</v>
      </c>
      <c r="C2685" t="s">
        <v>16</v>
      </c>
      <c r="D2685" t="s">
        <v>21</v>
      </c>
      <c r="E2685" t="s">
        <v>2981</v>
      </c>
      <c r="F2685" t="s">
        <v>2981</v>
      </c>
      <c r="G2685" s="2">
        <v>45728</v>
      </c>
      <c r="H2685" s="2">
        <v>45758</v>
      </c>
      <c r="I2685" s="1">
        <v>1590</v>
      </c>
      <c r="J2685">
        <v>1590</v>
      </c>
      <c r="K2685" t="s">
        <v>20</v>
      </c>
      <c r="L2685">
        <v>0</v>
      </c>
      <c r="M2685">
        <v>0</v>
      </c>
    </row>
    <row r="2686" spans="1:13">
      <c r="A2686" t="s">
        <v>2952</v>
      </c>
      <c r="B2686" t="s">
        <v>2953</v>
      </c>
      <c r="C2686" t="s">
        <v>16</v>
      </c>
      <c r="D2686" t="s">
        <v>21</v>
      </c>
      <c r="E2686" t="s">
        <v>2982</v>
      </c>
      <c r="F2686" t="s">
        <v>2982</v>
      </c>
      <c r="G2686" s="2">
        <v>45728</v>
      </c>
      <c r="H2686" s="2">
        <v>45758</v>
      </c>
      <c r="I2686">
        <v>954</v>
      </c>
      <c r="J2686">
        <v>954</v>
      </c>
      <c r="K2686" t="s">
        <v>20</v>
      </c>
      <c r="L2686">
        <v>0</v>
      </c>
      <c r="M2686">
        <v>0</v>
      </c>
    </row>
    <row r="2687" spans="1:13">
      <c r="A2687" t="s">
        <v>2952</v>
      </c>
      <c r="B2687" t="s">
        <v>2953</v>
      </c>
      <c r="C2687" t="s">
        <v>16</v>
      </c>
      <c r="D2687" t="s">
        <v>21</v>
      </c>
      <c r="E2687" t="s">
        <v>2983</v>
      </c>
      <c r="F2687" t="s">
        <v>2983</v>
      </c>
      <c r="G2687" s="2">
        <v>45728</v>
      </c>
      <c r="H2687" s="2">
        <v>45758</v>
      </c>
      <c r="I2687">
        <v>477</v>
      </c>
      <c r="J2687">
        <v>477</v>
      </c>
      <c r="K2687" t="s">
        <v>20</v>
      </c>
      <c r="L2687">
        <v>0</v>
      </c>
      <c r="M2687">
        <v>0</v>
      </c>
    </row>
    <row r="2688" spans="1:13">
      <c r="A2688" t="s">
        <v>2952</v>
      </c>
      <c r="B2688" t="s">
        <v>2953</v>
      </c>
      <c r="C2688" t="s">
        <v>16</v>
      </c>
      <c r="D2688" t="s">
        <v>21</v>
      </c>
      <c r="E2688" t="s">
        <v>2984</v>
      </c>
      <c r="F2688" t="s">
        <v>2984</v>
      </c>
      <c r="G2688" s="2">
        <v>45729</v>
      </c>
      <c r="H2688" s="2">
        <v>45759</v>
      </c>
      <c r="I2688">
        <v>159</v>
      </c>
      <c r="J2688">
        <v>159</v>
      </c>
      <c r="K2688" t="s">
        <v>20</v>
      </c>
      <c r="L2688">
        <v>0</v>
      </c>
      <c r="M2688">
        <v>0</v>
      </c>
    </row>
    <row r="2689" spans="1:13">
      <c r="A2689" t="s">
        <v>2952</v>
      </c>
      <c r="B2689" t="s">
        <v>2953</v>
      </c>
      <c r="C2689" t="s">
        <v>16</v>
      </c>
      <c r="D2689" t="s">
        <v>21</v>
      </c>
      <c r="E2689" t="s">
        <v>2985</v>
      </c>
      <c r="F2689" t="s">
        <v>2985</v>
      </c>
      <c r="G2689" s="2">
        <v>45729</v>
      </c>
      <c r="H2689" s="2">
        <v>45759</v>
      </c>
      <c r="I2689">
        <v>795</v>
      </c>
      <c r="J2689">
        <v>795</v>
      </c>
      <c r="K2689" t="s">
        <v>20</v>
      </c>
      <c r="L2689">
        <v>0</v>
      </c>
      <c r="M2689">
        <v>0</v>
      </c>
    </row>
    <row r="2690" spans="1:13">
      <c r="A2690" t="s">
        <v>2952</v>
      </c>
      <c r="B2690" t="s">
        <v>2953</v>
      </c>
      <c r="C2690" t="s">
        <v>16</v>
      </c>
      <c r="D2690" t="s">
        <v>21</v>
      </c>
      <c r="E2690" t="s">
        <v>2986</v>
      </c>
      <c r="F2690" t="s">
        <v>2986</v>
      </c>
      <c r="G2690" s="2">
        <v>45729</v>
      </c>
      <c r="H2690" s="2">
        <v>45759</v>
      </c>
      <c r="I2690">
        <v>636</v>
      </c>
      <c r="J2690">
        <v>636</v>
      </c>
      <c r="K2690" t="s">
        <v>20</v>
      </c>
      <c r="L2690">
        <v>0</v>
      </c>
      <c r="M2690">
        <v>0</v>
      </c>
    </row>
    <row r="2691" spans="1:13">
      <c r="A2691" t="s">
        <v>2952</v>
      </c>
      <c r="B2691" t="s">
        <v>2953</v>
      </c>
      <c r="C2691" t="s">
        <v>16</v>
      </c>
      <c r="D2691" t="s">
        <v>21</v>
      </c>
      <c r="E2691" t="s">
        <v>2987</v>
      </c>
      <c r="F2691" t="s">
        <v>2987</v>
      </c>
      <c r="G2691" s="2">
        <v>45729</v>
      </c>
      <c r="H2691" s="2">
        <v>45759</v>
      </c>
      <c r="I2691">
        <v>318</v>
      </c>
      <c r="J2691">
        <v>318</v>
      </c>
      <c r="K2691" t="s">
        <v>20</v>
      </c>
      <c r="L2691">
        <v>0</v>
      </c>
      <c r="M2691">
        <v>0</v>
      </c>
    </row>
    <row r="2692" spans="1:13">
      <c r="A2692" t="s">
        <v>2952</v>
      </c>
      <c r="B2692" t="s">
        <v>2953</v>
      </c>
      <c r="C2692" t="s">
        <v>16</v>
      </c>
      <c r="D2692" t="s">
        <v>21</v>
      </c>
      <c r="E2692" t="s">
        <v>2988</v>
      </c>
      <c r="F2692" t="s">
        <v>2988</v>
      </c>
      <c r="G2692" s="2">
        <v>45729</v>
      </c>
      <c r="H2692" s="2">
        <v>45759</v>
      </c>
      <c r="I2692" s="1">
        <v>1272</v>
      </c>
      <c r="J2692">
        <v>1272</v>
      </c>
      <c r="K2692" t="s">
        <v>20</v>
      </c>
      <c r="L2692">
        <v>0</v>
      </c>
      <c r="M2692">
        <v>0</v>
      </c>
    </row>
    <row r="2693" spans="1:13">
      <c r="A2693" t="s">
        <v>2952</v>
      </c>
      <c r="B2693" t="s">
        <v>2953</v>
      </c>
      <c r="C2693" t="s">
        <v>16</v>
      </c>
      <c r="D2693" t="s">
        <v>21</v>
      </c>
      <c r="E2693" t="s">
        <v>2989</v>
      </c>
      <c r="F2693" t="s">
        <v>2989</v>
      </c>
      <c r="G2693" s="2">
        <v>45729</v>
      </c>
      <c r="H2693" s="2">
        <v>45759</v>
      </c>
      <c r="I2693">
        <v>477</v>
      </c>
      <c r="J2693">
        <v>477</v>
      </c>
      <c r="K2693" t="s">
        <v>20</v>
      </c>
      <c r="L2693">
        <v>0</v>
      </c>
      <c r="M2693">
        <v>0</v>
      </c>
    </row>
    <row r="2694" spans="1:13">
      <c r="A2694" t="s">
        <v>2952</v>
      </c>
      <c r="B2694" t="s">
        <v>2953</v>
      </c>
      <c r="C2694" t="s">
        <v>16</v>
      </c>
      <c r="D2694" t="s">
        <v>21</v>
      </c>
      <c r="E2694" t="s">
        <v>2990</v>
      </c>
      <c r="F2694" t="s">
        <v>2990</v>
      </c>
      <c r="G2694" s="2">
        <v>45729</v>
      </c>
      <c r="H2694" s="2">
        <v>45759</v>
      </c>
      <c r="I2694">
        <v>318</v>
      </c>
      <c r="J2694">
        <v>318</v>
      </c>
      <c r="K2694" t="s">
        <v>20</v>
      </c>
      <c r="L2694">
        <v>0</v>
      </c>
      <c r="M2694">
        <v>0</v>
      </c>
    </row>
    <row r="2695" spans="1:13">
      <c r="A2695" t="s">
        <v>2952</v>
      </c>
      <c r="B2695" t="s">
        <v>2953</v>
      </c>
      <c r="C2695" t="s">
        <v>16</v>
      </c>
      <c r="D2695" t="s">
        <v>21</v>
      </c>
      <c r="E2695" t="s">
        <v>2991</v>
      </c>
      <c r="F2695" t="s">
        <v>2991</v>
      </c>
      <c r="G2695" s="2">
        <v>45729</v>
      </c>
      <c r="H2695" s="2">
        <v>45759</v>
      </c>
      <c r="I2695" s="1">
        <v>1113</v>
      </c>
      <c r="J2695">
        <v>1113</v>
      </c>
      <c r="K2695" t="s">
        <v>20</v>
      </c>
      <c r="L2695">
        <v>0</v>
      </c>
      <c r="M2695">
        <v>0</v>
      </c>
    </row>
    <row r="2696" spans="1:13">
      <c r="A2696" t="s">
        <v>2952</v>
      </c>
      <c r="B2696" t="s">
        <v>2953</v>
      </c>
      <c r="C2696" t="s">
        <v>16</v>
      </c>
      <c r="D2696" t="s">
        <v>21</v>
      </c>
      <c r="E2696" t="s">
        <v>2992</v>
      </c>
      <c r="F2696" t="s">
        <v>2992</v>
      </c>
      <c r="G2696" s="2">
        <v>45729</v>
      </c>
      <c r="H2696" s="2">
        <v>45759</v>
      </c>
      <c r="I2696" s="1">
        <v>1113</v>
      </c>
      <c r="J2696">
        <v>1113</v>
      </c>
      <c r="K2696" t="s">
        <v>20</v>
      </c>
      <c r="L2696">
        <v>0</v>
      </c>
      <c r="M2696">
        <v>0</v>
      </c>
    </row>
    <row r="2697" spans="1:13">
      <c r="A2697" t="s">
        <v>2952</v>
      </c>
      <c r="B2697" t="s">
        <v>2953</v>
      </c>
      <c r="C2697" t="s">
        <v>16</v>
      </c>
      <c r="D2697" t="s">
        <v>21</v>
      </c>
      <c r="E2697" t="s">
        <v>2993</v>
      </c>
      <c r="F2697" t="s">
        <v>2993</v>
      </c>
      <c r="G2697" s="2">
        <v>45729</v>
      </c>
      <c r="H2697" s="2">
        <v>45759</v>
      </c>
      <c r="I2697">
        <v>477</v>
      </c>
      <c r="J2697">
        <v>477</v>
      </c>
      <c r="K2697" t="s">
        <v>20</v>
      </c>
      <c r="L2697">
        <v>0</v>
      </c>
      <c r="M2697">
        <v>0</v>
      </c>
    </row>
    <row r="2698" spans="1:13">
      <c r="A2698" t="s">
        <v>2952</v>
      </c>
      <c r="B2698" t="s">
        <v>2953</v>
      </c>
      <c r="C2698" t="s">
        <v>16</v>
      </c>
      <c r="D2698" t="s">
        <v>21</v>
      </c>
      <c r="E2698" t="s">
        <v>2994</v>
      </c>
      <c r="F2698" t="s">
        <v>2994</v>
      </c>
      <c r="G2698" s="2">
        <v>45729</v>
      </c>
      <c r="H2698" s="2">
        <v>45759</v>
      </c>
      <c r="I2698">
        <v>795</v>
      </c>
      <c r="J2698">
        <v>795</v>
      </c>
      <c r="K2698" t="s">
        <v>20</v>
      </c>
      <c r="L2698">
        <v>0</v>
      </c>
      <c r="M2698">
        <v>0</v>
      </c>
    </row>
    <row r="2699" spans="1:13">
      <c r="A2699" t="s">
        <v>2952</v>
      </c>
      <c r="B2699" t="s">
        <v>2953</v>
      </c>
      <c r="C2699" t="s">
        <v>16</v>
      </c>
      <c r="D2699" t="s">
        <v>21</v>
      </c>
      <c r="E2699" t="s">
        <v>2995</v>
      </c>
      <c r="F2699" t="s">
        <v>2995</v>
      </c>
      <c r="G2699" s="2">
        <v>45730</v>
      </c>
      <c r="H2699" s="2">
        <v>45760</v>
      </c>
      <c r="I2699">
        <v>159</v>
      </c>
      <c r="J2699">
        <v>159</v>
      </c>
      <c r="K2699" t="s">
        <v>20</v>
      </c>
      <c r="L2699">
        <v>0</v>
      </c>
      <c r="M2699">
        <v>0</v>
      </c>
    </row>
    <row r="2700" spans="1:13">
      <c r="A2700" t="s">
        <v>2952</v>
      </c>
      <c r="B2700" t="s">
        <v>2953</v>
      </c>
      <c r="C2700" t="s">
        <v>16</v>
      </c>
      <c r="D2700" t="s">
        <v>21</v>
      </c>
      <c r="E2700" t="s">
        <v>2996</v>
      </c>
      <c r="F2700" t="s">
        <v>2996</v>
      </c>
      <c r="G2700" s="2">
        <v>45730</v>
      </c>
      <c r="H2700" s="2">
        <v>45760</v>
      </c>
      <c r="I2700">
        <v>636</v>
      </c>
      <c r="J2700">
        <v>636</v>
      </c>
      <c r="K2700" t="s">
        <v>20</v>
      </c>
      <c r="L2700">
        <v>0</v>
      </c>
      <c r="M2700">
        <v>0</v>
      </c>
    </row>
    <row r="2701" spans="1:13">
      <c r="A2701" t="s">
        <v>2952</v>
      </c>
      <c r="B2701" t="s">
        <v>2953</v>
      </c>
      <c r="C2701" t="s">
        <v>16</v>
      </c>
      <c r="D2701" t="s">
        <v>21</v>
      </c>
      <c r="E2701" t="s">
        <v>2997</v>
      </c>
      <c r="F2701" t="s">
        <v>2997</v>
      </c>
      <c r="G2701" s="2">
        <v>45730</v>
      </c>
      <c r="H2701" s="2">
        <v>45760</v>
      </c>
      <c r="I2701">
        <v>477</v>
      </c>
      <c r="J2701">
        <v>477</v>
      </c>
      <c r="K2701" t="s">
        <v>20</v>
      </c>
      <c r="L2701">
        <v>0</v>
      </c>
      <c r="M2701">
        <v>0</v>
      </c>
    </row>
    <row r="2702" spans="1:13">
      <c r="A2702" t="s">
        <v>2952</v>
      </c>
      <c r="B2702" t="s">
        <v>2953</v>
      </c>
      <c r="C2702" t="s">
        <v>16</v>
      </c>
      <c r="D2702" t="s">
        <v>21</v>
      </c>
      <c r="E2702" t="s">
        <v>2998</v>
      </c>
      <c r="F2702" t="s">
        <v>2998</v>
      </c>
      <c r="G2702" s="2">
        <v>45730</v>
      </c>
      <c r="H2702" s="2">
        <v>45760</v>
      </c>
      <c r="I2702">
        <v>795</v>
      </c>
      <c r="J2702">
        <v>795</v>
      </c>
      <c r="K2702" t="s">
        <v>20</v>
      </c>
      <c r="L2702">
        <v>0</v>
      </c>
      <c r="M2702">
        <v>0</v>
      </c>
    </row>
    <row r="2703" spans="1:13">
      <c r="A2703" t="s">
        <v>2952</v>
      </c>
      <c r="B2703" t="s">
        <v>2953</v>
      </c>
      <c r="C2703" t="s">
        <v>16</v>
      </c>
      <c r="D2703" t="s">
        <v>21</v>
      </c>
      <c r="E2703" t="s">
        <v>2999</v>
      </c>
      <c r="F2703" t="s">
        <v>2999</v>
      </c>
      <c r="G2703" s="2">
        <v>45730</v>
      </c>
      <c r="H2703" s="2">
        <v>45760</v>
      </c>
      <c r="I2703">
        <v>636</v>
      </c>
      <c r="J2703">
        <v>636</v>
      </c>
      <c r="K2703" t="s">
        <v>20</v>
      </c>
      <c r="L2703">
        <v>0</v>
      </c>
      <c r="M2703">
        <v>0</v>
      </c>
    </row>
    <row r="2704" spans="1:13">
      <c r="A2704" t="s">
        <v>2952</v>
      </c>
      <c r="B2704" t="s">
        <v>2953</v>
      </c>
      <c r="C2704" t="s">
        <v>16</v>
      </c>
      <c r="D2704" t="s">
        <v>21</v>
      </c>
      <c r="E2704" t="s">
        <v>3000</v>
      </c>
      <c r="F2704" t="s">
        <v>3000</v>
      </c>
      <c r="G2704" s="2">
        <v>45730</v>
      </c>
      <c r="H2704" s="2">
        <v>45760</v>
      </c>
      <c r="I2704">
        <v>795</v>
      </c>
      <c r="J2704">
        <v>795</v>
      </c>
      <c r="K2704" t="s">
        <v>20</v>
      </c>
      <c r="L2704">
        <v>0</v>
      </c>
      <c r="M2704">
        <v>0</v>
      </c>
    </row>
    <row r="2705" spans="1:13">
      <c r="A2705" t="s">
        <v>2952</v>
      </c>
      <c r="B2705" t="s">
        <v>2953</v>
      </c>
      <c r="C2705" t="s">
        <v>16</v>
      </c>
      <c r="D2705" t="s">
        <v>21</v>
      </c>
      <c r="E2705" t="s">
        <v>3001</v>
      </c>
      <c r="F2705" t="s">
        <v>3001</v>
      </c>
      <c r="G2705" s="2">
        <v>45730</v>
      </c>
      <c r="H2705" s="2">
        <v>45760</v>
      </c>
      <c r="I2705">
        <v>318</v>
      </c>
      <c r="J2705">
        <v>318</v>
      </c>
      <c r="K2705" t="s">
        <v>20</v>
      </c>
      <c r="L2705">
        <v>0</v>
      </c>
      <c r="M2705">
        <v>0</v>
      </c>
    </row>
    <row r="2706" spans="1:13">
      <c r="A2706" t="s">
        <v>2952</v>
      </c>
      <c r="B2706" t="s">
        <v>2953</v>
      </c>
      <c r="C2706" t="s">
        <v>16</v>
      </c>
      <c r="D2706" t="s">
        <v>21</v>
      </c>
      <c r="E2706" t="s">
        <v>3002</v>
      </c>
      <c r="F2706" t="s">
        <v>3002</v>
      </c>
      <c r="G2706" s="2">
        <v>45730</v>
      </c>
      <c r="H2706" s="2">
        <v>45760</v>
      </c>
      <c r="I2706">
        <v>318</v>
      </c>
      <c r="J2706">
        <v>318</v>
      </c>
      <c r="K2706" t="s">
        <v>20</v>
      </c>
      <c r="L2706">
        <v>0</v>
      </c>
      <c r="M2706">
        <v>0</v>
      </c>
    </row>
    <row r="2707" spans="1:13">
      <c r="A2707" t="s">
        <v>2952</v>
      </c>
      <c r="B2707" t="s">
        <v>2953</v>
      </c>
      <c r="C2707" t="s">
        <v>16</v>
      </c>
      <c r="D2707" t="s">
        <v>21</v>
      </c>
      <c r="E2707" t="s">
        <v>3003</v>
      </c>
      <c r="F2707" t="s">
        <v>3003</v>
      </c>
      <c r="G2707" s="2">
        <v>45730</v>
      </c>
      <c r="H2707" s="2">
        <v>45760</v>
      </c>
      <c r="I2707">
        <v>159</v>
      </c>
      <c r="J2707">
        <v>159</v>
      </c>
      <c r="K2707" t="s">
        <v>20</v>
      </c>
      <c r="L2707">
        <v>0</v>
      </c>
      <c r="M2707">
        <v>0</v>
      </c>
    </row>
    <row r="2708" spans="1:13">
      <c r="A2708" t="s">
        <v>2952</v>
      </c>
      <c r="B2708" t="s">
        <v>2953</v>
      </c>
      <c r="C2708" t="s">
        <v>16</v>
      </c>
      <c r="D2708" t="s">
        <v>21</v>
      </c>
      <c r="E2708" t="s">
        <v>3004</v>
      </c>
      <c r="F2708" t="s">
        <v>3004</v>
      </c>
      <c r="G2708" s="2">
        <v>45730</v>
      </c>
      <c r="H2708" s="2">
        <v>45760</v>
      </c>
      <c r="I2708" s="1">
        <v>1272</v>
      </c>
      <c r="J2708">
        <v>1272</v>
      </c>
      <c r="K2708" t="s">
        <v>20</v>
      </c>
      <c r="L2708">
        <v>0</v>
      </c>
      <c r="M2708">
        <v>0</v>
      </c>
    </row>
    <row r="2709" spans="1:13">
      <c r="A2709" t="s">
        <v>2952</v>
      </c>
      <c r="B2709" t="s">
        <v>2953</v>
      </c>
      <c r="C2709" t="s">
        <v>16</v>
      </c>
      <c r="D2709" t="s">
        <v>21</v>
      </c>
      <c r="E2709" t="s">
        <v>3005</v>
      </c>
      <c r="F2709" t="s">
        <v>3005</v>
      </c>
      <c r="G2709" s="2">
        <v>45730</v>
      </c>
      <c r="H2709" s="2">
        <v>45760</v>
      </c>
      <c r="I2709" s="1">
        <v>1113</v>
      </c>
      <c r="J2709">
        <v>1113</v>
      </c>
      <c r="K2709" t="s">
        <v>20</v>
      </c>
      <c r="L2709">
        <v>0</v>
      </c>
      <c r="M2709">
        <v>0</v>
      </c>
    </row>
    <row r="2710" spans="1:13">
      <c r="A2710" t="s">
        <v>2952</v>
      </c>
      <c r="B2710" t="s">
        <v>2953</v>
      </c>
      <c r="C2710" t="s">
        <v>16</v>
      </c>
      <c r="D2710" t="s">
        <v>21</v>
      </c>
      <c r="E2710" t="s">
        <v>3006</v>
      </c>
      <c r="F2710" t="s">
        <v>3006</v>
      </c>
      <c r="G2710" s="2">
        <v>45733</v>
      </c>
      <c r="H2710" s="2">
        <v>45763</v>
      </c>
      <c r="I2710">
        <v>159</v>
      </c>
      <c r="J2710">
        <v>159</v>
      </c>
      <c r="K2710" t="s">
        <v>20</v>
      </c>
      <c r="L2710">
        <v>0</v>
      </c>
      <c r="M2710">
        <v>0</v>
      </c>
    </row>
    <row r="2711" spans="1:13">
      <c r="A2711" t="s">
        <v>2952</v>
      </c>
      <c r="B2711" t="s">
        <v>2953</v>
      </c>
      <c r="C2711" t="s">
        <v>16</v>
      </c>
      <c r="D2711" t="s">
        <v>21</v>
      </c>
      <c r="E2711" t="s">
        <v>3007</v>
      </c>
      <c r="F2711" t="s">
        <v>3007</v>
      </c>
      <c r="G2711" s="2">
        <v>45733</v>
      </c>
      <c r="H2711" s="2">
        <v>45763</v>
      </c>
      <c r="I2711">
        <v>477</v>
      </c>
      <c r="J2711">
        <v>477</v>
      </c>
      <c r="K2711" t="s">
        <v>20</v>
      </c>
      <c r="L2711">
        <v>0</v>
      </c>
      <c r="M2711">
        <v>0</v>
      </c>
    </row>
    <row r="2712" spans="1:13">
      <c r="A2712" t="s">
        <v>2952</v>
      </c>
      <c r="B2712" t="s">
        <v>2953</v>
      </c>
      <c r="C2712" t="s">
        <v>16</v>
      </c>
      <c r="D2712" t="s">
        <v>21</v>
      </c>
      <c r="E2712" t="s">
        <v>3008</v>
      </c>
      <c r="F2712" t="s">
        <v>3008</v>
      </c>
      <c r="G2712" s="2">
        <v>45733</v>
      </c>
      <c r="H2712" s="2">
        <v>45763</v>
      </c>
      <c r="I2712">
        <v>159</v>
      </c>
      <c r="J2712">
        <v>159</v>
      </c>
      <c r="K2712" t="s">
        <v>20</v>
      </c>
      <c r="L2712">
        <v>0</v>
      </c>
      <c r="M2712">
        <v>0</v>
      </c>
    </row>
    <row r="2713" spans="1:13">
      <c r="A2713" t="s">
        <v>2952</v>
      </c>
      <c r="B2713" t="s">
        <v>2953</v>
      </c>
      <c r="C2713" t="s">
        <v>16</v>
      </c>
      <c r="D2713" t="s">
        <v>21</v>
      </c>
      <c r="E2713" t="s">
        <v>3009</v>
      </c>
      <c r="F2713" t="s">
        <v>3009</v>
      </c>
      <c r="G2713" s="2">
        <v>45733</v>
      </c>
      <c r="H2713" s="2">
        <v>45763</v>
      </c>
      <c r="I2713">
        <v>477</v>
      </c>
      <c r="J2713">
        <v>477</v>
      </c>
      <c r="K2713" t="s">
        <v>20</v>
      </c>
      <c r="L2713">
        <v>0</v>
      </c>
      <c r="M2713">
        <v>0</v>
      </c>
    </row>
    <row r="2714" spans="1:13">
      <c r="A2714" t="s">
        <v>2952</v>
      </c>
      <c r="B2714" t="s">
        <v>2953</v>
      </c>
      <c r="C2714" t="s">
        <v>16</v>
      </c>
      <c r="D2714" t="s">
        <v>21</v>
      </c>
      <c r="E2714" t="s">
        <v>3010</v>
      </c>
      <c r="F2714" t="s">
        <v>3010</v>
      </c>
      <c r="G2714" s="2">
        <v>45733</v>
      </c>
      <c r="H2714" s="2">
        <v>45763</v>
      </c>
      <c r="I2714">
        <v>795</v>
      </c>
      <c r="J2714">
        <v>795</v>
      </c>
      <c r="K2714" t="s">
        <v>20</v>
      </c>
      <c r="L2714">
        <v>0</v>
      </c>
      <c r="M2714">
        <v>0</v>
      </c>
    </row>
    <row r="2715" spans="1:13">
      <c r="A2715" t="s">
        <v>2952</v>
      </c>
      <c r="B2715" t="s">
        <v>2953</v>
      </c>
      <c r="C2715" t="s">
        <v>16</v>
      </c>
      <c r="D2715" t="s">
        <v>21</v>
      </c>
      <c r="E2715" t="s">
        <v>3011</v>
      </c>
      <c r="F2715" t="s">
        <v>3011</v>
      </c>
      <c r="G2715" s="2">
        <v>45733</v>
      </c>
      <c r="H2715" s="2">
        <v>45763</v>
      </c>
      <c r="I2715">
        <v>318</v>
      </c>
      <c r="J2715">
        <v>318</v>
      </c>
      <c r="K2715" t="s">
        <v>20</v>
      </c>
      <c r="L2715">
        <v>0</v>
      </c>
      <c r="M2715">
        <v>0</v>
      </c>
    </row>
    <row r="2716" spans="1:13">
      <c r="A2716" t="s">
        <v>2952</v>
      </c>
      <c r="B2716" t="s">
        <v>2953</v>
      </c>
      <c r="C2716" t="s">
        <v>16</v>
      </c>
      <c r="D2716" t="s">
        <v>21</v>
      </c>
      <c r="E2716" t="s">
        <v>3012</v>
      </c>
      <c r="F2716" t="s">
        <v>3012</v>
      </c>
      <c r="G2716" s="2">
        <v>45733</v>
      </c>
      <c r="H2716" s="2">
        <v>45763</v>
      </c>
      <c r="I2716">
        <v>477</v>
      </c>
      <c r="J2716">
        <v>477</v>
      </c>
      <c r="K2716" t="s">
        <v>20</v>
      </c>
      <c r="L2716">
        <v>0</v>
      </c>
      <c r="M2716">
        <v>0</v>
      </c>
    </row>
    <row r="2717" spans="1:13">
      <c r="A2717" t="s">
        <v>2952</v>
      </c>
      <c r="B2717" t="s">
        <v>2953</v>
      </c>
      <c r="C2717" t="s">
        <v>16</v>
      </c>
      <c r="D2717" t="s">
        <v>21</v>
      </c>
      <c r="E2717" t="s">
        <v>3013</v>
      </c>
      <c r="F2717" t="s">
        <v>3013</v>
      </c>
      <c r="G2717" s="2">
        <v>45733</v>
      </c>
      <c r="H2717" s="2">
        <v>45763</v>
      </c>
      <c r="I2717">
        <v>477</v>
      </c>
      <c r="J2717">
        <v>477</v>
      </c>
      <c r="K2717" t="s">
        <v>20</v>
      </c>
      <c r="L2717">
        <v>0</v>
      </c>
      <c r="M2717">
        <v>0</v>
      </c>
    </row>
    <row r="2718" spans="1:13">
      <c r="A2718" t="s">
        <v>2952</v>
      </c>
      <c r="B2718" t="s">
        <v>2953</v>
      </c>
      <c r="C2718" t="s">
        <v>16</v>
      </c>
      <c r="D2718" t="s">
        <v>21</v>
      </c>
      <c r="E2718" t="s">
        <v>3014</v>
      </c>
      <c r="F2718" t="s">
        <v>3014</v>
      </c>
      <c r="G2718" s="2">
        <v>45733</v>
      </c>
      <c r="H2718" s="2">
        <v>45763</v>
      </c>
      <c r="I2718">
        <v>318</v>
      </c>
      <c r="J2718">
        <v>318</v>
      </c>
      <c r="K2718" t="s">
        <v>20</v>
      </c>
      <c r="L2718">
        <v>0</v>
      </c>
      <c r="M2718">
        <v>0</v>
      </c>
    </row>
    <row r="2719" spans="1:13">
      <c r="A2719" t="s">
        <v>2952</v>
      </c>
      <c r="B2719" t="s">
        <v>2953</v>
      </c>
      <c r="C2719" t="s">
        <v>16</v>
      </c>
      <c r="D2719" t="s">
        <v>21</v>
      </c>
      <c r="E2719" t="s">
        <v>3015</v>
      </c>
      <c r="F2719" t="s">
        <v>3015</v>
      </c>
      <c r="G2719" s="2">
        <v>45733</v>
      </c>
      <c r="H2719" s="2">
        <v>45763</v>
      </c>
      <c r="I2719">
        <v>477</v>
      </c>
      <c r="J2719">
        <v>477</v>
      </c>
      <c r="K2719" t="s">
        <v>20</v>
      </c>
      <c r="L2719">
        <v>0</v>
      </c>
      <c r="M2719">
        <v>0</v>
      </c>
    </row>
    <row r="2720" spans="1:13">
      <c r="A2720" t="s">
        <v>2952</v>
      </c>
      <c r="B2720" t="s">
        <v>2953</v>
      </c>
      <c r="C2720" t="s">
        <v>16</v>
      </c>
      <c r="D2720" t="s">
        <v>21</v>
      </c>
      <c r="E2720" t="s">
        <v>3016</v>
      </c>
      <c r="F2720" t="s">
        <v>3016</v>
      </c>
      <c r="G2720" s="2">
        <v>45733</v>
      </c>
      <c r="H2720" s="2">
        <v>45763</v>
      </c>
      <c r="I2720">
        <v>318</v>
      </c>
      <c r="J2720">
        <v>318</v>
      </c>
      <c r="K2720" t="s">
        <v>20</v>
      </c>
      <c r="L2720">
        <v>0</v>
      </c>
      <c r="M2720">
        <v>0</v>
      </c>
    </row>
    <row r="2721" spans="1:13">
      <c r="A2721" t="s">
        <v>2952</v>
      </c>
      <c r="B2721" t="s">
        <v>2953</v>
      </c>
      <c r="C2721" t="s">
        <v>16</v>
      </c>
      <c r="D2721" t="s">
        <v>21</v>
      </c>
      <c r="E2721" t="s">
        <v>3017</v>
      </c>
      <c r="F2721" t="s">
        <v>3017</v>
      </c>
      <c r="G2721" s="2">
        <v>45733</v>
      </c>
      <c r="H2721" s="2">
        <v>45763</v>
      </c>
      <c r="I2721">
        <v>159</v>
      </c>
      <c r="J2721">
        <v>159</v>
      </c>
      <c r="K2721" t="s">
        <v>20</v>
      </c>
      <c r="L2721">
        <v>0</v>
      </c>
      <c r="M2721">
        <v>0</v>
      </c>
    </row>
    <row r="2722" spans="1:13">
      <c r="A2722" t="s">
        <v>2952</v>
      </c>
      <c r="B2722" t="s">
        <v>2953</v>
      </c>
      <c r="C2722" t="s">
        <v>16</v>
      </c>
      <c r="D2722" t="s">
        <v>21</v>
      </c>
      <c r="E2722" t="s">
        <v>3018</v>
      </c>
      <c r="F2722" t="s">
        <v>3018</v>
      </c>
      <c r="G2722" s="2">
        <v>45733</v>
      </c>
      <c r="H2722" s="2">
        <v>45763</v>
      </c>
      <c r="I2722">
        <v>159</v>
      </c>
      <c r="J2722">
        <v>159</v>
      </c>
      <c r="K2722" t="s">
        <v>20</v>
      </c>
      <c r="L2722">
        <v>0</v>
      </c>
      <c r="M2722">
        <v>0</v>
      </c>
    </row>
    <row r="2723" spans="1:13">
      <c r="A2723" t="s">
        <v>2952</v>
      </c>
      <c r="B2723" t="s">
        <v>2953</v>
      </c>
      <c r="C2723" t="s">
        <v>16</v>
      </c>
      <c r="D2723" t="s">
        <v>21</v>
      </c>
      <c r="E2723" t="s">
        <v>3019</v>
      </c>
      <c r="F2723" t="s">
        <v>3019</v>
      </c>
      <c r="G2723" s="2">
        <v>45733</v>
      </c>
      <c r="H2723" s="2">
        <v>45763</v>
      </c>
      <c r="I2723">
        <v>636</v>
      </c>
      <c r="J2723">
        <v>636</v>
      </c>
      <c r="K2723" t="s">
        <v>20</v>
      </c>
      <c r="L2723">
        <v>0</v>
      </c>
      <c r="M2723">
        <v>0</v>
      </c>
    </row>
    <row r="2724" spans="1:13">
      <c r="A2724" t="s">
        <v>2952</v>
      </c>
      <c r="B2724" t="s">
        <v>2953</v>
      </c>
      <c r="C2724" t="s">
        <v>16</v>
      </c>
      <c r="D2724" t="s">
        <v>21</v>
      </c>
      <c r="E2724" t="s">
        <v>3020</v>
      </c>
      <c r="F2724" t="s">
        <v>3020</v>
      </c>
      <c r="G2724" s="2">
        <v>45733</v>
      </c>
      <c r="H2724" s="2">
        <v>45763</v>
      </c>
      <c r="I2724">
        <v>477</v>
      </c>
      <c r="J2724">
        <v>477</v>
      </c>
      <c r="K2724" t="s">
        <v>20</v>
      </c>
      <c r="L2724">
        <v>0</v>
      </c>
      <c r="M2724">
        <v>0</v>
      </c>
    </row>
    <row r="2725" spans="1:13">
      <c r="A2725" t="s">
        <v>2952</v>
      </c>
      <c r="B2725" t="s">
        <v>2953</v>
      </c>
      <c r="C2725" t="s">
        <v>16</v>
      </c>
      <c r="D2725" t="s">
        <v>21</v>
      </c>
      <c r="E2725" t="s">
        <v>3021</v>
      </c>
      <c r="F2725" t="s">
        <v>3021</v>
      </c>
      <c r="G2725" s="2">
        <v>45733</v>
      </c>
      <c r="H2725" s="2">
        <v>45763</v>
      </c>
      <c r="I2725">
        <v>159</v>
      </c>
      <c r="J2725">
        <v>159</v>
      </c>
      <c r="K2725" t="s">
        <v>20</v>
      </c>
      <c r="L2725">
        <v>0</v>
      </c>
      <c r="M2725">
        <v>0</v>
      </c>
    </row>
    <row r="2726" spans="1:13">
      <c r="A2726" t="s">
        <v>2952</v>
      </c>
      <c r="B2726" t="s">
        <v>2953</v>
      </c>
      <c r="C2726" t="s">
        <v>16</v>
      </c>
      <c r="D2726" t="s">
        <v>21</v>
      </c>
      <c r="E2726" t="s">
        <v>3022</v>
      </c>
      <c r="F2726" t="s">
        <v>3022</v>
      </c>
      <c r="G2726" s="2">
        <v>45733</v>
      </c>
      <c r="H2726" s="2">
        <v>45763</v>
      </c>
      <c r="I2726">
        <v>477</v>
      </c>
      <c r="J2726">
        <v>477</v>
      </c>
      <c r="K2726" t="s">
        <v>20</v>
      </c>
      <c r="L2726">
        <v>0</v>
      </c>
      <c r="M2726">
        <v>0</v>
      </c>
    </row>
    <row r="2727" spans="1:13">
      <c r="A2727" t="s">
        <v>2952</v>
      </c>
      <c r="B2727" t="s">
        <v>2953</v>
      </c>
      <c r="C2727" t="s">
        <v>16</v>
      </c>
      <c r="D2727" t="s">
        <v>21</v>
      </c>
      <c r="E2727" t="s">
        <v>3023</v>
      </c>
      <c r="F2727" t="s">
        <v>3023</v>
      </c>
      <c r="G2727" s="2">
        <v>45733</v>
      </c>
      <c r="H2727" s="2">
        <v>45763</v>
      </c>
      <c r="I2727">
        <v>318</v>
      </c>
      <c r="J2727">
        <v>318</v>
      </c>
      <c r="K2727" t="s">
        <v>20</v>
      </c>
      <c r="L2727">
        <v>0</v>
      </c>
      <c r="M2727">
        <v>0</v>
      </c>
    </row>
    <row r="2728" spans="1:13">
      <c r="A2728" t="s">
        <v>2952</v>
      </c>
      <c r="B2728" t="s">
        <v>2953</v>
      </c>
      <c r="C2728" t="s">
        <v>16</v>
      </c>
      <c r="D2728" t="s">
        <v>21</v>
      </c>
      <c r="E2728" t="s">
        <v>3024</v>
      </c>
      <c r="F2728" t="s">
        <v>3024</v>
      </c>
      <c r="G2728" s="2">
        <v>45733</v>
      </c>
      <c r="H2728" s="2">
        <v>45763</v>
      </c>
      <c r="I2728">
        <v>318</v>
      </c>
      <c r="J2728">
        <v>318</v>
      </c>
      <c r="K2728" t="s">
        <v>20</v>
      </c>
      <c r="L2728">
        <v>0</v>
      </c>
      <c r="M2728">
        <v>0</v>
      </c>
    </row>
    <row r="2729" spans="1:13">
      <c r="A2729" t="s">
        <v>2952</v>
      </c>
      <c r="B2729" t="s">
        <v>2953</v>
      </c>
      <c r="C2729" t="s">
        <v>16</v>
      </c>
      <c r="D2729" t="s">
        <v>21</v>
      </c>
      <c r="E2729" t="s">
        <v>3025</v>
      </c>
      <c r="F2729" t="s">
        <v>3025</v>
      </c>
      <c r="G2729" s="2">
        <v>45733</v>
      </c>
      <c r="H2729" s="2">
        <v>45763</v>
      </c>
      <c r="I2729">
        <v>159</v>
      </c>
      <c r="J2729">
        <v>159</v>
      </c>
      <c r="K2729" t="s">
        <v>20</v>
      </c>
      <c r="L2729">
        <v>0</v>
      </c>
      <c r="M2729">
        <v>0</v>
      </c>
    </row>
    <row r="2730" spans="1:13">
      <c r="A2730" t="s">
        <v>2952</v>
      </c>
      <c r="B2730" t="s">
        <v>2953</v>
      </c>
      <c r="C2730" t="s">
        <v>16</v>
      </c>
      <c r="D2730" t="s">
        <v>21</v>
      </c>
      <c r="E2730" t="s">
        <v>3026</v>
      </c>
      <c r="F2730" t="s">
        <v>3026</v>
      </c>
      <c r="G2730" s="2">
        <v>45733</v>
      </c>
      <c r="H2730" s="2">
        <v>45763</v>
      </c>
      <c r="I2730">
        <v>795</v>
      </c>
      <c r="J2730">
        <v>795</v>
      </c>
      <c r="K2730" t="s">
        <v>20</v>
      </c>
      <c r="L2730">
        <v>0</v>
      </c>
      <c r="M2730">
        <v>0</v>
      </c>
    </row>
    <row r="2731" spans="1:13">
      <c r="A2731" t="s">
        <v>2952</v>
      </c>
      <c r="B2731" t="s">
        <v>2953</v>
      </c>
      <c r="C2731" t="s">
        <v>16</v>
      </c>
      <c r="D2731" t="s">
        <v>21</v>
      </c>
      <c r="E2731" t="s">
        <v>3027</v>
      </c>
      <c r="F2731" t="s">
        <v>3027</v>
      </c>
      <c r="G2731" s="2">
        <v>45734</v>
      </c>
      <c r="H2731" s="2">
        <v>45764</v>
      </c>
      <c r="I2731">
        <v>159</v>
      </c>
      <c r="J2731">
        <v>159</v>
      </c>
      <c r="K2731" t="s">
        <v>20</v>
      </c>
      <c r="L2731">
        <v>0</v>
      </c>
      <c r="M2731">
        <v>0</v>
      </c>
    </row>
    <row r="2732" spans="1:13">
      <c r="A2732" t="s">
        <v>2952</v>
      </c>
      <c r="B2732" t="s">
        <v>2953</v>
      </c>
      <c r="C2732" t="s">
        <v>16</v>
      </c>
      <c r="D2732" t="s">
        <v>21</v>
      </c>
      <c r="E2732" t="s">
        <v>3028</v>
      </c>
      <c r="F2732" t="s">
        <v>3028</v>
      </c>
      <c r="G2732" s="2">
        <v>45734</v>
      </c>
      <c r="H2732" s="2">
        <v>45764</v>
      </c>
      <c r="I2732">
        <v>159</v>
      </c>
      <c r="J2732">
        <v>159</v>
      </c>
      <c r="K2732" t="s">
        <v>20</v>
      </c>
      <c r="L2732">
        <v>0</v>
      </c>
      <c r="M2732">
        <v>0</v>
      </c>
    </row>
    <row r="2733" spans="1:13">
      <c r="A2733" t="s">
        <v>2952</v>
      </c>
      <c r="B2733" t="s">
        <v>2953</v>
      </c>
      <c r="C2733" t="s">
        <v>16</v>
      </c>
      <c r="D2733" t="s">
        <v>21</v>
      </c>
      <c r="E2733" t="s">
        <v>3029</v>
      </c>
      <c r="F2733" t="s">
        <v>3029</v>
      </c>
      <c r="G2733" s="2">
        <v>45734</v>
      </c>
      <c r="H2733" s="2">
        <v>45764</v>
      </c>
      <c r="I2733">
        <v>318</v>
      </c>
      <c r="J2733">
        <v>318</v>
      </c>
      <c r="K2733" t="s">
        <v>20</v>
      </c>
      <c r="L2733">
        <v>0</v>
      </c>
      <c r="M2733">
        <v>0</v>
      </c>
    </row>
    <row r="2734" spans="1:13">
      <c r="A2734" t="s">
        <v>2952</v>
      </c>
      <c r="B2734" t="s">
        <v>2953</v>
      </c>
      <c r="C2734" t="s">
        <v>16</v>
      </c>
      <c r="D2734" t="s">
        <v>21</v>
      </c>
      <c r="E2734" t="s">
        <v>3030</v>
      </c>
      <c r="F2734" t="s">
        <v>3030</v>
      </c>
      <c r="G2734" s="2">
        <v>45734</v>
      </c>
      <c r="H2734" s="2">
        <v>45764</v>
      </c>
      <c r="I2734">
        <v>318</v>
      </c>
      <c r="J2734">
        <v>318</v>
      </c>
      <c r="K2734" t="s">
        <v>20</v>
      </c>
      <c r="L2734">
        <v>0</v>
      </c>
      <c r="M2734">
        <v>0</v>
      </c>
    </row>
    <row r="2735" spans="1:13">
      <c r="A2735" t="s">
        <v>2952</v>
      </c>
      <c r="B2735" t="s">
        <v>2953</v>
      </c>
      <c r="C2735" t="s">
        <v>16</v>
      </c>
      <c r="D2735" t="s">
        <v>21</v>
      </c>
      <c r="E2735" t="s">
        <v>3031</v>
      </c>
      <c r="F2735" t="s">
        <v>3031</v>
      </c>
      <c r="G2735" s="2">
        <v>45734</v>
      </c>
      <c r="H2735" s="2">
        <v>45764</v>
      </c>
      <c r="I2735">
        <v>954</v>
      </c>
      <c r="J2735">
        <v>954</v>
      </c>
      <c r="K2735" t="s">
        <v>20</v>
      </c>
      <c r="L2735">
        <v>0</v>
      </c>
      <c r="M2735">
        <v>0</v>
      </c>
    </row>
    <row r="2736" spans="1:13">
      <c r="A2736" t="s">
        <v>2952</v>
      </c>
      <c r="B2736" t="s">
        <v>2953</v>
      </c>
      <c r="C2736" t="s">
        <v>16</v>
      </c>
      <c r="D2736" t="s">
        <v>21</v>
      </c>
      <c r="E2736" t="s">
        <v>3032</v>
      </c>
      <c r="F2736" t="s">
        <v>3032</v>
      </c>
      <c r="G2736" s="2">
        <v>45734</v>
      </c>
      <c r="H2736" s="2">
        <v>45764</v>
      </c>
      <c r="I2736">
        <v>318</v>
      </c>
      <c r="J2736">
        <v>318</v>
      </c>
      <c r="K2736" t="s">
        <v>20</v>
      </c>
      <c r="L2736">
        <v>0</v>
      </c>
      <c r="M2736">
        <v>0</v>
      </c>
    </row>
    <row r="2737" spans="1:13">
      <c r="A2737" t="s">
        <v>2952</v>
      </c>
      <c r="B2737" t="s">
        <v>2953</v>
      </c>
      <c r="C2737" t="s">
        <v>16</v>
      </c>
      <c r="D2737" t="s">
        <v>21</v>
      </c>
      <c r="E2737" t="s">
        <v>3033</v>
      </c>
      <c r="F2737" t="s">
        <v>3033</v>
      </c>
      <c r="G2737" s="2">
        <v>45734</v>
      </c>
      <c r="H2737" s="2">
        <v>45764</v>
      </c>
      <c r="I2737">
        <v>318</v>
      </c>
      <c r="J2737">
        <v>318</v>
      </c>
      <c r="K2737" t="s">
        <v>20</v>
      </c>
      <c r="L2737">
        <v>0</v>
      </c>
      <c r="M2737">
        <v>0</v>
      </c>
    </row>
    <row r="2738" spans="1:13">
      <c r="A2738" t="s">
        <v>2952</v>
      </c>
      <c r="B2738" t="s">
        <v>2953</v>
      </c>
      <c r="C2738" t="s">
        <v>16</v>
      </c>
      <c r="D2738" t="s">
        <v>21</v>
      </c>
      <c r="E2738" t="s">
        <v>3034</v>
      </c>
      <c r="F2738" t="s">
        <v>3034</v>
      </c>
      <c r="G2738" s="2">
        <v>45734</v>
      </c>
      <c r="H2738" s="2">
        <v>45764</v>
      </c>
      <c r="I2738">
        <v>159</v>
      </c>
      <c r="J2738">
        <v>159</v>
      </c>
      <c r="K2738" t="s">
        <v>20</v>
      </c>
      <c r="L2738">
        <v>0</v>
      </c>
      <c r="M2738">
        <v>0</v>
      </c>
    </row>
    <row r="2739" spans="1:13">
      <c r="A2739" t="s">
        <v>2952</v>
      </c>
      <c r="B2739" t="s">
        <v>2953</v>
      </c>
      <c r="C2739" t="s">
        <v>16</v>
      </c>
      <c r="D2739" t="s">
        <v>21</v>
      </c>
      <c r="E2739" t="s">
        <v>3035</v>
      </c>
      <c r="F2739" t="s">
        <v>3035</v>
      </c>
      <c r="G2739" s="2">
        <v>45734</v>
      </c>
      <c r="H2739" s="2">
        <v>45764</v>
      </c>
      <c r="I2739">
        <v>318</v>
      </c>
      <c r="J2739">
        <v>318</v>
      </c>
      <c r="K2739" t="s">
        <v>20</v>
      </c>
      <c r="L2739">
        <v>0</v>
      </c>
      <c r="M2739">
        <v>0</v>
      </c>
    </row>
    <row r="2740" spans="1:13">
      <c r="A2740" t="s">
        <v>2952</v>
      </c>
      <c r="B2740" t="s">
        <v>2953</v>
      </c>
      <c r="C2740" t="s">
        <v>16</v>
      </c>
      <c r="D2740" t="s">
        <v>21</v>
      </c>
      <c r="E2740" t="s">
        <v>3036</v>
      </c>
      <c r="F2740" t="s">
        <v>3036</v>
      </c>
      <c r="G2740" s="2">
        <v>45735</v>
      </c>
      <c r="H2740" s="2">
        <v>45765</v>
      </c>
      <c r="I2740">
        <v>477</v>
      </c>
      <c r="J2740">
        <v>477</v>
      </c>
      <c r="K2740" t="s">
        <v>20</v>
      </c>
      <c r="L2740">
        <v>0</v>
      </c>
      <c r="M2740">
        <v>0</v>
      </c>
    </row>
    <row r="2741" spans="1:13">
      <c r="A2741" t="s">
        <v>2952</v>
      </c>
      <c r="B2741" t="s">
        <v>2953</v>
      </c>
      <c r="C2741" t="s">
        <v>16</v>
      </c>
      <c r="D2741" t="s">
        <v>21</v>
      </c>
      <c r="E2741" t="s">
        <v>3037</v>
      </c>
      <c r="F2741" t="s">
        <v>3037</v>
      </c>
      <c r="G2741" s="2">
        <v>45735</v>
      </c>
      <c r="H2741" s="2">
        <v>45765</v>
      </c>
      <c r="I2741">
        <v>159</v>
      </c>
      <c r="J2741">
        <v>159</v>
      </c>
      <c r="K2741" t="s">
        <v>20</v>
      </c>
      <c r="L2741">
        <v>0</v>
      </c>
      <c r="M2741">
        <v>0</v>
      </c>
    </row>
    <row r="2742" spans="1:13">
      <c r="A2742" t="s">
        <v>2952</v>
      </c>
      <c r="B2742" t="s">
        <v>2953</v>
      </c>
      <c r="C2742" t="s">
        <v>16</v>
      </c>
      <c r="D2742" t="s">
        <v>21</v>
      </c>
      <c r="E2742" t="s">
        <v>3038</v>
      </c>
      <c r="F2742" t="s">
        <v>3038</v>
      </c>
      <c r="G2742" s="2">
        <v>45735</v>
      </c>
      <c r="H2742" s="2">
        <v>45765</v>
      </c>
      <c r="I2742">
        <v>636</v>
      </c>
      <c r="J2742">
        <v>636</v>
      </c>
      <c r="K2742" t="s">
        <v>20</v>
      </c>
      <c r="L2742">
        <v>0</v>
      </c>
      <c r="M2742">
        <v>0</v>
      </c>
    </row>
    <row r="2743" spans="1:13">
      <c r="A2743" t="s">
        <v>2952</v>
      </c>
      <c r="B2743" t="s">
        <v>2953</v>
      </c>
      <c r="C2743" t="s">
        <v>16</v>
      </c>
      <c r="D2743" t="s">
        <v>21</v>
      </c>
      <c r="E2743" t="s">
        <v>3039</v>
      </c>
      <c r="F2743" t="s">
        <v>3039</v>
      </c>
      <c r="G2743" s="2">
        <v>45735</v>
      </c>
      <c r="H2743" s="2">
        <v>45765</v>
      </c>
      <c r="I2743">
        <v>159</v>
      </c>
      <c r="J2743">
        <v>159</v>
      </c>
      <c r="K2743" t="s">
        <v>20</v>
      </c>
      <c r="L2743">
        <v>0</v>
      </c>
      <c r="M2743">
        <v>0</v>
      </c>
    </row>
    <row r="2744" spans="1:13">
      <c r="A2744" t="s">
        <v>2952</v>
      </c>
      <c r="B2744" t="s">
        <v>2953</v>
      </c>
      <c r="C2744" t="s">
        <v>16</v>
      </c>
      <c r="D2744" t="s">
        <v>21</v>
      </c>
      <c r="E2744" t="s">
        <v>3040</v>
      </c>
      <c r="F2744" t="s">
        <v>3040</v>
      </c>
      <c r="G2744" s="2">
        <v>45735</v>
      </c>
      <c r="H2744" s="2">
        <v>45765</v>
      </c>
      <c r="I2744">
        <v>318</v>
      </c>
      <c r="J2744">
        <v>318</v>
      </c>
      <c r="K2744" t="s">
        <v>20</v>
      </c>
      <c r="L2744">
        <v>0</v>
      </c>
      <c r="M2744">
        <v>0</v>
      </c>
    </row>
    <row r="2745" spans="1:13">
      <c r="A2745" t="s">
        <v>2952</v>
      </c>
      <c r="B2745" t="s">
        <v>2953</v>
      </c>
      <c r="C2745" t="s">
        <v>16</v>
      </c>
      <c r="D2745" t="s">
        <v>21</v>
      </c>
      <c r="E2745" t="s">
        <v>3041</v>
      </c>
      <c r="F2745" t="s">
        <v>3041</v>
      </c>
      <c r="G2745" s="2">
        <v>45735</v>
      </c>
      <c r="H2745" s="2">
        <v>45765</v>
      </c>
      <c r="I2745">
        <v>159</v>
      </c>
      <c r="J2745">
        <v>159</v>
      </c>
      <c r="K2745" t="s">
        <v>20</v>
      </c>
      <c r="L2745">
        <v>0</v>
      </c>
      <c r="M2745">
        <v>0</v>
      </c>
    </row>
    <row r="2746" spans="1:13">
      <c r="A2746" t="s">
        <v>2952</v>
      </c>
      <c r="B2746" t="s">
        <v>2953</v>
      </c>
      <c r="C2746" t="s">
        <v>16</v>
      </c>
      <c r="D2746" t="s">
        <v>21</v>
      </c>
      <c r="E2746" t="s">
        <v>3042</v>
      </c>
      <c r="F2746" t="s">
        <v>3042</v>
      </c>
      <c r="G2746" s="2">
        <v>45736</v>
      </c>
      <c r="H2746" s="2">
        <v>45766</v>
      </c>
      <c r="I2746">
        <v>636</v>
      </c>
      <c r="J2746">
        <v>636</v>
      </c>
      <c r="K2746" t="s">
        <v>20</v>
      </c>
      <c r="L2746">
        <v>0</v>
      </c>
      <c r="M2746">
        <v>0</v>
      </c>
    </row>
    <row r="2747" spans="1:13">
      <c r="A2747" t="s">
        <v>2952</v>
      </c>
      <c r="B2747" t="s">
        <v>2953</v>
      </c>
      <c r="C2747" t="s">
        <v>16</v>
      </c>
      <c r="D2747" t="s">
        <v>21</v>
      </c>
      <c r="E2747" t="s">
        <v>3043</v>
      </c>
      <c r="F2747" t="s">
        <v>3043</v>
      </c>
      <c r="G2747" s="2">
        <v>45736</v>
      </c>
      <c r="H2747" s="2">
        <v>45766</v>
      </c>
      <c r="I2747">
        <v>318</v>
      </c>
      <c r="J2747">
        <v>318</v>
      </c>
      <c r="K2747" t="s">
        <v>20</v>
      </c>
      <c r="L2747">
        <v>0</v>
      </c>
      <c r="M2747">
        <v>0</v>
      </c>
    </row>
    <row r="2748" spans="1:13">
      <c r="A2748" t="s">
        <v>2952</v>
      </c>
      <c r="B2748" t="s">
        <v>2953</v>
      </c>
      <c r="C2748" t="s">
        <v>16</v>
      </c>
      <c r="D2748" t="s">
        <v>21</v>
      </c>
      <c r="E2748" t="s">
        <v>3044</v>
      </c>
      <c r="F2748" t="s">
        <v>3044</v>
      </c>
      <c r="G2748" s="2">
        <v>45736</v>
      </c>
      <c r="H2748" s="2">
        <v>45766</v>
      </c>
      <c r="I2748">
        <v>636</v>
      </c>
      <c r="J2748">
        <v>636</v>
      </c>
      <c r="K2748" t="s">
        <v>20</v>
      </c>
      <c r="L2748">
        <v>0</v>
      </c>
      <c r="M2748">
        <v>0</v>
      </c>
    </row>
    <row r="2749" spans="1:13">
      <c r="A2749" t="s">
        <v>2952</v>
      </c>
      <c r="B2749" t="s">
        <v>2953</v>
      </c>
      <c r="C2749" t="s">
        <v>16</v>
      </c>
      <c r="D2749" t="s">
        <v>21</v>
      </c>
      <c r="E2749" t="s">
        <v>3045</v>
      </c>
      <c r="F2749" t="s">
        <v>3045</v>
      </c>
      <c r="G2749" s="2">
        <v>45736</v>
      </c>
      <c r="H2749" s="2">
        <v>45766</v>
      </c>
      <c r="I2749">
        <v>159</v>
      </c>
      <c r="J2749">
        <v>159</v>
      </c>
      <c r="K2749" t="s">
        <v>20</v>
      </c>
      <c r="L2749">
        <v>0</v>
      </c>
      <c r="M2749">
        <v>0</v>
      </c>
    </row>
    <row r="2750" spans="1:13">
      <c r="A2750" t="s">
        <v>2952</v>
      </c>
      <c r="B2750" t="s">
        <v>2953</v>
      </c>
      <c r="C2750" t="s">
        <v>16</v>
      </c>
      <c r="D2750" t="s">
        <v>21</v>
      </c>
      <c r="E2750" t="s">
        <v>3046</v>
      </c>
      <c r="F2750" t="s">
        <v>3046</v>
      </c>
      <c r="G2750" s="2">
        <v>45736</v>
      </c>
      <c r="H2750" s="2">
        <v>45766</v>
      </c>
      <c r="I2750">
        <v>318</v>
      </c>
      <c r="J2750">
        <v>318</v>
      </c>
      <c r="K2750" t="s">
        <v>20</v>
      </c>
      <c r="L2750">
        <v>0</v>
      </c>
      <c r="M2750">
        <v>0</v>
      </c>
    </row>
    <row r="2751" spans="1:13">
      <c r="A2751" t="s">
        <v>2952</v>
      </c>
      <c r="B2751" t="s">
        <v>2953</v>
      </c>
      <c r="C2751" t="s">
        <v>16</v>
      </c>
      <c r="D2751" t="s">
        <v>21</v>
      </c>
      <c r="E2751" t="s">
        <v>3047</v>
      </c>
      <c r="F2751" t="s">
        <v>3047</v>
      </c>
      <c r="G2751" s="2">
        <v>45736</v>
      </c>
      <c r="H2751" s="2">
        <v>45766</v>
      </c>
      <c r="I2751">
        <v>477</v>
      </c>
      <c r="J2751">
        <v>477</v>
      </c>
      <c r="K2751" t="s">
        <v>20</v>
      </c>
      <c r="L2751">
        <v>0</v>
      </c>
      <c r="M2751">
        <v>0</v>
      </c>
    </row>
    <row r="2752" spans="1:13">
      <c r="A2752" t="s">
        <v>2952</v>
      </c>
      <c r="B2752" t="s">
        <v>2953</v>
      </c>
      <c r="C2752" t="s">
        <v>16</v>
      </c>
      <c r="D2752" t="s">
        <v>21</v>
      </c>
      <c r="E2752" t="s">
        <v>3048</v>
      </c>
      <c r="F2752" t="s">
        <v>3048</v>
      </c>
      <c r="G2752" s="2">
        <v>45736</v>
      </c>
      <c r="H2752" s="2">
        <v>45766</v>
      </c>
      <c r="I2752">
        <v>318</v>
      </c>
      <c r="J2752">
        <v>318</v>
      </c>
      <c r="K2752" t="s">
        <v>20</v>
      </c>
      <c r="L2752">
        <v>0</v>
      </c>
      <c r="M2752">
        <v>0</v>
      </c>
    </row>
    <row r="2753" spans="1:13">
      <c r="A2753" t="s">
        <v>2952</v>
      </c>
      <c r="B2753" t="s">
        <v>2953</v>
      </c>
      <c r="C2753" t="s">
        <v>16</v>
      </c>
      <c r="D2753" t="s">
        <v>21</v>
      </c>
      <c r="E2753" t="s">
        <v>3049</v>
      </c>
      <c r="F2753" t="s">
        <v>3049</v>
      </c>
      <c r="G2753" s="2">
        <v>45737</v>
      </c>
      <c r="H2753" s="2">
        <v>45767</v>
      </c>
      <c r="I2753">
        <v>159</v>
      </c>
      <c r="J2753">
        <v>159</v>
      </c>
      <c r="K2753" t="s">
        <v>20</v>
      </c>
      <c r="L2753">
        <v>0</v>
      </c>
      <c r="M2753">
        <v>0</v>
      </c>
    </row>
    <row r="2754" spans="1:13">
      <c r="A2754" t="s">
        <v>2952</v>
      </c>
      <c r="B2754" t="s">
        <v>2953</v>
      </c>
      <c r="C2754" t="s">
        <v>16</v>
      </c>
      <c r="D2754" t="s">
        <v>21</v>
      </c>
      <c r="E2754" t="s">
        <v>3050</v>
      </c>
      <c r="F2754" t="s">
        <v>3050</v>
      </c>
      <c r="G2754" s="2">
        <v>45737</v>
      </c>
      <c r="H2754" s="2">
        <v>45767</v>
      </c>
      <c r="I2754">
        <v>636</v>
      </c>
      <c r="J2754">
        <v>636</v>
      </c>
      <c r="K2754" t="s">
        <v>20</v>
      </c>
      <c r="L2754">
        <v>0</v>
      </c>
      <c r="M2754">
        <v>0</v>
      </c>
    </row>
    <row r="2755" spans="1:13">
      <c r="A2755" t="s">
        <v>2952</v>
      </c>
      <c r="B2755" t="s">
        <v>2953</v>
      </c>
      <c r="C2755" t="s">
        <v>16</v>
      </c>
      <c r="D2755" t="s">
        <v>21</v>
      </c>
      <c r="E2755" t="s">
        <v>3051</v>
      </c>
      <c r="F2755" t="s">
        <v>3051</v>
      </c>
      <c r="G2755" s="2">
        <v>45737</v>
      </c>
      <c r="H2755" s="2">
        <v>45767</v>
      </c>
      <c r="I2755">
        <v>159</v>
      </c>
      <c r="J2755">
        <v>159</v>
      </c>
      <c r="K2755" t="s">
        <v>20</v>
      </c>
      <c r="L2755">
        <v>0</v>
      </c>
      <c r="M2755">
        <v>0</v>
      </c>
    </row>
    <row r="2756" spans="1:13">
      <c r="A2756" t="s">
        <v>2952</v>
      </c>
      <c r="B2756" t="s">
        <v>2953</v>
      </c>
      <c r="C2756" t="s">
        <v>16</v>
      </c>
      <c r="D2756" t="s">
        <v>21</v>
      </c>
      <c r="E2756" t="s">
        <v>3052</v>
      </c>
      <c r="F2756" t="s">
        <v>3052</v>
      </c>
      <c r="G2756" s="2">
        <v>45737</v>
      </c>
      <c r="H2756" s="2">
        <v>45767</v>
      </c>
      <c r="I2756">
        <v>159</v>
      </c>
      <c r="J2756">
        <v>159</v>
      </c>
      <c r="K2756" t="s">
        <v>20</v>
      </c>
      <c r="L2756">
        <v>0</v>
      </c>
      <c r="M2756">
        <v>0</v>
      </c>
    </row>
    <row r="2757" spans="1:13">
      <c r="A2757" t="s">
        <v>2952</v>
      </c>
      <c r="B2757" t="s">
        <v>2953</v>
      </c>
      <c r="C2757" t="s">
        <v>16</v>
      </c>
      <c r="D2757" t="s">
        <v>21</v>
      </c>
      <c r="E2757" t="s">
        <v>3053</v>
      </c>
      <c r="F2757" t="s">
        <v>3053</v>
      </c>
      <c r="G2757" s="2">
        <v>45737</v>
      </c>
      <c r="H2757" s="2">
        <v>45767</v>
      </c>
      <c r="I2757">
        <v>159</v>
      </c>
      <c r="J2757">
        <v>159</v>
      </c>
      <c r="K2757" t="s">
        <v>20</v>
      </c>
      <c r="L2757">
        <v>0</v>
      </c>
      <c r="M2757">
        <v>0</v>
      </c>
    </row>
    <row r="2758" spans="1:13">
      <c r="A2758" t="s">
        <v>2952</v>
      </c>
      <c r="B2758" t="s">
        <v>2953</v>
      </c>
      <c r="C2758" t="s">
        <v>16</v>
      </c>
      <c r="D2758" t="s">
        <v>21</v>
      </c>
      <c r="E2758" t="s">
        <v>3054</v>
      </c>
      <c r="F2758" t="s">
        <v>3054</v>
      </c>
      <c r="G2758" s="2">
        <v>45737</v>
      </c>
      <c r="H2758" s="2">
        <v>45767</v>
      </c>
      <c r="I2758">
        <v>318</v>
      </c>
      <c r="J2758">
        <v>318</v>
      </c>
      <c r="K2758" t="s">
        <v>20</v>
      </c>
      <c r="L2758">
        <v>0</v>
      </c>
      <c r="M2758">
        <v>0</v>
      </c>
    </row>
    <row r="2759" spans="1:13">
      <c r="A2759" t="s">
        <v>2952</v>
      </c>
      <c r="B2759" t="s">
        <v>2953</v>
      </c>
      <c r="C2759" t="s">
        <v>16</v>
      </c>
      <c r="D2759" t="s">
        <v>21</v>
      </c>
      <c r="E2759" t="s">
        <v>3055</v>
      </c>
      <c r="F2759" t="s">
        <v>3055</v>
      </c>
      <c r="G2759" s="2">
        <v>45740</v>
      </c>
      <c r="H2759" s="2">
        <v>45770</v>
      </c>
      <c r="I2759">
        <v>159</v>
      </c>
      <c r="J2759">
        <v>159</v>
      </c>
      <c r="K2759" t="s">
        <v>20</v>
      </c>
      <c r="L2759">
        <v>0</v>
      </c>
      <c r="M2759">
        <v>0</v>
      </c>
    </row>
    <row r="2760" spans="1:13">
      <c r="A2760" t="s">
        <v>2952</v>
      </c>
      <c r="B2760" t="s">
        <v>2953</v>
      </c>
      <c r="C2760" t="s">
        <v>16</v>
      </c>
      <c r="D2760" t="s">
        <v>21</v>
      </c>
      <c r="E2760" t="s">
        <v>3056</v>
      </c>
      <c r="F2760" t="s">
        <v>3056</v>
      </c>
      <c r="G2760" s="2">
        <v>45740</v>
      </c>
      <c r="H2760" s="2">
        <v>45770</v>
      </c>
      <c r="I2760">
        <v>159</v>
      </c>
      <c r="J2760">
        <v>159</v>
      </c>
      <c r="K2760" t="s">
        <v>20</v>
      </c>
      <c r="L2760">
        <v>0</v>
      </c>
      <c r="M2760">
        <v>0</v>
      </c>
    </row>
    <row r="2761" spans="1:13">
      <c r="A2761" t="s">
        <v>2952</v>
      </c>
      <c r="B2761" t="s">
        <v>2953</v>
      </c>
      <c r="C2761" t="s">
        <v>16</v>
      </c>
      <c r="D2761" t="s">
        <v>21</v>
      </c>
      <c r="E2761" t="s">
        <v>3057</v>
      </c>
      <c r="F2761" t="s">
        <v>3057</v>
      </c>
      <c r="G2761" s="2">
        <v>45740</v>
      </c>
      <c r="H2761" s="2">
        <v>45770</v>
      </c>
      <c r="I2761">
        <v>159</v>
      </c>
      <c r="J2761">
        <v>159</v>
      </c>
      <c r="K2761" t="s">
        <v>20</v>
      </c>
      <c r="L2761">
        <v>0</v>
      </c>
      <c r="M2761">
        <v>0</v>
      </c>
    </row>
    <row r="2762" spans="1:13">
      <c r="A2762" t="s">
        <v>2952</v>
      </c>
      <c r="B2762" t="s">
        <v>2953</v>
      </c>
      <c r="C2762" t="s">
        <v>16</v>
      </c>
      <c r="D2762" t="s">
        <v>21</v>
      </c>
      <c r="E2762" t="s">
        <v>3058</v>
      </c>
      <c r="F2762" t="s">
        <v>3058</v>
      </c>
      <c r="G2762" s="2">
        <v>45740</v>
      </c>
      <c r="H2762" s="2">
        <v>45770</v>
      </c>
      <c r="I2762">
        <v>159</v>
      </c>
      <c r="J2762">
        <v>159</v>
      </c>
      <c r="K2762" t="s">
        <v>20</v>
      </c>
      <c r="L2762">
        <v>0</v>
      </c>
      <c r="M2762">
        <v>0</v>
      </c>
    </row>
    <row r="2763" spans="1:13">
      <c r="A2763" t="s">
        <v>2952</v>
      </c>
      <c r="B2763" t="s">
        <v>2953</v>
      </c>
      <c r="C2763" t="s">
        <v>16</v>
      </c>
      <c r="D2763" t="s">
        <v>21</v>
      </c>
      <c r="E2763" t="s">
        <v>3059</v>
      </c>
      <c r="F2763" t="s">
        <v>3059</v>
      </c>
      <c r="G2763" s="2">
        <v>45740</v>
      </c>
      <c r="H2763" s="2">
        <v>45770</v>
      </c>
      <c r="I2763">
        <v>318</v>
      </c>
      <c r="J2763">
        <v>318</v>
      </c>
      <c r="K2763" t="s">
        <v>20</v>
      </c>
      <c r="L2763">
        <v>0</v>
      </c>
      <c r="M2763">
        <v>0</v>
      </c>
    </row>
    <row r="2764" spans="1:13">
      <c r="A2764" t="s">
        <v>2952</v>
      </c>
      <c r="B2764" t="s">
        <v>2953</v>
      </c>
      <c r="C2764" t="s">
        <v>16</v>
      </c>
      <c r="D2764" t="s">
        <v>21</v>
      </c>
      <c r="E2764" t="s">
        <v>3060</v>
      </c>
      <c r="F2764" t="s">
        <v>3060</v>
      </c>
      <c r="G2764" s="2">
        <v>45740</v>
      </c>
      <c r="H2764" s="2">
        <v>45770</v>
      </c>
      <c r="I2764">
        <v>318</v>
      </c>
      <c r="J2764">
        <v>318</v>
      </c>
      <c r="K2764" t="s">
        <v>20</v>
      </c>
      <c r="L2764">
        <v>0</v>
      </c>
      <c r="M2764">
        <v>0</v>
      </c>
    </row>
    <row r="2765" spans="1:13">
      <c r="A2765" t="s">
        <v>2952</v>
      </c>
      <c r="B2765" t="s">
        <v>2953</v>
      </c>
      <c r="C2765" t="s">
        <v>16</v>
      </c>
      <c r="D2765" t="s">
        <v>21</v>
      </c>
      <c r="E2765" t="s">
        <v>3061</v>
      </c>
      <c r="F2765" t="s">
        <v>3061</v>
      </c>
      <c r="G2765" s="2">
        <v>45740</v>
      </c>
      <c r="H2765" s="2">
        <v>45770</v>
      </c>
      <c r="I2765">
        <v>159</v>
      </c>
      <c r="J2765">
        <v>159</v>
      </c>
      <c r="K2765" t="s">
        <v>20</v>
      </c>
      <c r="L2765">
        <v>0</v>
      </c>
      <c r="M2765">
        <v>0</v>
      </c>
    </row>
    <row r="2766" spans="1:13">
      <c r="A2766" t="s">
        <v>2952</v>
      </c>
      <c r="B2766" t="s">
        <v>2953</v>
      </c>
      <c r="C2766" t="s">
        <v>16</v>
      </c>
      <c r="D2766" t="s">
        <v>21</v>
      </c>
      <c r="E2766" t="s">
        <v>3062</v>
      </c>
      <c r="F2766" t="s">
        <v>3062</v>
      </c>
      <c r="G2766" s="2">
        <v>45740</v>
      </c>
      <c r="H2766" s="2">
        <v>45770</v>
      </c>
      <c r="I2766">
        <v>159</v>
      </c>
      <c r="J2766">
        <v>159</v>
      </c>
      <c r="K2766" t="s">
        <v>20</v>
      </c>
      <c r="L2766">
        <v>0</v>
      </c>
      <c r="M2766">
        <v>0</v>
      </c>
    </row>
    <row r="2767" spans="1:13">
      <c r="A2767" t="s">
        <v>2952</v>
      </c>
      <c r="B2767" t="s">
        <v>2953</v>
      </c>
      <c r="C2767" t="s">
        <v>16</v>
      </c>
      <c r="D2767" t="s">
        <v>21</v>
      </c>
      <c r="E2767" t="s">
        <v>3063</v>
      </c>
      <c r="F2767" t="s">
        <v>3063</v>
      </c>
      <c r="G2767" s="2">
        <v>45740</v>
      </c>
      <c r="H2767" s="2">
        <v>45770</v>
      </c>
      <c r="I2767">
        <v>159</v>
      </c>
      <c r="J2767">
        <v>159</v>
      </c>
      <c r="K2767" t="s">
        <v>20</v>
      </c>
      <c r="L2767">
        <v>0</v>
      </c>
      <c r="M2767">
        <v>0</v>
      </c>
    </row>
    <row r="2768" spans="1:13">
      <c r="A2768" t="s">
        <v>2952</v>
      </c>
      <c r="B2768" t="s">
        <v>2953</v>
      </c>
      <c r="C2768" t="s">
        <v>16</v>
      </c>
      <c r="D2768" t="s">
        <v>21</v>
      </c>
      <c r="E2768" t="s">
        <v>3064</v>
      </c>
      <c r="F2768" t="s">
        <v>3064</v>
      </c>
      <c r="G2768" s="2">
        <v>45740</v>
      </c>
      <c r="H2768" s="2">
        <v>45770</v>
      </c>
      <c r="I2768">
        <v>159</v>
      </c>
      <c r="J2768">
        <v>159</v>
      </c>
      <c r="K2768" t="s">
        <v>20</v>
      </c>
      <c r="L2768">
        <v>0</v>
      </c>
      <c r="M2768">
        <v>0</v>
      </c>
    </row>
    <row r="2769" spans="1:13">
      <c r="A2769" t="s">
        <v>2952</v>
      </c>
      <c r="B2769" t="s">
        <v>2953</v>
      </c>
      <c r="C2769" t="s">
        <v>16</v>
      </c>
      <c r="D2769" t="s">
        <v>21</v>
      </c>
      <c r="E2769" t="s">
        <v>3065</v>
      </c>
      <c r="F2769" t="s">
        <v>3065</v>
      </c>
      <c r="G2769" s="2">
        <v>45740</v>
      </c>
      <c r="H2769" s="2">
        <v>45770</v>
      </c>
      <c r="I2769">
        <v>159</v>
      </c>
      <c r="J2769">
        <v>159</v>
      </c>
      <c r="K2769" t="s">
        <v>20</v>
      </c>
      <c r="L2769">
        <v>0</v>
      </c>
      <c r="M2769">
        <v>0</v>
      </c>
    </row>
    <row r="2770" spans="1:13">
      <c r="A2770" t="s">
        <v>2952</v>
      </c>
      <c r="B2770" t="s">
        <v>2953</v>
      </c>
      <c r="C2770" t="s">
        <v>16</v>
      </c>
      <c r="D2770" t="s">
        <v>21</v>
      </c>
      <c r="E2770" t="s">
        <v>3066</v>
      </c>
      <c r="F2770" t="s">
        <v>3066</v>
      </c>
      <c r="G2770" s="2">
        <v>45740</v>
      </c>
      <c r="H2770" s="2">
        <v>45770</v>
      </c>
      <c r="I2770">
        <v>477</v>
      </c>
      <c r="J2770">
        <v>477</v>
      </c>
      <c r="K2770" t="s">
        <v>20</v>
      </c>
      <c r="L2770">
        <v>0</v>
      </c>
      <c r="M2770">
        <v>0</v>
      </c>
    </row>
    <row r="2771" spans="1:13">
      <c r="A2771" t="s">
        <v>2952</v>
      </c>
      <c r="B2771" t="s">
        <v>2953</v>
      </c>
      <c r="C2771" t="s">
        <v>16</v>
      </c>
      <c r="D2771" t="s">
        <v>21</v>
      </c>
      <c r="E2771" t="s">
        <v>3067</v>
      </c>
      <c r="F2771" t="s">
        <v>3067</v>
      </c>
      <c r="G2771" s="2">
        <v>45740</v>
      </c>
      <c r="H2771" s="2">
        <v>45770</v>
      </c>
      <c r="I2771">
        <v>159</v>
      </c>
      <c r="J2771">
        <v>159</v>
      </c>
      <c r="K2771" t="s">
        <v>20</v>
      </c>
      <c r="L2771">
        <v>0</v>
      </c>
      <c r="M2771">
        <v>0</v>
      </c>
    </row>
    <row r="2772" spans="1:13">
      <c r="A2772" t="s">
        <v>2952</v>
      </c>
      <c r="B2772" t="s">
        <v>2953</v>
      </c>
      <c r="C2772" t="s">
        <v>16</v>
      </c>
      <c r="D2772" t="s">
        <v>21</v>
      </c>
      <c r="E2772" t="s">
        <v>3068</v>
      </c>
      <c r="F2772" t="s">
        <v>3068</v>
      </c>
      <c r="G2772" s="2">
        <v>45740</v>
      </c>
      <c r="H2772" s="2">
        <v>45770</v>
      </c>
      <c r="I2772">
        <v>159</v>
      </c>
      <c r="J2772">
        <v>159</v>
      </c>
      <c r="K2772" t="s">
        <v>20</v>
      </c>
      <c r="L2772">
        <v>0</v>
      </c>
      <c r="M2772">
        <v>0</v>
      </c>
    </row>
    <row r="2773" spans="1:13">
      <c r="A2773" t="s">
        <v>2952</v>
      </c>
      <c r="B2773" t="s">
        <v>2953</v>
      </c>
      <c r="C2773" t="s">
        <v>16</v>
      </c>
      <c r="D2773" t="s">
        <v>21</v>
      </c>
      <c r="E2773" t="s">
        <v>3069</v>
      </c>
      <c r="F2773" t="s">
        <v>3069</v>
      </c>
      <c r="G2773" s="2">
        <v>45740</v>
      </c>
      <c r="H2773" s="2">
        <v>45770</v>
      </c>
      <c r="I2773">
        <v>159</v>
      </c>
      <c r="J2773">
        <v>159</v>
      </c>
      <c r="K2773" t="s">
        <v>20</v>
      </c>
      <c r="L2773">
        <v>0</v>
      </c>
      <c r="M2773">
        <v>0</v>
      </c>
    </row>
    <row r="2774" spans="1:13">
      <c r="A2774" t="s">
        <v>2952</v>
      </c>
      <c r="B2774" t="s">
        <v>2953</v>
      </c>
      <c r="C2774" t="s">
        <v>16</v>
      </c>
      <c r="D2774" t="s">
        <v>21</v>
      </c>
      <c r="E2774" t="s">
        <v>3070</v>
      </c>
      <c r="F2774" t="s">
        <v>3070</v>
      </c>
      <c r="G2774" s="2">
        <v>45740</v>
      </c>
      <c r="H2774" s="2">
        <v>45770</v>
      </c>
      <c r="I2774">
        <v>159</v>
      </c>
      <c r="J2774">
        <v>159</v>
      </c>
      <c r="K2774" t="s">
        <v>20</v>
      </c>
      <c r="L2774">
        <v>0</v>
      </c>
      <c r="M2774">
        <v>0</v>
      </c>
    </row>
    <row r="2775" spans="1:13">
      <c r="A2775" t="s">
        <v>2952</v>
      </c>
      <c r="B2775" t="s">
        <v>2953</v>
      </c>
      <c r="C2775" t="s">
        <v>16</v>
      </c>
      <c r="D2775" t="s">
        <v>21</v>
      </c>
      <c r="E2775" t="s">
        <v>3071</v>
      </c>
      <c r="F2775" t="s">
        <v>3071</v>
      </c>
      <c r="G2775" s="2">
        <v>45740</v>
      </c>
      <c r="H2775" s="2">
        <v>45770</v>
      </c>
      <c r="I2775">
        <v>159</v>
      </c>
      <c r="J2775">
        <v>159</v>
      </c>
      <c r="K2775" t="s">
        <v>20</v>
      </c>
      <c r="L2775">
        <v>0</v>
      </c>
      <c r="M2775">
        <v>0</v>
      </c>
    </row>
    <row r="2776" spans="1:13">
      <c r="A2776" t="s">
        <v>2952</v>
      </c>
      <c r="B2776" t="s">
        <v>2953</v>
      </c>
      <c r="C2776" t="s">
        <v>16</v>
      </c>
      <c r="D2776" t="s">
        <v>21</v>
      </c>
      <c r="E2776" t="s">
        <v>3072</v>
      </c>
      <c r="F2776" t="s">
        <v>3072</v>
      </c>
      <c r="G2776" s="2">
        <v>45740</v>
      </c>
      <c r="H2776" s="2">
        <v>45770</v>
      </c>
      <c r="I2776">
        <v>159</v>
      </c>
      <c r="J2776">
        <v>159</v>
      </c>
      <c r="K2776" t="s">
        <v>20</v>
      </c>
      <c r="L2776">
        <v>0</v>
      </c>
      <c r="M2776">
        <v>0</v>
      </c>
    </row>
    <row r="2777" spans="1:13">
      <c r="A2777" t="s">
        <v>2952</v>
      </c>
      <c r="B2777" t="s">
        <v>2953</v>
      </c>
      <c r="C2777" t="s">
        <v>16</v>
      </c>
      <c r="D2777" t="s">
        <v>21</v>
      </c>
      <c r="E2777" t="s">
        <v>3073</v>
      </c>
      <c r="F2777" t="s">
        <v>3073</v>
      </c>
      <c r="G2777" s="2">
        <v>45741</v>
      </c>
      <c r="H2777" s="2">
        <v>45771</v>
      </c>
      <c r="I2777">
        <v>477</v>
      </c>
      <c r="J2777">
        <v>477</v>
      </c>
      <c r="K2777" t="s">
        <v>20</v>
      </c>
      <c r="L2777">
        <v>0</v>
      </c>
      <c r="M2777">
        <v>0</v>
      </c>
    </row>
    <row r="2778" spans="1:13">
      <c r="A2778" t="s">
        <v>2952</v>
      </c>
      <c r="B2778" t="s">
        <v>2953</v>
      </c>
      <c r="C2778" t="s">
        <v>16</v>
      </c>
      <c r="D2778" t="s">
        <v>21</v>
      </c>
      <c r="E2778" t="s">
        <v>3074</v>
      </c>
      <c r="F2778" t="s">
        <v>3074</v>
      </c>
      <c r="G2778" s="2">
        <v>45741</v>
      </c>
      <c r="H2778" s="2">
        <v>45771</v>
      </c>
      <c r="I2778">
        <v>159</v>
      </c>
      <c r="J2778">
        <v>159</v>
      </c>
      <c r="K2778" t="s">
        <v>20</v>
      </c>
      <c r="L2778">
        <v>0</v>
      </c>
      <c r="M2778">
        <v>0</v>
      </c>
    </row>
    <row r="2779" spans="1:13">
      <c r="A2779" t="s">
        <v>2952</v>
      </c>
      <c r="B2779" t="s">
        <v>2953</v>
      </c>
      <c r="C2779" t="s">
        <v>16</v>
      </c>
      <c r="D2779" t="s">
        <v>21</v>
      </c>
      <c r="E2779" t="s">
        <v>3075</v>
      </c>
      <c r="F2779" t="s">
        <v>3075</v>
      </c>
      <c r="G2779" s="2">
        <v>45741</v>
      </c>
      <c r="H2779" s="2">
        <v>45771</v>
      </c>
      <c r="I2779">
        <v>159</v>
      </c>
      <c r="J2779">
        <v>159</v>
      </c>
      <c r="K2779" t="s">
        <v>20</v>
      </c>
      <c r="L2779">
        <v>0</v>
      </c>
      <c r="M2779">
        <v>0</v>
      </c>
    </row>
    <row r="2780" spans="1:13">
      <c r="A2780" t="s">
        <v>2952</v>
      </c>
      <c r="B2780" t="s">
        <v>2953</v>
      </c>
      <c r="C2780" t="s">
        <v>16</v>
      </c>
      <c r="D2780" t="s">
        <v>21</v>
      </c>
      <c r="E2780" t="s">
        <v>3076</v>
      </c>
      <c r="F2780" t="s">
        <v>3076</v>
      </c>
      <c r="G2780" s="2">
        <v>45741</v>
      </c>
      <c r="H2780" s="2">
        <v>45771</v>
      </c>
      <c r="I2780">
        <v>318</v>
      </c>
      <c r="J2780">
        <v>318</v>
      </c>
      <c r="K2780" t="s">
        <v>20</v>
      </c>
      <c r="L2780">
        <v>0</v>
      </c>
      <c r="M2780">
        <v>0</v>
      </c>
    </row>
    <row r="2781" spans="1:13">
      <c r="A2781" t="s">
        <v>2952</v>
      </c>
      <c r="B2781" t="s">
        <v>2953</v>
      </c>
      <c r="C2781" t="s">
        <v>16</v>
      </c>
      <c r="D2781" t="s">
        <v>21</v>
      </c>
      <c r="E2781" t="s">
        <v>3077</v>
      </c>
      <c r="F2781" t="s">
        <v>3077</v>
      </c>
      <c r="G2781" s="2">
        <v>45741</v>
      </c>
      <c r="H2781" s="2">
        <v>45771</v>
      </c>
      <c r="I2781">
        <v>318</v>
      </c>
      <c r="J2781">
        <v>318</v>
      </c>
      <c r="K2781" t="s">
        <v>20</v>
      </c>
      <c r="L2781">
        <v>0</v>
      </c>
      <c r="M2781">
        <v>0</v>
      </c>
    </row>
    <row r="2782" spans="1:13">
      <c r="A2782" t="s">
        <v>2952</v>
      </c>
      <c r="B2782" t="s">
        <v>2953</v>
      </c>
      <c r="C2782" t="s">
        <v>16</v>
      </c>
      <c r="D2782" t="s">
        <v>21</v>
      </c>
      <c r="E2782" t="s">
        <v>3078</v>
      </c>
      <c r="F2782" t="s">
        <v>3078</v>
      </c>
      <c r="G2782" s="2">
        <v>45741</v>
      </c>
      <c r="H2782" s="2">
        <v>45771</v>
      </c>
      <c r="I2782">
        <v>159</v>
      </c>
      <c r="J2782">
        <v>159</v>
      </c>
      <c r="K2782" t="s">
        <v>20</v>
      </c>
      <c r="L2782">
        <v>0</v>
      </c>
      <c r="M2782">
        <v>0</v>
      </c>
    </row>
    <row r="2783" spans="1:13">
      <c r="A2783" t="s">
        <v>2952</v>
      </c>
      <c r="B2783" t="s">
        <v>2953</v>
      </c>
      <c r="C2783" t="s">
        <v>16</v>
      </c>
      <c r="D2783" t="s">
        <v>21</v>
      </c>
      <c r="E2783" t="s">
        <v>3079</v>
      </c>
      <c r="F2783" t="s">
        <v>3079</v>
      </c>
      <c r="G2783" s="2">
        <v>45742</v>
      </c>
      <c r="H2783" s="2">
        <v>45772</v>
      </c>
      <c r="I2783">
        <v>636</v>
      </c>
      <c r="J2783">
        <v>636</v>
      </c>
      <c r="K2783" t="s">
        <v>20</v>
      </c>
      <c r="L2783">
        <v>0</v>
      </c>
      <c r="M2783">
        <v>0</v>
      </c>
    </row>
    <row r="2784" spans="1:13">
      <c r="A2784" t="s">
        <v>2952</v>
      </c>
      <c r="B2784" t="s">
        <v>2953</v>
      </c>
      <c r="C2784" t="s">
        <v>16</v>
      </c>
      <c r="D2784" t="s">
        <v>21</v>
      </c>
      <c r="E2784" t="s">
        <v>3080</v>
      </c>
      <c r="F2784" t="s">
        <v>3080</v>
      </c>
      <c r="G2784" s="2">
        <v>45742</v>
      </c>
      <c r="H2784" s="2">
        <v>45772</v>
      </c>
      <c r="I2784">
        <v>159</v>
      </c>
      <c r="J2784">
        <v>159</v>
      </c>
      <c r="K2784" t="s">
        <v>20</v>
      </c>
      <c r="L2784">
        <v>0</v>
      </c>
      <c r="M2784">
        <v>0</v>
      </c>
    </row>
    <row r="2785" spans="1:13">
      <c r="A2785" t="s">
        <v>2952</v>
      </c>
      <c r="B2785" t="s">
        <v>2953</v>
      </c>
      <c r="C2785" t="s">
        <v>16</v>
      </c>
      <c r="D2785" t="s">
        <v>21</v>
      </c>
      <c r="E2785" t="s">
        <v>3081</v>
      </c>
      <c r="F2785" t="s">
        <v>3081</v>
      </c>
      <c r="G2785" s="2">
        <v>45742</v>
      </c>
      <c r="H2785" s="2">
        <v>45772</v>
      </c>
      <c r="I2785">
        <v>318</v>
      </c>
      <c r="J2785">
        <v>318</v>
      </c>
      <c r="K2785" t="s">
        <v>20</v>
      </c>
      <c r="L2785">
        <v>0</v>
      </c>
      <c r="M2785">
        <v>0</v>
      </c>
    </row>
    <row r="2786" spans="1:13">
      <c r="A2786" t="s">
        <v>3082</v>
      </c>
      <c r="B2786" t="s">
        <v>3083</v>
      </c>
      <c r="C2786" t="s">
        <v>347</v>
      </c>
      <c r="D2786" t="s">
        <v>21</v>
      </c>
      <c r="E2786" t="s">
        <v>3084</v>
      </c>
      <c r="F2786" t="s">
        <v>3084</v>
      </c>
      <c r="G2786" s="2">
        <v>45733</v>
      </c>
      <c r="H2786" s="2">
        <v>45733</v>
      </c>
      <c r="I2786" s="1">
        <v>4284</v>
      </c>
      <c r="J2786">
        <v>4284</v>
      </c>
      <c r="K2786" t="s">
        <v>20</v>
      </c>
      <c r="L2786">
        <v>12</v>
      </c>
      <c r="M2786">
        <v>4284</v>
      </c>
    </row>
    <row r="2787" spans="1:13">
      <c r="A2787" t="s">
        <v>3085</v>
      </c>
      <c r="B2787" t="s">
        <v>3086</v>
      </c>
      <c r="C2787" t="s">
        <v>213</v>
      </c>
      <c r="D2787" t="s">
        <v>21</v>
      </c>
      <c r="E2787" t="s">
        <v>3087</v>
      </c>
      <c r="F2787" t="s">
        <v>3087</v>
      </c>
      <c r="G2787" s="2">
        <v>45687</v>
      </c>
      <c r="H2787" s="2">
        <v>45687</v>
      </c>
      <c r="I2787">
        <v>20</v>
      </c>
      <c r="J2787">
        <v>20</v>
      </c>
      <c r="K2787" t="s">
        <v>20</v>
      </c>
      <c r="L2787">
        <v>0</v>
      </c>
      <c r="M2787">
        <v>20</v>
      </c>
    </row>
    <row r="2788" spans="1:13">
      <c r="A2788" t="s">
        <v>3088</v>
      </c>
      <c r="B2788" t="s">
        <v>3089</v>
      </c>
      <c r="C2788" t="s">
        <v>213</v>
      </c>
      <c r="D2788" t="s">
        <v>55</v>
      </c>
      <c r="E2788" t="s">
        <v>19</v>
      </c>
      <c r="F2788" t="s">
        <v>19</v>
      </c>
      <c r="H2788" s="2">
        <v>45706</v>
      </c>
      <c r="I2788" s="1">
        <v>-1159.54</v>
      </c>
      <c r="J2788">
        <v>-1159.54</v>
      </c>
      <c r="K2788" t="s">
        <v>20</v>
      </c>
      <c r="L2788">
        <v>0</v>
      </c>
      <c r="M2788">
        <v>-1159.54</v>
      </c>
    </row>
    <row r="2789" spans="1:13">
      <c r="A2789" t="s">
        <v>3088</v>
      </c>
      <c r="B2789" t="s">
        <v>3089</v>
      </c>
      <c r="C2789" t="s">
        <v>213</v>
      </c>
      <c r="D2789" t="s">
        <v>55</v>
      </c>
      <c r="E2789" t="s">
        <v>19</v>
      </c>
      <c r="F2789" t="s">
        <v>19</v>
      </c>
      <c r="H2789" s="2">
        <v>45706</v>
      </c>
      <c r="I2789" s="1">
        <v>-1528.05</v>
      </c>
      <c r="J2789">
        <v>-1528.05</v>
      </c>
      <c r="K2789" t="s">
        <v>20</v>
      </c>
      <c r="L2789">
        <v>0</v>
      </c>
      <c r="M2789">
        <v>-1528.05</v>
      </c>
    </row>
    <row r="2790" spans="1:13">
      <c r="J2790" t="s">
        <v>86</v>
      </c>
    </row>
    <row r="2791" spans="1:13">
      <c r="J2791" t="s">
        <v>86</v>
      </c>
    </row>
    <row r="2792" spans="1:13">
      <c r="J2792" t="s">
        <v>86</v>
      </c>
    </row>
    <row r="2793" spans="1:13">
      <c r="J2793" t="s">
        <v>86</v>
      </c>
    </row>
    <row r="2794" spans="1:13">
      <c r="J2794" t="s">
        <v>86</v>
      </c>
    </row>
    <row r="2795" spans="1:13">
      <c r="J2795" t="s">
        <v>86</v>
      </c>
    </row>
    <row r="2796" spans="1:13">
      <c r="J2796" t="s">
        <v>86</v>
      </c>
    </row>
    <row r="2797" spans="1:13">
      <c r="J2797" t="s">
        <v>86</v>
      </c>
    </row>
    <row r="2798" spans="1:13">
      <c r="J2798" t="s">
        <v>86</v>
      </c>
    </row>
    <row r="2799" spans="1:13">
      <c r="J2799" t="s">
        <v>86</v>
      </c>
    </row>
    <row r="2800" spans="1:13">
      <c r="J2800" t="s">
        <v>86</v>
      </c>
    </row>
    <row r="2801" spans="10:10">
      <c r="J2801" t="s">
        <v>86</v>
      </c>
    </row>
    <row r="2802" spans="10:10">
      <c r="J2802" t="s">
        <v>86</v>
      </c>
    </row>
    <row r="2803" spans="10:10">
      <c r="J2803" t="s">
        <v>86</v>
      </c>
    </row>
    <row r="2804" spans="10:10">
      <c r="J2804" t="s">
        <v>86</v>
      </c>
    </row>
    <row r="2805" spans="10:10">
      <c r="J2805" t="s">
        <v>86</v>
      </c>
    </row>
    <row r="2806" spans="10:10">
      <c r="J2806" t="s">
        <v>86</v>
      </c>
    </row>
    <row r="2807" spans="10:10">
      <c r="J2807" t="s">
        <v>86</v>
      </c>
    </row>
    <row r="2808" spans="10:10">
      <c r="J2808" t="s">
        <v>86</v>
      </c>
    </row>
    <row r="2809" spans="10:10">
      <c r="J2809" t="s">
        <v>86</v>
      </c>
    </row>
    <row r="2810" spans="10:10">
      <c r="J2810" t="s">
        <v>86</v>
      </c>
    </row>
    <row r="2811" spans="10:10">
      <c r="J2811" t="s">
        <v>86</v>
      </c>
    </row>
    <row r="2812" spans="10:10">
      <c r="J2812" t="s">
        <v>86</v>
      </c>
    </row>
    <row r="2813" spans="10:10">
      <c r="J2813" t="s">
        <v>86</v>
      </c>
    </row>
    <row r="2814" spans="10:10">
      <c r="J2814" t="s">
        <v>86</v>
      </c>
    </row>
    <row r="2815" spans="10:10">
      <c r="J2815" t="s">
        <v>86</v>
      </c>
    </row>
    <row r="2816" spans="10:10">
      <c r="J2816" t="s">
        <v>86</v>
      </c>
    </row>
    <row r="2817" spans="10:10">
      <c r="J2817" t="s">
        <v>86</v>
      </c>
    </row>
    <row r="2818" spans="10:10">
      <c r="J2818" t="s">
        <v>86</v>
      </c>
    </row>
    <row r="2819" spans="10:10">
      <c r="J2819" t="s">
        <v>86</v>
      </c>
    </row>
    <row r="2820" spans="10:10">
      <c r="J2820" t="s">
        <v>86</v>
      </c>
    </row>
    <row r="2821" spans="10:10">
      <c r="J2821" t="s">
        <v>86</v>
      </c>
    </row>
    <row r="2822" spans="10:10">
      <c r="J2822" t="s">
        <v>86</v>
      </c>
    </row>
    <row r="2823" spans="10:10">
      <c r="J2823" t="s">
        <v>86</v>
      </c>
    </row>
    <row r="2824" spans="10:10">
      <c r="J2824" t="s">
        <v>86</v>
      </c>
    </row>
    <row r="2825" spans="10:10">
      <c r="J2825" t="s">
        <v>86</v>
      </c>
    </row>
    <row r="2826" spans="10:10">
      <c r="J2826" t="s">
        <v>86</v>
      </c>
    </row>
    <row r="2827" spans="10:10">
      <c r="J2827" t="s">
        <v>86</v>
      </c>
    </row>
    <row r="2828" spans="10:10">
      <c r="J2828" t="s">
        <v>86</v>
      </c>
    </row>
    <row r="2829" spans="10:10">
      <c r="J2829" t="s">
        <v>86</v>
      </c>
    </row>
    <row r="2830" spans="10:10">
      <c r="J2830" t="s">
        <v>86</v>
      </c>
    </row>
    <row r="2831" spans="10:10">
      <c r="J2831" t="s">
        <v>86</v>
      </c>
    </row>
    <row r="2832" spans="10:10">
      <c r="J2832" t="s">
        <v>86</v>
      </c>
    </row>
    <row r="2833" spans="10:10">
      <c r="J2833" t="s">
        <v>86</v>
      </c>
    </row>
    <row r="2834" spans="10:10">
      <c r="J2834" t="s">
        <v>86</v>
      </c>
    </row>
    <row r="2835" spans="10:10">
      <c r="J2835" t="s">
        <v>86</v>
      </c>
    </row>
    <row r="2836" spans="10:10">
      <c r="J2836" t="s">
        <v>86</v>
      </c>
    </row>
    <row r="2837" spans="10:10">
      <c r="J2837" t="s">
        <v>86</v>
      </c>
    </row>
    <row r="2838" spans="10:10">
      <c r="J2838" t="s">
        <v>86</v>
      </c>
    </row>
    <row r="2839" spans="10:10">
      <c r="J2839" t="s">
        <v>86</v>
      </c>
    </row>
    <row r="2840" spans="10:10">
      <c r="J2840" t="s">
        <v>86</v>
      </c>
    </row>
    <row r="2841" spans="10:10">
      <c r="J2841" t="s">
        <v>86</v>
      </c>
    </row>
    <row r="2842" spans="10:10">
      <c r="J2842" t="s">
        <v>86</v>
      </c>
    </row>
    <row r="2843" spans="10:10">
      <c r="J2843" t="s">
        <v>86</v>
      </c>
    </row>
    <row r="2844" spans="10:10">
      <c r="J2844" t="s">
        <v>86</v>
      </c>
    </row>
    <row r="2845" spans="10:10">
      <c r="J2845" t="s">
        <v>86</v>
      </c>
    </row>
    <row r="2846" spans="10:10">
      <c r="J2846" t="s">
        <v>86</v>
      </c>
    </row>
    <row r="2847" spans="10:10">
      <c r="J2847" t="s">
        <v>86</v>
      </c>
    </row>
    <row r="2848" spans="10:10">
      <c r="J2848" t="s">
        <v>86</v>
      </c>
    </row>
    <row r="2849" spans="10:10">
      <c r="J2849" t="s">
        <v>86</v>
      </c>
    </row>
    <row r="2850" spans="10:10">
      <c r="J2850" t="s">
        <v>86</v>
      </c>
    </row>
    <row r="2851" spans="10:10">
      <c r="J2851" t="s">
        <v>86</v>
      </c>
    </row>
    <row r="2852" spans="10:10">
      <c r="J2852" t="s">
        <v>86</v>
      </c>
    </row>
    <row r="2853" spans="10:10">
      <c r="J2853" t="s">
        <v>86</v>
      </c>
    </row>
    <row r="2854" spans="10:10">
      <c r="J2854" t="s">
        <v>86</v>
      </c>
    </row>
    <row r="2855" spans="10:10">
      <c r="J2855" t="s">
        <v>86</v>
      </c>
    </row>
    <row r="2856" spans="10:10">
      <c r="J2856" t="s">
        <v>86</v>
      </c>
    </row>
    <row r="2857" spans="10:10">
      <c r="J2857" t="s">
        <v>86</v>
      </c>
    </row>
    <row r="2858" spans="10:10">
      <c r="J2858" t="s">
        <v>86</v>
      </c>
    </row>
    <row r="2859" spans="10:10">
      <c r="J2859" t="s">
        <v>86</v>
      </c>
    </row>
    <row r="2860" spans="10:10">
      <c r="J2860" t="s">
        <v>86</v>
      </c>
    </row>
    <row r="2861" spans="10:10">
      <c r="J2861" t="s">
        <v>86</v>
      </c>
    </row>
    <row r="2862" spans="10:10">
      <c r="J2862" t="s">
        <v>86</v>
      </c>
    </row>
    <row r="2863" spans="10:10">
      <c r="J2863" t="s">
        <v>86</v>
      </c>
    </row>
    <row r="2864" spans="10:10">
      <c r="J2864" t="s">
        <v>86</v>
      </c>
    </row>
    <row r="2865" spans="10:10">
      <c r="J2865" t="s">
        <v>86</v>
      </c>
    </row>
    <row r="2866" spans="10:10">
      <c r="J2866" t="s">
        <v>86</v>
      </c>
    </row>
    <row r="2867" spans="10:10">
      <c r="J2867" t="s">
        <v>86</v>
      </c>
    </row>
    <row r="2868" spans="10:10">
      <c r="J2868" t="s">
        <v>86</v>
      </c>
    </row>
    <row r="2869" spans="10:10">
      <c r="J2869" t="s">
        <v>86</v>
      </c>
    </row>
    <row r="2870" spans="10:10">
      <c r="J2870" t="s">
        <v>86</v>
      </c>
    </row>
    <row r="2871" spans="10:10">
      <c r="J2871" t="s">
        <v>86</v>
      </c>
    </row>
    <row r="2872" spans="10:10">
      <c r="J2872" t="s">
        <v>86</v>
      </c>
    </row>
    <row r="2873" spans="10:10">
      <c r="J2873" t="s">
        <v>86</v>
      </c>
    </row>
    <row r="2874" spans="10:10">
      <c r="J2874" t="s">
        <v>86</v>
      </c>
    </row>
    <row r="2875" spans="10:10">
      <c r="J2875" t="s">
        <v>86</v>
      </c>
    </row>
    <row r="2876" spans="10:10">
      <c r="J2876" t="s">
        <v>86</v>
      </c>
    </row>
    <row r="2877" spans="10:10">
      <c r="J2877" t="s">
        <v>86</v>
      </c>
    </row>
    <row r="2878" spans="10:10">
      <c r="J2878" t="s">
        <v>86</v>
      </c>
    </row>
    <row r="2879" spans="10:10">
      <c r="J2879" t="s">
        <v>86</v>
      </c>
    </row>
    <row r="2880" spans="10:10">
      <c r="J2880" t="s">
        <v>86</v>
      </c>
    </row>
    <row r="2881" spans="10:10">
      <c r="J2881" t="s">
        <v>86</v>
      </c>
    </row>
    <row r="2882" spans="10:10">
      <c r="J2882" t="s">
        <v>86</v>
      </c>
    </row>
    <row r="2883" spans="10:10">
      <c r="J2883" t="s">
        <v>86</v>
      </c>
    </row>
    <row r="2884" spans="10:10">
      <c r="J2884" t="s">
        <v>86</v>
      </c>
    </row>
    <row r="2885" spans="10:10">
      <c r="J2885" t="s">
        <v>86</v>
      </c>
    </row>
    <row r="2886" spans="10:10">
      <c r="J2886" t="s">
        <v>86</v>
      </c>
    </row>
    <row r="2887" spans="10:10">
      <c r="J2887" t="s">
        <v>86</v>
      </c>
    </row>
    <row r="2888" spans="10:10">
      <c r="J2888" t="s">
        <v>86</v>
      </c>
    </row>
    <row r="2889" spans="10:10">
      <c r="J2889" t="s">
        <v>86</v>
      </c>
    </row>
    <row r="2890" spans="10:10">
      <c r="J2890" t="s">
        <v>86</v>
      </c>
    </row>
    <row r="2891" spans="10:10">
      <c r="J2891" t="s">
        <v>86</v>
      </c>
    </row>
    <row r="2892" spans="10:10">
      <c r="J2892" t="s">
        <v>86</v>
      </c>
    </row>
    <row r="2893" spans="10:10">
      <c r="J2893" t="s">
        <v>86</v>
      </c>
    </row>
    <row r="2894" spans="10:10">
      <c r="J2894" t="s">
        <v>86</v>
      </c>
    </row>
    <row r="2895" spans="10:10">
      <c r="J2895" t="s">
        <v>86</v>
      </c>
    </row>
    <row r="2896" spans="10:10">
      <c r="J2896" t="s">
        <v>86</v>
      </c>
    </row>
    <row r="2897" spans="10:10">
      <c r="J2897" t="s">
        <v>86</v>
      </c>
    </row>
    <row r="2898" spans="10:10">
      <c r="J2898" t="s">
        <v>86</v>
      </c>
    </row>
    <row r="2899" spans="10:10">
      <c r="J2899" t="s">
        <v>86</v>
      </c>
    </row>
    <row r="2900" spans="10:10">
      <c r="J2900" t="s">
        <v>86</v>
      </c>
    </row>
    <row r="2901" spans="10:10">
      <c r="J2901" t="s">
        <v>86</v>
      </c>
    </row>
    <row r="2902" spans="10:10">
      <c r="J2902" t="s">
        <v>86</v>
      </c>
    </row>
    <row r="2903" spans="10:10">
      <c r="J2903" t="s">
        <v>86</v>
      </c>
    </row>
    <row r="2904" spans="10:10">
      <c r="J2904" t="s">
        <v>86</v>
      </c>
    </row>
    <row r="2905" spans="10:10">
      <c r="J2905" t="s">
        <v>86</v>
      </c>
    </row>
    <row r="2906" spans="10:10">
      <c r="J2906" t="s">
        <v>86</v>
      </c>
    </row>
    <row r="2907" spans="10:10">
      <c r="J2907" t="s">
        <v>86</v>
      </c>
    </row>
    <row r="2908" spans="10:10">
      <c r="J2908" t="s">
        <v>86</v>
      </c>
    </row>
    <row r="2909" spans="10:10">
      <c r="J2909" t="s">
        <v>86</v>
      </c>
    </row>
    <row r="2910" spans="10:10">
      <c r="J2910" t="s">
        <v>86</v>
      </c>
    </row>
    <row r="2911" spans="10:10">
      <c r="J2911" t="s">
        <v>86</v>
      </c>
    </row>
    <row r="2912" spans="10:10">
      <c r="J2912" t="s">
        <v>86</v>
      </c>
    </row>
    <row r="2913" spans="10:10">
      <c r="J2913" t="s">
        <v>86</v>
      </c>
    </row>
    <row r="2914" spans="10:10">
      <c r="J2914" t="s">
        <v>86</v>
      </c>
    </row>
    <row r="2915" spans="10:10">
      <c r="J2915" t="s">
        <v>86</v>
      </c>
    </row>
    <row r="2916" spans="10:10">
      <c r="J2916" t="s">
        <v>86</v>
      </c>
    </row>
    <row r="2917" spans="10:10">
      <c r="J2917" t="s">
        <v>86</v>
      </c>
    </row>
    <row r="2918" spans="10:10">
      <c r="J2918" t="s">
        <v>86</v>
      </c>
    </row>
    <row r="2919" spans="10:10">
      <c r="J2919" t="s">
        <v>86</v>
      </c>
    </row>
    <row r="2920" spans="10:10">
      <c r="J2920" t="s">
        <v>86</v>
      </c>
    </row>
    <row r="2921" spans="10:10">
      <c r="J2921" t="s">
        <v>86</v>
      </c>
    </row>
    <row r="2922" spans="10:10">
      <c r="J2922" t="s">
        <v>86</v>
      </c>
    </row>
    <row r="2923" spans="10:10">
      <c r="J2923" t="s">
        <v>86</v>
      </c>
    </row>
    <row r="2924" spans="10:10">
      <c r="J2924" t="s">
        <v>86</v>
      </c>
    </row>
    <row r="2925" spans="10:10">
      <c r="J2925" t="s">
        <v>86</v>
      </c>
    </row>
    <row r="2926" spans="10:10">
      <c r="J2926" t="s">
        <v>86</v>
      </c>
    </row>
    <row r="2927" spans="10:10">
      <c r="J2927" t="s">
        <v>86</v>
      </c>
    </row>
    <row r="2928" spans="10:10">
      <c r="J2928" t="s">
        <v>86</v>
      </c>
    </row>
    <row r="2929" spans="10:10">
      <c r="J2929" t="s">
        <v>86</v>
      </c>
    </row>
    <row r="2930" spans="10:10">
      <c r="J2930" t="s">
        <v>86</v>
      </c>
    </row>
    <row r="2931" spans="10:10">
      <c r="J2931" t="s">
        <v>86</v>
      </c>
    </row>
    <row r="2932" spans="10:10">
      <c r="J2932" t="s">
        <v>86</v>
      </c>
    </row>
    <row r="2933" spans="10:10">
      <c r="J2933" t="s">
        <v>86</v>
      </c>
    </row>
    <row r="2934" spans="10:10">
      <c r="J2934" t="s">
        <v>86</v>
      </c>
    </row>
    <row r="2935" spans="10:10">
      <c r="J2935" t="s">
        <v>86</v>
      </c>
    </row>
    <row r="2936" spans="10:10">
      <c r="J2936" t="s">
        <v>86</v>
      </c>
    </row>
    <row r="2937" spans="10:10">
      <c r="J2937" t="s">
        <v>86</v>
      </c>
    </row>
    <row r="2938" spans="10:10">
      <c r="J2938" t="s">
        <v>86</v>
      </c>
    </row>
    <row r="2939" spans="10:10">
      <c r="J2939" t="s">
        <v>86</v>
      </c>
    </row>
    <row r="2940" spans="10:10">
      <c r="J2940" t="s">
        <v>86</v>
      </c>
    </row>
    <row r="2941" spans="10:10">
      <c r="J2941" t="s">
        <v>86</v>
      </c>
    </row>
    <row r="2942" spans="10:10">
      <c r="J2942" t="s">
        <v>86</v>
      </c>
    </row>
    <row r="2943" spans="10:10">
      <c r="J2943" t="s">
        <v>86</v>
      </c>
    </row>
    <row r="2944" spans="10:10">
      <c r="J2944" t="s">
        <v>86</v>
      </c>
    </row>
    <row r="2945" spans="10:10">
      <c r="J2945" t="s">
        <v>86</v>
      </c>
    </row>
    <row r="2946" spans="10:10">
      <c r="J2946" t="s">
        <v>86</v>
      </c>
    </row>
    <row r="2947" spans="10:10">
      <c r="J2947" t="s">
        <v>86</v>
      </c>
    </row>
    <row r="2948" spans="10:10">
      <c r="J2948" t="s">
        <v>86</v>
      </c>
    </row>
    <row r="2949" spans="10:10">
      <c r="J2949" t="s">
        <v>86</v>
      </c>
    </row>
    <row r="2950" spans="10:10">
      <c r="J2950" t="s">
        <v>86</v>
      </c>
    </row>
    <row r="2951" spans="10:10">
      <c r="J2951" t="s">
        <v>86</v>
      </c>
    </row>
    <row r="2952" spans="10:10">
      <c r="J2952" t="s">
        <v>86</v>
      </c>
    </row>
    <row r="2953" spans="10:10">
      <c r="J2953" t="s">
        <v>86</v>
      </c>
    </row>
    <row r="2954" spans="10:10">
      <c r="J2954" t="s">
        <v>86</v>
      </c>
    </row>
    <row r="2955" spans="10:10">
      <c r="J2955" t="s">
        <v>86</v>
      </c>
    </row>
    <row r="2956" spans="10:10">
      <c r="J2956" t="s">
        <v>86</v>
      </c>
    </row>
    <row r="2957" spans="10:10">
      <c r="J2957" t="s">
        <v>86</v>
      </c>
    </row>
    <row r="2958" spans="10:10">
      <c r="J2958" t="s">
        <v>86</v>
      </c>
    </row>
    <row r="2959" spans="10:10">
      <c r="J2959" t="s">
        <v>86</v>
      </c>
    </row>
    <row r="2960" spans="10:10">
      <c r="J2960" t="s">
        <v>86</v>
      </c>
    </row>
    <row r="2961" spans="10:10">
      <c r="J2961" t="s">
        <v>86</v>
      </c>
    </row>
    <row r="2962" spans="10:10">
      <c r="J2962" t="s">
        <v>86</v>
      </c>
    </row>
    <row r="2963" spans="10:10">
      <c r="J2963" t="s">
        <v>86</v>
      </c>
    </row>
    <row r="2964" spans="10:10">
      <c r="J2964" t="s">
        <v>86</v>
      </c>
    </row>
    <row r="2965" spans="10:10">
      <c r="J2965" t="s">
        <v>86</v>
      </c>
    </row>
    <row r="2966" spans="10:10">
      <c r="J2966" t="s">
        <v>86</v>
      </c>
    </row>
    <row r="2967" spans="10:10">
      <c r="J2967" t="s">
        <v>86</v>
      </c>
    </row>
    <row r="2968" spans="10:10">
      <c r="J2968" t="s">
        <v>86</v>
      </c>
    </row>
    <row r="2969" spans="10:10">
      <c r="J2969" t="s">
        <v>86</v>
      </c>
    </row>
    <row r="2970" spans="10:10">
      <c r="J2970" t="s">
        <v>86</v>
      </c>
    </row>
    <row r="2971" spans="10:10">
      <c r="J2971" t="s">
        <v>86</v>
      </c>
    </row>
    <row r="2972" spans="10:10">
      <c r="J2972" t="s">
        <v>86</v>
      </c>
    </row>
    <row r="2973" spans="10:10">
      <c r="J2973" t="s">
        <v>86</v>
      </c>
    </row>
    <row r="2974" spans="10:10">
      <c r="J2974" t="s">
        <v>86</v>
      </c>
    </row>
    <row r="2975" spans="10:10">
      <c r="J2975" t="s">
        <v>86</v>
      </c>
    </row>
    <row r="2976" spans="10:10">
      <c r="J2976" t="s">
        <v>86</v>
      </c>
    </row>
    <row r="2977" spans="10:10">
      <c r="J2977" t="s">
        <v>86</v>
      </c>
    </row>
    <row r="2978" spans="10:10">
      <c r="J2978" t="s">
        <v>86</v>
      </c>
    </row>
    <row r="2979" spans="10:10">
      <c r="J2979" t="s">
        <v>86</v>
      </c>
    </row>
    <row r="2980" spans="10:10">
      <c r="J2980" t="s">
        <v>86</v>
      </c>
    </row>
    <row r="2981" spans="10:10">
      <c r="J2981" t="s">
        <v>86</v>
      </c>
    </row>
    <row r="2982" spans="10:10">
      <c r="J2982" t="s">
        <v>86</v>
      </c>
    </row>
    <row r="2983" spans="10:10">
      <c r="J2983" t="s">
        <v>86</v>
      </c>
    </row>
    <row r="2984" spans="10:10">
      <c r="J2984" t="s">
        <v>86</v>
      </c>
    </row>
    <row r="2985" spans="10:10">
      <c r="J2985" t="s">
        <v>86</v>
      </c>
    </row>
    <row r="2986" spans="10:10">
      <c r="J2986" t="s">
        <v>86</v>
      </c>
    </row>
    <row r="2987" spans="10:10">
      <c r="J2987" t="s">
        <v>86</v>
      </c>
    </row>
    <row r="2988" spans="10:10">
      <c r="J2988" t="s">
        <v>86</v>
      </c>
    </row>
    <row r="2989" spans="10:10">
      <c r="J2989" t="s">
        <v>86</v>
      </c>
    </row>
    <row r="2990" spans="10:10">
      <c r="J2990" t="s">
        <v>86</v>
      </c>
    </row>
    <row r="2991" spans="10:10">
      <c r="J2991" t="s">
        <v>86</v>
      </c>
    </row>
    <row r="2992" spans="10:10">
      <c r="J2992" t="s">
        <v>86</v>
      </c>
    </row>
    <row r="2993" spans="10:10">
      <c r="J2993" t="s">
        <v>86</v>
      </c>
    </row>
    <row r="2994" spans="10:10">
      <c r="J2994" t="s">
        <v>86</v>
      </c>
    </row>
    <row r="2995" spans="10:10">
      <c r="J2995" t="s">
        <v>86</v>
      </c>
    </row>
    <row r="2996" spans="10:10">
      <c r="J2996" t="s">
        <v>86</v>
      </c>
    </row>
    <row r="2997" spans="10:10">
      <c r="J2997" t="s">
        <v>86</v>
      </c>
    </row>
    <row r="2998" spans="10:10">
      <c r="J2998" t="s">
        <v>86</v>
      </c>
    </row>
    <row r="2999" spans="10:10">
      <c r="J2999" t="s">
        <v>86</v>
      </c>
    </row>
    <row r="3000" spans="10:10">
      <c r="J3000" t="s">
        <v>86</v>
      </c>
    </row>
    <row r="3001" spans="10:10">
      <c r="J3001" t="s">
        <v>86</v>
      </c>
    </row>
    <row r="3002" spans="10:10">
      <c r="J3002" t="s">
        <v>86</v>
      </c>
    </row>
    <row r="3003" spans="10:10">
      <c r="J3003" t="s">
        <v>86</v>
      </c>
    </row>
    <row r="3004" spans="10:10">
      <c r="J3004" t="s">
        <v>86</v>
      </c>
    </row>
    <row r="3005" spans="10:10">
      <c r="J3005" t="s">
        <v>86</v>
      </c>
    </row>
    <row r="3006" spans="10:10">
      <c r="J3006" t="s">
        <v>86</v>
      </c>
    </row>
    <row r="3007" spans="10:10">
      <c r="J3007" t="s">
        <v>86</v>
      </c>
    </row>
    <row r="3008" spans="10:10">
      <c r="J3008" t="s">
        <v>86</v>
      </c>
    </row>
    <row r="3009" spans="10:10">
      <c r="J3009" t="s">
        <v>86</v>
      </c>
    </row>
    <row r="3010" spans="10:10">
      <c r="J3010" t="s">
        <v>86</v>
      </c>
    </row>
    <row r="3011" spans="10:10">
      <c r="J3011" t="s">
        <v>86</v>
      </c>
    </row>
    <row r="3012" spans="10:10">
      <c r="J3012" t="s">
        <v>86</v>
      </c>
    </row>
    <row r="3013" spans="10:10">
      <c r="J3013" t="s">
        <v>86</v>
      </c>
    </row>
    <row r="3014" spans="10:10">
      <c r="J3014" t="s">
        <v>86</v>
      </c>
    </row>
    <row r="3015" spans="10:10">
      <c r="J3015" t="s">
        <v>86</v>
      </c>
    </row>
    <row r="3016" spans="10:10">
      <c r="J3016" t="s">
        <v>86</v>
      </c>
    </row>
    <row r="3017" spans="10:10">
      <c r="J3017" t="s">
        <v>86</v>
      </c>
    </row>
    <row r="3018" spans="10:10">
      <c r="J3018" t="s">
        <v>86</v>
      </c>
    </row>
    <row r="3019" spans="10:10">
      <c r="J3019" t="s">
        <v>86</v>
      </c>
    </row>
    <row r="3020" spans="10:10">
      <c r="J3020" t="s">
        <v>86</v>
      </c>
    </row>
    <row r="3021" spans="10:10">
      <c r="J3021" t="s">
        <v>86</v>
      </c>
    </row>
    <row r="3022" spans="10:10">
      <c r="J3022" t="s">
        <v>86</v>
      </c>
    </row>
    <row r="3023" spans="10:10">
      <c r="J3023" t="s">
        <v>86</v>
      </c>
    </row>
    <row r="3024" spans="10:10">
      <c r="J3024" t="s">
        <v>86</v>
      </c>
    </row>
    <row r="3025" spans="10:10">
      <c r="J3025" t="s">
        <v>86</v>
      </c>
    </row>
    <row r="3026" spans="10:10">
      <c r="J3026" t="s">
        <v>86</v>
      </c>
    </row>
    <row r="3027" spans="10:10">
      <c r="J3027" t="s">
        <v>86</v>
      </c>
    </row>
    <row r="3028" spans="10:10">
      <c r="J3028" t="s">
        <v>86</v>
      </c>
    </row>
    <row r="3029" spans="10:10">
      <c r="J3029" t="s">
        <v>86</v>
      </c>
    </row>
    <row r="3030" spans="10:10">
      <c r="J3030" t="s">
        <v>86</v>
      </c>
    </row>
    <row r="3031" spans="10:10">
      <c r="J3031" t="s">
        <v>86</v>
      </c>
    </row>
    <row r="3032" spans="10:10">
      <c r="J3032" t="s">
        <v>86</v>
      </c>
    </row>
    <row r="3033" spans="10:10">
      <c r="J3033" t="s">
        <v>86</v>
      </c>
    </row>
    <row r="3034" spans="10:10">
      <c r="J3034" t="s">
        <v>86</v>
      </c>
    </row>
    <row r="3035" spans="10:10">
      <c r="J3035" t="s">
        <v>86</v>
      </c>
    </row>
    <row r="3036" spans="10:10">
      <c r="J3036" t="s">
        <v>86</v>
      </c>
    </row>
    <row r="3037" spans="10:10">
      <c r="J3037" t="s">
        <v>86</v>
      </c>
    </row>
    <row r="3038" spans="10:10">
      <c r="J3038" t="s">
        <v>86</v>
      </c>
    </row>
    <row r="3039" spans="10:10">
      <c r="J3039" t="s">
        <v>86</v>
      </c>
    </row>
    <row r="3040" spans="10:10">
      <c r="J3040" t="s">
        <v>86</v>
      </c>
    </row>
    <row r="3041" spans="10:10">
      <c r="J3041" t="s">
        <v>86</v>
      </c>
    </row>
    <row r="3042" spans="10:10">
      <c r="J3042" t="s">
        <v>86</v>
      </c>
    </row>
    <row r="3043" spans="10:10">
      <c r="J3043" t="s">
        <v>86</v>
      </c>
    </row>
    <row r="3044" spans="10:10">
      <c r="J3044" t="s">
        <v>86</v>
      </c>
    </row>
    <row r="3045" spans="10:10">
      <c r="J3045" t="s">
        <v>86</v>
      </c>
    </row>
    <row r="3046" spans="10:10">
      <c r="J3046" t="s">
        <v>86</v>
      </c>
    </row>
    <row r="3047" spans="10:10">
      <c r="J3047" t="s">
        <v>86</v>
      </c>
    </row>
    <row r="3048" spans="10:10">
      <c r="J3048" t="s">
        <v>86</v>
      </c>
    </row>
    <row r="3049" spans="10:10">
      <c r="J3049" t="s">
        <v>86</v>
      </c>
    </row>
    <row r="3050" spans="10:10">
      <c r="J3050" t="s">
        <v>86</v>
      </c>
    </row>
    <row r="3051" spans="10:10">
      <c r="J3051" t="s">
        <v>86</v>
      </c>
    </row>
    <row r="3052" spans="10:10">
      <c r="J3052" t="s">
        <v>86</v>
      </c>
    </row>
    <row r="3053" spans="10:10">
      <c r="J3053" t="s">
        <v>86</v>
      </c>
    </row>
    <row r="3054" spans="10:10">
      <c r="J3054" t="s">
        <v>86</v>
      </c>
    </row>
    <row r="3055" spans="10:10">
      <c r="J3055" t="s">
        <v>86</v>
      </c>
    </row>
    <row r="3056" spans="10:10">
      <c r="J3056" t="s">
        <v>86</v>
      </c>
    </row>
    <row r="3057" spans="10:10">
      <c r="J3057" t="s">
        <v>86</v>
      </c>
    </row>
    <row r="3058" spans="10:10">
      <c r="J3058" t="s">
        <v>86</v>
      </c>
    </row>
    <row r="3059" spans="10:10">
      <c r="J3059" t="s">
        <v>86</v>
      </c>
    </row>
    <row r="3060" spans="10:10">
      <c r="J3060" t="s">
        <v>86</v>
      </c>
    </row>
    <row r="3061" spans="10:10">
      <c r="J3061" t="s">
        <v>86</v>
      </c>
    </row>
    <row r="3062" spans="10:10">
      <c r="J3062" t="s">
        <v>86</v>
      </c>
    </row>
    <row r="3063" spans="10:10">
      <c r="J3063" t="s">
        <v>86</v>
      </c>
    </row>
    <row r="3064" spans="10:10">
      <c r="J3064" t="s">
        <v>86</v>
      </c>
    </row>
    <row r="3065" spans="10:10">
      <c r="J3065" t="s">
        <v>86</v>
      </c>
    </row>
    <row r="3066" spans="10:10">
      <c r="J3066" t="s">
        <v>86</v>
      </c>
    </row>
    <row r="3067" spans="10:10">
      <c r="J3067" t="s">
        <v>86</v>
      </c>
    </row>
    <row r="3068" spans="10:10">
      <c r="J3068" t="s">
        <v>86</v>
      </c>
    </row>
    <row r="3069" spans="10:10">
      <c r="J3069" t="s">
        <v>86</v>
      </c>
    </row>
    <row r="3070" spans="10:10">
      <c r="J3070" t="s">
        <v>86</v>
      </c>
    </row>
    <row r="3071" spans="10:10">
      <c r="J3071" t="s">
        <v>86</v>
      </c>
    </row>
    <row r="3072" spans="10:10">
      <c r="J3072" t="s">
        <v>86</v>
      </c>
    </row>
    <row r="3073" spans="10:10">
      <c r="J3073" t="s">
        <v>86</v>
      </c>
    </row>
    <row r="3074" spans="10:10">
      <c r="J3074" t="s">
        <v>86</v>
      </c>
    </row>
    <row r="3075" spans="10:10">
      <c r="J3075" t="s">
        <v>86</v>
      </c>
    </row>
    <row r="3076" spans="10:10">
      <c r="J3076" t="s">
        <v>86</v>
      </c>
    </row>
    <row r="3077" spans="10:10">
      <c r="J3077" t="s">
        <v>86</v>
      </c>
    </row>
    <row r="3078" spans="10:10">
      <c r="J3078" t="s">
        <v>86</v>
      </c>
    </row>
    <row r="3079" spans="10:10">
      <c r="J3079" t="s">
        <v>86</v>
      </c>
    </row>
    <row r="3080" spans="10:10">
      <c r="J3080" t="s">
        <v>86</v>
      </c>
    </row>
    <row r="3081" spans="10:10">
      <c r="J3081" t="s">
        <v>86</v>
      </c>
    </row>
    <row r="3082" spans="10:10">
      <c r="J3082" t="s">
        <v>86</v>
      </c>
    </row>
    <row r="3083" spans="10:10">
      <c r="J3083" t="s">
        <v>86</v>
      </c>
    </row>
    <row r="3084" spans="10:10">
      <c r="J3084" t="s">
        <v>86</v>
      </c>
    </row>
    <row r="3085" spans="10:10">
      <c r="J3085" t="s">
        <v>86</v>
      </c>
    </row>
    <row r="3086" spans="10:10">
      <c r="J3086" t="s">
        <v>86</v>
      </c>
    </row>
    <row r="3087" spans="10:10">
      <c r="J3087" t="s">
        <v>86</v>
      </c>
    </row>
    <row r="3088" spans="10:10">
      <c r="J3088" t="s">
        <v>86</v>
      </c>
    </row>
    <row r="3089" spans="10:10">
      <c r="J3089" t="s">
        <v>86</v>
      </c>
    </row>
    <row r="3090" spans="10:10">
      <c r="J3090" t="s">
        <v>86</v>
      </c>
    </row>
    <row r="3091" spans="10:10">
      <c r="J3091" t="s">
        <v>86</v>
      </c>
    </row>
    <row r="3092" spans="10:10">
      <c r="J3092" t="s">
        <v>86</v>
      </c>
    </row>
    <row r="3093" spans="10:10">
      <c r="J3093" t="s">
        <v>86</v>
      </c>
    </row>
    <row r="3094" spans="10:10">
      <c r="J3094" t="s">
        <v>86</v>
      </c>
    </row>
    <row r="3095" spans="10:10">
      <c r="J3095" t="s">
        <v>86</v>
      </c>
    </row>
    <row r="3096" spans="10:10">
      <c r="J3096" t="s">
        <v>86</v>
      </c>
    </row>
    <row r="3097" spans="10:10">
      <c r="J3097" t="s">
        <v>86</v>
      </c>
    </row>
    <row r="3098" spans="10:10">
      <c r="J3098" t="s">
        <v>86</v>
      </c>
    </row>
    <row r="3099" spans="10:10">
      <c r="J3099" t="s">
        <v>86</v>
      </c>
    </row>
    <row r="3100" spans="10:10">
      <c r="J3100" t="s">
        <v>86</v>
      </c>
    </row>
    <row r="3101" spans="10:10">
      <c r="J3101" t="s">
        <v>86</v>
      </c>
    </row>
    <row r="3102" spans="10:10">
      <c r="J3102" t="s">
        <v>86</v>
      </c>
    </row>
    <row r="3103" spans="10:10">
      <c r="J3103" t="s">
        <v>86</v>
      </c>
    </row>
    <row r="3104" spans="10:10">
      <c r="J3104" t="s">
        <v>86</v>
      </c>
    </row>
    <row r="3105" spans="10:10">
      <c r="J3105" t="s">
        <v>86</v>
      </c>
    </row>
    <row r="3106" spans="10:10">
      <c r="J3106" t="s">
        <v>86</v>
      </c>
    </row>
    <row r="3107" spans="10:10">
      <c r="J3107" t="s">
        <v>86</v>
      </c>
    </row>
    <row r="3108" spans="10:10">
      <c r="J3108" t="s">
        <v>86</v>
      </c>
    </row>
    <row r="3109" spans="10:10">
      <c r="J3109" t="s">
        <v>86</v>
      </c>
    </row>
    <row r="3110" spans="10:10">
      <c r="J3110" t="s">
        <v>86</v>
      </c>
    </row>
    <row r="3111" spans="10:10">
      <c r="J3111" t="s">
        <v>86</v>
      </c>
    </row>
    <row r="3112" spans="10:10">
      <c r="J3112" t="s">
        <v>86</v>
      </c>
    </row>
    <row r="3113" spans="10:10">
      <c r="J3113" t="s">
        <v>86</v>
      </c>
    </row>
    <row r="3114" spans="10:10">
      <c r="J3114" t="s">
        <v>86</v>
      </c>
    </row>
    <row r="3115" spans="10:10">
      <c r="J3115" t="s">
        <v>86</v>
      </c>
    </row>
    <row r="3116" spans="10:10">
      <c r="J3116" t="s">
        <v>86</v>
      </c>
    </row>
    <row r="3117" spans="10:10">
      <c r="J3117" t="s">
        <v>86</v>
      </c>
    </row>
    <row r="3118" spans="10:10">
      <c r="J3118" t="s">
        <v>86</v>
      </c>
    </row>
    <row r="3119" spans="10:10">
      <c r="J3119" t="s">
        <v>86</v>
      </c>
    </row>
    <row r="3120" spans="10:10">
      <c r="J3120" t="s">
        <v>86</v>
      </c>
    </row>
    <row r="3121" spans="10:10">
      <c r="J3121" t="s">
        <v>86</v>
      </c>
    </row>
    <row r="3122" spans="10:10">
      <c r="J3122" t="s">
        <v>86</v>
      </c>
    </row>
    <row r="3123" spans="10:10">
      <c r="J3123" t="s">
        <v>86</v>
      </c>
    </row>
    <row r="3124" spans="10:10">
      <c r="J3124" t="s">
        <v>86</v>
      </c>
    </row>
    <row r="3125" spans="10:10">
      <c r="J3125" t="s">
        <v>86</v>
      </c>
    </row>
    <row r="3126" spans="10:10">
      <c r="J3126" t="s">
        <v>86</v>
      </c>
    </row>
    <row r="3127" spans="10:10">
      <c r="J3127" t="s">
        <v>86</v>
      </c>
    </row>
    <row r="3128" spans="10:10">
      <c r="J3128" t="s">
        <v>86</v>
      </c>
    </row>
    <row r="3129" spans="10:10">
      <c r="J3129" t="s">
        <v>86</v>
      </c>
    </row>
    <row r="3130" spans="10:10">
      <c r="J3130" t="s">
        <v>86</v>
      </c>
    </row>
    <row r="3131" spans="10:10">
      <c r="J3131" t="s">
        <v>86</v>
      </c>
    </row>
    <row r="3132" spans="10:10">
      <c r="J3132" t="s">
        <v>86</v>
      </c>
    </row>
    <row r="3133" spans="10:10">
      <c r="J3133" t="s">
        <v>86</v>
      </c>
    </row>
    <row r="3134" spans="10:10">
      <c r="J3134" t="s">
        <v>86</v>
      </c>
    </row>
    <row r="3135" spans="10:10">
      <c r="J3135" t="s">
        <v>86</v>
      </c>
    </row>
    <row r="3136" spans="10:10">
      <c r="J3136" t="s">
        <v>86</v>
      </c>
    </row>
    <row r="3137" spans="10:10">
      <c r="J3137" t="s">
        <v>86</v>
      </c>
    </row>
    <row r="3138" spans="10:10">
      <c r="J3138" t="s">
        <v>86</v>
      </c>
    </row>
    <row r="3139" spans="10:10">
      <c r="J3139" t="s">
        <v>86</v>
      </c>
    </row>
    <row r="3140" spans="10:10">
      <c r="J3140" t="s">
        <v>86</v>
      </c>
    </row>
    <row r="3141" spans="10:10">
      <c r="J3141" t="s">
        <v>86</v>
      </c>
    </row>
    <row r="3142" spans="10:10">
      <c r="J3142" t="s">
        <v>86</v>
      </c>
    </row>
    <row r="3143" spans="10:10">
      <c r="J3143" t="s">
        <v>86</v>
      </c>
    </row>
    <row r="3144" spans="10:10">
      <c r="J3144" t="s">
        <v>86</v>
      </c>
    </row>
    <row r="3145" spans="10:10">
      <c r="J3145" t="s">
        <v>86</v>
      </c>
    </row>
    <row r="3146" spans="10:10">
      <c r="J3146" t="s">
        <v>86</v>
      </c>
    </row>
    <row r="3147" spans="10:10">
      <c r="J3147" t="s">
        <v>86</v>
      </c>
    </row>
    <row r="3148" spans="10:10">
      <c r="J3148" t="s">
        <v>86</v>
      </c>
    </row>
    <row r="3149" spans="10:10">
      <c r="J3149" t="s">
        <v>86</v>
      </c>
    </row>
    <row r="3150" spans="10:10">
      <c r="J3150" t="s">
        <v>86</v>
      </c>
    </row>
    <row r="3151" spans="10:10">
      <c r="J3151" t="s">
        <v>86</v>
      </c>
    </row>
    <row r="3152" spans="10:10">
      <c r="J3152" t="s">
        <v>86</v>
      </c>
    </row>
    <row r="3153" spans="10:10">
      <c r="J3153" t="s">
        <v>86</v>
      </c>
    </row>
    <row r="3154" spans="10:10">
      <c r="J3154" t="s">
        <v>86</v>
      </c>
    </row>
    <row r="3155" spans="10:10">
      <c r="J3155" t="s">
        <v>86</v>
      </c>
    </row>
    <row r="3156" spans="10:10">
      <c r="J3156" t="s">
        <v>86</v>
      </c>
    </row>
    <row r="3157" spans="10:10">
      <c r="J3157" t="s">
        <v>86</v>
      </c>
    </row>
    <row r="3158" spans="10:10">
      <c r="J3158" t="s">
        <v>86</v>
      </c>
    </row>
    <row r="3159" spans="10:10">
      <c r="J3159" t="s">
        <v>86</v>
      </c>
    </row>
    <row r="3160" spans="10:10">
      <c r="J3160" t="s">
        <v>86</v>
      </c>
    </row>
    <row r="3161" spans="10:10">
      <c r="J3161" t="s">
        <v>86</v>
      </c>
    </row>
    <row r="3162" spans="10:10">
      <c r="J3162" t="s">
        <v>86</v>
      </c>
    </row>
    <row r="3163" spans="10:10">
      <c r="J3163" t="s">
        <v>86</v>
      </c>
    </row>
    <row r="3164" spans="10:10">
      <c r="J3164" t="s">
        <v>86</v>
      </c>
    </row>
    <row r="3165" spans="10:10">
      <c r="J3165" t="s">
        <v>86</v>
      </c>
    </row>
    <row r="3166" spans="10:10">
      <c r="J3166" t="s">
        <v>86</v>
      </c>
    </row>
    <row r="3167" spans="10:10">
      <c r="J3167" t="s">
        <v>86</v>
      </c>
    </row>
    <row r="3168" spans="10:10">
      <c r="J3168" t="s">
        <v>86</v>
      </c>
    </row>
    <row r="3169" spans="10:10">
      <c r="J3169" t="s">
        <v>86</v>
      </c>
    </row>
    <row r="3170" spans="10:10">
      <c r="J3170" t="s">
        <v>86</v>
      </c>
    </row>
    <row r="3171" spans="10:10">
      <c r="J3171" t="s">
        <v>86</v>
      </c>
    </row>
    <row r="3172" spans="10:10">
      <c r="J3172" t="s">
        <v>86</v>
      </c>
    </row>
    <row r="3173" spans="10:10">
      <c r="J3173" t="s">
        <v>86</v>
      </c>
    </row>
    <row r="3174" spans="10:10">
      <c r="J3174" t="s">
        <v>86</v>
      </c>
    </row>
    <row r="3175" spans="10:10">
      <c r="J3175" t="s">
        <v>86</v>
      </c>
    </row>
    <row r="3176" spans="10:10">
      <c r="J3176" t="s">
        <v>86</v>
      </c>
    </row>
    <row r="3177" spans="10:10">
      <c r="J3177" t="s">
        <v>86</v>
      </c>
    </row>
    <row r="3178" spans="10:10">
      <c r="J3178" t="s">
        <v>86</v>
      </c>
    </row>
    <row r="3179" spans="10:10">
      <c r="J3179" t="s">
        <v>86</v>
      </c>
    </row>
    <row r="3180" spans="10:10">
      <c r="J3180" t="s">
        <v>86</v>
      </c>
    </row>
    <row r="3181" spans="10:10">
      <c r="J3181" t="s">
        <v>86</v>
      </c>
    </row>
    <row r="3182" spans="10:10">
      <c r="J3182" t="s">
        <v>86</v>
      </c>
    </row>
    <row r="3183" spans="10:10">
      <c r="J3183" t="s">
        <v>86</v>
      </c>
    </row>
    <row r="3184" spans="10:10">
      <c r="J3184" t="s">
        <v>86</v>
      </c>
    </row>
    <row r="3185" spans="10:10">
      <c r="J3185" t="s">
        <v>86</v>
      </c>
    </row>
    <row r="3186" spans="10:10">
      <c r="J3186" t="s">
        <v>86</v>
      </c>
    </row>
    <row r="3187" spans="10:10">
      <c r="J3187" t="s">
        <v>86</v>
      </c>
    </row>
    <row r="3188" spans="10:10">
      <c r="J3188" t="s">
        <v>86</v>
      </c>
    </row>
    <row r="3189" spans="10:10">
      <c r="J3189" t="s">
        <v>86</v>
      </c>
    </row>
    <row r="3190" spans="10:10">
      <c r="J3190" t="s">
        <v>86</v>
      </c>
    </row>
    <row r="3191" spans="10:10">
      <c r="J3191" t="s">
        <v>86</v>
      </c>
    </row>
    <row r="3192" spans="10:10">
      <c r="J3192" t="s">
        <v>86</v>
      </c>
    </row>
    <row r="3193" spans="10:10">
      <c r="J3193" t="s">
        <v>86</v>
      </c>
    </row>
    <row r="3194" spans="10:10">
      <c r="J3194" t="s">
        <v>86</v>
      </c>
    </row>
    <row r="3195" spans="10:10">
      <c r="J3195" t="s">
        <v>86</v>
      </c>
    </row>
    <row r="3196" spans="10:10">
      <c r="J3196" t="s">
        <v>86</v>
      </c>
    </row>
    <row r="3197" spans="10:10">
      <c r="J3197" t="s">
        <v>86</v>
      </c>
    </row>
    <row r="3198" spans="10:10">
      <c r="J3198" t="s">
        <v>86</v>
      </c>
    </row>
    <row r="3199" spans="10:10">
      <c r="J3199" t="s">
        <v>86</v>
      </c>
    </row>
    <row r="3200" spans="10:10">
      <c r="J3200" t="s">
        <v>86</v>
      </c>
    </row>
    <row r="3201" spans="10:10">
      <c r="J3201" t="s">
        <v>86</v>
      </c>
    </row>
    <row r="3202" spans="10:10">
      <c r="J3202" t="s">
        <v>86</v>
      </c>
    </row>
    <row r="3203" spans="10:10">
      <c r="J3203" t="s">
        <v>86</v>
      </c>
    </row>
    <row r="3204" spans="10:10">
      <c r="J3204" t="s">
        <v>86</v>
      </c>
    </row>
    <row r="3205" spans="10:10">
      <c r="J3205" t="s">
        <v>86</v>
      </c>
    </row>
    <row r="3206" spans="10:10">
      <c r="J3206" t="s">
        <v>86</v>
      </c>
    </row>
    <row r="3207" spans="10:10">
      <c r="J3207" t="s">
        <v>86</v>
      </c>
    </row>
    <row r="3208" spans="10:10">
      <c r="J3208" t="s">
        <v>86</v>
      </c>
    </row>
    <row r="3209" spans="10:10">
      <c r="J3209" t="s">
        <v>86</v>
      </c>
    </row>
    <row r="3210" spans="10:10">
      <c r="J3210" t="s">
        <v>86</v>
      </c>
    </row>
    <row r="3211" spans="10:10">
      <c r="J3211" t="s">
        <v>86</v>
      </c>
    </row>
    <row r="3212" spans="10:10">
      <c r="J3212" t="s">
        <v>86</v>
      </c>
    </row>
    <row r="3213" spans="10:10">
      <c r="J3213" t="s">
        <v>86</v>
      </c>
    </row>
    <row r="3214" spans="10:10">
      <c r="J3214" t="s">
        <v>86</v>
      </c>
    </row>
    <row r="3215" spans="10:10">
      <c r="J3215" t="s">
        <v>86</v>
      </c>
    </row>
    <row r="3216" spans="10:10">
      <c r="J3216" t="s">
        <v>86</v>
      </c>
    </row>
    <row r="3217" spans="10:10">
      <c r="J3217" t="s">
        <v>86</v>
      </c>
    </row>
    <row r="3218" spans="10:10">
      <c r="J3218" t="s">
        <v>86</v>
      </c>
    </row>
    <row r="3219" spans="10:10">
      <c r="J3219" t="s">
        <v>86</v>
      </c>
    </row>
    <row r="3220" spans="10:10">
      <c r="J3220" t="s">
        <v>86</v>
      </c>
    </row>
    <row r="3221" spans="10:10">
      <c r="J3221" t="s">
        <v>86</v>
      </c>
    </row>
    <row r="3222" spans="10:10">
      <c r="J3222" t="s">
        <v>86</v>
      </c>
    </row>
    <row r="3223" spans="10:10">
      <c r="J3223" t="s">
        <v>86</v>
      </c>
    </row>
    <row r="3224" spans="10:10">
      <c r="J3224" t="s">
        <v>86</v>
      </c>
    </row>
    <row r="3225" spans="10:10">
      <c r="J3225" t="s">
        <v>86</v>
      </c>
    </row>
    <row r="3226" spans="10:10">
      <c r="J3226" t="s">
        <v>86</v>
      </c>
    </row>
    <row r="3227" spans="10:10">
      <c r="J3227" t="s">
        <v>86</v>
      </c>
    </row>
    <row r="3228" spans="10:10">
      <c r="J3228" t="s">
        <v>86</v>
      </c>
    </row>
    <row r="3229" spans="10:10">
      <c r="J3229" t="s">
        <v>86</v>
      </c>
    </row>
    <row r="3230" spans="10:10">
      <c r="J3230" t="s">
        <v>86</v>
      </c>
    </row>
    <row r="3231" spans="10:10">
      <c r="J3231" t="s">
        <v>86</v>
      </c>
    </row>
    <row r="3232" spans="10:10">
      <c r="J3232" t="s">
        <v>86</v>
      </c>
    </row>
    <row r="3233" spans="10:10">
      <c r="J3233" t="s">
        <v>86</v>
      </c>
    </row>
    <row r="3234" spans="10:10">
      <c r="J3234" t="s">
        <v>86</v>
      </c>
    </row>
    <row r="3235" spans="10:10">
      <c r="J3235" t="s">
        <v>86</v>
      </c>
    </row>
    <row r="3236" spans="10:10">
      <c r="J3236" t="s">
        <v>86</v>
      </c>
    </row>
    <row r="3237" spans="10:10">
      <c r="J3237" t="s">
        <v>86</v>
      </c>
    </row>
    <row r="3238" spans="10:10">
      <c r="J3238" t="s">
        <v>86</v>
      </c>
    </row>
    <row r="3239" spans="10:10">
      <c r="J3239" t="s">
        <v>86</v>
      </c>
    </row>
    <row r="3240" spans="10:10">
      <c r="J3240" t="s">
        <v>86</v>
      </c>
    </row>
    <row r="3241" spans="10:10">
      <c r="J3241" t="s">
        <v>86</v>
      </c>
    </row>
    <row r="3242" spans="10:10">
      <c r="J3242" t="s">
        <v>86</v>
      </c>
    </row>
    <row r="3243" spans="10:10">
      <c r="J3243" t="s">
        <v>86</v>
      </c>
    </row>
    <row r="3244" spans="10:10">
      <c r="J3244" t="s">
        <v>86</v>
      </c>
    </row>
    <row r="3245" spans="10:10">
      <c r="J3245" t="s">
        <v>86</v>
      </c>
    </row>
    <row r="3246" spans="10:10">
      <c r="J3246" t="s">
        <v>86</v>
      </c>
    </row>
    <row r="3247" spans="10:10">
      <c r="J3247" t="s">
        <v>86</v>
      </c>
    </row>
    <row r="3248" spans="10:10">
      <c r="J3248" t="s">
        <v>86</v>
      </c>
    </row>
    <row r="3249" spans="10:10">
      <c r="J3249" t="s">
        <v>86</v>
      </c>
    </row>
    <row r="3250" spans="10:10">
      <c r="J3250" t="s">
        <v>86</v>
      </c>
    </row>
    <row r="3251" spans="10:10">
      <c r="J3251" t="s">
        <v>86</v>
      </c>
    </row>
    <row r="3252" spans="10:10">
      <c r="J3252" t="s">
        <v>86</v>
      </c>
    </row>
    <row r="3253" spans="10:10">
      <c r="J3253" t="s">
        <v>86</v>
      </c>
    </row>
    <row r="3254" spans="10:10">
      <c r="J3254" t="s">
        <v>86</v>
      </c>
    </row>
    <row r="3255" spans="10:10">
      <c r="J3255" t="s">
        <v>86</v>
      </c>
    </row>
    <row r="3256" spans="10:10">
      <c r="J3256" t="s">
        <v>86</v>
      </c>
    </row>
    <row r="3257" spans="10:10">
      <c r="J3257" t="s">
        <v>86</v>
      </c>
    </row>
    <row r="3258" spans="10:10">
      <c r="J3258" t="s">
        <v>86</v>
      </c>
    </row>
    <row r="3259" spans="10:10">
      <c r="J3259" t="s">
        <v>86</v>
      </c>
    </row>
    <row r="3260" spans="10:10">
      <c r="J3260" t="s">
        <v>86</v>
      </c>
    </row>
    <row r="3261" spans="10:10">
      <c r="J3261" t="s">
        <v>86</v>
      </c>
    </row>
    <row r="3262" spans="10:10">
      <c r="J3262" t="s">
        <v>86</v>
      </c>
    </row>
    <row r="3263" spans="10:10">
      <c r="J3263" t="s">
        <v>86</v>
      </c>
    </row>
    <row r="3264" spans="10:10">
      <c r="J3264" t="s">
        <v>86</v>
      </c>
    </row>
    <row r="3265" spans="10:10">
      <c r="J3265" t="s">
        <v>86</v>
      </c>
    </row>
    <row r="3266" spans="10:10">
      <c r="J3266" t="s">
        <v>86</v>
      </c>
    </row>
    <row r="3267" spans="10:10">
      <c r="J3267" t="s">
        <v>86</v>
      </c>
    </row>
    <row r="3268" spans="10:10">
      <c r="J3268" t="s">
        <v>86</v>
      </c>
    </row>
    <row r="3269" spans="10:10">
      <c r="J3269" t="s">
        <v>86</v>
      </c>
    </row>
    <row r="3270" spans="10:10">
      <c r="J3270" t="s">
        <v>86</v>
      </c>
    </row>
    <row r="3271" spans="10:10">
      <c r="J3271" t="s">
        <v>86</v>
      </c>
    </row>
    <row r="3272" spans="10:10">
      <c r="J3272" t="s">
        <v>86</v>
      </c>
    </row>
    <row r="3273" spans="10:10">
      <c r="J3273" t="s">
        <v>86</v>
      </c>
    </row>
    <row r="3274" spans="10:10">
      <c r="J3274" t="s">
        <v>86</v>
      </c>
    </row>
    <row r="3275" spans="10:10">
      <c r="J3275" t="s">
        <v>86</v>
      </c>
    </row>
    <row r="3276" spans="10:10">
      <c r="J3276" t="s">
        <v>86</v>
      </c>
    </row>
    <row r="3277" spans="10:10">
      <c r="J3277" t="s">
        <v>86</v>
      </c>
    </row>
    <row r="3278" spans="10:10">
      <c r="J3278" t="s">
        <v>86</v>
      </c>
    </row>
    <row r="3279" spans="10:10">
      <c r="J3279" t="s">
        <v>86</v>
      </c>
    </row>
    <row r="3280" spans="10:10">
      <c r="J3280" t="s">
        <v>86</v>
      </c>
    </row>
    <row r="3281" spans="10:10">
      <c r="J3281" t="s">
        <v>86</v>
      </c>
    </row>
    <row r="3282" spans="10:10">
      <c r="J3282" t="s">
        <v>86</v>
      </c>
    </row>
    <row r="3283" spans="10:10">
      <c r="J3283" t="s">
        <v>86</v>
      </c>
    </row>
    <row r="3284" spans="10:10">
      <c r="J3284" t="s">
        <v>86</v>
      </c>
    </row>
    <row r="3285" spans="10:10">
      <c r="J3285" t="s">
        <v>86</v>
      </c>
    </row>
    <row r="3286" spans="10:10">
      <c r="J3286" t="s">
        <v>86</v>
      </c>
    </row>
    <row r="3287" spans="10:10">
      <c r="J3287" t="s">
        <v>86</v>
      </c>
    </row>
    <row r="3288" spans="10:10">
      <c r="J3288" t="s">
        <v>86</v>
      </c>
    </row>
    <row r="3289" spans="10:10">
      <c r="J3289" t="s">
        <v>86</v>
      </c>
    </row>
    <row r="3290" spans="10:10">
      <c r="J3290" t="s">
        <v>86</v>
      </c>
    </row>
    <row r="3291" spans="10:10">
      <c r="J3291" t="s">
        <v>86</v>
      </c>
    </row>
    <row r="3292" spans="10:10">
      <c r="J3292" t="s">
        <v>86</v>
      </c>
    </row>
    <row r="3293" spans="10:10">
      <c r="J3293" t="s">
        <v>86</v>
      </c>
    </row>
    <row r="3294" spans="10:10">
      <c r="J3294" t="s">
        <v>86</v>
      </c>
    </row>
    <row r="3295" spans="10:10">
      <c r="J3295" t="s">
        <v>86</v>
      </c>
    </row>
    <row r="3296" spans="10:10">
      <c r="J3296" t="s">
        <v>86</v>
      </c>
    </row>
    <row r="3297" spans="10:10">
      <c r="J3297" t="s">
        <v>86</v>
      </c>
    </row>
    <row r="3298" spans="10:10">
      <c r="J3298" t="s">
        <v>86</v>
      </c>
    </row>
    <row r="3299" spans="10:10">
      <c r="J3299" t="s">
        <v>86</v>
      </c>
    </row>
    <row r="3300" spans="10:10">
      <c r="J3300" t="s">
        <v>86</v>
      </c>
    </row>
    <row r="3301" spans="10:10">
      <c r="J3301" t="s">
        <v>86</v>
      </c>
    </row>
    <row r="3302" spans="10:10">
      <c r="J3302" t="s">
        <v>86</v>
      </c>
    </row>
    <row r="3303" spans="10:10">
      <c r="J3303" t="s">
        <v>86</v>
      </c>
    </row>
    <row r="3304" spans="10:10">
      <c r="J3304" t="s">
        <v>86</v>
      </c>
    </row>
    <row r="3305" spans="10:10">
      <c r="J3305" t="s">
        <v>86</v>
      </c>
    </row>
    <row r="3306" spans="10:10">
      <c r="J3306" t="s">
        <v>86</v>
      </c>
    </row>
    <row r="3307" spans="10:10">
      <c r="J3307" t="s">
        <v>86</v>
      </c>
    </row>
    <row r="3308" spans="10:10">
      <c r="J3308" t="s">
        <v>86</v>
      </c>
    </row>
    <row r="3309" spans="10:10">
      <c r="J3309" t="s">
        <v>86</v>
      </c>
    </row>
    <row r="3310" spans="10:10">
      <c r="J3310" t="s">
        <v>86</v>
      </c>
    </row>
    <row r="3311" spans="10:10">
      <c r="J3311" t="s">
        <v>86</v>
      </c>
    </row>
    <row r="3312" spans="10:10">
      <c r="J3312" t="s">
        <v>86</v>
      </c>
    </row>
    <row r="3313" spans="10:10">
      <c r="J3313" t="s">
        <v>86</v>
      </c>
    </row>
    <row r="3314" spans="10:10">
      <c r="J3314" t="s">
        <v>86</v>
      </c>
    </row>
    <row r="3315" spans="10:10">
      <c r="J3315" t="s">
        <v>86</v>
      </c>
    </row>
    <row r="3316" spans="10:10">
      <c r="J3316" t="s">
        <v>86</v>
      </c>
    </row>
    <row r="3317" spans="10:10">
      <c r="J3317" t="s">
        <v>86</v>
      </c>
    </row>
    <row r="3318" spans="10:10">
      <c r="J3318" t="s">
        <v>86</v>
      </c>
    </row>
    <row r="3319" spans="10:10">
      <c r="J3319" t="s">
        <v>86</v>
      </c>
    </row>
    <row r="3320" spans="10:10">
      <c r="J3320" t="s">
        <v>86</v>
      </c>
    </row>
    <row r="3321" spans="10:10">
      <c r="J3321" t="s">
        <v>86</v>
      </c>
    </row>
    <row r="3322" spans="10:10">
      <c r="J3322" t="s">
        <v>86</v>
      </c>
    </row>
    <row r="3323" spans="10:10">
      <c r="J3323" t="s">
        <v>86</v>
      </c>
    </row>
    <row r="3324" spans="10:10">
      <c r="J3324" t="s">
        <v>86</v>
      </c>
    </row>
    <row r="3325" spans="10:10">
      <c r="J3325" t="s">
        <v>86</v>
      </c>
    </row>
    <row r="3326" spans="10:10">
      <c r="J3326" t="s">
        <v>86</v>
      </c>
    </row>
    <row r="3327" spans="10:10">
      <c r="J3327" t="s">
        <v>86</v>
      </c>
    </row>
    <row r="3328" spans="10:10">
      <c r="J3328" t="s">
        <v>86</v>
      </c>
    </row>
    <row r="3329" spans="10:10">
      <c r="J3329" t="s">
        <v>86</v>
      </c>
    </row>
    <row r="3330" spans="10:10">
      <c r="J3330" t="s">
        <v>86</v>
      </c>
    </row>
    <row r="3331" spans="10:10">
      <c r="J3331" t="s">
        <v>86</v>
      </c>
    </row>
    <row r="3332" spans="10:10">
      <c r="J3332" t="s">
        <v>86</v>
      </c>
    </row>
    <row r="3333" spans="10:10">
      <c r="J3333" t="s">
        <v>86</v>
      </c>
    </row>
    <row r="3334" spans="10:10">
      <c r="J3334" t="s">
        <v>86</v>
      </c>
    </row>
    <row r="3335" spans="10:10">
      <c r="J3335" t="s">
        <v>86</v>
      </c>
    </row>
    <row r="3336" spans="10:10">
      <c r="J3336" t="s">
        <v>86</v>
      </c>
    </row>
    <row r="3337" spans="10:10">
      <c r="J3337" t="s">
        <v>86</v>
      </c>
    </row>
    <row r="3338" spans="10:10">
      <c r="J3338" t="s">
        <v>86</v>
      </c>
    </row>
    <row r="3339" spans="10:10">
      <c r="J3339" t="s">
        <v>86</v>
      </c>
    </row>
    <row r="3340" spans="10:10">
      <c r="J3340" t="s">
        <v>86</v>
      </c>
    </row>
    <row r="3341" spans="10:10">
      <c r="J3341" t="s">
        <v>86</v>
      </c>
    </row>
    <row r="3342" spans="10:10">
      <c r="J3342" t="s">
        <v>86</v>
      </c>
    </row>
    <row r="3343" spans="10:10">
      <c r="J3343" t="s">
        <v>86</v>
      </c>
    </row>
    <row r="3344" spans="10:10">
      <c r="J3344" t="s">
        <v>86</v>
      </c>
    </row>
    <row r="3345" spans="10:10">
      <c r="J3345" t="s">
        <v>86</v>
      </c>
    </row>
    <row r="3346" spans="10:10">
      <c r="J3346" t="s">
        <v>86</v>
      </c>
    </row>
    <row r="3347" spans="10:10">
      <c r="J3347" t="s">
        <v>86</v>
      </c>
    </row>
    <row r="3348" spans="10:10">
      <c r="J3348" t="s">
        <v>86</v>
      </c>
    </row>
    <row r="3349" spans="10:10">
      <c r="J3349" t="s">
        <v>86</v>
      </c>
    </row>
    <row r="3350" spans="10:10">
      <c r="J3350" t="s">
        <v>86</v>
      </c>
    </row>
    <row r="3351" spans="10:10">
      <c r="J3351" t="s">
        <v>86</v>
      </c>
    </row>
    <row r="3352" spans="10:10">
      <c r="J3352" t="s">
        <v>86</v>
      </c>
    </row>
    <row r="3353" spans="10:10">
      <c r="J3353" t="s">
        <v>86</v>
      </c>
    </row>
    <row r="3354" spans="10:10">
      <c r="J3354" t="s">
        <v>86</v>
      </c>
    </row>
    <row r="3355" spans="10:10">
      <c r="J3355" t="s">
        <v>86</v>
      </c>
    </row>
    <row r="3356" spans="10:10">
      <c r="J3356" t="s">
        <v>86</v>
      </c>
    </row>
    <row r="3357" spans="10:10">
      <c r="J3357" t="s">
        <v>86</v>
      </c>
    </row>
    <row r="3358" spans="10:10">
      <c r="J3358" t="s">
        <v>86</v>
      </c>
    </row>
    <row r="3359" spans="10:10">
      <c r="J3359" t="s">
        <v>86</v>
      </c>
    </row>
    <row r="3360" spans="10:10">
      <c r="J3360" t="s">
        <v>86</v>
      </c>
    </row>
    <row r="3361" spans="10:10">
      <c r="J3361" t="s">
        <v>86</v>
      </c>
    </row>
    <row r="3362" spans="10:10">
      <c r="J3362" t="s">
        <v>86</v>
      </c>
    </row>
    <row r="3363" spans="10:10">
      <c r="J3363" t="s">
        <v>86</v>
      </c>
    </row>
    <row r="3364" spans="10:10">
      <c r="J3364" t="s">
        <v>86</v>
      </c>
    </row>
    <row r="3365" spans="10:10">
      <c r="J3365" t="s">
        <v>86</v>
      </c>
    </row>
    <row r="3366" spans="10:10">
      <c r="J3366" t="s">
        <v>86</v>
      </c>
    </row>
    <row r="3367" spans="10:10">
      <c r="J3367" t="s">
        <v>86</v>
      </c>
    </row>
    <row r="3368" spans="10:10">
      <c r="J3368" t="s">
        <v>86</v>
      </c>
    </row>
    <row r="3369" spans="10:10">
      <c r="J3369" t="s">
        <v>86</v>
      </c>
    </row>
    <row r="3370" spans="10:10">
      <c r="J3370" t="s">
        <v>86</v>
      </c>
    </row>
    <row r="3371" spans="10:10">
      <c r="J3371" t="s">
        <v>86</v>
      </c>
    </row>
    <row r="3372" spans="10:10">
      <c r="J3372" t="s">
        <v>86</v>
      </c>
    </row>
    <row r="3373" spans="10:10">
      <c r="J3373" t="s">
        <v>86</v>
      </c>
    </row>
    <row r="3374" spans="10:10">
      <c r="J3374" t="s">
        <v>86</v>
      </c>
    </row>
    <row r="3375" spans="10:10">
      <c r="J3375" t="s">
        <v>86</v>
      </c>
    </row>
    <row r="3376" spans="10:10">
      <c r="J3376" t="s">
        <v>86</v>
      </c>
    </row>
    <row r="3377" spans="10:10">
      <c r="J3377" t="s">
        <v>86</v>
      </c>
    </row>
    <row r="3378" spans="10:10">
      <c r="J3378" t="s">
        <v>86</v>
      </c>
    </row>
    <row r="3379" spans="10:10">
      <c r="J3379" t="s">
        <v>86</v>
      </c>
    </row>
    <row r="3380" spans="10:10">
      <c r="J3380" t="s">
        <v>86</v>
      </c>
    </row>
    <row r="3381" spans="10:10">
      <c r="J3381" t="s">
        <v>86</v>
      </c>
    </row>
    <row r="3382" spans="10:10">
      <c r="J3382" t="s">
        <v>86</v>
      </c>
    </row>
    <row r="3383" spans="10:10">
      <c r="J3383" t="s">
        <v>86</v>
      </c>
    </row>
    <row r="3384" spans="10:10">
      <c r="J3384" t="s">
        <v>86</v>
      </c>
    </row>
    <row r="3385" spans="10:10">
      <c r="J3385" t="s">
        <v>86</v>
      </c>
    </row>
    <row r="3386" spans="10:10">
      <c r="J3386" t="s">
        <v>86</v>
      </c>
    </row>
    <row r="3387" spans="10:10">
      <c r="J3387" t="s">
        <v>86</v>
      </c>
    </row>
    <row r="3388" spans="10:10">
      <c r="J3388" t="s">
        <v>86</v>
      </c>
    </row>
    <row r="3389" spans="10:10">
      <c r="J3389" t="s">
        <v>86</v>
      </c>
    </row>
    <row r="3390" spans="10:10">
      <c r="J3390" t="s">
        <v>86</v>
      </c>
    </row>
    <row r="3391" spans="10:10">
      <c r="J3391" t="s">
        <v>86</v>
      </c>
    </row>
    <row r="3392" spans="10:10">
      <c r="J3392" t="s">
        <v>86</v>
      </c>
    </row>
    <row r="3393" spans="10:10">
      <c r="J3393" t="s">
        <v>86</v>
      </c>
    </row>
    <row r="3394" spans="10:10">
      <c r="J3394" t="s">
        <v>86</v>
      </c>
    </row>
    <row r="3395" spans="10:10">
      <c r="J3395" t="s">
        <v>86</v>
      </c>
    </row>
    <row r="3396" spans="10:10">
      <c r="J3396" t="s">
        <v>86</v>
      </c>
    </row>
    <row r="3397" spans="10:10">
      <c r="J3397" t="s">
        <v>86</v>
      </c>
    </row>
    <row r="3398" spans="10:10">
      <c r="J3398" t="s">
        <v>86</v>
      </c>
    </row>
    <row r="3399" spans="10:10">
      <c r="J3399" t="s">
        <v>86</v>
      </c>
    </row>
    <row r="3400" spans="10:10">
      <c r="J3400" t="s">
        <v>86</v>
      </c>
    </row>
    <row r="3401" spans="10:10">
      <c r="J3401" t="s">
        <v>86</v>
      </c>
    </row>
    <row r="3402" spans="10:10">
      <c r="J3402" t="s">
        <v>86</v>
      </c>
    </row>
    <row r="3403" spans="10:10">
      <c r="J3403" t="s">
        <v>86</v>
      </c>
    </row>
    <row r="3404" spans="10:10">
      <c r="J3404" t="s">
        <v>86</v>
      </c>
    </row>
    <row r="3405" spans="10:10">
      <c r="J3405" t="s">
        <v>86</v>
      </c>
    </row>
    <row r="3406" spans="10:10">
      <c r="J3406" t="s">
        <v>86</v>
      </c>
    </row>
    <row r="3407" spans="10:10">
      <c r="J3407" t="s">
        <v>86</v>
      </c>
    </row>
    <row r="3408" spans="10:10">
      <c r="J3408" t="s">
        <v>86</v>
      </c>
    </row>
    <row r="3409" spans="10:10">
      <c r="J3409" t="s">
        <v>86</v>
      </c>
    </row>
    <row r="3410" spans="10:10">
      <c r="J3410" t="s">
        <v>86</v>
      </c>
    </row>
    <row r="3411" spans="10:10">
      <c r="J3411" t="s">
        <v>86</v>
      </c>
    </row>
    <row r="3412" spans="10:10">
      <c r="J3412" t="s">
        <v>86</v>
      </c>
    </row>
    <row r="3413" spans="10:10">
      <c r="J3413" t="s">
        <v>86</v>
      </c>
    </row>
    <row r="3414" spans="10:10">
      <c r="J3414" t="s">
        <v>86</v>
      </c>
    </row>
    <row r="3415" spans="10:10">
      <c r="J3415" t="s">
        <v>86</v>
      </c>
    </row>
    <row r="3416" spans="10:10">
      <c r="J3416" t="s">
        <v>86</v>
      </c>
    </row>
    <row r="3417" spans="10:10">
      <c r="J3417" t="s">
        <v>86</v>
      </c>
    </row>
    <row r="3418" spans="10:10">
      <c r="J3418" t="s">
        <v>86</v>
      </c>
    </row>
    <row r="3419" spans="10:10">
      <c r="J3419" t="s">
        <v>86</v>
      </c>
    </row>
    <row r="3420" spans="10:10">
      <c r="J3420" t="s">
        <v>86</v>
      </c>
    </row>
    <row r="3421" spans="10:10">
      <c r="J3421" t="s">
        <v>86</v>
      </c>
    </row>
    <row r="3422" spans="10:10">
      <c r="J3422" t="s">
        <v>86</v>
      </c>
    </row>
    <row r="3423" spans="10:10">
      <c r="J3423" t="s">
        <v>86</v>
      </c>
    </row>
    <row r="3424" spans="10:10">
      <c r="J3424" t="s">
        <v>86</v>
      </c>
    </row>
    <row r="3425" spans="10:10">
      <c r="J3425" t="s">
        <v>86</v>
      </c>
    </row>
    <row r="3426" spans="10:10">
      <c r="J3426" t="s">
        <v>86</v>
      </c>
    </row>
    <row r="3427" spans="10:10">
      <c r="J3427" t="s">
        <v>86</v>
      </c>
    </row>
    <row r="3428" spans="10:10">
      <c r="J3428" t="s">
        <v>86</v>
      </c>
    </row>
    <row r="3429" spans="10:10">
      <c r="J3429" t="s">
        <v>86</v>
      </c>
    </row>
    <row r="3430" spans="10:10">
      <c r="J3430" t="s">
        <v>86</v>
      </c>
    </row>
    <row r="3431" spans="10:10">
      <c r="J3431" t="s">
        <v>86</v>
      </c>
    </row>
    <row r="3432" spans="10:10">
      <c r="J3432" t="s">
        <v>86</v>
      </c>
    </row>
    <row r="3433" spans="10:10">
      <c r="J3433" t="s">
        <v>86</v>
      </c>
    </row>
    <row r="3434" spans="10:10">
      <c r="J3434" t="s">
        <v>86</v>
      </c>
    </row>
    <row r="3435" spans="10:10">
      <c r="J3435" t="s">
        <v>86</v>
      </c>
    </row>
    <row r="3436" spans="10:10">
      <c r="J3436" t="s">
        <v>86</v>
      </c>
    </row>
    <row r="3437" spans="10:10">
      <c r="J3437" t="s">
        <v>86</v>
      </c>
    </row>
    <row r="3438" spans="10:10">
      <c r="J3438" t="s">
        <v>86</v>
      </c>
    </row>
    <row r="3439" spans="10:10">
      <c r="J3439" t="s">
        <v>86</v>
      </c>
    </row>
    <row r="3440" spans="10:10">
      <c r="J3440" t="s">
        <v>86</v>
      </c>
    </row>
    <row r="3441" spans="10:10">
      <c r="J3441" t="s">
        <v>86</v>
      </c>
    </row>
    <row r="3442" spans="10:10">
      <c r="J3442" t="s">
        <v>86</v>
      </c>
    </row>
    <row r="3443" spans="10:10">
      <c r="J3443" t="s">
        <v>86</v>
      </c>
    </row>
    <row r="3444" spans="10:10">
      <c r="J3444" t="s">
        <v>86</v>
      </c>
    </row>
    <row r="3445" spans="10:10">
      <c r="J3445" t="s">
        <v>86</v>
      </c>
    </row>
    <row r="3446" spans="10:10">
      <c r="J3446" t="s">
        <v>86</v>
      </c>
    </row>
    <row r="3447" spans="10:10">
      <c r="J3447" t="s">
        <v>86</v>
      </c>
    </row>
    <row r="3448" spans="10:10">
      <c r="J3448" t="s">
        <v>86</v>
      </c>
    </row>
    <row r="3449" spans="10:10">
      <c r="J3449" t="s">
        <v>86</v>
      </c>
    </row>
    <row r="3450" spans="10:10">
      <c r="J3450" t="s">
        <v>86</v>
      </c>
    </row>
    <row r="3451" spans="10:10">
      <c r="J3451" t="s">
        <v>86</v>
      </c>
    </row>
    <row r="3452" spans="10:10">
      <c r="J3452" t="s">
        <v>86</v>
      </c>
    </row>
    <row r="3453" spans="10:10">
      <c r="J3453" t="s">
        <v>86</v>
      </c>
    </row>
    <row r="3454" spans="10:10">
      <c r="J3454" t="s">
        <v>86</v>
      </c>
    </row>
    <row r="3455" spans="10:10">
      <c r="J3455" t="s">
        <v>86</v>
      </c>
    </row>
    <row r="3456" spans="10:10">
      <c r="J3456" t="s">
        <v>86</v>
      </c>
    </row>
    <row r="3457" spans="10:10">
      <c r="J3457" t="s">
        <v>86</v>
      </c>
    </row>
    <row r="3458" spans="10:10">
      <c r="J3458" t="s">
        <v>86</v>
      </c>
    </row>
    <row r="3459" spans="10:10">
      <c r="J3459" t="s">
        <v>86</v>
      </c>
    </row>
    <row r="3460" spans="10:10">
      <c r="J3460" t="s">
        <v>86</v>
      </c>
    </row>
    <row r="3461" spans="10:10">
      <c r="J3461" t="s">
        <v>86</v>
      </c>
    </row>
    <row r="3462" spans="10:10">
      <c r="J3462" t="s">
        <v>86</v>
      </c>
    </row>
    <row r="3463" spans="10:10">
      <c r="J3463" t="s">
        <v>86</v>
      </c>
    </row>
    <row r="3464" spans="10:10">
      <c r="J3464" t="s">
        <v>86</v>
      </c>
    </row>
    <row r="3465" spans="10:10">
      <c r="J3465" t="s">
        <v>86</v>
      </c>
    </row>
    <row r="3466" spans="10:10">
      <c r="J3466" t="s">
        <v>86</v>
      </c>
    </row>
    <row r="3467" spans="10:10">
      <c r="J3467" t="s">
        <v>86</v>
      </c>
    </row>
    <row r="3468" spans="10:10">
      <c r="J3468" t="s">
        <v>86</v>
      </c>
    </row>
    <row r="3469" spans="10:10">
      <c r="J3469" t="s">
        <v>86</v>
      </c>
    </row>
    <row r="3470" spans="10:10">
      <c r="J3470" t="s">
        <v>86</v>
      </c>
    </row>
    <row r="3471" spans="10:10">
      <c r="J3471" t="s">
        <v>86</v>
      </c>
    </row>
    <row r="3472" spans="10:10">
      <c r="J3472" t="s">
        <v>86</v>
      </c>
    </row>
    <row r="3473" spans="10:10">
      <c r="J3473" t="s">
        <v>86</v>
      </c>
    </row>
    <row r="3474" spans="10:10">
      <c r="J3474" t="s">
        <v>86</v>
      </c>
    </row>
    <row r="3475" spans="10:10">
      <c r="J3475" t="s">
        <v>86</v>
      </c>
    </row>
    <row r="3476" spans="10:10">
      <c r="J3476" t="s">
        <v>86</v>
      </c>
    </row>
    <row r="3477" spans="10:10">
      <c r="J3477" t="s">
        <v>86</v>
      </c>
    </row>
    <row r="3478" spans="10:10">
      <c r="J3478" t="s">
        <v>86</v>
      </c>
    </row>
    <row r="3479" spans="10:10">
      <c r="J3479" t="s">
        <v>86</v>
      </c>
    </row>
    <row r="3480" spans="10:10">
      <c r="J3480" t="s">
        <v>86</v>
      </c>
    </row>
    <row r="3481" spans="10:10">
      <c r="J3481" t="s">
        <v>86</v>
      </c>
    </row>
    <row r="3482" spans="10:10">
      <c r="J3482" t="s">
        <v>86</v>
      </c>
    </row>
    <row r="3483" spans="10:10">
      <c r="J3483" t="s">
        <v>86</v>
      </c>
    </row>
    <row r="3484" spans="10:10">
      <c r="J3484" t="s">
        <v>86</v>
      </c>
    </row>
    <row r="3485" spans="10:10">
      <c r="J3485" t="s">
        <v>86</v>
      </c>
    </row>
    <row r="3486" spans="10:10">
      <c r="J3486" t="s">
        <v>86</v>
      </c>
    </row>
    <row r="3487" spans="10:10">
      <c r="J3487" t="s">
        <v>86</v>
      </c>
    </row>
    <row r="3488" spans="10:10">
      <c r="J3488" t="s">
        <v>86</v>
      </c>
    </row>
    <row r="3489" spans="10:10">
      <c r="J3489" t="s">
        <v>86</v>
      </c>
    </row>
    <row r="3490" spans="10:10">
      <c r="J3490" t="s">
        <v>86</v>
      </c>
    </row>
    <row r="3491" spans="10:10">
      <c r="J3491" t="s">
        <v>86</v>
      </c>
    </row>
    <row r="3492" spans="10:10">
      <c r="J3492" t="s">
        <v>86</v>
      </c>
    </row>
    <row r="3493" spans="10:10">
      <c r="J3493" t="s">
        <v>86</v>
      </c>
    </row>
    <row r="3494" spans="10:10">
      <c r="J3494" t="s">
        <v>86</v>
      </c>
    </row>
    <row r="3495" spans="10:10">
      <c r="J3495" t="s">
        <v>86</v>
      </c>
    </row>
    <row r="3496" spans="10:10">
      <c r="J3496" t="s">
        <v>86</v>
      </c>
    </row>
    <row r="3497" spans="10:10">
      <c r="J3497" t="s">
        <v>86</v>
      </c>
    </row>
    <row r="3498" spans="10:10">
      <c r="J3498" t="s">
        <v>86</v>
      </c>
    </row>
    <row r="3499" spans="10:10">
      <c r="J3499" t="s">
        <v>86</v>
      </c>
    </row>
    <row r="3500" spans="10:10">
      <c r="J3500" t="s">
        <v>86</v>
      </c>
    </row>
    <row r="3501" spans="10:10">
      <c r="J3501" t="s">
        <v>86</v>
      </c>
    </row>
    <row r="3502" spans="10:10">
      <c r="J3502" t="s">
        <v>86</v>
      </c>
    </row>
    <row r="3503" spans="10:10">
      <c r="J3503" t="s">
        <v>86</v>
      </c>
    </row>
    <row r="3504" spans="10:10">
      <c r="J3504" t="s">
        <v>86</v>
      </c>
    </row>
    <row r="3505" spans="10:10">
      <c r="J3505" t="s">
        <v>86</v>
      </c>
    </row>
    <row r="3506" spans="10:10">
      <c r="J3506" t="s">
        <v>86</v>
      </c>
    </row>
    <row r="3507" spans="10:10">
      <c r="J3507" t="s">
        <v>86</v>
      </c>
    </row>
    <row r="3508" spans="10:10">
      <c r="J3508" t="s">
        <v>86</v>
      </c>
    </row>
    <row r="3509" spans="10:10">
      <c r="J3509" t="s">
        <v>86</v>
      </c>
    </row>
    <row r="3510" spans="10:10">
      <c r="J3510" t="s">
        <v>86</v>
      </c>
    </row>
    <row r="3511" spans="10:10">
      <c r="J3511" t="s">
        <v>86</v>
      </c>
    </row>
    <row r="3512" spans="10:10">
      <c r="J3512" t="s">
        <v>86</v>
      </c>
    </row>
    <row r="3513" spans="10:10">
      <c r="J3513" t="s">
        <v>86</v>
      </c>
    </row>
    <row r="3514" spans="10:10">
      <c r="J3514" t="s">
        <v>86</v>
      </c>
    </row>
    <row r="3515" spans="10:10">
      <c r="J3515" t="s">
        <v>86</v>
      </c>
    </row>
    <row r="3516" spans="10:10">
      <c r="J3516" t="s">
        <v>86</v>
      </c>
    </row>
    <row r="3517" spans="10:10">
      <c r="J3517" t="s">
        <v>86</v>
      </c>
    </row>
    <row r="3518" spans="10:10">
      <c r="J3518" t="s">
        <v>86</v>
      </c>
    </row>
    <row r="3519" spans="10:10">
      <c r="J3519" t="s">
        <v>86</v>
      </c>
    </row>
    <row r="3520" spans="10:10">
      <c r="J3520" t="s">
        <v>86</v>
      </c>
    </row>
    <row r="3521" spans="10:10">
      <c r="J3521" t="s">
        <v>86</v>
      </c>
    </row>
    <row r="3522" spans="10:10">
      <c r="J3522" t="s">
        <v>86</v>
      </c>
    </row>
    <row r="3523" spans="10:10">
      <c r="J3523" t="s">
        <v>86</v>
      </c>
    </row>
    <row r="3524" spans="10:10">
      <c r="J3524" t="s">
        <v>86</v>
      </c>
    </row>
    <row r="3525" spans="10:10">
      <c r="J3525" t="s">
        <v>86</v>
      </c>
    </row>
    <row r="3526" spans="10:10">
      <c r="J3526" t="s">
        <v>86</v>
      </c>
    </row>
    <row r="3527" spans="10:10">
      <c r="J3527" t="s">
        <v>86</v>
      </c>
    </row>
    <row r="3528" spans="10:10">
      <c r="J3528" t="s">
        <v>86</v>
      </c>
    </row>
    <row r="3529" spans="10:10">
      <c r="J3529" t="s">
        <v>86</v>
      </c>
    </row>
    <row r="3530" spans="10:10">
      <c r="J3530" t="s">
        <v>86</v>
      </c>
    </row>
    <row r="3531" spans="10:10">
      <c r="J3531" t="s">
        <v>86</v>
      </c>
    </row>
    <row r="3532" spans="10:10">
      <c r="J3532" t="s">
        <v>86</v>
      </c>
    </row>
    <row r="3533" spans="10:10">
      <c r="J3533" t="s">
        <v>86</v>
      </c>
    </row>
    <row r="3534" spans="10:10">
      <c r="J3534" t="s">
        <v>86</v>
      </c>
    </row>
    <row r="3535" spans="10:10">
      <c r="J3535" t="s">
        <v>86</v>
      </c>
    </row>
    <row r="3536" spans="10:10">
      <c r="J3536" t="s">
        <v>86</v>
      </c>
    </row>
    <row r="3537" spans="10:10">
      <c r="J3537" t="s">
        <v>86</v>
      </c>
    </row>
    <row r="3538" spans="10:10">
      <c r="J3538" t="s">
        <v>86</v>
      </c>
    </row>
    <row r="3539" spans="10:10">
      <c r="J3539" t="s">
        <v>86</v>
      </c>
    </row>
    <row r="3540" spans="10:10">
      <c r="J3540" t="s">
        <v>86</v>
      </c>
    </row>
    <row r="3541" spans="10:10">
      <c r="J3541" t="s">
        <v>86</v>
      </c>
    </row>
    <row r="3542" spans="10:10">
      <c r="J3542" t="s">
        <v>86</v>
      </c>
    </row>
    <row r="3543" spans="10:10">
      <c r="J3543" t="s">
        <v>86</v>
      </c>
    </row>
    <row r="3544" spans="10:10">
      <c r="J3544" t="s">
        <v>86</v>
      </c>
    </row>
    <row r="3545" spans="10:10">
      <c r="J3545" t="s">
        <v>86</v>
      </c>
    </row>
    <row r="3546" spans="10:10">
      <c r="J3546" t="s">
        <v>86</v>
      </c>
    </row>
    <row r="3547" spans="10:10">
      <c r="J3547" t="s">
        <v>86</v>
      </c>
    </row>
    <row r="3548" spans="10:10">
      <c r="J3548" t="s">
        <v>86</v>
      </c>
    </row>
    <row r="3549" spans="10:10">
      <c r="J3549" t="s">
        <v>86</v>
      </c>
    </row>
    <row r="3550" spans="10:10">
      <c r="J3550" t="s">
        <v>86</v>
      </c>
    </row>
    <row r="3551" spans="10:10">
      <c r="J3551" t="s">
        <v>86</v>
      </c>
    </row>
    <row r="3552" spans="10:10">
      <c r="J3552" t="s">
        <v>86</v>
      </c>
    </row>
    <row r="3553" spans="10:10">
      <c r="J3553" t="s">
        <v>86</v>
      </c>
    </row>
    <row r="3554" spans="10:10">
      <c r="J3554" t="s">
        <v>86</v>
      </c>
    </row>
    <row r="3555" spans="10:10">
      <c r="J3555" t="s">
        <v>86</v>
      </c>
    </row>
    <row r="3556" spans="10:10">
      <c r="J3556" t="s">
        <v>86</v>
      </c>
    </row>
    <row r="3557" spans="10:10">
      <c r="J3557" t="s">
        <v>86</v>
      </c>
    </row>
    <row r="3558" spans="10:10">
      <c r="J3558" t="s">
        <v>86</v>
      </c>
    </row>
    <row r="3559" spans="10:10">
      <c r="J3559" t="s">
        <v>86</v>
      </c>
    </row>
    <row r="3560" spans="10:10">
      <c r="J3560" t="s">
        <v>86</v>
      </c>
    </row>
    <row r="3561" spans="10:10">
      <c r="J3561" t="s">
        <v>86</v>
      </c>
    </row>
    <row r="3562" spans="10:10">
      <c r="J3562" t="s">
        <v>86</v>
      </c>
    </row>
    <row r="3563" spans="10:10">
      <c r="J3563" t="s">
        <v>86</v>
      </c>
    </row>
    <row r="3564" spans="10:10">
      <c r="J3564" t="s">
        <v>86</v>
      </c>
    </row>
    <row r="3565" spans="10:10">
      <c r="J3565" t="s">
        <v>86</v>
      </c>
    </row>
    <row r="3566" spans="10:10">
      <c r="J3566" t="s">
        <v>86</v>
      </c>
    </row>
    <row r="3567" spans="10:10">
      <c r="J3567" t="s">
        <v>86</v>
      </c>
    </row>
    <row r="3568" spans="10:10">
      <c r="J3568" t="s">
        <v>86</v>
      </c>
    </row>
    <row r="3569" spans="10:10">
      <c r="J3569" t="s">
        <v>86</v>
      </c>
    </row>
    <row r="3570" spans="10:10">
      <c r="J3570" t="s">
        <v>86</v>
      </c>
    </row>
    <row r="3571" spans="10:10">
      <c r="J3571" t="s">
        <v>86</v>
      </c>
    </row>
    <row r="3572" spans="10:10">
      <c r="J3572" t="s">
        <v>86</v>
      </c>
    </row>
    <row r="3573" spans="10:10">
      <c r="J3573" t="s">
        <v>86</v>
      </c>
    </row>
    <row r="3574" spans="10:10">
      <c r="J3574" t="s">
        <v>86</v>
      </c>
    </row>
    <row r="3575" spans="10:10">
      <c r="J3575" t="s">
        <v>86</v>
      </c>
    </row>
    <row r="3576" spans="10:10">
      <c r="J3576" t="s">
        <v>86</v>
      </c>
    </row>
    <row r="3577" spans="10:10">
      <c r="J3577" t="s">
        <v>86</v>
      </c>
    </row>
    <row r="3578" spans="10:10">
      <c r="J3578" t="s">
        <v>86</v>
      </c>
    </row>
    <row r="3579" spans="10:10">
      <c r="J3579" t="s">
        <v>86</v>
      </c>
    </row>
    <row r="3580" spans="10:10">
      <c r="J3580" t="s">
        <v>86</v>
      </c>
    </row>
    <row r="3581" spans="10:10">
      <c r="J3581" t="s">
        <v>86</v>
      </c>
    </row>
    <row r="3582" spans="10:10">
      <c r="J3582" t="s">
        <v>86</v>
      </c>
    </row>
    <row r="3583" spans="10:10">
      <c r="J3583" t="s">
        <v>86</v>
      </c>
    </row>
    <row r="3584" spans="10:10">
      <c r="J3584" t="s">
        <v>86</v>
      </c>
    </row>
    <row r="3585" spans="10:10">
      <c r="J3585" t="s">
        <v>86</v>
      </c>
    </row>
    <row r="3586" spans="10:10">
      <c r="J3586" t="s">
        <v>86</v>
      </c>
    </row>
    <row r="3587" spans="10:10">
      <c r="J3587" t="s">
        <v>86</v>
      </c>
    </row>
    <row r="3588" spans="10:10">
      <c r="J3588" t="s">
        <v>86</v>
      </c>
    </row>
    <row r="3589" spans="10:10">
      <c r="J3589" t="s">
        <v>86</v>
      </c>
    </row>
    <row r="3590" spans="10:10">
      <c r="J3590" t="s">
        <v>86</v>
      </c>
    </row>
    <row r="3591" spans="10:10">
      <c r="J3591" t="s">
        <v>86</v>
      </c>
    </row>
    <row r="3592" spans="10:10">
      <c r="J3592" t="s">
        <v>86</v>
      </c>
    </row>
    <row r="3593" spans="10:10">
      <c r="J3593" t="s">
        <v>86</v>
      </c>
    </row>
    <row r="3594" spans="10:10">
      <c r="J3594" t="s">
        <v>86</v>
      </c>
    </row>
    <row r="3595" spans="10:10">
      <c r="J3595" t="s">
        <v>86</v>
      </c>
    </row>
    <row r="3596" spans="10:10">
      <c r="J3596" t="s">
        <v>86</v>
      </c>
    </row>
    <row r="3597" spans="10:10">
      <c r="J3597" t="s">
        <v>86</v>
      </c>
    </row>
    <row r="3598" spans="10:10">
      <c r="J3598" t="s">
        <v>86</v>
      </c>
    </row>
    <row r="3599" spans="10:10">
      <c r="J3599" t="s">
        <v>86</v>
      </c>
    </row>
    <row r="3600" spans="10:10">
      <c r="J3600" t="s">
        <v>86</v>
      </c>
    </row>
    <row r="3601" spans="10:10">
      <c r="J3601" t="s">
        <v>86</v>
      </c>
    </row>
    <row r="3602" spans="10:10">
      <c r="J3602" t="s">
        <v>86</v>
      </c>
    </row>
    <row r="3603" spans="10:10">
      <c r="J3603" t="s">
        <v>86</v>
      </c>
    </row>
    <row r="3604" spans="10:10">
      <c r="J3604" t="s">
        <v>86</v>
      </c>
    </row>
    <row r="3605" spans="10:10">
      <c r="J3605" t="s">
        <v>86</v>
      </c>
    </row>
    <row r="3606" spans="10:10">
      <c r="J3606" t="s">
        <v>86</v>
      </c>
    </row>
    <row r="3607" spans="10:10">
      <c r="J3607" t="s">
        <v>86</v>
      </c>
    </row>
    <row r="3608" spans="10:10">
      <c r="J3608" t="s">
        <v>86</v>
      </c>
    </row>
    <row r="3609" spans="10:10">
      <c r="J3609" t="s">
        <v>86</v>
      </c>
    </row>
    <row r="3610" spans="10:10">
      <c r="J3610" t="s">
        <v>86</v>
      </c>
    </row>
    <row r="3611" spans="10:10">
      <c r="J3611" t="s">
        <v>86</v>
      </c>
    </row>
    <row r="3612" spans="10:10">
      <c r="J3612" t="s">
        <v>86</v>
      </c>
    </row>
    <row r="3613" spans="10:10">
      <c r="J3613" t="s">
        <v>86</v>
      </c>
    </row>
    <row r="3614" spans="10:10">
      <c r="J3614" t="s">
        <v>86</v>
      </c>
    </row>
    <row r="3615" spans="10:10">
      <c r="J3615" t="s">
        <v>86</v>
      </c>
    </row>
    <row r="3616" spans="10:10">
      <c r="J3616" t="s">
        <v>86</v>
      </c>
    </row>
    <row r="3617" spans="10:10">
      <c r="J3617" t="s">
        <v>86</v>
      </c>
    </row>
    <row r="3618" spans="10:10">
      <c r="J3618" t="s">
        <v>86</v>
      </c>
    </row>
    <row r="3619" spans="10:10">
      <c r="J3619" t="s">
        <v>86</v>
      </c>
    </row>
    <row r="3620" spans="10:10">
      <c r="J3620" t="s">
        <v>86</v>
      </c>
    </row>
    <row r="3621" spans="10:10">
      <c r="J3621" t="s">
        <v>86</v>
      </c>
    </row>
    <row r="3622" spans="10:10">
      <c r="J3622" t="s">
        <v>86</v>
      </c>
    </row>
    <row r="3623" spans="10:10">
      <c r="J3623" t="s">
        <v>86</v>
      </c>
    </row>
    <row r="3624" spans="10:10">
      <c r="J3624" t="s">
        <v>86</v>
      </c>
    </row>
    <row r="3625" spans="10:10">
      <c r="J3625" t="s">
        <v>86</v>
      </c>
    </row>
    <row r="3626" spans="10:10">
      <c r="J3626" t="s">
        <v>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DD6A-B132-4F61-9ACB-5900ED9DC24F}">
  <sheetPr codeName="Hoja7"/>
  <dimension ref="A1:N1891"/>
  <sheetViews>
    <sheetView topLeftCell="A1543" workbookViewId="0">
      <selection activeCell="K1460" sqref="K1460"/>
    </sheetView>
  </sheetViews>
  <sheetFormatPr defaultColWidth="11.5703125" defaultRowHeight="14.45"/>
  <cols>
    <col min="1" max="3" width="11.5703125" style="5"/>
    <col min="4" max="4" width="31.140625" style="5" customWidth="1"/>
    <col min="5" max="5" width="10.85546875" style="5" customWidth="1"/>
    <col min="6" max="6" width="11.5703125" style="5" customWidth="1"/>
    <col min="7" max="7" width="21.7109375" style="5" customWidth="1"/>
    <col min="8" max="8" width="17" style="5" customWidth="1"/>
    <col min="9" max="9" width="13.42578125" style="5" bestFit="1" customWidth="1"/>
    <col min="10" max="10" width="18.85546875" style="5" customWidth="1"/>
    <col min="11" max="11" width="11.5703125" style="5"/>
    <col min="12" max="12" width="14.28515625" style="5" customWidth="1"/>
    <col min="13" max="13" width="14.7109375" style="5" customWidth="1"/>
    <col min="14" max="14" width="16.7109375" style="5" customWidth="1"/>
    <col min="15" max="16384" width="11.5703125" style="5"/>
  </cols>
  <sheetData>
    <row r="1" spans="1:14" ht="15" thickBot="1">
      <c r="A1" s="3" t="s">
        <v>6</v>
      </c>
      <c r="B1" s="3" t="s">
        <v>8</v>
      </c>
      <c r="C1" s="3" t="s">
        <v>3090</v>
      </c>
      <c r="D1" s="3" t="s">
        <v>4</v>
      </c>
      <c r="E1" s="3" t="s">
        <v>3091</v>
      </c>
      <c r="F1" s="3" t="s">
        <v>3092</v>
      </c>
      <c r="G1" s="3" t="s">
        <v>3093</v>
      </c>
      <c r="H1" s="3" t="s">
        <v>3094</v>
      </c>
      <c r="I1" s="3" t="s">
        <v>10</v>
      </c>
      <c r="J1" s="3" t="s">
        <v>3095</v>
      </c>
      <c r="K1" s="4" t="s">
        <v>3096</v>
      </c>
      <c r="L1" s="4" t="s">
        <v>3097</v>
      </c>
      <c r="M1" s="4" t="s">
        <v>6</v>
      </c>
      <c r="N1" s="4" t="s">
        <v>3098</v>
      </c>
    </row>
    <row r="2" spans="1:14">
      <c r="A2" s="6" t="s">
        <v>3099</v>
      </c>
      <c r="B2" s="7">
        <v>45377</v>
      </c>
      <c r="C2" s="6" t="s">
        <v>3100</v>
      </c>
      <c r="D2" s="6" t="s">
        <v>3101</v>
      </c>
      <c r="E2" s="6" t="s">
        <v>16</v>
      </c>
      <c r="F2" s="7">
        <v>45407</v>
      </c>
      <c r="G2" s="6" t="s">
        <v>3102</v>
      </c>
      <c r="H2" s="8">
        <v>128</v>
      </c>
      <c r="I2" s="9">
        <v>-42.12</v>
      </c>
      <c r="J2" s="9">
        <v>-42.12</v>
      </c>
      <c r="K2" s="5" t="str">
        <f>VLOOKUP(D2,[1]Clientes!$A$1:$B$1485,2,0)</f>
        <v>NAC0457</v>
      </c>
      <c r="L2" s="5" t="str">
        <f>IF(A2="Invoice",
    IF(LEFT(C2,5)="TGDR-", "TGDR"&amp;RIGHT(C2,LEN(C2)-5), "HGI"&amp;C2),
    IF(A2="Credit Memo",
        IF(LEFT(C2,5)="TGDR-", "CRM"&amp;RIGHT(C2,LEN(C2)-5), "CRM"&amp;C2),
        "Revisar")
)</f>
        <v>CRM0122272</v>
      </c>
      <c r="M2" s="5" t="str">
        <f>IF(A2="Invoice","I",IF(A2="Credit Memo","C",IF(A2="Payment","P","GJ")))</f>
        <v>C</v>
      </c>
      <c r="N2" s="5">
        <f>IF(G2=[1]Clientes!$C$3,[1]Clientes!$D$3,[1]Clientes!$D$2)</f>
        <v>13050505</v>
      </c>
    </row>
    <row r="3" spans="1:14">
      <c r="A3" s="6" t="s">
        <v>7</v>
      </c>
      <c r="B3" s="7">
        <v>45456</v>
      </c>
      <c r="C3" s="6" t="s">
        <v>3103</v>
      </c>
      <c r="D3" s="6" t="s">
        <v>3101</v>
      </c>
      <c r="E3" s="6" t="s">
        <v>16</v>
      </c>
      <c r="F3" s="7">
        <v>45486</v>
      </c>
      <c r="G3" s="6" t="s">
        <v>3102</v>
      </c>
      <c r="H3" s="8">
        <v>49</v>
      </c>
      <c r="I3" s="9">
        <v>5.42</v>
      </c>
      <c r="J3" s="9">
        <v>95.69</v>
      </c>
      <c r="K3" s="5" t="str">
        <f>VLOOKUP(D3,[1]Clientes!$A$1:$B$1485,2,0)</f>
        <v>NAC0457</v>
      </c>
      <c r="L3" s="5" t="str">
        <f t="shared" ref="L3:L66" si="0">IF(A3="Invoice",
    IF(LEFT(C3,5)="TGDR-", "TGDR"&amp;RIGHT(C3,LEN(C3)-5), "HGI"&amp;C3),
    IF(A3="Credit Memo",
        IF(LEFT(C3,5)="TGDR-", "CRM"&amp;RIGHT(C3,LEN(C3)-5), "CRM"&amp;C3),
        "Revisar")
)</f>
        <v>HGI0125045</v>
      </c>
      <c r="M3" s="5" t="str">
        <f t="shared" ref="M3:M66" si="1">IF(A3="Invoice","I",IF(A3="Credit Memo","C",IF(A3="Payment","P","GJ")))</f>
        <v>I</v>
      </c>
      <c r="N3" s="5">
        <f>IF(G3=[1]Clientes!$C$3,[1]Clientes!$D$3,[1]Clientes!$D$2)</f>
        <v>13050505</v>
      </c>
    </row>
    <row r="4" spans="1:14">
      <c r="A4" s="6" t="s">
        <v>7</v>
      </c>
      <c r="B4" s="7">
        <v>45475</v>
      </c>
      <c r="C4" s="6" t="s">
        <v>3104</v>
      </c>
      <c r="D4" s="6" t="s">
        <v>3101</v>
      </c>
      <c r="E4" s="6" t="s">
        <v>16</v>
      </c>
      <c r="F4" s="7">
        <v>45505</v>
      </c>
      <c r="G4" s="6" t="s">
        <v>3102</v>
      </c>
      <c r="H4" s="8">
        <v>30</v>
      </c>
      <c r="I4" s="9">
        <v>16.399999999999999</v>
      </c>
      <c r="J4" s="9">
        <v>16.399999999999999</v>
      </c>
      <c r="K4" s="5" t="str">
        <f>VLOOKUP(D4,[1]Clientes!$A$1:$B$1485,2,0)</f>
        <v>NAC0457</v>
      </c>
      <c r="L4" s="5" t="str">
        <f t="shared" si="0"/>
        <v>HGI0125457</v>
      </c>
      <c r="M4" s="5" t="str">
        <f t="shared" si="1"/>
        <v>I</v>
      </c>
      <c r="N4" s="5">
        <f>IF(G4=[1]Clientes!$C$3,[1]Clientes!$D$3,[1]Clientes!$D$2)</f>
        <v>13050505</v>
      </c>
    </row>
    <row r="5" spans="1:14">
      <c r="A5" s="6" t="s">
        <v>7</v>
      </c>
      <c r="B5" s="7">
        <v>45476</v>
      </c>
      <c r="C5" s="6" t="s">
        <v>3105</v>
      </c>
      <c r="D5" s="6" t="s">
        <v>3101</v>
      </c>
      <c r="E5" s="6" t="s">
        <v>16</v>
      </c>
      <c r="F5" s="7">
        <v>45506</v>
      </c>
      <c r="G5" s="6" t="s">
        <v>3102</v>
      </c>
      <c r="H5" s="8">
        <v>29</v>
      </c>
      <c r="I5" s="9">
        <v>17.489999999999998</v>
      </c>
      <c r="J5" s="9">
        <v>17.489999999999998</v>
      </c>
      <c r="K5" s="5" t="str">
        <f>VLOOKUP(D5,[1]Clientes!$A$1:$B$1485,2,0)</f>
        <v>NAC0457</v>
      </c>
      <c r="L5" s="5" t="str">
        <f t="shared" si="0"/>
        <v>HGI0125499</v>
      </c>
      <c r="M5" s="5" t="str">
        <f t="shared" si="1"/>
        <v>I</v>
      </c>
      <c r="N5" s="5">
        <f>IF(G5=[1]Clientes!$C$3,[1]Clientes!$D$3,[1]Clientes!$D$2)</f>
        <v>13050505</v>
      </c>
    </row>
    <row r="6" spans="1:14">
      <c r="A6" s="6" t="s">
        <v>7</v>
      </c>
      <c r="B6" s="7">
        <v>45478</v>
      </c>
      <c r="C6" s="6" t="s">
        <v>3106</v>
      </c>
      <c r="D6" s="6" t="s">
        <v>3101</v>
      </c>
      <c r="E6" s="6" t="s">
        <v>16</v>
      </c>
      <c r="F6" s="7">
        <v>45508</v>
      </c>
      <c r="G6" s="6" t="s">
        <v>3102</v>
      </c>
      <c r="H6" s="8">
        <v>27</v>
      </c>
      <c r="I6" s="9">
        <v>53</v>
      </c>
      <c r="J6" s="9">
        <v>53</v>
      </c>
      <c r="K6" s="5" t="str">
        <f>VLOOKUP(D6,[1]Clientes!$A$1:$B$1485,2,0)</f>
        <v>NAC0457</v>
      </c>
      <c r="L6" s="5" t="str">
        <f t="shared" si="0"/>
        <v>HGI0125521</v>
      </c>
      <c r="M6" s="5" t="str">
        <f t="shared" si="1"/>
        <v>I</v>
      </c>
      <c r="N6" s="5">
        <f>IF(G6=[1]Clientes!$C$3,[1]Clientes!$D$3,[1]Clientes!$D$2)</f>
        <v>13050505</v>
      </c>
    </row>
    <row r="7" spans="1:14">
      <c r="A7" s="6" t="s">
        <v>7</v>
      </c>
      <c r="B7" s="7">
        <v>45478</v>
      </c>
      <c r="C7" s="6" t="s">
        <v>3107</v>
      </c>
      <c r="D7" s="6" t="s">
        <v>3101</v>
      </c>
      <c r="E7" s="6" t="s">
        <v>16</v>
      </c>
      <c r="F7" s="7">
        <v>45508</v>
      </c>
      <c r="G7" s="6" t="s">
        <v>3102</v>
      </c>
      <c r="H7" s="8">
        <v>27</v>
      </c>
      <c r="I7" s="9">
        <v>18</v>
      </c>
      <c r="J7" s="9">
        <v>18</v>
      </c>
      <c r="K7" s="5" t="str">
        <f>VLOOKUP(D7,[1]Clientes!$A$1:$B$1485,2,0)</f>
        <v>NAC0457</v>
      </c>
      <c r="L7" s="5" t="str">
        <f t="shared" si="0"/>
        <v>HGI0125522</v>
      </c>
      <c r="M7" s="5" t="str">
        <f t="shared" si="1"/>
        <v>I</v>
      </c>
      <c r="N7" s="5">
        <f>IF(G7=[1]Clientes!$C$3,[1]Clientes!$D$3,[1]Clientes!$D$2)</f>
        <v>13050505</v>
      </c>
    </row>
    <row r="8" spans="1:14">
      <c r="A8" s="6" t="s">
        <v>7</v>
      </c>
      <c r="B8" s="7">
        <v>45478</v>
      </c>
      <c r="C8" s="6" t="s">
        <v>3108</v>
      </c>
      <c r="D8" s="6" t="s">
        <v>3101</v>
      </c>
      <c r="E8" s="6" t="s">
        <v>16</v>
      </c>
      <c r="F8" s="7">
        <v>45508</v>
      </c>
      <c r="G8" s="6" t="s">
        <v>3102</v>
      </c>
      <c r="H8" s="8">
        <v>27</v>
      </c>
      <c r="I8" s="9">
        <v>18</v>
      </c>
      <c r="J8" s="9">
        <v>18</v>
      </c>
      <c r="K8" s="5" t="str">
        <f>VLOOKUP(D8,[1]Clientes!$A$1:$B$1485,2,0)</f>
        <v>NAC0457</v>
      </c>
      <c r="L8" s="5" t="str">
        <f t="shared" si="0"/>
        <v>HGI0125523</v>
      </c>
      <c r="M8" s="5" t="str">
        <f t="shared" si="1"/>
        <v>I</v>
      </c>
      <c r="N8" s="5">
        <f>IF(G8=[1]Clientes!$C$3,[1]Clientes!$D$3,[1]Clientes!$D$2)</f>
        <v>13050505</v>
      </c>
    </row>
    <row r="9" spans="1:14">
      <c r="A9" s="6" t="s">
        <v>7</v>
      </c>
      <c r="B9" s="7">
        <v>45485</v>
      </c>
      <c r="C9" s="6" t="s">
        <v>3109</v>
      </c>
      <c r="D9" s="6" t="s">
        <v>3101</v>
      </c>
      <c r="E9" s="6" t="s">
        <v>16</v>
      </c>
      <c r="F9" s="7">
        <v>45515</v>
      </c>
      <c r="G9" s="6" t="s">
        <v>3102</v>
      </c>
      <c r="H9" s="8">
        <v>20</v>
      </c>
      <c r="I9" s="9">
        <v>53</v>
      </c>
      <c r="J9" s="9">
        <v>53</v>
      </c>
      <c r="K9" s="5" t="str">
        <f>VLOOKUP(D9,[1]Clientes!$A$1:$B$1485,2,0)</f>
        <v>NAC0457</v>
      </c>
      <c r="L9" s="5" t="str">
        <f t="shared" si="0"/>
        <v>HGI0125669</v>
      </c>
      <c r="M9" s="5" t="str">
        <f t="shared" si="1"/>
        <v>I</v>
      </c>
      <c r="N9" s="5">
        <f>IF(G9=[1]Clientes!$C$3,[1]Clientes!$D$3,[1]Clientes!$D$2)</f>
        <v>13050505</v>
      </c>
    </row>
    <row r="10" spans="1:14">
      <c r="A10" s="6" t="s">
        <v>7</v>
      </c>
      <c r="B10" s="7">
        <v>45485</v>
      </c>
      <c r="C10" s="6" t="s">
        <v>3110</v>
      </c>
      <c r="D10" s="6" t="s">
        <v>3101</v>
      </c>
      <c r="E10" s="6" t="s">
        <v>16</v>
      </c>
      <c r="F10" s="7">
        <v>45515</v>
      </c>
      <c r="G10" s="6" t="s">
        <v>3102</v>
      </c>
      <c r="H10" s="8">
        <v>20</v>
      </c>
      <c r="I10" s="9">
        <v>16.399999999999999</v>
      </c>
      <c r="J10" s="9">
        <v>16.399999999999999</v>
      </c>
      <c r="K10" s="5" t="str">
        <f>VLOOKUP(D10,[1]Clientes!$A$1:$B$1485,2,0)</f>
        <v>NAC0457</v>
      </c>
      <c r="L10" s="5" t="str">
        <f t="shared" si="0"/>
        <v>HGI0125670</v>
      </c>
      <c r="M10" s="5" t="str">
        <f t="shared" si="1"/>
        <v>I</v>
      </c>
      <c r="N10" s="5">
        <f>IF(G10=[1]Clientes!$C$3,[1]Clientes!$D$3,[1]Clientes!$D$2)</f>
        <v>13050505</v>
      </c>
    </row>
    <row r="11" spans="1:14">
      <c r="A11" s="6" t="s">
        <v>7</v>
      </c>
      <c r="B11" s="7">
        <v>45485</v>
      </c>
      <c r="C11" s="6" t="s">
        <v>3111</v>
      </c>
      <c r="D11" s="6" t="s">
        <v>3101</v>
      </c>
      <c r="E11" s="6" t="s">
        <v>16</v>
      </c>
      <c r="F11" s="7">
        <v>45515</v>
      </c>
      <c r="G11" s="6" t="s">
        <v>3102</v>
      </c>
      <c r="H11" s="8">
        <v>20</v>
      </c>
      <c r="I11" s="9">
        <v>16.399999999999999</v>
      </c>
      <c r="J11" s="9">
        <v>16.399999999999999</v>
      </c>
      <c r="K11" s="5" t="str">
        <f>VLOOKUP(D11,[1]Clientes!$A$1:$B$1485,2,0)</f>
        <v>NAC0457</v>
      </c>
      <c r="L11" s="5" t="str">
        <f t="shared" si="0"/>
        <v>HGI0125671</v>
      </c>
      <c r="M11" s="5" t="str">
        <f t="shared" si="1"/>
        <v>I</v>
      </c>
      <c r="N11" s="5">
        <f>IF(G11=[1]Clientes!$C$3,[1]Clientes!$D$3,[1]Clientes!$D$2)</f>
        <v>13050505</v>
      </c>
    </row>
    <row r="12" spans="1:14">
      <c r="A12" s="6" t="s">
        <v>7</v>
      </c>
      <c r="B12" s="7">
        <v>45495</v>
      </c>
      <c r="C12" s="6" t="s">
        <v>3112</v>
      </c>
      <c r="D12" s="6" t="s">
        <v>3101</v>
      </c>
      <c r="E12" s="6" t="s">
        <v>16</v>
      </c>
      <c r="F12" s="7">
        <v>45525</v>
      </c>
      <c r="G12" s="6" t="s">
        <v>3102</v>
      </c>
      <c r="H12" s="8">
        <v>10</v>
      </c>
      <c r="I12" s="9">
        <v>123.69</v>
      </c>
      <c r="J12" s="9">
        <v>123.69</v>
      </c>
      <c r="K12" s="5" t="str">
        <f>VLOOKUP(D12,[1]Clientes!$A$1:$B$1485,2,0)</f>
        <v>NAC0457</v>
      </c>
      <c r="L12" s="5" t="str">
        <f t="shared" si="0"/>
        <v>HGI0125833</v>
      </c>
      <c r="M12" s="5" t="str">
        <f t="shared" si="1"/>
        <v>I</v>
      </c>
      <c r="N12" s="5">
        <f>IF(G12=[1]Clientes!$C$3,[1]Clientes!$D$3,[1]Clientes!$D$2)</f>
        <v>13050505</v>
      </c>
    </row>
    <row r="13" spans="1:14">
      <c r="A13" s="6" t="s">
        <v>7</v>
      </c>
      <c r="B13" s="7">
        <v>45510</v>
      </c>
      <c r="C13" s="6" t="s">
        <v>3113</v>
      </c>
      <c r="D13" s="6" t="s">
        <v>3101</v>
      </c>
      <c r="E13" s="6" t="s">
        <v>16</v>
      </c>
      <c r="F13" s="7">
        <v>45540</v>
      </c>
      <c r="G13" s="6" t="s">
        <v>3102</v>
      </c>
      <c r="H13" s="8"/>
      <c r="I13" s="9">
        <v>116</v>
      </c>
      <c r="J13" s="9">
        <v>116</v>
      </c>
      <c r="K13" s="5" t="str">
        <f>VLOOKUP(D13,[1]Clientes!$A$1:$B$1485,2,0)</f>
        <v>NAC0457</v>
      </c>
      <c r="L13" s="5" t="str">
        <f t="shared" si="0"/>
        <v>HGI0126247</v>
      </c>
      <c r="M13" s="5" t="str">
        <f t="shared" si="1"/>
        <v>I</v>
      </c>
      <c r="N13" s="5">
        <f>IF(G13=[1]Clientes!$C$3,[1]Clientes!$D$3,[1]Clientes!$D$2)</f>
        <v>13050505</v>
      </c>
    </row>
    <row r="14" spans="1:14">
      <c r="A14" s="6" t="s">
        <v>7</v>
      </c>
      <c r="B14" s="7">
        <v>45511</v>
      </c>
      <c r="C14" s="6" t="s">
        <v>3114</v>
      </c>
      <c r="D14" s="6" t="s">
        <v>3101</v>
      </c>
      <c r="E14" s="6" t="s">
        <v>16</v>
      </c>
      <c r="F14" s="7">
        <v>45541</v>
      </c>
      <c r="G14" s="6" t="s">
        <v>3102</v>
      </c>
      <c r="H14" s="8"/>
      <c r="I14" s="9">
        <v>34.869999999999997</v>
      </c>
      <c r="J14" s="9">
        <v>34.869999999999997</v>
      </c>
      <c r="K14" s="5" t="str">
        <f>VLOOKUP(D14,[1]Clientes!$A$1:$B$1485,2,0)</f>
        <v>NAC0457</v>
      </c>
      <c r="L14" s="5" t="str">
        <f t="shared" si="0"/>
        <v>HGI0126282</v>
      </c>
      <c r="M14" s="5" t="str">
        <f t="shared" si="1"/>
        <v>I</v>
      </c>
      <c r="N14" s="5">
        <f>IF(G14=[1]Clientes!$C$3,[1]Clientes!$D$3,[1]Clientes!$D$2)</f>
        <v>13050505</v>
      </c>
    </row>
    <row r="15" spans="1:14">
      <c r="A15" s="6" t="s">
        <v>7</v>
      </c>
      <c r="B15" s="7">
        <v>45511</v>
      </c>
      <c r="C15" s="6" t="s">
        <v>3115</v>
      </c>
      <c r="D15" s="6" t="s">
        <v>3101</v>
      </c>
      <c r="E15" s="6" t="s">
        <v>16</v>
      </c>
      <c r="F15" s="7">
        <v>45541</v>
      </c>
      <c r="G15" s="6" t="s">
        <v>3102</v>
      </c>
      <c r="H15" s="8"/>
      <c r="I15" s="9">
        <v>32.9</v>
      </c>
      <c r="J15" s="9">
        <v>32.9</v>
      </c>
      <c r="K15" s="5" t="str">
        <f>VLOOKUP(D15,[1]Clientes!$A$1:$B$1485,2,0)</f>
        <v>NAC0457</v>
      </c>
      <c r="L15" s="5" t="str">
        <f t="shared" si="0"/>
        <v>HGI0126283</v>
      </c>
      <c r="M15" s="5" t="str">
        <f t="shared" si="1"/>
        <v>I</v>
      </c>
      <c r="N15" s="5">
        <f>IF(G15=[1]Clientes!$C$3,[1]Clientes!$D$3,[1]Clientes!$D$2)</f>
        <v>13050505</v>
      </c>
    </row>
    <row r="16" spans="1:14">
      <c r="A16" s="6" t="s">
        <v>7</v>
      </c>
      <c r="B16" s="7">
        <v>45512</v>
      </c>
      <c r="C16" s="6" t="s">
        <v>3116</v>
      </c>
      <c r="D16" s="6" t="s">
        <v>3101</v>
      </c>
      <c r="E16" s="6" t="s">
        <v>16</v>
      </c>
      <c r="F16" s="7">
        <v>45542</v>
      </c>
      <c r="G16" s="6" t="s">
        <v>3102</v>
      </c>
      <c r="H16" s="8"/>
      <c r="I16" s="9">
        <v>53</v>
      </c>
      <c r="J16" s="9">
        <v>53</v>
      </c>
      <c r="K16" s="5" t="str">
        <f>VLOOKUP(D16,[1]Clientes!$A$1:$B$1485,2,0)</f>
        <v>NAC0457</v>
      </c>
      <c r="L16" s="5" t="str">
        <f t="shared" si="0"/>
        <v>HGI0126314</v>
      </c>
      <c r="M16" s="5" t="str">
        <f t="shared" si="1"/>
        <v>I</v>
      </c>
      <c r="N16" s="5">
        <f>IF(G16=[1]Clientes!$C$3,[1]Clientes!$D$3,[1]Clientes!$D$2)</f>
        <v>13050505</v>
      </c>
    </row>
    <row r="17" spans="1:14">
      <c r="A17" s="6" t="s">
        <v>3099</v>
      </c>
      <c r="B17" s="7">
        <v>45519</v>
      </c>
      <c r="C17" s="6" t="s">
        <v>3117</v>
      </c>
      <c r="D17" s="6" t="s">
        <v>3101</v>
      </c>
      <c r="E17" s="6" t="s">
        <v>16</v>
      </c>
      <c r="F17" s="7">
        <v>45549</v>
      </c>
      <c r="G17" s="6" t="s">
        <v>3102</v>
      </c>
      <c r="H17" s="8"/>
      <c r="I17" s="9">
        <v>-5.42</v>
      </c>
      <c r="J17" s="9">
        <v>-5.42</v>
      </c>
      <c r="K17" s="5" t="str">
        <f>VLOOKUP(D17,[1]Clientes!$A$1:$B$1485,2,0)</f>
        <v>NAC0457</v>
      </c>
      <c r="L17" s="5" t="str">
        <f t="shared" si="0"/>
        <v>CRM0126514</v>
      </c>
      <c r="M17" s="5" t="str">
        <f t="shared" si="1"/>
        <v>C</v>
      </c>
      <c r="N17" s="5">
        <f>IF(G17=[1]Clientes!$C$3,[1]Clientes!$D$3,[1]Clientes!$D$2)</f>
        <v>13050505</v>
      </c>
    </row>
    <row r="18" spans="1:14">
      <c r="A18" s="6" t="s">
        <v>3099</v>
      </c>
      <c r="B18" s="7">
        <v>45519</v>
      </c>
      <c r="C18" s="6" t="s">
        <v>3118</v>
      </c>
      <c r="D18" s="6" t="s">
        <v>3101</v>
      </c>
      <c r="E18" s="6" t="s">
        <v>16</v>
      </c>
      <c r="F18" s="7">
        <v>45549</v>
      </c>
      <c r="G18" s="6" t="s">
        <v>3102</v>
      </c>
      <c r="H18" s="8"/>
      <c r="I18" s="9">
        <v>-1.0900000000000001</v>
      </c>
      <c r="J18" s="9">
        <v>-1.0900000000000001</v>
      </c>
      <c r="K18" s="5" t="str">
        <f>VLOOKUP(D18,[1]Clientes!$A$1:$B$1485,2,0)</f>
        <v>NAC0457</v>
      </c>
      <c r="L18" s="5" t="str">
        <f t="shared" si="0"/>
        <v>CRM0126521</v>
      </c>
      <c r="M18" s="5" t="str">
        <f t="shared" si="1"/>
        <v>C</v>
      </c>
      <c r="N18" s="5">
        <f>IF(G18=[1]Clientes!$C$3,[1]Clientes!$D$3,[1]Clientes!$D$2)</f>
        <v>13050505</v>
      </c>
    </row>
    <row r="19" spans="1:14">
      <c r="A19" s="6" t="s">
        <v>3099</v>
      </c>
      <c r="B19" s="7">
        <v>45519</v>
      </c>
      <c r="C19" s="6" t="s">
        <v>3119</v>
      </c>
      <c r="D19" s="6" t="s">
        <v>3101</v>
      </c>
      <c r="E19" s="6" t="s">
        <v>16</v>
      </c>
      <c r="F19" s="7">
        <v>45549</v>
      </c>
      <c r="G19" s="6" t="s">
        <v>3102</v>
      </c>
      <c r="H19" s="8"/>
      <c r="I19" s="9">
        <v>-1.6</v>
      </c>
      <c r="J19" s="9">
        <v>-1.6</v>
      </c>
      <c r="K19" s="5" t="str">
        <f>VLOOKUP(D19,[1]Clientes!$A$1:$B$1485,2,0)</f>
        <v>NAC0457</v>
      </c>
      <c r="L19" s="5" t="str">
        <f t="shared" si="0"/>
        <v>CRM0126525</v>
      </c>
      <c r="M19" s="5" t="str">
        <f t="shared" si="1"/>
        <v>C</v>
      </c>
      <c r="N19" s="5">
        <f>IF(G19=[1]Clientes!$C$3,[1]Clientes!$D$3,[1]Clientes!$D$2)</f>
        <v>13050505</v>
      </c>
    </row>
    <row r="20" spans="1:14">
      <c r="A20" s="6" t="s">
        <v>3099</v>
      </c>
      <c r="B20" s="7">
        <v>45519</v>
      </c>
      <c r="C20" s="6" t="s">
        <v>3120</v>
      </c>
      <c r="D20" s="6" t="s">
        <v>3101</v>
      </c>
      <c r="E20" s="6" t="s">
        <v>16</v>
      </c>
      <c r="F20" s="7">
        <v>45549</v>
      </c>
      <c r="G20" s="6" t="s">
        <v>3102</v>
      </c>
      <c r="H20" s="8"/>
      <c r="I20" s="9">
        <v>-1.6</v>
      </c>
      <c r="J20" s="9">
        <v>-1.6</v>
      </c>
      <c r="K20" s="5" t="str">
        <f>VLOOKUP(D20,[1]Clientes!$A$1:$B$1485,2,0)</f>
        <v>NAC0457</v>
      </c>
      <c r="L20" s="5" t="str">
        <f t="shared" si="0"/>
        <v>CRM0126529</v>
      </c>
      <c r="M20" s="5" t="str">
        <f t="shared" si="1"/>
        <v>C</v>
      </c>
      <c r="N20" s="5">
        <f>IF(G20=[1]Clientes!$C$3,[1]Clientes!$D$3,[1]Clientes!$D$2)</f>
        <v>13050505</v>
      </c>
    </row>
    <row r="21" spans="1:14">
      <c r="A21" s="6" t="s">
        <v>3099</v>
      </c>
      <c r="B21" s="7">
        <v>45519</v>
      </c>
      <c r="C21" s="6" t="s">
        <v>3121</v>
      </c>
      <c r="D21" s="6" t="s">
        <v>3101</v>
      </c>
      <c r="E21" s="6" t="s">
        <v>16</v>
      </c>
      <c r="F21" s="7">
        <v>45549</v>
      </c>
      <c r="G21" s="6" t="s">
        <v>3102</v>
      </c>
      <c r="H21" s="8"/>
      <c r="I21" s="9">
        <v>-7.69</v>
      </c>
      <c r="J21" s="9">
        <v>-7.69</v>
      </c>
      <c r="K21" s="5" t="str">
        <f>VLOOKUP(D21,[1]Clientes!$A$1:$B$1485,2,0)</f>
        <v>NAC0457</v>
      </c>
      <c r="L21" s="5" t="str">
        <f t="shared" si="0"/>
        <v>CRM0126530</v>
      </c>
      <c r="M21" s="5" t="str">
        <f t="shared" si="1"/>
        <v>C</v>
      </c>
      <c r="N21" s="5">
        <f>IF(G21=[1]Clientes!$C$3,[1]Clientes!$D$3,[1]Clientes!$D$2)</f>
        <v>13050505</v>
      </c>
    </row>
    <row r="22" spans="1:14">
      <c r="A22" s="6" t="s">
        <v>7</v>
      </c>
      <c r="B22" s="7">
        <v>45519</v>
      </c>
      <c r="C22" s="6" t="s">
        <v>3122</v>
      </c>
      <c r="D22" s="6" t="s">
        <v>3101</v>
      </c>
      <c r="E22" s="6" t="s">
        <v>16</v>
      </c>
      <c r="F22" s="7">
        <v>45549</v>
      </c>
      <c r="G22" s="6" t="s">
        <v>3102</v>
      </c>
      <c r="H22" s="8"/>
      <c r="I22" s="9">
        <v>116</v>
      </c>
      <c r="J22" s="9">
        <v>116</v>
      </c>
      <c r="K22" s="5" t="str">
        <f>VLOOKUP(D22,[1]Clientes!$A$1:$B$1485,2,0)</f>
        <v>NAC0457</v>
      </c>
      <c r="L22" s="5" t="str">
        <f t="shared" si="0"/>
        <v>HGI0126534</v>
      </c>
      <c r="M22" s="5" t="str">
        <f t="shared" si="1"/>
        <v>I</v>
      </c>
      <c r="N22" s="5">
        <f>IF(G22=[1]Clientes!$C$3,[1]Clientes!$D$3,[1]Clientes!$D$2)</f>
        <v>13050505</v>
      </c>
    </row>
    <row r="23" spans="1:14">
      <c r="A23" s="6" t="s">
        <v>7</v>
      </c>
      <c r="B23" s="7">
        <v>45520</v>
      </c>
      <c r="C23" s="6" t="s">
        <v>3123</v>
      </c>
      <c r="D23" s="6" t="s">
        <v>3101</v>
      </c>
      <c r="E23" s="6" t="s">
        <v>16</v>
      </c>
      <c r="F23" s="7">
        <v>45550</v>
      </c>
      <c r="G23" s="6" t="s">
        <v>3102</v>
      </c>
      <c r="H23" s="8"/>
      <c r="I23" s="9">
        <v>56.18</v>
      </c>
      <c r="J23" s="9">
        <v>56.18</v>
      </c>
      <c r="K23" s="5" t="str">
        <f>VLOOKUP(D23,[1]Clientes!$A$1:$B$1485,2,0)</f>
        <v>NAC0457</v>
      </c>
      <c r="L23" s="5" t="str">
        <f t="shared" si="0"/>
        <v>HGI0126612</v>
      </c>
      <c r="M23" s="5" t="str">
        <f t="shared" si="1"/>
        <v>I</v>
      </c>
      <c r="N23" s="5">
        <f>IF(G23=[1]Clientes!$C$3,[1]Clientes!$D$3,[1]Clientes!$D$2)</f>
        <v>13050505</v>
      </c>
    </row>
    <row r="24" spans="1:14">
      <c r="A24" s="6" t="s">
        <v>7</v>
      </c>
      <c r="B24" s="7">
        <v>45523</v>
      </c>
      <c r="C24" s="6" t="s">
        <v>3124</v>
      </c>
      <c r="D24" s="6" t="s">
        <v>3101</v>
      </c>
      <c r="E24" s="6" t="s">
        <v>16</v>
      </c>
      <c r="F24" s="7">
        <v>45553</v>
      </c>
      <c r="G24" s="6" t="s">
        <v>3102</v>
      </c>
      <c r="H24" s="8"/>
      <c r="I24" s="9">
        <v>56.18</v>
      </c>
      <c r="J24" s="9">
        <v>56.18</v>
      </c>
      <c r="K24" s="5" t="str">
        <f>VLOOKUP(D24,[1]Clientes!$A$1:$B$1485,2,0)</f>
        <v>NAC0457</v>
      </c>
      <c r="L24" s="5" t="str">
        <f t="shared" si="0"/>
        <v>HGI0126632</v>
      </c>
      <c r="M24" s="5" t="str">
        <f t="shared" si="1"/>
        <v>I</v>
      </c>
      <c r="N24" s="5">
        <f>IF(G24=[1]Clientes!$C$3,[1]Clientes!$D$3,[1]Clientes!$D$2)</f>
        <v>13050505</v>
      </c>
    </row>
    <row r="25" spans="1:14">
      <c r="A25" s="6" t="s">
        <v>7</v>
      </c>
      <c r="B25" s="7">
        <v>45523</v>
      </c>
      <c r="C25" s="6" t="s">
        <v>3125</v>
      </c>
      <c r="D25" s="6" t="s">
        <v>3101</v>
      </c>
      <c r="E25" s="6" t="s">
        <v>16</v>
      </c>
      <c r="F25" s="7">
        <v>45553</v>
      </c>
      <c r="G25" s="6" t="s">
        <v>3102</v>
      </c>
      <c r="H25" s="8"/>
      <c r="I25" s="9">
        <v>53</v>
      </c>
      <c r="J25" s="9">
        <v>53</v>
      </c>
      <c r="K25" s="5" t="str">
        <f>VLOOKUP(D25,[1]Clientes!$A$1:$B$1485,2,0)</f>
        <v>NAC0457</v>
      </c>
      <c r="L25" s="5" t="str">
        <f t="shared" si="0"/>
        <v>HGI0126633</v>
      </c>
      <c r="M25" s="5" t="str">
        <f t="shared" si="1"/>
        <v>I</v>
      </c>
      <c r="N25" s="5">
        <f>IF(G25=[1]Clientes!$C$3,[1]Clientes!$D$3,[1]Clientes!$D$2)</f>
        <v>13050505</v>
      </c>
    </row>
    <row r="26" spans="1:14">
      <c r="A26" s="6" t="s">
        <v>7</v>
      </c>
      <c r="B26" s="7">
        <v>45524</v>
      </c>
      <c r="C26" s="6" t="s">
        <v>3126</v>
      </c>
      <c r="D26" s="6" t="s">
        <v>3101</v>
      </c>
      <c r="E26" s="6" t="s">
        <v>16</v>
      </c>
      <c r="F26" s="7">
        <v>45554</v>
      </c>
      <c r="G26" s="6" t="s">
        <v>3102</v>
      </c>
      <c r="H26" s="8"/>
      <c r="I26" s="9">
        <v>116</v>
      </c>
      <c r="J26" s="9">
        <v>116</v>
      </c>
      <c r="K26" s="5" t="str">
        <f>VLOOKUP(D26,[1]Clientes!$A$1:$B$1485,2,0)</f>
        <v>NAC0457</v>
      </c>
      <c r="L26" s="5" t="str">
        <f t="shared" si="0"/>
        <v>HGI0126701</v>
      </c>
      <c r="M26" s="5" t="str">
        <f t="shared" si="1"/>
        <v>I</v>
      </c>
      <c r="N26" s="5">
        <f>IF(G26=[1]Clientes!$C$3,[1]Clientes!$D$3,[1]Clientes!$D$2)</f>
        <v>13050505</v>
      </c>
    </row>
    <row r="27" spans="1:14">
      <c r="A27" s="6" t="s">
        <v>7</v>
      </c>
      <c r="B27" s="7">
        <v>45524</v>
      </c>
      <c r="C27" s="6" t="s">
        <v>3127</v>
      </c>
      <c r="D27" s="6" t="s">
        <v>3101</v>
      </c>
      <c r="E27" s="6" t="s">
        <v>16</v>
      </c>
      <c r="F27" s="7">
        <v>45554</v>
      </c>
      <c r="G27" s="6" t="s">
        <v>3102</v>
      </c>
      <c r="H27" s="8"/>
      <c r="I27" s="9">
        <v>116</v>
      </c>
      <c r="J27" s="9">
        <v>116</v>
      </c>
      <c r="K27" s="5" t="str">
        <f>VLOOKUP(D27,[1]Clientes!$A$1:$B$1485,2,0)</f>
        <v>NAC0457</v>
      </c>
      <c r="L27" s="5" t="str">
        <f t="shared" si="0"/>
        <v>HGI0126702</v>
      </c>
      <c r="M27" s="5" t="str">
        <f t="shared" si="1"/>
        <v>I</v>
      </c>
      <c r="N27" s="5">
        <f>IF(G27=[1]Clientes!$C$3,[1]Clientes!$D$3,[1]Clientes!$D$2)</f>
        <v>13050505</v>
      </c>
    </row>
    <row r="28" spans="1:14">
      <c r="A28" s="6" t="s">
        <v>7</v>
      </c>
      <c r="B28" s="7">
        <v>45524</v>
      </c>
      <c r="C28" s="6" t="s">
        <v>3128</v>
      </c>
      <c r="D28" s="6" t="s">
        <v>3101</v>
      </c>
      <c r="E28" s="6" t="s">
        <v>16</v>
      </c>
      <c r="F28" s="7">
        <v>45554</v>
      </c>
      <c r="G28" s="6" t="s">
        <v>3102</v>
      </c>
      <c r="H28" s="8"/>
      <c r="I28" s="9">
        <v>53</v>
      </c>
      <c r="J28" s="9">
        <v>53</v>
      </c>
      <c r="K28" s="5" t="str">
        <f>VLOOKUP(D28,[1]Clientes!$A$1:$B$1485,2,0)</f>
        <v>NAC0457</v>
      </c>
      <c r="L28" s="5" t="str">
        <f t="shared" si="0"/>
        <v>HGI0126703</v>
      </c>
      <c r="M28" s="5" t="str">
        <f t="shared" si="1"/>
        <v>I</v>
      </c>
      <c r="N28" s="5">
        <f>IF(G28=[1]Clientes!$C$3,[1]Clientes!$D$3,[1]Clientes!$D$2)</f>
        <v>13050505</v>
      </c>
    </row>
    <row r="29" spans="1:14">
      <c r="A29" s="6" t="s">
        <v>7</v>
      </c>
      <c r="B29" s="7">
        <v>45524</v>
      </c>
      <c r="C29" s="6" t="s">
        <v>3129</v>
      </c>
      <c r="D29" s="6" t="s">
        <v>3101</v>
      </c>
      <c r="E29" s="6" t="s">
        <v>16</v>
      </c>
      <c r="F29" s="7">
        <v>45554</v>
      </c>
      <c r="G29" s="6" t="s">
        <v>3102</v>
      </c>
      <c r="H29" s="8"/>
      <c r="I29" s="9">
        <v>53</v>
      </c>
      <c r="J29" s="9">
        <v>53</v>
      </c>
      <c r="K29" s="5" t="str">
        <f>VLOOKUP(D29,[1]Clientes!$A$1:$B$1485,2,0)</f>
        <v>NAC0457</v>
      </c>
      <c r="L29" s="5" t="str">
        <f t="shared" si="0"/>
        <v>HGI0126704</v>
      </c>
      <c r="M29" s="5" t="str">
        <f t="shared" si="1"/>
        <v>I</v>
      </c>
      <c r="N29" s="5">
        <f>IF(G29=[1]Clientes!$C$3,[1]Clientes!$D$3,[1]Clientes!$D$2)</f>
        <v>13050505</v>
      </c>
    </row>
    <row r="30" spans="1:14">
      <c r="A30" s="6" t="s">
        <v>7</v>
      </c>
      <c r="B30" s="7">
        <v>45524</v>
      </c>
      <c r="C30" s="6" t="s">
        <v>3130</v>
      </c>
      <c r="D30" s="6" t="s">
        <v>3101</v>
      </c>
      <c r="E30" s="6" t="s">
        <v>16</v>
      </c>
      <c r="F30" s="7">
        <v>45554</v>
      </c>
      <c r="G30" s="6" t="s">
        <v>3102</v>
      </c>
      <c r="H30" s="8"/>
      <c r="I30" s="9">
        <v>53</v>
      </c>
      <c r="J30" s="9">
        <v>53</v>
      </c>
      <c r="K30" s="5" t="str">
        <f>VLOOKUP(D30,[1]Clientes!$A$1:$B$1485,2,0)</f>
        <v>NAC0457</v>
      </c>
      <c r="L30" s="5" t="str">
        <f t="shared" si="0"/>
        <v>HGI0126705</v>
      </c>
      <c r="M30" s="5" t="str">
        <f t="shared" si="1"/>
        <v>I</v>
      </c>
      <c r="N30" s="5">
        <f>IF(G30=[1]Clientes!$C$3,[1]Clientes!$D$3,[1]Clientes!$D$2)</f>
        <v>13050505</v>
      </c>
    </row>
    <row r="31" spans="1:14">
      <c r="A31" s="6" t="s">
        <v>7</v>
      </c>
      <c r="B31" s="7">
        <v>45525</v>
      </c>
      <c r="C31" s="6" t="s">
        <v>3131</v>
      </c>
      <c r="D31" s="6" t="s">
        <v>3101</v>
      </c>
      <c r="E31" s="6" t="s">
        <v>16</v>
      </c>
      <c r="F31" s="7">
        <v>45555</v>
      </c>
      <c r="G31" s="6" t="s">
        <v>3102</v>
      </c>
      <c r="H31" s="8"/>
      <c r="I31" s="9">
        <v>53</v>
      </c>
      <c r="J31" s="9">
        <v>53</v>
      </c>
      <c r="K31" s="5" t="str">
        <f>VLOOKUP(D31,[1]Clientes!$A$1:$B$1485,2,0)</f>
        <v>NAC0457</v>
      </c>
      <c r="L31" s="5" t="str">
        <f t="shared" si="0"/>
        <v>HGI0126751</v>
      </c>
      <c r="M31" s="5" t="str">
        <f t="shared" si="1"/>
        <v>I</v>
      </c>
      <c r="N31" s="5">
        <f>IF(G31=[1]Clientes!$C$3,[1]Clientes!$D$3,[1]Clientes!$D$2)</f>
        <v>13050505</v>
      </c>
    </row>
    <row r="32" spans="1:14">
      <c r="A32" s="6" t="s">
        <v>7</v>
      </c>
      <c r="B32" s="7">
        <v>45526</v>
      </c>
      <c r="C32" s="6" t="s">
        <v>3132</v>
      </c>
      <c r="D32" s="6" t="s">
        <v>3101</v>
      </c>
      <c r="E32" s="6" t="s">
        <v>16</v>
      </c>
      <c r="F32" s="7">
        <v>45556</v>
      </c>
      <c r="G32" s="6" t="s">
        <v>3102</v>
      </c>
      <c r="H32" s="8"/>
      <c r="I32" s="9">
        <v>116</v>
      </c>
      <c r="J32" s="9">
        <v>116</v>
      </c>
      <c r="K32" s="5" t="str">
        <f>VLOOKUP(D32,[1]Clientes!$A$1:$B$1485,2,0)</f>
        <v>NAC0457</v>
      </c>
      <c r="L32" s="5" t="str">
        <f t="shared" si="0"/>
        <v>HGI0126766</v>
      </c>
      <c r="M32" s="5" t="str">
        <f t="shared" si="1"/>
        <v>I</v>
      </c>
      <c r="N32" s="5">
        <f>IF(G32=[1]Clientes!$C$3,[1]Clientes!$D$3,[1]Clientes!$D$2)</f>
        <v>13050505</v>
      </c>
    </row>
    <row r="33" spans="1:14">
      <c r="A33" s="6" t="s">
        <v>7</v>
      </c>
      <c r="B33" s="7">
        <v>45531</v>
      </c>
      <c r="C33" s="6" t="s">
        <v>3133</v>
      </c>
      <c r="D33" s="6" t="s">
        <v>3101</v>
      </c>
      <c r="E33" s="6" t="s">
        <v>16</v>
      </c>
      <c r="F33" s="7">
        <v>45561</v>
      </c>
      <c r="G33" s="6" t="s">
        <v>3102</v>
      </c>
      <c r="H33" s="8"/>
      <c r="I33" s="9">
        <v>53</v>
      </c>
      <c r="J33" s="9">
        <v>53</v>
      </c>
      <c r="K33" s="5" t="str">
        <f>VLOOKUP(D33,[1]Clientes!$A$1:$B$1485,2,0)</f>
        <v>NAC0457</v>
      </c>
      <c r="L33" s="5" t="str">
        <f t="shared" si="0"/>
        <v>HGI0126902</v>
      </c>
      <c r="M33" s="5" t="str">
        <f t="shared" si="1"/>
        <v>I</v>
      </c>
      <c r="N33" s="5">
        <f>IF(G33=[1]Clientes!$C$3,[1]Clientes!$D$3,[1]Clientes!$D$2)</f>
        <v>13050505</v>
      </c>
    </row>
    <row r="34" spans="1:14">
      <c r="A34" s="6" t="s">
        <v>7</v>
      </c>
      <c r="B34" s="7">
        <v>45531</v>
      </c>
      <c r="C34" s="6" t="s">
        <v>3134</v>
      </c>
      <c r="D34" s="6" t="s">
        <v>3101</v>
      </c>
      <c r="E34" s="6" t="s">
        <v>16</v>
      </c>
      <c r="F34" s="7">
        <v>45561</v>
      </c>
      <c r="G34" s="6" t="s">
        <v>3102</v>
      </c>
      <c r="H34" s="8"/>
      <c r="I34" s="9">
        <v>53</v>
      </c>
      <c r="J34" s="9">
        <v>53</v>
      </c>
      <c r="K34" s="5" t="str">
        <f>VLOOKUP(D34,[1]Clientes!$A$1:$B$1485,2,0)</f>
        <v>NAC0457</v>
      </c>
      <c r="L34" s="5" t="str">
        <f t="shared" si="0"/>
        <v>HGI0126906</v>
      </c>
      <c r="M34" s="5" t="str">
        <f t="shared" si="1"/>
        <v>I</v>
      </c>
      <c r="N34" s="5">
        <f>IF(G34=[1]Clientes!$C$3,[1]Clientes!$D$3,[1]Clientes!$D$2)</f>
        <v>13050505</v>
      </c>
    </row>
    <row r="35" spans="1:14">
      <c r="A35" s="6" t="s">
        <v>7</v>
      </c>
      <c r="B35" s="7">
        <v>45531</v>
      </c>
      <c r="C35" s="6" t="s">
        <v>3135</v>
      </c>
      <c r="D35" s="6" t="s">
        <v>3101</v>
      </c>
      <c r="E35" s="6" t="s">
        <v>16</v>
      </c>
      <c r="F35" s="7">
        <v>45561</v>
      </c>
      <c r="G35" s="6" t="s">
        <v>3102</v>
      </c>
      <c r="H35" s="8"/>
      <c r="I35" s="9">
        <v>53</v>
      </c>
      <c r="J35" s="9">
        <v>53</v>
      </c>
      <c r="K35" s="5" t="str">
        <f>VLOOKUP(D35,[1]Clientes!$A$1:$B$1485,2,0)</f>
        <v>NAC0457</v>
      </c>
      <c r="L35" s="5" t="str">
        <f t="shared" si="0"/>
        <v>HGI0126907</v>
      </c>
      <c r="M35" s="5" t="str">
        <f t="shared" si="1"/>
        <v>I</v>
      </c>
      <c r="N35" s="5">
        <f>IF(G35=[1]Clientes!$C$3,[1]Clientes!$D$3,[1]Clientes!$D$2)</f>
        <v>13050505</v>
      </c>
    </row>
    <row r="36" spans="1:14">
      <c r="A36" s="6" t="s">
        <v>3099</v>
      </c>
      <c r="B36" s="7">
        <v>45532</v>
      </c>
      <c r="C36" s="6" t="s">
        <v>3136</v>
      </c>
      <c r="D36" s="6" t="s">
        <v>3101</v>
      </c>
      <c r="E36" s="6" t="s">
        <v>16</v>
      </c>
      <c r="F36" s="7">
        <v>45562</v>
      </c>
      <c r="G36" s="6" t="s">
        <v>3102</v>
      </c>
      <c r="H36" s="8"/>
      <c r="I36" s="9">
        <v>-1.97</v>
      </c>
      <c r="J36" s="9">
        <v>-1.97</v>
      </c>
      <c r="K36" s="5" t="str">
        <f>VLOOKUP(D36,[1]Clientes!$A$1:$B$1485,2,0)</f>
        <v>NAC0457</v>
      </c>
      <c r="L36" s="5" t="str">
        <f t="shared" si="0"/>
        <v>CRM0126923</v>
      </c>
      <c r="M36" s="5" t="str">
        <f t="shared" si="1"/>
        <v>C</v>
      </c>
      <c r="N36" s="5">
        <f>IF(G36=[1]Clientes!$C$3,[1]Clientes!$D$3,[1]Clientes!$D$2)</f>
        <v>13050505</v>
      </c>
    </row>
    <row r="37" spans="1:14">
      <c r="A37" s="6" t="s">
        <v>3099</v>
      </c>
      <c r="B37" s="7">
        <v>45532</v>
      </c>
      <c r="C37" s="6" t="s">
        <v>3137</v>
      </c>
      <c r="D37" s="6" t="s">
        <v>3101</v>
      </c>
      <c r="E37" s="6" t="s">
        <v>16</v>
      </c>
      <c r="F37" s="7">
        <v>45562</v>
      </c>
      <c r="G37" s="6" t="s">
        <v>3102</v>
      </c>
      <c r="H37" s="8"/>
      <c r="I37" s="9">
        <v>-3.18</v>
      </c>
      <c r="J37" s="9">
        <v>-3.18</v>
      </c>
      <c r="K37" s="5" t="str">
        <f>VLOOKUP(D37,[1]Clientes!$A$1:$B$1485,2,0)</f>
        <v>NAC0457</v>
      </c>
      <c r="L37" s="5" t="str">
        <f t="shared" si="0"/>
        <v>CRM0126927</v>
      </c>
      <c r="M37" s="5" t="str">
        <f t="shared" si="1"/>
        <v>C</v>
      </c>
      <c r="N37" s="5">
        <f>IF(G37=[1]Clientes!$C$3,[1]Clientes!$D$3,[1]Clientes!$D$2)</f>
        <v>13050505</v>
      </c>
    </row>
    <row r="38" spans="1:14">
      <c r="A38" s="6" t="s">
        <v>3099</v>
      </c>
      <c r="B38" s="7">
        <v>45532</v>
      </c>
      <c r="C38" s="6" t="s">
        <v>3138</v>
      </c>
      <c r="D38" s="6" t="s">
        <v>3101</v>
      </c>
      <c r="E38" s="6" t="s">
        <v>16</v>
      </c>
      <c r="F38" s="7">
        <v>45562</v>
      </c>
      <c r="G38" s="6" t="s">
        <v>3102</v>
      </c>
      <c r="H38" s="8"/>
      <c r="I38" s="9">
        <v>-3.18</v>
      </c>
      <c r="J38" s="9">
        <v>-3.18</v>
      </c>
      <c r="K38" s="5" t="str">
        <f>VLOOKUP(D38,[1]Clientes!$A$1:$B$1485,2,0)</f>
        <v>NAC0457</v>
      </c>
      <c r="L38" s="5" t="str">
        <f t="shared" si="0"/>
        <v>CRM0126928</v>
      </c>
      <c r="M38" s="5" t="str">
        <f t="shared" si="1"/>
        <v>C</v>
      </c>
      <c r="N38" s="5">
        <f>IF(G38=[1]Clientes!$C$3,[1]Clientes!$D$3,[1]Clientes!$D$2)</f>
        <v>13050505</v>
      </c>
    </row>
    <row r="39" spans="1:14">
      <c r="A39" s="6" t="s">
        <v>3139</v>
      </c>
      <c r="B39" s="7">
        <v>45504</v>
      </c>
      <c r="C39" s="6"/>
      <c r="D39" s="6" t="s">
        <v>352</v>
      </c>
      <c r="E39" s="6"/>
      <c r="F39" s="7"/>
      <c r="G39" s="6" t="s">
        <v>3102</v>
      </c>
      <c r="H39" s="8"/>
      <c r="I39" s="9">
        <v>-5.4</v>
      </c>
      <c r="J39" s="9">
        <v>-5.4</v>
      </c>
      <c r="K39" s="5" t="str">
        <f>VLOOKUP(D39,[1]Clientes!$A$1:$B$1370,2,0)</f>
        <v>NAC0456</v>
      </c>
      <c r="L39" s="5" t="str">
        <f t="shared" si="0"/>
        <v>Revisar</v>
      </c>
      <c r="M39" s="5" t="str">
        <f t="shared" si="1"/>
        <v>P</v>
      </c>
      <c r="N39" s="5">
        <f>IF(G39=[1]Clientes!$C$3,[1]Clientes!$D$3,[1]Clientes!$D$2)</f>
        <v>13050505</v>
      </c>
    </row>
    <row r="40" spans="1:14">
      <c r="A40" s="6" t="s">
        <v>7</v>
      </c>
      <c r="B40" s="7">
        <v>45329</v>
      </c>
      <c r="C40" s="6" t="s">
        <v>3140</v>
      </c>
      <c r="D40" s="6" t="s">
        <v>375</v>
      </c>
      <c r="E40" s="6" t="s">
        <v>16</v>
      </c>
      <c r="F40" s="7">
        <v>45359</v>
      </c>
      <c r="G40" s="6" t="s">
        <v>3102</v>
      </c>
      <c r="H40" s="8">
        <v>176</v>
      </c>
      <c r="I40" s="9">
        <v>195.46</v>
      </c>
      <c r="J40" s="9">
        <v>195.46</v>
      </c>
      <c r="K40" s="5" t="str">
        <f>VLOOKUP(D40,[1]Clientes!$A$1:$B$1370,2,0)</f>
        <v>NAC0474</v>
      </c>
      <c r="L40" s="5" t="str">
        <f t="shared" si="0"/>
        <v>HGI0120679</v>
      </c>
      <c r="M40" s="5" t="str">
        <f t="shared" si="1"/>
        <v>I</v>
      </c>
      <c r="N40" s="5">
        <f>IF(G40=[1]Clientes!$C$3,[1]Clientes!$D$3,[1]Clientes!$D$2)</f>
        <v>13050505</v>
      </c>
    </row>
    <row r="41" spans="1:14">
      <c r="A41" s="6" t="s">
        <v>7</v>
      </c>
      <c r="B41" s="7">
        <v>45509</v>
      </c>
      <c r="C41" s="6" t="s">
        <v>3141</v>
      </c>
      <c r="D41" s="6" t="s">
        <v>377</v>
      </c>
      <c r="E41" s="6" t="s">
        <v>16</v>
      </c>
      <c r="F41" s="7">
        <v>45539</v>
      </c>
      <c r="G41" s="6" t="s">
        <v>3102</v>
      </c>
      <c r="H41" s="8"/>
      <c r="I41" s="9">
        <v>436.75</v>
      </c>
      <c r="J41" s="9">
        <v>436.75</v>
      </c>
      <c r="K41" s="5" t="str">
        <f>VLOOKUP(D41,[1]Clientes!$A$1:$B$1370,2,0)</f>
        <v>NAC0475</v>
      </c>
      <c r="L41" s="5" t="str">
        <f t="shared" si="0"/>
        <v>HGI0126224</v>
      </c>
      <c r="M41" s="5" t="str">
        <f t="shared" si="1"/>
        <v>I</v>
      </c>
      <c r="N41" s="5">
        <f>IF(G41=[1]Clientes!$C$3,[1]Clientes!$D$3,[1]Clientes!$D$2)</f>
        <v>13050505</v>
      </c>
    </row>
    <row r="42" spans="1:14">
      <c r="A42" s="6" t="s">
        <v>7</v>
      </c>
      <c r="B42" s="7">
        <v>45516</v>
      </c>
      <c r="C42" s="6" t="s">
        <v>3142</v>
      </c>
      <c r="D42" s="6" t="s">
        <v>377</v>
      </c>
      <c r="E42" s="6" t="s">
        <v>16</v>
      </c>
      <c r="F42" s="7">
        <v>45546</v>
      </c>
      <c r="G42" s="6" t="s">
        <v>3102</v>
      </c>
      <c r="H42" s="8"/>
      <c r="I42" s="9">
        <v>700</v>
      </c>
      <c r="J42" s="9">
        <v>700</v>
      </c>
      <c r="K42" s="5" t="str">
        <f>VLOOKUP(D42,[1]Clientes!$A$1:$B$1370,2,0)</f>
        <v>NAC0475</v>
      </c>
      <c r="L42" s="5" t="str">
        <f t="shared" si="0"/>
        <v>HGI0126386</v>
      </c>
      <c r="M42" s="5" t="str">
        <f t="shared" si="1"/>
        <v>I</v>
      </c>
      <c r="N42" s="5">
        <f>IF(G42=[1]Clientes!$C$3,[1]Clientes!$D$3,[1]Clientes!$D$2)</f>
        <v>13050505</v>
      </c>
    </row>
    <row r="43" spans="1:14">
      <c r="A43" s="6" t="s">
        <v>7</v>
      </c>
      <c r="B43" s="7">
        <v>45516</v>
      </c>
      <c r="C43" s="6" t="s">
        <v>3143</v>
      </c>
      <c r="D43" s="6" t="s">
        <v>377</v>
      </c>
      <c r="E43" s="6" t="s">
        <v>16</v>
      </c>
      <c r="F43" s="7">
        <v>45546</v>
      </c>
      <c r="G43" s="6" t="s">
        <v>3102</v>
      </c>
      <c r="H43" s="8"/>
      <c r="I43" s="9">
        <v>2178</v>
      </c>
      <c r="J43" s="9">
        <v>2178</v>
      </c>
      <c r="K43" s="5" t="str">
        <f>VLOOKUP(D43,[1]Clientes!$A$1:$B$1370,2,0)</f>
        <v>NAC0475</v>
      </c>
      <c r="L43" s="5" t="str">
        <f t="shared" si="0"/>
        <v>HGI0126387</v>
      </c>
      <c r="M43" s="5" t="str">
        <f t="shared" si="1"/>
        <v>I</v>
      </c>
      <c r="N43" s="5">
        <f>IF(G43=[1]Clientes!$C$3,[1]Clientes!$D$3,[1]Clientes!$D$2)</f>
        <v>13050505</v>
      </c>
    </row>
    <row r="44" spans="1:14">
      <c r="A44" s="6" t="s">
        <v>7</v>
      </c>
      <c r="B44" s="7">
        <v>45524</v>
      </c>
      <c r="C44" s="6" t="s">
        <v>3144</v>
      </c>
      <c r="D44" s="6" t="s">
        <v>377</v>
      </c>
      <c r="E44" s="6" t="s">
        <v>16</v>
      </c>
      <c r="F44" s="7">
        <v>45554</v>
      </c>
      <c r="G44" s="6" t="s">
        <v>3102</v>
      </c>
      <c r="H44" s="8"/>
      <c r="I44" s="9">
        <v>1256.8599999999999</v>
      </c>
      <c r="J44" s="9">
        <v>1256.8599999999999</v>
      </c>
      <c r="K44" s="5" t="str">
        <f>VLOOKUP(D44,[1]Clientes!$A$1:$B$1370,2,0)</f>
        <v>NAC0475</v>
      </c>
      <c r="L44" s="5" t="str">
        <f t="shared" si="0"/>
        <v>HGI0126707</v>
      </c>
      <c r="M44" s="5" t="str">
        <f t="shared" si="1"/>
        <v>I</v>
      </c>
      <c r="N44" s="5">
        <f>IF(G44=[1]Clientes!$C$3,[1]Clientes!$D$3,[1]Clientes!$D$2)</f>
        <v>13050505</v>
      </c>
    </row>
    <row r="45" spans="1:14">
      <c r="A45" s="6" t="s">
        <v>7</v>
      </c>
      <c r="B45" s="7">
        <v>45408</v>
      </c>
      <c r="C45" s="6" t="s">
        <v>3145</v>
      </c>
      <c r="D45" s="6" t="s">
        <v>3146</v>
      </c>
      <c r="E45" s="6" t="s">
        <v>382</v>
      </c>
      <c r="F45" s="7">
        <v>45468</v>
      </c>
      <c r="G45" s="6" t="s">
        <v>3102</v>
      </c>
      <c r="H45" s="8">
        <v>67</v>
      </c>
      <c r="I45" s="9">
        <v>324.08</v>
      </c>
      <c r="J45" s="9">
        <v>1994.98</v>
      </c>
      <c r="K45" s="5" t="str">
        <f>VLOOKUP(D45,[1]Clientes!$A$1:$B$1485,2,0)</f>
        <v>NAC0478</v>
      </c>
      <c r="L45" s="5" t="str">
        <f t="shared" si="0"/>
        <v>HGI0123561</v>
      </c>
      <c r="M45" s="5" t="str">
        <f t="shared" si="1"/>
        <v>I</v>
      </c>
      <c r="N45" s="5">
        <f>IF(G45=[1]Clientes!$C$3,[1]Clientes!$D$3,[1]Clientes!$D$2)</f>
        <v>13050505</v>
      </c>
    </row>
    <row r="46" spans="1:14">
      <c r="A46" s="6" t="s">
        <v>7</v>
      </c>
      <c r="B46" s="7">
        <v>45454</v>
      </c>
      <c r="C46" s="6" t="s">
        <v>3147</v>
      </c>
      <c r="D46" s="6" t="s">
        <v>3146</v>
      </c>
      <c r="E46" s="6" t="s">
        <v>382</v>
      </c>
      <c r="F46" s="7">
        <v>45514</v>
      </c>
      <c r="G46" s="6" t="s">
        <v>3102</v>
      </c>
      <c r="H46" s="8">
        <v>21</v>
      </c>
      <c r="I46" s="9">
        <v>2900</v>
      </c>
      <c r="J46" s="9">
        <v>2900</v>
      </c>
      <c r="K46" s="5" t="str">
        <f>VLOOKUP(D46,[1]Clientes!$A$1:$B$1485,2,0)</f>
        <v>NAC0478</v>
      </c>
      <c r="L46" s="5" t="str">
        <f t="shared" si="0"/>
        <v>HGI0124987</v>
      </c>
      <c r="M46" s="5" t="str">
        <f t="shared" si="1"/>
        <v>I</v>
      </c>
      <c r="N46" s="5">
        <f>IF(G46=[1]Clientes!$C$3,[1]Clientes!$D$3,[1]Clientes!$D$2)</f>
        <v>13050505</v>
      </c>
    </row>
    <row r="47" spans="1:14">
      <c r="A47" s="6" t="s">
        <v>7</v>
      </c>
      <c r="B47" s="7">
        <v>45456</v>
      </c>
      <c r="C47" s="6" t="s">
        <v>3148</v>
      </c>
      <c r="D47" s="6" t="s">
        <v>3146</v>
      </c>
      <c r="E47" s="6" t="s">
        <v>382</v>
      </c>
      <c r="F47" s="7">
        <v>45516</v>
      </c>
      <c r="G47" s="6" t="s">
        <v>3102</v>
      </c>
      <c r="H47" s="8">
        <v>19</v>
      </c>
      <c r="I47" s="9">
        <v>20025</v>
      </c>
      <c r="J47" s="9">
        <v>20025</v>
      </c>
      <c r="K47" s="5" t="str">
        <f>VLOOKUP(D47,[1]Clientes!$A$1:$B$1485,2,0)</f>
        <v>NAC0478</v>
      </c>
      <c r="L47" s="5" t="str">
        <f t="shared" si="0"/>
        <v>HGI0125047</v>
      </c>
      <c r="M47" s="5" t="str">
        <f t="shared" si="1"/>
        <v>I</v>
      </c>
      <c r="N47" s="5">
        <f>IF(G47=[1]Clientes!$C$3,[1]Clientes!$D$3,[1]Clientes!$D$2)</f>
        <v>13050505</v>
      </c>
    </row>
    <row r="48" spans="1:14">
      <c r="A48" s="6" t="s">
        <v>7</v>
      </c>
      <c r="B48" s="7">
        <v>45492</v>
      </c>
      <c r="C48" s="6" t="s">
        <v>3149</v>
      </c>
      <c r="D48" s="6" t="s">
        <v>3146</v>
      </c>
      <c r="E48" s="6" t="s">
        <v>382</v>
      </c>
      <c r="F48" s="7">
        <v>45552</v>
      </c>
      <c r="G48" s="6" t="s">
        <v>3102</v>
      </c>
      <c r="H48" s="8"/>
      <c r="I48" s="9">
        <v>277.66000000000003</v>
      </c>
      <c r="J48" s="9">
        <v>277.66000000000003</v>
      </c>
      <c r="K48" s="5" t="str">
        <f>VLOOKUP(D48,[1]Clientes!$A$1:$B$1485,2,0)</f>
        <v>NAC0478</v>
      </c>
      <c r="L48" s="5" t="str">
        <f t="shared" si="0"/>
        <v>HGI0125857</v>
      </c>
      <c r="M48" s="5" t="str">
        <f t="shared" si="1"/>
        <v>I</v>
      </c>
      <c r="N48" s="5">
        <f>IF(G48=[1]Clientes!$C$3,[1]Clientes!$D$3,[1]Clientes!$D$2)</f>
        <v>13050505</v>
      </c>
    </row>
    <row r="49" spans="1:14">
      <c r="A49" s="6" t="s">
        <v>7</v>
      </c>
      <c r="B49" s="7">
        <v>45495</v>
      </c>
      <c r="C49" s="6" t="s">
        <v>3150</v>
      </c>
      <c r="D49" s="6" t="s">
        <v>3146</v>
      </c>
      <c r="E49" s="6" t="s">
        <v>382</v>
      </c>
      <c r="F49" s="7">
        <v>45555</v>
      </c>
      <c r="G49" s="6" t="s">
        <v>3102</v>
      </c>
      <c r="H49" s="8"/>
      <c r="I49" s="9">
        <v>5604.9</v>
      </c>
      <c r="J49" s="9">
        <v>5604.9</v>
      </c>
      <c r="K49" s="5" t="str">
        <f>VLOOKUP(D49,[1]Clientes!$A$1:$B$1485,2,0)</f>
        <v>NAC0478</v>
      </c>
      <c r="L49" s="5" t="str">
        <f t="shared" si="0"/>
        <v>HGI0125830</v>
      </c>
      <c r="M49" s="5" t="str">
        <f t="shared" si="1"/>
        <v>I</v>
      </c>
      <c r="N49" s="5">
        <f>IF(G49=[1]Clientes!$C$3,[1]Clientes!$D$3,[1]Clientes!$D$2)</f>
        <v>13050505</v>
      </c>
    </row>
    <row r="50" spans="1:14">
      <c r="A50" s="6" t="s">
        <v>7</v>
      </c>
      <c r="B50" s="7">
        <v>45523</v>
      </c>
      <c r="C50" s="6" t="s">
        <v>3151</v>
      </c>
      <c r="D50" s="6" t="s">
        <v>3146</v>
      </c>
      <c r="E50" s="6" t="s">
        <v>382</v>
      </c>
      <c r="F50" s="7">
        <v>45583</v>
      </c>
      <c r="G50" s="6" t="s">
        <v>3102</v>
      </c>
      <c r="H50" s="8"/>
      <c r="I50" s="9">
        <v>6855.2</v>
      </c>
      <c r="J50" s="9">
        <v>6855.2</v>
      </c>
      <c r="K50" s="5" t="str">
        <f>VLOOKUP(D50,[1]Clientes!$A$1:$B$1485,2,0)</f>
        <v>NAC0478</v>
      </c>
      <c r="L50" s="5" t="str">
        <f t="shared" si="0"/>
        <v>HGI0126718</v>
      </c>
      <c r="M50" s="5" t="str">
        <f t="shared" si="1"/>
        <v>I</v>
      </c>
      <c r="N50" s="5">
        <f>IF(G50=[1]Clientes!$C$3,[1]Clientes!$D$3,[1]Clientes!$D$2)</f>
        <v>13050505</v>
      </c>
    </row>
    <row r="51" spans="1:14">
      <c r="A51" s="6" t="s">
        <v>7</v>
      </c>
      <c r="B51" s="7">
        <v>45457</v>
      </c>
      <c r="C51" s="6" t="s">
        <v>3152</v>
      </c>
      <c r="D51" s="6" t="s">
        <v>3153</v>
      </c>
      <c r="E51" s="6" t="s">
        <v>382</v>
      </c>
      <c r="F51" s="7">
        <v>45517</v>
      </c>
      <c r="G51" s="6" t="s">
        <v>3102</v>
      </c>
      <c r="H51" s="8">
        <v>18</v>
      </c>
      <c r="I51" s="9">
        <v>5166.5</v>
      </c>
      <c r="J51" s="9">
        <v>5489.41</v>
      </c>
      <c r="K51" s="5" t="str">
        <f>VLOOKUP(D51,[1]Clientes!$A$1:$B$1485,2,0)</f>
        <v>NAC0480</v>
      </c>
      <c r="L51" s="5" t="str">
        <f t="shared" si="0"/>
        <v>HGI0125084</v>
      </c>
      <c r="M51" s="5" t="str">
        <f t="shared" si="1"/>
        <v>I</v>
      </c>
      <c r="N51" s="5">
        <f>IF(G51=[1]Clientes!$C$3,[1]Clientes!$D$3,[1]Clientes!$D$2)</f>
        <v>13050505</v>
      </c>
    </row>
    <row r="52" spans="1:14">
      <c r="A52" s="6" t="s">
        <v>7</v>
      </c>
      <c r="B52" s="7">
        <v>45481</v>
      </c>
      <c r="C52" s="6" t="s">
        <v>3154</v>
      </c>
      <c r="D52" s="6" t="s">
        <v>3153</v>
      </c>
      <c r="E52" s="6" t="s">
        <v>382</v>
      </c>
      <c r="F52" s="7">
        <v>45541</v>
      </c>
      <c r="G52" s="6" t="s">
        <v>3102</v>
      </c>
      <c r="H52" s="8"/>
      <c r="I52" s="9">
        <v>3625</v>
      </c>
      <c r="J52" s="9">
        <v>3625</v>
      </c>
      <c r="K52" s="5" t="str">
        <f>VLOOKUP(D52,[1]Clientes!$A$1:$B$1485,2,0)</f>
        <v>NAC0480</v>
      </c>
      <c r="L52" s="5" t="str">
        <f t="shared" si="0"/>
        <v>HGI0125551</v>
      </c>
      <c r="M52" s="5" t="str">
        <f t="shared" si="1"/>
        <v>I</v>
      </c>
      <c r="N52" s="5">
        <f>IF(G52=[1]Clientes!$C$3,[1]Clientes!$D$3,[1]Clientes!$D$2)</f>
        <v>13050505</v>
      </c>
    </row>
    <row r="53" spans="1:14">
      <c r="A53" s="6" t="s">
        <v>7</v>
      </c>
      <c r="B53" s="7">
        <v>45488</v>
      </c>
      <c r="C53" s="6" t="s">
        <v>3155</v>
      </c>
      <c r="D53" s="6" t="s">
        <v>3153</v>
      </c>
      <c r="E53" s="6" t="s">
        <v>382</v>
      </c>
      <c r="F53" s="7">
        <v>45548</v>
      </c>
      <c r="G53" s="6" t="s">
        <v>3102</v>
      </c>
      <c r="H53" s="8"/>
      <c r="I53" s="9">
        <v>6408</v>
      </c>
      <c r="J53" s="9">
        <v>6408</v>
      </c>
      <c r="K53" s="5" t="str">
        <f>VLOOKUP(D53,[1]Clientes!$A$1:$B$1485,2,0)</f>
        <v>NAC0480</v>
      </c>
      <c r="L53" s="5" t="str">
        <f t="shared" si="0"/>
        <v>HGI0125719</v>
      </c>
      <c r="M53" s="5" t="str">
        <f t="shared" si="1"/>
        <v>I</v>
      </c>
      <c r="N53" s="5">
        <f>IF(G53=[1]Clientes!$C$3,[1]Clientes!$D$3,[1]Clientes!$D$2)</f>
        <v>13050505</v>
      </c>
    </row>
    <row r="54" spans="1:14">
      <c r="A54" s="6" t="s">
        <v>7</v>
      </c>
      <c r="B54" s="7">
        <v>45517</v>
      </c>
      <c r="C54" s="6" t="s">
        <v>3156</v>
      </c>
      <c r="D54" s="6" t="s">
        <v>3153</v>
      </c>
      <c r="E54" s="6" t="s">
        <v>382</v>
      </c>
      <c r="F54" s="7">
        <v>45577</v>
      </c>
      <c r="G54" s="6" t="s">
        <v>3102</v>
      </c>
      <c r="H54" s="8"/>
      <c r="I54" s="9">
        <v>3625</v>
      </c>
      <c r="J54" s="9">
        <v>3625</v>
      </c>
      <c r="K54" s="5" t="str">
        <f>VLOOKUP(D54,[1]Clientes!$A$1:$B$1485,2,0)</f>
        <v>NAC0480</v>
      </c>
      <c r="L54" s="5" t="str">
        <f t="shared" si="0"/>
        <v>HGI0126437</v>
      </c>
      <c r="M54" s="5" t="str">
        <f t="shared" si="1"/>
        <v>I</v>
      </c>
      <c r="N54" s="5">
        <f>IF(G54=[1]Clientes!$C$3,[1]Clientes!$D$3,[1]Clientes!$D$2)</f>
        <v>13050505</v>
      </c>
    </row>
    <row r="55" spans="1:14">
      <c r="A55" s="6" t="s">
        <v>7</v>
      </c>
      <c r="B55" s="7">
        <v>45532</v>
      </c>
      <c r="C55" s="6" t="s">
        <v>3157</v>
      </c>
      <c r="D55" s="6" t="s">
        <v>3153</v>
      </c>
      <c r="E55" s="6" t="s">
        <v>382</v>
      </c>
      <c r="F55" s="7">
        <v>45592</v>
      </c>
      <c r="G55" s="6" t="s">
        <v>3102</v>
      </c>
      <c r="H55" s="8"/>
      <c r="I55" s="9">
        <v>4038</v>
      </c>
      <c r="J55" s="9">
        <v>4038</v>
      </c>
      <c r="K55" s="5" t="str">
        <f>VLOOKUP(D55,[1]Clientes!$A$1:$B$1485,2,0)</f>
        <v>NAC0480</v>
      </c>
      <c r="L55" s="5" t="str">
        <f t="shared" si="0"/>
        <v>HGI0127045</v>
      </c>
      <c r="M55" s="5" t="str">
        <f t="shared" si="1"/>
        <v>I</v>
      </c>
      <c r="N55" s="5">
        <f>IF(G55=[1]Clientes!$C$3,[1]Clientes!$D$3,[1]Clientes!$D$2)</f>
        <v>13050505</v>
      </c>
    </row>
    <row r="56" spans="1:14">
      <c r="A56" s="6" t="s">
        <v>3099</v>
      </c>
      <c r="B56" s="7">
        <v>45247</v>
      </c>
      <c r="C56" s="6" t="s">
        <v>3158</v>
      </c>
      <c r="D56" s="6" t="s">
        <v>3159</v>
      </c>
      <c r="E56" s="6" t="s">
        <v>382</v>
      </c>
      <c r="F56" s="7">
        <v>45307</v>
      </c>
      <c r="G56" s="6" t="s">
        <v>3102</v>
      </c>
      <c r="H56" s="8">
        <v>228</v>
      </c>
      <c r="I56" s="9">
        <v>-345.39</v>
      </c>
      <c r="J56" s="9">
        <v>-345.39</v>
      </c>
      <c r="K56" s="5" t="str">
        <f>VLOOKUP(D56,[1]Clientes!$A$1:$B$1485,2,0)</f>
        <v>NAC0479</v>
      </c>
      <c r="L56" s="5" t="str">
        <f t="shared" si="0"/>
        <v>CRM0117480</v>
      </c>
      <c r="M56" s="5" t="str">
        <f t="shared" si="1"/>
        <v>C</v>
      </c>
      <c r="N56" s="5">
        <f>IF(G56=[1]Clientes!$C$3,[1]Clientes!$D$3,[1]Clientes!$D$2)</f>
        <v>13050505</v>
      </c>
    </row>
    <row r="57" spans="1:14">
      <c r="A57" s="6" t="s">
        <v>7</v>
      </c>
      <c r="B57" s="7">
        <v>45517</v>
      </c>
      <c r="C57" s="6" t="s">
        <v>3160</v>
      </c>
      <c r="D57" s="6" t="s">
        <v>3159</v>
      </c>
      <c r="E57" s="6" t="s">
        <v>382</v>
      </c>
      <c r="F57" s="7">
        <v>45577</v>
      </c>
      <c r="G57" s="6" t="s">
        <v>3102</v>
      </c>
      <c r="H57" s="8"/>
      <c r="I57" s="9">
        <v>1595.88</v>
      </c>
      <c r="J57" s="9">
        <v>1595.88</v>
      </c>
      <c r="K57" s="5" t="str">
        <f>VLOOKUP(D57,[1]Clientes!$A$1:$B$1485,2,0)</f>
        <v>NAC0479</v>
      </c>
      <c r="L57" s="5" t="str">
        <f t="shared" si="0"/>
        <v>HGI0126457</v>
      </c>
      <c r="M57" s="5" t="str">
        <f t="shared" si="1"/>
        <v>I</v>
      </c>
      <c r="N57" s="5">
        <f>IF(G57=[1]Clientes!$C$3,[1]Clientes!$D$3,[1]Clientes!$D$2)</f>
        <v>13050505</v>
      </c>
    </row>
    <row r="58" spans="1:14">
      <c r="A58" s="6" t="s">
        <v>7</v>
      </c>
      <c r="B58" s="7">
        <v>45470</v>
      </c>
      <c r="C58" s="6" t="s">
        <v>3161</v>
      </c>
      <c r="D58" s="6" t="s">
        <v>3162</v>
      </c>
      <c r="E58" s="6" t="s">
        <v>382</v>
      </c>
      <c r="F58" s="7">
        <v>45530</v>
      </c>
      <c r="G58" s="6" t="s">
        <v>3102</v>
      </c>
      <c r="H58" s="8">
        <v>5</v>
      </c>
      <c r="I58" s="9">
        <v>6675</v>
      </c>
      <c r="J58" s="9">
        <v>6675</v>
      </c>
      <c r="K58" s="5" t="str">
        <f>VLOOKUP(D58,[1]Clientes!$A$1:$B$1485,2,0)</f>
        <v>NAC0477</v>
      </c>
      <c r="L58" s="5" t="str">
        <f t="shared" si="0"/>
        <v>HGI0125328</v>
      </c>
      <c r="M58" s="5" t="str">
        <f t="shared" si="1"/>
        <v>I</v>
      </c>
      <c r="N58" s="5">
        <f>IF(G58=[1]Clientes!$C$3,[1]Clientes!$D$3,[1]Clientes!$D$2)</f>
        <v>13050505</v>
      </c>
    </row>
    <row r="59" spans="1:14">
      <c r="A59" s="6" t="s">
        <v>7</v>
      </c>
      <c r="B59" s="7">
        <v>45511</v>
      </c>
      <c r="C59" s="6" t="s">
        <v>3163</v>
      </c>
      <c r="D59" s="6" t="s">
        <v>3162</v>
      </c>
      <c r="E59" s="6" t="s">
        <v>382</v>
      </c>
      <c r="F59" s="7">
        <v>45571</v>
      </c>
      <c r="G59" s="6" t="s">
        <v>3102</v>
      </c>
      <c r="H59" s="8"/>
      <c r="I59" s="9">
        <v>77921.16</v>
      </c>
      <c r="J59" s="9">
        <v>77921.16</v>
      </c>
      <c r="K59" s="5" t="str">
        <f>VLOOKUP(D59,[1]Clientes!$A$1:$B$1485,2,0)</f>
        <v>NAC0477</v>
      </c>
      <c r="L59" s="5" t="str">
        <f t="shared" si="0"/>
        <v>HGI0126308</v>
      </c>
      <c r="M59" s="5" t="str">
        <f t="shared" si="1"/>
        <v>I</v>
      </c>
      <c r="N59" s="5">
        <f>IF(G59=[1]Clientes!$C$3,[1]Clientes!$D$3,[1]Clientes!$D$2)</f>
        <v>13050505</v>
      </c>
    </row>
    <row r="60" spans="1:14">
      <c r="A60" s="6" t="s">
        <v>7</v>
      </c>
      <c r="B60" s="7">
        <v>45296</v>
      </c>
      <c r="C60" s="6" t="s">
        <v>3164</v>
      </c>
      <c r="D60" s="6" t="s">
        <v>381</v>
      </c>
      <c r="E60" s="6" t="s">
        <v>382</v>
      </c>
      <c r="F60" s="7">
        <v>45356</v>
      </c>
      <c r="G60" s="6" t="s">
        <v>3102</v>
      </c>
      <c r="H60" s="8">
        <v>179</v>
      </c>
      <c r="I60" s="9">
        <v>7537.2</v>
      </c>
      <c r="J60" s="9">
        <v>7537.2</v>
      </c>
      <c r="K60" s="5" t="str">
        <f>VLOOKUP(D60,[1]Clientes!$A$1:$B$1370,2,0)</f>
        <v>NAC0476</v>
      </c>
      <c r="L60" s="5" t="str">
        <f t="shared" si="0"/>
        <v>HGI0118906</v>
      </c>
      <c r="M60" s="5" t="str">
        <f t="shared" si="1"/>
        <v>I</v>
      </c>
      <c r="N60" s="5">
        <f>IF(G60=[1]Clientes!$C$3,[1]Clientes!$D$3,[1]Clientes!$D$2)</f>
        <v>13050505</v>
      </c>
    </row>
    <row r="61" spans="1:14">
      <c r="A61" s="6" t="s">
        <v>7</v>
      </c>
      <c r="B61" s="7">
        <v>45296</v>
      </c>
      <c r="C61" s="6" t="s">
        <v>3165</v>
      </c>
      <c r="D61" s="6" t="s">
        <v>381</v>
      </c>
      <c r="E61" s="6" t="s">
        <v>382</v>
      </c>
      <c r="F61" s="7">
        <v>45356</v>
      </c>
      <c r="G61" s="6" t="s">
        <v>3102</v>
      </c>
      <c r="H61" s="8">
        <v>179</v>
      </c>
      <c r="I61" s="9">
        <v>3390.48</v>
      </c>
      <c r="J61" s="9">
        <v>3390.48</v>
      </c>
      <c r="K61" s="5" t="str">
        <f>VLOOKUP(D61,[1]Clientes!$A$1:$B$1370,2,0)</f>
        <v>NAC0476</v>
      </c>
      <c r="L61" s="5" t="str">
        <f t="shared" si="0"/>
        <v>HGI0118909</v>
      </c>
      <c r="M61" s="5" t="str">
        <f t="shared" si="1"/>
        <v>I</v>
      </c>
      <c r="N61" s="5">
        <f>IF(G61=[1]Clientes!$C$3,[1]Clientes!$D$3,[1]Clientes!$D$2)</f>
        <v>13050505</v>
      </c>
    </row>
    <row r="62" spans="1:14">
      <c r="A62" s="6" t="s">
        <v>7</v>
      </c>
      <c r="B62" s="7">
        <v>45311</v>
      </c>
      <c r="C62" s="6" t="s">
        <v>3166</v>
      </c>
      <c r="D62" s="6" t="s">
        <v>381</v>
      </c>
      <c r="E62" s="6" t="s">
        <v>382</v>
      </c>
      <c r="F62" s="7">
        <v>45371</v>
      </c>
      <c r="G62" s="6" t="s">
        <v>3102</v>
      </c>
      <c r="H62" s="8">
        <v>164</v>
      </c>
      <c r="I62" s="9">
        <v>450</v>
      </c>
      <c r="J62" s="9">
        <v>14882.64</v>
      </c>
      <c r="K62" s="5" t="str">
        <f>VLOOKUP(D62,[1]Clientes!$A$1:$B$1370,2,0)</f>
        <v>NAC0476</v>
      </c>
      <c r="L62" s="5" t="str">
        <f t="shared" si="0"/>
        <v>HGI0119565</v>
      </c>
      <c r="M62" s="5" t="str">
        <f t="shared" si="1"/>
        <v>I</v>
      </c>
      <c r="N62" s="5">
        <f>IF(G62=[1]Clientes!$C$3,[1]Clientes!$D$3,[1]Clientes!$D$2)</f>
        <v>13050505</v>
      </c>
    </row>
    <row r="63" spans="1:14">
      <c r="A63" s="6" t="s">
        <v>3139</v>
      </c>
      <c r="B63" s="7">
        <v>45373</v>
      </c>
      <c r="C63" s="6" t="s">
        <v>3167</v>
      </c>
      <c r="D63" s="6" t="s">
        <v>381</v>
      </c>
      <c r="E63" s="6"/>
      <c r="F63" s="7"/>
      <c r="G63" s="6" t="s">
        <v>3102</v>
      </c>
      <c r="H63" s="8"/>
      <c r="I63" s="9">
        <v>-9127.68</v>
      </c>
      <c r="J63" s="9">
        <v>-42831.839999999997</v>
      </c>
      <c r="K63" s="5" t="str">
        <f>VLOOKUP(D63,[1]Clientes!$A$1:$B$1370,2,0)</f>
        <v>NAC0476</v>
      </c>
      <c r="L63" s="5" t="str">
        <f t="shared" si="0"/>
        <v>Revisar</v>
      </c>
      <c r="M63" s="5" t="str">
        <f t="shared" si="1"/>
        <v>P</v>
      </c>
      <c r="N63" s="5">
        <f>IF(G63=[1]Clientes!$C$3,[1]Clientes!$D$3,[1]Clientes!$D$2)</f>
        <v>13050505</v>
      </c>
    </row>
    <row r="64" spans="1:14">
      <c r="A64" s="6" t="s">
        <v>7</v>
      </c>
      <c r="B64" s="7">
        <v>45345</v>
      </c>
      <c r="C64" s="6" t="s">
        <v>3168</v>
      </c>
      <c r="D64" s="6" t="s">
        <v>381</v>
      </c>
      <c r="E64" s="6" t="s">
        <v>382</v>
      </c>
      <c r="F64" s="7">
        <v>45405</v>
      </c>
      <c r="G64" s="6" t="s">
        <v>3102</v>
      </c>
      <c r="H64" s="8">
        <v>130</v>
      </c>
      <c r="I64" s="9">
        <v>450</v>
      </c>
      <c r="J64" s="9">
        <v>8948.4</v>
      </c>
      <c r="K64" s="5" t="str">
        <f>VLOOKUP(D64,[1]Clientes!$A$1:$B$1370,2,0)</f>
        <v>NAC0476</v>
      </c>
      <c r="L64" s="5" t="str">
        <f t="shared" si="0"/>
        <v>HGI0121188</v>
      </c>
      <c r="M64" s="5" t="str">
        <f t="shared" si="1"/>
        <v>I</v>
      </c>
      <c r="N64" s="5">
        <f>IF(G64=[1]Clientes!$C$3,[1]Clientes!$D$3,[1]Clientes!$D$2)</f>
        <v>13050505</v>
      </c>
    </row>
    <row r="65" spans="1:14">
      <c r="A65" s="6" t="s">
        <v>7</v>
      </c>
      <c r="B65" s="7">
        <v>45525</v>
      </c>
      <c r="C65" s="6" t="s">
        <v>3169</v>
      </c>
      <c r="D65" s="6" t="s">
        <v>381</v>
      </c>
      <c r="E65" s="6" t="s">
        <v>382</v>
      </c>
      <c r="F65" s="7">
        <v>45585</v>
      </c>
      <c r="G65" s="6" t="s">
        <v>3102</v>
      </c>
      <c r="H65" s="8"/>
      <c r="I65" s="9">
        <v>5668.8</v>
      </c>
      <c r="J65" s="9">
        <v>5668.8</v>
      </c>
      <c r="K65" s="5" t="str">
        <f>VLOOKUP(D65,[1]Clientes!$A$1:$B$1370,2,0)</f>
        <v>NAC0476</v>
      </c>
      <c r="L65" s="5" t="str">
        <f t="shared" si="0"/>
        <v>HGI0126736</v>
      </c>
      <c r="M65" s="5" t="str">
        <f t="shared" si="1"/>
        <v>I</v>
      </c>
      <c r="N65" s="5">
        <f>IF(G65=[1]Clientes!$C$3,[1]Clientes!$D$3,[1]Clientes!$D$2)</f>
        <v>13050505</v>
      </c>
    </row>
    <row r="66" spans="1:14">
      <c r="A66" s="6" t="s">
        <v>7</v>
      </c>
      <c r="B66" s="7">
        <v>45527</v>
      </c>
      <c r="C66" s="6" t="s">
        <v>3170</v>
      </c>
      <c r="D66" s="6" t="s">
        <v>381</v>
      </c>
      <c r="E66" s="6" t="s">
        <v>382</v>
      </c>
      <c r="F66" s="7">
        <v>45587</v>
      </c>
      <c r="G66" s="6" t="s">
        <v>3102</v>
      </c>
      <c r="H66" s="8"/>
      <c r="I66" s="9">
        <v>11456.16</v>
      </c>
      <c r="J66" s="9">
        <v>11456.16</v>
      </c>
      <c r="K66" s="5" t="str">
        <f>VLOOKUP(D66,[1]Clientes!$A$1:$B$1370,2,0)</f>
        <v>NAC0476</v>
      </c>
      <c r="L66" s="5" t="str">
        <f t="shared" si="0"/>
        <v>HGI0126807</v>
      </c>
      <c r="M66" s="5" t="str">
        <f t="shared" si="1"/>
        <v>I</v>
      </c>
      <c r="N66" s="5">
        <f>IF(G66=[1]Clientes!$C$3,[1]Clientes!$D$3,[1]Clientes!$D$2)</f>
        <v>13050505</v>
      </c>
    </row>
    <row r="67" spans="1:14">
      <c r="A67" s="6" t="s">
        <v>7</v>
      </c>
      <c r="B67" s="7">
        <v>45527</v>
      </c>
      <c r="C67" s="6" t="s">
        <v>3171</v>
      </c>
      <c r="D67" s="6" t="s">
        <v>381</v>
      </c>
      <c r="E67" s="6" t="s">
        <v>382</v>
      </c>
      <c r="F67" s="7">
        <v>45587</v>
      </c>
      <c r="G67" s="6" t="s">
        <v>3102</v>
      </c>
      <c r="H67" s="8"/>
      <c r="I67" s="9">
        <v>9897.6</v>
      </c>
      <c r="J67" s="9">
        <v>9897.6</v>
      </c>
      <c r="K67" s="5" t="str">
        <f>VLOOKUP(D67,[1]Clientes!$A$1:$B$1370,2,0)</f>
        <v>NAC0476</v>
      </c>
      <c r="L67" s="5" t="str">
        <f t="shared" ref="L67:L130" si="2">IF(A67="Invoice",
    IF(LEFT(C67,5)="TGDR-", "TGDR"&amp;RIGHT(C67,LEN(C67)-5), "HGI"&amp;C67),
    IF(A67="Credit Memo",
        IF(LEFT(C67,5)="TGDR-", "CRM"&amp;RIGHT(C67,LEN(C67)-5), "CRM"&amp;C67),
        "Revisar")
)</f>
        <v>HGI0126809</v>
      </c>
      <c r="M67" s="5" t="str">
        <f t="shared" ref="M67:M130" si="3">IF(A67="Invoice","I",IF(A67="Credit Memo","C",IF(A67="Payment","P","GJ")))</f>
        <v>I</v>
      </c>
      <c r="N67" s="5">
        <f>IF(G67=[1]Clientes!$C$3,[1]Clientes!$D$3,[1]Clientes!$D$2)</f>
        <v>13050505</v>
      </c>
    </row>
    <row r="68" spans="1:14">
      <c r="A68" s="6" t="s">
        <v>7</v>
      </c>
      <c r="B68" s="7">
        <v>45530</v>
      </c>
      <c r="C68" s="6" t="s">
        <v>3172</v>
      </c>
      <c r="D68" s="6" t="s">
        <v>381</v>
      </c>
      <c r="E68" s="6" t="s">
        <v>382</v>
      </c>
      <c r="F68" s="7">
        <v>45590</v>
      </c>
      <c r="G68" s="6" t="s">
        <v>3102</v>
      </c>
      <c r="H68" s="8"/>
      <c r="I68" s="9">
        <v>15380.04</v>
      </c>
      <c r="J68" s="9">
        <v>15380.04</v>
      </c>
      <c r="K68" s="5" t="str">
        <f>VLOOKUP(D68,[1]Clientes!$A$1:$B$1370,2,0)</f>
        <v>NAC0476</v>
      </c>
      <c r="L68" s="5" t="str">
        <f t="shared" si="2"/>
        <v>HGI0126855</v>
      </c>
      <c r="M68" s="5" t="str">
        <f t="shared" si="3"/>
        <v>I</v>
      </c>
      <c r="N68" s="5">
        <f>IF(G68=[1]Clientes!$C$3,[1]Clientes!$D$3,[1]Clientes!$D$2)</f>
        <v>13050505</v>
      </c>
    </row>
    <row r="69" spans="1:14">
      <c r="A69" s="6" t="s">
        <v>7</v>
      </c>
      <c r="B69" s="7">
        <v>45530</v>
      </c>
      <c r="C69" s="6" t="s">
        <v>3173</v>
      </c>
      <c r="D69" s="6" t="s">
        <v>381</v>
      </c>
      <c r="E69" s="6" t="s">
        <v>382</v>
      </c>
      <c r="F69" s="7">
        <v>45590</v>
      </c>
      <c r="G69" s="6" t="s">
        <v>3102</v>
      </c>
      <c r="H69" s="8"/>
      <c r="I69" s="9">
        <v>10891.56</v>
      </c>
      <c r="J69" s="9">
        <v>10891.56</v>
      </c>
      <c r="K69" s="5" t="str">
        <f>VLOOKUP(D69,[1]Clientes!$A$1:$B$1370,2,0)</f>
        <v>NAC0476</v>
      </c>
      <c r="L69" s="5" t="str">
        <f t="shared" si="2"/>
        <v>HGI0126856</v>
      </c>
      <c r="M69" s="5" t="str">
        <f t="shared" si="3"/>
        <v>I</v>
      </c>
      <c r="N69" s="5">
        <f>IF(G69=[1]Clientes!$C$3,[1]Clientes!$D$3,[1]Clientes!$D$2)</f>
        <v>13050505</v>
      </c>
    </row>
    <row r="70" spans="1:14">
      <c r="A70" s="6" t="s">
        <v>7</v>
      </c>
      <c r="B70" s="7">
        <v>45037</v>
      </c>
      <c r="C70" s="6" t="s">
        <v>3174</v>
      </c>
      <c r="D70" s="6" t="s">
        <v>3175</v>
      </c>
      <c r="E70" s="6" t="s">
        <v>3176</v>
      </c>
      <c r="F70" s="7">
        <v>45067</v>
      </c>
      <c r="G70" s="6" t="s">
        <v>3102</v>
      </c>
      <c r="H70" s="8">
        <v>468</v>
      </c>
      <c r="I70" s="9">
        <v>399.98</v>
      </c>
      <c r="J70" s="9">
        <v>399.98</v>
      </c>
      <c r="K70" s="5" t="str">
        <f>VLOOKUP(D70,[1]Clientes!$A$1:$B$1485,2,0)</f>
        <v>NAC0507</v>
      </c>
      <c r="L70" s="5" t="str">
        <f t="shared" si="2"/>
        <v>HGI0111162</v>
      </c>
      <c r="M70" s="5" t="str">
        <f t="shared" si="3"/>
        <v>I</v>
      </c>
      <c r="N70" s="5">
        <f>IF(G70=[1]Clientes!$C$3,[1]Clientes!$D$3,[1]Clientes!$D$2)</f>
        <v>13050505</v>
      </c>
    </row>
    <row r="71" spans="1:14">
      <c r="A71" s="6" t="s">
        <v>7</v>
      </c>
      <c r="B71" s="7">
        <v>44944</v>
      </c>
      <c r="C71" s="6" t="s">
        <v>3177</v>
      </c>
      <c r="D71" s="6" t="s">
        <v>3178</v>
      </c>
      <c r="E71" s="6" t="s">
        <v>3176</v>
      </c>
      <c r="F71" s="7">
        <v>44974</v>
      </c>
      <c r="G71" s="6" t="s">
        <v>3102</v>
      </c>
      <c r="H71" s="8">
        <v>561</v>
      </c>
      <c r="I71" s="9">
        <v>559.25</v>
      </c>
      <c r="J71" s="9">
        <v>559.25</v>
      </c>
      <c r="K71" s="5" t="str">
        <f>VLOOKUP(D71,[1]Clientes!$A$1:$B$1485,2,0)</f>
        <v>NAC0502</v>
      </c>
      <c r="L71" s="5" t="str">
        <f t="shared" si="2"/>
        <v>HGI0107232</v>
      </c>
      <c r="M71" s="5" t="str">
        <f t="shared" si="3"/>
        <v>I</v>
      </c>
      <c r="N71" s="5">
        <f>IF(G71=[1]Clientes!$C$3,[1]Clientes!$D$3,[1]Clientes!$D$2)</f>
        <v>13050505</v>
      </c>
    </row>
    <row r="72" spans="1:14">
      <c r="A72" s="6" t="s">
        <v>7</v>
      </c>
      <c r="B72" s="7">
        <v>45036</v>
      </c>
      <c r="C72" s="6" t="s">
        <v>3179</v>
      </c>
      <c r="D72" s="6" t="s">
        <v>3178</v>
      </c>
      <c r="E72" s="6" t="s">
        <v>3176</v>
      </c>
      <c r="F72" s="7">
        <v>45066</v>
      </c>
      <c r="G72" s="6" t="s">
        <v>3102</v>
      </c>
      <c r="H72" s="8">
        <v>469</v>
      </c>
      <c r="I72" s="9">
        <v>768.98</v>
      </c>
      <c r="J72" s="9">
        <v>768.98</v>
      </c>
      <c r="K72" s="5" t="str">
        <f>VLOOKUP(D72,[1]Clientes!$A$1:$B$1485,2,0)</f>
        <v>NAC0502</v>
      </c>
      <c r="L72" s="5" t="str">
        <f t="shared" si="2"/>
        <v>HGI0111123</v>
      </c>
      <c r="M72" s="5" t="str">
        <f t="shared" si="3"/>
        <v>I</v>
      </c>
      <c r="N72" s="5">
        <f>IF(G72=[1]Clientes!$C$3,[1]Clientes!$D$3,[1]Clientes!$D$2)</f>
        <v>13050505</v>
      </c>
    </row>
    <row r="73" spans="1:14">
      <c r="A73" s="6" t="s">
        <v>7</v>
      </c>
      <c r="B73" s="7">
        <v>44944</v>
      </c>
      <c r="C73" s="6" t="s">
        <v>3180</v>
      </c>
      <c r="D73" s="6" t="s">
        <v>3181</v>
      </c>
      <c r="E73" s="6" t="s">
        <v>3176</v>
      </c>
      <c r="F73" s="7">
        <v>44974</v>
      </c>
      <c r="G73" s="6" t="s">
        <v>3102</v>
      </c>
      <c r="H73" s="8">
        <v>561</v>
      </c>
      <c r="I73" s="9">
        <v>225.31</v>
      </c>
      <c r="J73" s="9">
        <v>225.31</v>
      </c>
      <c r="K73" s="5" t="str">
        <f>VLOOKUP(D73,[1]Clientes!$A$1:$B$1485,2,0)</f>
        <v>NAC0506</v>
      </c>
      <c r="L73" s="5" t="str">
        <f t="shared" si="2"/>
        <v>HGI0107233</v>
      </c>
      <c r="M73" s="5" t="str">
        <f t="shared" si="3"/>
        <v>I</v>
      </c>
      <c r="N73" s="5">
        <f>IF(G73=[1]Clientes!$C$3,[1]Clientes!$D$3,[1]Clientes!$D$2)</f>
        <v>13050505</v>
      </c>
    </row>
    <row r="74" spans="1:14">
      <c r="A74" s="6" t="s">
        <v>7</v>
      </c>
      <c r="B74" s="7">
        <v>44967</v>
      </c>
      <c r="C74" s="6" t="s">
        <v>3182</v>
      </c>
      <c r="D74" s="6" t="s">
        <v>3183</v>
      </c>
      <c r="E74" s="6" t="s">
        <v>3176</v>
      </c>
      <c r="F74" s="7">
        <v>44997</v>
      </c>
      <c r="G74" s="6" t="s">
        <v>3102</v>
      </c>
      <c r="H74" s="8">
        <v>538</v>
      </c>
      <c r="I74" s="9">
        <v>1776.75</v>
      </c>
      <c r="J74" s="9">
        <v>1776.75</v>
      </c>
      <c r="K74" s="5" t="str">
        <f>VLOOKUP(D74,[1]Clientes!$A$1:$B$1485,2,0)</f>
        <v>NAC0488</v>
      </c>
      <c r="L74" s="5" t="str">
        <f t="shared" si="2"/>
        <v>HGI0108771</v>
      </c>
      <c r="M74" s="5" t="str">
        <f t="shared" si="3"/>
        <v>I</v>
      </c>
      <c r="N74" s="5">
        <f>IF(G74=[1]Clientes!$C$3,[1]Clientes!$D$3,[1]Clientes!$D$2)</f>
        <v>13050505</v>
      </c>
    </row>
    <row r="75" spans="1:14">
      <c r="A75" s="6" t="s">
        <v>7</v>
      </c>
      <c r="B75" s="7">
        <v>45036</v>
      </c>
      <c r="C75" s="6" t="s">
        <v>3184</v>
      </c>
      <c r="D75" s="6" t="s">
        <v>3183</v>
      </c>
      <c r="E75" s="6" t="s">
        <v>3176</v>
      </c>
      <c r="F75" s="7">
        <v>45066</v>
      </c>
      <c r="G75" s="6" t="s">
        <v>3102</v>
      </c>
      <c r="H75" s="8">
        <v>469</v>
      </c>
      <c r="I75" s="9">
        <v>543.6</v>
      </c>
      <c r="J75" s="9">
        <v>543.6</v>
      </c>
      <c r="K75" s="5" t="str">
        <f>VLOOKUP(D75,[1]Clientes!$A$1:$B$1485,2,0)</f>
        <v>NAC0488</v>
      </c>
      <c r="L75" s="5" t="str">
        <f t="shared" si="2"/>
        <v>HGI0111105</v>
      </c>
      <c r="M75" s="5" t="str">
        <f t="shared" si="3"/>
        <v>I</v>
      </c>
      <c r="N75" s="5">
        <f>IF(G75=[1]Clientes!$C$3,[1]Clientes!$D$3,[1]Clientes!$D$2)</f>
        <v>13050505</v>
      </c>
    </row>
    <row r="76" spans="1:14">
      <c r="A76" s="6" t="s">
        <v>7</v>
      </c>
      <c r="B76" s="7">
        <v>45154</v>
      </c>
      <c r="C76" s="6" t="s">
        <v>3185</v>
      </c>
      <c r="D76" s="6" t="s">
        <v>3183</v>
      </c>
      <c r="E76" s="6" t="s">
        <v>3176</v>
      </c>
      <c r="F76" s="7">
        <v>45184</v>
      </c>
      <c r="G76" s="6" t="s">
        <v>3102</v>
      </c>
      <c r="H76" s="8">
        <v>351</v>
      </c>
      <c r="I76" s="9">
        <v>1402.04</v>
      </c>
      <c r="J76" s="9">
        <v>1402.04</v>
      </c>
      <c r="K76" s="5" t="str">
        <f>VLOOKUP(D76,[1]Clientes!$A$1:$B$1485,2,0)</f>
        <v>NAC0488</v>
      </c>
      <c r="L76" s="5" t="str">
        <f t="shared" si="2"/>
        <v>HGI0114423</v>
      </c>
      <c r="M76" s="5" t="str">
        <f t="shared" si="3"/>
        <v>I</v>
      </c>
      <c r="N76" s="5">
        <f>IF(G76=[1]Clientes!$C$3,[1]Clientes!$D$3,[1]Clientes!$D$2)</f>
        <v>13050505</v>
      </c>
    </row>
    <row r="77" spans="1:14">
      <c r="A77" s="6" t="s">
        <v>7</v>
      </c>
      <c r="B77" s="7">
        <v>45222</v>
      </c>
      <c r="C77" s="6" t="s">
        <v>3186</v>
      </c>
      <c r="D77" s="6" t="s">
        <v>3183</v>
      </c>
      <c r="E77" s="6" t="s">
        <v>3176</v>
      </c>
      <c r="F77" s="7">
        <v>45252</v>
      </c>
      <c r="G77" s="6" t="s">
        <v>3102</v>
      </c>
      <c r="H77" s="8">
        <v>283</v>
      </c>
      <c r="I77" s="9">
        <v>719.37</v>
      </c>
      <c r="J77" s="9">
        <v>719.37</v>
      </c>
      <c r="K77" s="5" t="str">
        <f>VLOOKUP(D77,[1]Clientes!$A$1:$B$1485,2,0)</f>
        <v>NAC0488</v>
      </c>
      <c r="L77" s="5" t="str">
        <f t="shared" si="2"/>
        <v>HGI0116282</v>
      </c>
      <c r="M77" s="5" t="str">
        <f t="shared" si="3"/>
        <v>I</v>
      </c>
      <c r="N77" s="5">
        <f>IF(G77=[1]Clientes!$C$3,[1]Clientes!$D$3,[1]Clientes!$D$2)</f>
        <v>13050505</v>
      </c>
    </row>
    <row r="78" spans="1:14">
      <c r="A78" s="6" t="s">
        <v>7</v>
      </c>
      <c r="B78" s="7">
        <v>45239</v>
      </c>
      <c r="C78" s="6" t="s">
        <v>3187</v>
      </c>
      <c r="D78" s="6" t="s">
        <v>3183</v>
      </c>
      <c r="E78" s="6" t="s">
        <v>3176</v>
      </c>
      <c r="F78" s="7">
        <v>45269</v>
      </c>
      <c r="G78" s="6" t="s">
        <v>3102</v>
      </c>
      <c r="H78" s="8">
        <v>266</v>
      </c>
      <c r="I78" s="9">
        <v>486.53</v>
      </c>
      <c r="J78" s="9">
        <v>486.53</v>
      </c>
      <c r="K78" s="5" t="str">
        <f>VLOOKUP(D78,[1]Clientes!$A$1:$B$1485,2,0)</f>
        <v>NAC0488</v>
      </c>
      <c r="L78" s="5" t="str">
        <f t="shared" si="2"/>
        <v>HGI0117035</v>
      </c>
      <c r="M78" s="5" t="str">
        <f t="shared" si="3"/>
        <v>I</v>
      </c>
      <c r="N78" s="5">
        <f>IF(G78=[1]Clientes!$C$3,[1]Clientes!$D$3,[1]Clientes!$D$2)</f>
        <v>13050505</v>
      </c>
    </row>
    <row r="79" spans="1:14">
      <c r="A79" s="6" t="s">
        <v>7</v>
      </c>
      <c r="B79" s="7">
        <v>45296</v>
      </c>
      <c r="C79" s="6" t="s">
        <v>3188</v>
      </c>
      <c r="D79" s="6" t="s">
        <v>3183</v>
      </c>
      <c r="E79" s="6" t="s">
        <v>3176</v>
      </c>
      <c r="F79" s="7">
        <v>45326</v>
      </c>
      <c r="G79" s="6" t="s">
        <v>3102</v>
      </c>
      <c r="H79" s="8">
        <v>209</v>
      </c>
      <c r="I79" s="9">
        <v>1136.53</v>
      </c>
      <c r="J79" s="9">
        <v>1136.53</v>
      </c>
      <c r="K79" s="5" t="str">
        <f>VLOOKUP(D79,[1]Clientes!$A$1:$B$1485,2,0)</f>
        <v>NAC0488</v>
      </c>
      <c r="L79" s="5" t="str">
        <f t="shared" si="2"/>
        <v>HGI0118926</v>
      </c>
      <c r="M79" s="5" t="str">
        <f t="shared" si="3"/>
        <v>I</v>
      </c>
      <c r="N79" s="5">
        <f>IF(G79=[1]Clientes!$C$3,[1]Clientes!$D$3,[1]Clientes!$D$2)</f>
        <v>13050505</v>
      </c>
    </row>
    <row r="80" spans="1:14">
      <c r="A80" s="6" t="s">
        <v>7</v>
      </c>
      <c r="B80" s="7">
        <v>45324</v>
      </c>
      <c r="C80" s="6" t="s">
        <v>3189</v>
      </c>
      <c r="D80" s="6" t="s">
        <v>3183</v>
      </c>
      <c r="E80" s="6" t="s">
        <v>3176</v>
      </c>
      <c r="F80" s="7">
        <v>45354</v>
      </c>
      <c r="G80" s="6" t="s">
        <v>3102</v>
      </c>
      <c r="H80" s="8">
        <v>181</v>
      </c>
      <c r="I80" s="9">
        <v>810</v>
      </c>
      <c r="J80" s="9">
        <v>810</v>
      </c>
      <c r="K80" s="5" t="str">
        <f>VLOOKUP(D80,[1]Clientes!$A$1:$B$1485,2,0)</f>
        <v>NAC0488</v>
      </c>
      <c r="L80" s="5" t="str">
        <f t="shared" si="2"/>
        <v>HGI0120390</v>
      </c>
      <c r="M80" s="5" t="str">
        <f t="shared" si="3"/>
        <v>I</v>
      </c>
      <c r="N80" s="5">
        <f>IF(G80=[1]Clientes!$C$3,[1]Clientes!$D$3,[1]Clientes!$D$2)</f>
        <v>13050505</v>
      </c>
    </row>
    <row r="81" spans="1:14">
      <c r="A81" s="6" t="s">
        <v>7</v>
      </c>
      <c r="B81" s="7">
        <v>45036</v>
      </c>
      <c r="C81" s="6" t="s">
        <v>3190</v>
      </c>
      <c r="D81" s="6" t="s">
        <v>3191</v>
      </c>
      <c r="E81" s="6" t="s">
        <v>3176</v>
      </c>
      <c r="F81" s="7">
        <v>45066</v>
      </c>
      <c r="G81" s="6" t="s">
        <v>3102</v>
      </c>
      <c r="H81" s="8">
        <v>469</v>
      </c>
      <c r="I81" s="9">
        <v>233.06</v>
      </c>
      <c r="J81" s="9">
        <v>233.06</v>
      </c>
      <c r="K81" s="5" t="str">
        <f>VLOOKUP(D81,[1]Clientes!$A$1:$B$1485,2,0)</f>
        <v>NAC0501</v>
      </c>
      <c r="L81" s="5" t="str">
        <f t="shared" si="2"/>
        <v>HGI0111102</v>
      </c>
      <c r="M81" s="5" t="str">
        <f t="shared" si="3"/>
        <v>I</v>
      </c>
      <c r="N81" s="5">
        <f>IF(G81=[1]Clientes!$C$3,[1]Clientes!$D$3,[1]Clientes!$D$2)</f>
        <v>13050505</v>
      </c>
    </row>
    <row r="82" spans="1:14">
      <c r="A82" s="6" t="s">
        <v>7</v>
      </c>
      <c r="B82" s="7">
        <v>45036</v>
      </c>
      <c r="C82" s="6" t="s">
        <v>3192</v>
      </c>
      <c r="D82" s="6" t="s">
        <v>3193</v>
      </c>
      <c r="E82" s="6" t="s">
        <v>3176</v>
      </c>
      <c r="F82" s="7">
        <v>45066</v>
      </c>
      <c r="G82" s="6" t="s">
        <v>3102</v>
      </c>
      <c r="H82" s="8">
        <v>469</v>
      </c>
      <c r="I82" s="9">
        <v>332.11</v>
      </c>
      <c r="J82" s="9">
        <v>332.11</v>
      </c>
      <c r="K82" s="5" t="str">
        <f>VLOOKUP(D82,[1]Clientes!$A$1:$B$1485,2,0)</f>
        <v>NAC0511</v>
      </c>
      <c r="L82" s="5" t="str">
        <f t="shared" si="2"/>
        <v>HGI0111109</v>
      </c>
      <c r="M82" s="5" t="str">
        <f t="shared" si="3"/>
        <v>I</v>
      </c>
      <c r="N82" s="5">
        <f>IF(G82=[1]Clientes!$C$3,[1]Clientes!$D$3,[1]Clientes!$D$2)</f>
        <v>13050505</v>
      </c>
    </row>
    <row r="83" spans="1:14">
      <c r="A83" s="6" t="s">
        <v>7</v>
      </c>
      <c r="B83" s="7">
        <v>45036</v>
      </c>
      <c r="C83" s="6" t="s">
        <v>3194</v>
      </c>
      <c r="D83" s="6" t="s">
        <v>3195</v>
      </c>
      <c r="E83" s="6" t="s">
        <v>3176</v>
      </c>
      <c r="F83" s="7">
        <v>45066</v>
      </c>
      <c r="G83" s="6" t="s">
        <v>3102</v>
      </c>
      <c r="H83" s="8">
        <v>469</v>
      </c>
      <c r="I83" s="9">
        <v>219.42</v>
      </c>
      <c r="J83" s="9">
        <v>219.42</v>
      </c>
      <c r="K83" s="5" t="str">
        <f>VLOOKUP(D83,[1]Clientes!$A$1:$B$1485,2,0)</f>
        <v>NAC0497</v>
      </c>
      <c r="L83" s="5" t="str">
        <f t="shared" si="2"/>
        <v>HGI0111104</v>
      </c>
      <c r="M83" s="5" t="str">
        <f t="shared" si="3"/>
        <v>I</v>
      </c>
      <c r="N83" s="5">
        <f>IF(G83=[1]Clientes!$C$3,[1]Clientes!$D$3,[1]Clientes!$D$2)</f>
        <v>13050505</v>
      </c>
    </row>
    <row r="84" spans="1:14">
      <c r="A84" s="6" t="s">
        <v>7</v>
      </c>
      <c r="B84" s="7">
        <v>45232</v>
      </c>
      <c r="C84" s="6" t="s">
        <v>3196</v>
      </c>
      <c r="D84" s="6" t="s">
        <v>3195</v>
      </c>
      <c r="E84" s="6" t="s">
        <v>3176</v>
      </c>
      <c r="F84" s="7">
        <v>45262</v>
      </c>
      <c r="G84" s="6" t="s">
        <v>3102</v>
      </c>
      <c r="H84" s="8">
        <v>273</v>
      </c>
      <c r="I84" s="9">
        <v>398.06</v>
      </c>
      <c r="J84" s="9">
        <v>398.06</v>
      </c>
      <c r="K84" s="5" t="str">
        <f>VLOOKUP(D84,[1]Clientes!$A$1:$B$1485,2,0)</f>
        <v>NAC0497</v>
      </c>
      <c r="L84" s="5" t="str">
        <f t="shared" si="2"/>
        <v>HGI0116883</v>
      </c>
      <c r="M84" s="5" t="str">
        <f t="shared" si="3"/>
        <v>I</v>
      </c>
      <c r="N84" s="5">
        <f>IF(G84=[1]Clientes!$C$3,[1]Clientes!$D$3,[1]Clientes!$D$2)</f>
        <v>13050505</v>
      </c>
    </row>
    <row r="85" spans="1:14">
      <c r="A85" s="6" t="s">
        <v>7</v>
      </c>
      <c r="B85" s="7">
        <v>45307</v>
      </c>
      <c r="C85" s="6" t="s">
        <v>3197</v>
      </c>
      <c r="D85" s="6" t="s">
        <v>3195</v>
      </c>
      <c r="E85" s="6" t="s">
        <v>3176</v>
      </c>
      <c r="F85" s="7">
        <v>45337</v>
      </c>
      <c r="G85" s="6" t="s">
        <v>3102</v>
      </c>
      <c r="H85" s="8">
        <v>198</v>
      </c>
      <c r="I85" s="9">
        <v>493.75</v>
      </c>
      <c r="J85" s="9">
        <v>493.75</v>
      </c>
      <c r="K85" s="5" t="str">
        <f>VLOOKUP(D85,[1]Clientes!$A$1:$B$1485,2,0)</f>
        <v>NAC0497</v>
      </c>
      <c r="L85" s="5" t="str">
        <f t="shared" si="2"/>
        <v>HGI0119363</v>
      </c>
      <c r="M85" s="5" t="str">
        <f t="shared" si="3"/>
        <v>I</v>
      </c>
      <c r="N85" s="5">
        <f>IF(G85=[1]Clientes!$C$3,[1]Clientes!$D$3,[1]Clientes!$D$2)</f>
        <v>13050505</v>
      </c>
    </row>
    <row r="86" spans="1:14">
      <c r="A86" s="6" t="s">
        <v>3099</v>
      </c>
      <c r="B86" s="7">
        <v>45519</v>
      </c>
      <c r="C86" s="6" t="s">
        <v>3198</v>
      </c>
      <c r="D86" s="6" t="s">
        <v>3195</v>
      </c>
      <c r="E86" s="6" t="s">
        <v>3176</v>
      </c>
      <c r="F86" s="7">
        <v>45549</v>
      </c>
      <c r="G86" s="6" t="s">
        <v>3102</v>
      </c>
      <c r="H86" s="8"/>
      <c r="I86" s="9">
        <v>-50.06</v>
      </c>
      <c r="J86" s="9">
        <v>-50.06</v>
      </c>
      <c r="K86" s="5" t="str">
        <f>VLOOKUP(D86,[1]Clientes!$A$1:$B$1485,2,0)</f>
        <v>NAC0497</v>
      </c>
      <c r="L86" s="5" t="str">
        <f t="shared" si="2"/>
        <v>CRM0126575</v>
      </c>
      <c r="M86" s="5" t="str">
        <f t="shared" si="3"/>
        <v>C</v>
      </c>
      <c r="N86" s="5">
        <f>IF(G86=[1]Clientes!$C$3,[1]Clientes!$D$3,[1]Clientes!$D$2)</f>
        <v>13050505</v>
      </c>
    </row>
    <row r="87" spans="1:14">
      <c r="A87" s="6" t="s">
        <v>7</v>
      </c>
      <c r="B87" s="7">
        <v>44944</v>
      </c>
      <c r="C87" s="6" t="s">
        <v>3199</v>
      </c>
      <c r="D87" s="6" t="s">
        <v>3200</v>
      </c>
      <c r="E87" s="6" t="s">
        <v>3176</v>
      </c>
      <c r="F87" s="7">
        <v>44974</v>
      </c>
      <c r="G87" s="6" t="s">
        <v>3102</v>
      </c>
      <c r="H87" s="8">
        <v>561</v>
      </c>
      <c r="I87" s="9">
        <v>223.3</v>
      </c>
      <c r="J87" s="9">
        <v>223.3</v>
      </c>
      <c r="K87" s="5" t="str">
        <f>VLOOKUP(D87,[1]Clientes!$A$1:$B$1485,2,0)</f>
        <v>NAC0495</v>
      </c>
      <c r="L87" s="5" t="str">
        <f t="shared" si="2"/>
        <v>HGI0107238</v>
      </c>
      <c r="M87" s="5" t="str">
        <f t="shared" si="3"/>
        <v>I</v>
      </c>
      <c r="N87" s="5">
        <f>IF(G87=[1]Clientes!$C$3,[1]Clientes!$D$3,[1]Clientes!$D$2)</f>
        <v>13050505</v>
      </c>
    </row>
    <row r="88" spans="1:14">
      <c r="A88" s="6" t="s">
        <v>7</v>
      </c>
      <c r="B88" s="7">
        <v>44944</v>
      </c>
      <c r="C88" s="6" t="s">
        <v>3201</v>
      </c>
      <c r="D88" s="6" t="s">
        <v>3202</v>
      </c>
      <c r="E88" s="6" t="s">
        <v>3176</v>
      </c>
      <c r="F88" s="7">
        <v>44974</v>
      </c>
      <c r="G88" s="6" t="s">
        <v>3102</v>
      </c>
      <c r="H88" s="8">
        <v>561</v>
      </c>
      <c r="I88" s="9">
        <v>1011.89</v>
      </c>
      <c r="J88" s="9">
        <v>1011.89</v>
      </c>
      <c r="K88" s="5" t="str">
        <f>VLOOKUP(D88,[1]Clientes!$A$1:$B$1485,2,0)</f>
        <v>NAC0510</v>
      </c>
      <c r="L88" s="5" t="str">
        <f t="shared" si="2"/>
        <v>HGI0107239</v>
      </c>
      <c r="M88" s="5" t="str">
        <f t="shared" si="3"/>
        <v>I</v>
      </c>
      <c r="N88" s="5">
        <f>IF(G88=[1]Clientes!$C$3,[1]Clientes!$D$3,[1]Clientes!$D$2)</f>
        <v>13050505</v>
      </c>
    </row>
    <row r="89" spans="1:14">
      <c r="A89" s="6" t="s">
        <v>7</v>
      </c>
      <c r="B89" s="7">
        <v>45036</v>
      </c>
      <c r="C89" s="6" t="s">
        <v>3203</v>
      </c>
      <c r="D89" s="6" t="s">
        <v>3202</v>
      </c>
      <c r="E89" s="6" t="s">
        <v>3176</v>
      </c>
      <c r="F89" s="7">
        <v>45066</v>
      </c>
      <c r="G89" s="6" t="s">
        <v>3102</v>
      </c>
      <c r="H89" s="8">
        <v>469</v>
      </c>
      <c r="I89" s="9">
        <v>221.41</v>
      </c>
      <c r="J89" s="9">
        <v>221.41</v>
      </c>
      <c r="K89" s="5" t="str">
        <f>VLOOKUP(D89,[1]Clientes!$A$1:$B$1485,2,0)</f>
        <v>NAC0510</v>
      </c>
      <c r="L89" s="5" t="str">
        <f t="shared" si="2"/>
        <v>HGI0111106</v>
      </c>
      <c r="M89" s="5" t="str">
        <f t="shared" si="3"/>
        <v>I</v>
      </c>
      <c r="N89" s="5">
        <f>IF(G89=[1]Clientes!$C$3,[1]Clientes!$D$3,[1]Clientes!$D$2)</f>
        <v>13050505</v>
      </c>
    </row>
    <row r="90" spans="1:14">
      <c r="A90" s="6" t="s">
        <v>7</v>
      </c>
      <c r="B90" s="7">
        <v>45210</v>
      </c>
      <c r="C90" s="6" t="s">
        <v>3204</v>
      </c>
      <c r="D90" s="6" t="s">
        <v>3202</v>
      </c>
      <c r="E90" s="6" t="s">
        <v>3176</v>
      </c>
      <c r="F90" s="7">
        <v>45240</v>
      </c>
      <c r="G90" s="6" t="s">
        <v>3102</v>
      </c>
      <c r="H90" s="8">
        <v>295</v>
      </c>
      <c r="I90" s="9">
        <v>265.38</v>
      </c>
      <c r="J90" s="9">
        <v>265.38</v>
      </c>
      <c r="K90" s="5" t="str">
        <f>VLOOKUP(D90,[1]Clientes!$A$1:$B$1485,2,0)</f>
        <v>NAC0510</v>
      </c>
      <c r="L90" s="5" t="str">
        <f t="shared" si="2"/>
        <v>HGI0115877</v>
      </c>
      <c r="M90" s="5" t="str">
        <f t="shared" si="3"/>
        <v>I</v>
      </c>
      <c r="N90" s="5">
        <f>IF(G90=[1]Clientes!$C$3,[1]Clientes!$D$3,[1]Clientes!$D$2)</f>
        <v>13050505</v>
      </c>
    </row>
    <row r="91" spans="1:14">
      <c r="A91" s="6" t="s">
        <v>7</v>
      </c>
      <c r="B91" s="7">
        <v>45315</v>
      </c>
      <c r="C91" s="6" t="s">
        <v>3205</v>
      </c>
      <c r="D91" s="6" t="s">
        <v>3202</v>
      </c>
      <c r="E91" s="6" t="s">
        <v>3176</v>
      </c>
      <c r="F91" s="7">
        <v>45345</v>
      </c>
      <c r="G91" s="6" t="s">
        <v>3102</v>
      </c>
      <c r="H91" s="8">
        <v>190</v>
      </c>
      <c r="I91" s="9">
        <v>589.25</v>
      </c>
      <c r="J91" s="9">
        <v>589.25</v>
      </c>
      <c r="K91" s="5" t="str">
        <f>VLOOKUP(D91,[1]Clientes!$A$1:$B$1485,2,0)</f>
        <v>NAC0510</v>
      </c>
      <c r="L91" s="5" t="str">
        <f t="shared" si="2"/>
        <v>HGI0119733</v>
      </c>
      <c r="M91" s="5" t="str">
        <f t="shared" si="3"/>
        <v>I</v>
      </c>
      <c r="N91" s="5">
        <f>IF(G91=[1]Clientes!$C$3,[1]Clientes!$D$3,[1]Clientes!$D$2)</f>
        <v>13050505</v>
      </c>
    </row>
    <row r="92" spans="1:14">
      <c r="A92" s="6" t="s">
        <v>7</v>
      </c>
      <c r="B92" s="7">
        <v>44944</v>
      </c>
      <c r="C92" s="6" t="s">
        <v>3206</v>
      </c>
      <c r="D92" s="6" t="s">
        <v>3207</v>
      </c>
      <c r="E92" s="6" t="s">
        <v>3176</v>
      </c>
      <c r="F92" s="7">
        <v>44974</v>
      </c>
      <c r="G92" s="6" t="s">
        <v>3102</v>
      </c>
      <c r="H92" s="8">
        <v>561</v>
      </c>
      <c r="I92" s="9">
        <v>893.18</v>
      </c>
      <c r="J92" s="9">
        <v>893.18</v>
      </c>
      <c r="K92" s="5" t="str">
        <f>VLOOKUP(D92,[1]Clientes!$A$1:$B$1485,2,0)</f>
        <v>NAC0489</v>
      </c>
      <c r="L92" s="5" t="str">
        <f t="shared" si="2"/>
        <v>HGI0107160</v>
      </c>
      <c r="M92" s="5" t="str">
        <f t="shared" si="3"/>
        <v>I</v>
      </c>
      <c r="N92" s="5">
        <f>IF(G92=[1]Clientes!$C$3,[1]Clientes!$D$3,[1]Clientes!$D$2)</f>
        <v>13050505</v>
      </c>
    </row>
    <row r="93" spans="1:14">
      <c r="A93" s="6" t="s">
        <v>7</v>
      </c>
      <c r="B93" s="7">
        <v>44967</v>
      </c>
      <c r="C93" s="6" t="s">
        <v>3208</v>
      </c>
      <c r="D93" s="6" t="s">
        <v>3209</v>
      </c>
      <c r="E93" s="6" t="s">
        <v>3176</v>
      </c>
      <c r="F93" s="7">
        <v>44997</v>
      </c>
      <c r="G93" s="6" t="s">
        <v>3102</v>
      </c>
      <c r="H93" s="8">
        <v>538</v>
      </c>
      <c r="I93" s="9">
        <v>678.62</v>
      </c>
      <c r="J93" s="9">
        <v>678.62</v>
      </c>
      <c r="K93" s="5" t="str">
        <f>VLOOKUP(D93,[1]Clientes!$A$1:$B$1485,2,0)</f>
        <v>NAC0494</v>
      </c>
      <c r="L93" s="5" t="str">
        <f t="shared" si="2"/>
        <v>HGI0108774</v>
      </c>
      <c r="M93" s="5" t="str">
        <f t="shared" si="3"/>
        <v>I</v>
      </c>
      <c r="N93" s="5">
        <f>IF(G93=[1]Clientes!$C$3,[1]Clientes!$D$3,[1]Clientes!$D$2)</f>
        <v>13050505</v>
      </c>
    </row>
    <row r="94" spans="1:14">
      <c r="A94" s="6" t="s">
        <v>7</v>
      </c>
      <c r="B94" s="7">
        <v>45315</v>
      </c>
      <c r="C94" s="6" t="s">
        <v>3210</v>
      </c>
      <c r="D94" s="6" t="s">
        <v>3209</v>
      </c>
      <c r="E94" s="6" t="s">
        <v>3176</v>
      </c>
      <c r="F94" s="7">
        <v>45345</v>
      </c>
      <c r="G94" s="6" t="s">
        <v>3102</v>
      </c>
      <c r="H94" s="8">
        <v>190</v>
      </c>
      <c r="I94" s="9">
        <v>370.31</v>
      </c>
      <c r="J94" s="9">
        <v>370.31</v>
      </c>
      <c r="K94" s="5" t="str">
        <f>VLOOKUP(D94,[1]Clientes!$A$1:$B$1485,2,0)</f>
        <v>NAC0494</v>
      </c>
      <c r="L94" s="5" t="str">
        <f t="shared" si="2"/>
        <v>HGI0119734</v>
      </c>
      <c r="M94" s="5" t="str">
        <f t="shared" si="3"/>
        <v>I</v>
      </c>
      <c r="N94" s="5">
        <f>IF(G94=[1]Clientes!$C$3,[1]Clientes!$D$3,[1]Clientes!$D$2)</f>
        <v>13050505</v>
      </c>
    </row>
    <row r="95" spans="1:14">
      <c r="A95" s="6" t="s">
        <v>7</v>
      </c>
      <c r="B95" s="7">
        <v>44943</v>
      </c>
      <c r="C95" s="6" t="s">
        <v>3211</v>
      </c>
      <c r="D95" s="6" t="s">
        <v>3212</v>
      </c>
      <c r="E95" s="6" t="s">
        <v>3176</v>
      </c>
      <c r="F95" s="7">
        <v>44973</v>
      </c>
      <c r="G95" s="6" t="s">
        <v>3102</v>
      </c>
      <c r="H95" s="8">
        <v>562</v>
      </c>
      <c r="I95" s="9">
        <v>239.07</v>
      </c>
      <c r="J95" s="9">
        <v>239.07</v>
      </c>
      <c r="K95" s="5" t="str">
        <f>VLOOKUP(D95,[1]Clientes!$A$1:$B$1485,2,0)</f>
        <v>NAC0491</v>
      </c>
      <c r="L95" s="5" t="str">
        <f t="shared" si="2"/>
        <v>HGI0107203</v>
      </c>
      <c r="M95" s="5" t="str">
        <f t="shared" si="3"/>
        <v>I</v>
      </c>
      <c r="N95" s="5">
        <f>IF(G95=[1]Clientes!$C$3,[1]Clientes!$D$3,[1]Clientes!$D$2)</f>
        <v>13050505</v>
      </c>
    </row>
    <row r="96" spans="1:14">
      <c r="A96" s="6" t="s">
        <v>7</v>
      </c>
      <c r="B96" s="7">
        <v>45037</v>
      </c>
      <c r="C96" s="6" t="s">
        <v>3213</v>
      </c>
      <c r="D96" s="6" t="s">
        <v>3212</v>
      </c>
      <c r="E96" s="6" t="s">
        <v>3176</v>
      </c>
      <c r="F96" s="7">
        <v>45067</v>
      </c>
      <c r="G96" s="6" t="s">
        <v>3102</v>
      </c>
      <c r="H96" s="8">
        <v>468</v>
      </c>
      <c r="I96" s="9">
        <v>787.6</v>
      </c>
      <c r="J96" s="9">
        <v>787.6</v>
      </c>
      <c r="K96" s="5" t="str">
        <f>VLOOKUP(D96,[1]Clientes!$A$1:$B$1485,2,0)</f>
        <v>NAC0491</v>
      </c>
      <c r="L96" s="5" t="str">
        <f t="shared" si="2"/>
        <v>HGI0111156</v>
      </c>
      <c r="M96" s="5" t="str">
        <f t="shared" si="3"/>
        <v>I</v>
      </c>
      <c r="N96" s="5">
        <f>IF(G96=[1]Clientes!$C$3,[1]Clientes!$D$3,[1]Clientes!$D$2)</f>
        <v>13050505</v>
      </c>
    </row>
    <row r="97" spans="1:14">
      <c r="A97" s="6" t="s">
        <v>7</v>
      </c>
      <c r="B97" s="7">
        <v>45272</v>
      </c>
      <c r="C97" s="6" t="s">
        <v>3214</v>
      </c>
      <c r="D97" s="6" t="s">
        <v>3215</v>
      </c>
      <c r="E97" s="6" t="s">
        <v>3176</v>
      </c>
      <c r="F97" s="7">
        <v>45302</v>
      </c>
      <c r="G97" s="6" t="s">
        <v>3102</v>
      </c>
      <c r="H97" s="8">
        <v>233</v>
      </c>
      <c r="I97" s="9">
        <v>358.94</v>
      </c>
      <c r="J97" s="9">
        <v>358.94</v>
      </c>
      <c r="K97" s="5" t="str">
        <f>VLOOKUP(D97,[1]Clientes!$A$1:$B$1485,2,0)</f>
        <v>NAC0492</v>
      </c>
      <c r="L97" s="5" t="str">
        <f t="shared" si="2"/>
        <v>HGI0118277</v>
      </c>
      <c r="M97" s="5" t="str">
        <f t="shared" si="3"/>
        <v>I</v>
      </c>
      <c r="N97" s="5">
        <f>IF(G97=[1]Clientes!$C$3,[1]Clientes!$D$3,[1]Clientes!$D$2)</f>
        <v>13050505</v>
      </c>
    </row>
    <row r="98" spans="1:14">
      <c r="A98" s="6" t="s">
        <v>7</v>
      </c>
      <c r="B98" s="7">
        <v>45036</v>
      </c>
      <c r="C98" s="6" t="s">
        <v>3216</v>
      </c>
      <c r="D98" s="6" t="s">
        <v>3217</v>
      </c>
      <c r="E98" s="6" t="s">
        <v>3176</v>
      </c>
      <c r="F98" s="7">
        <v>45066</v>
      </c>
      <c r="G98" s="6" t="s">
        <v>3102</v>
      </c>
      <c r="H98" s="8">
        <v>469</v>
      </c>
      <c r="I98" s="9">
        <v>438.85</v>
      </c>
      <c r="J98" s="9">
        <v>438.85</v>
      </c>
      <c r="K98" s="5" t="str">
        <f>VLOOKUP(D98,[1]Clientes!$A$1:$B$1485,2,0)</f>
        <v>NAC0484</v>
      </c>
      <c r="L98" s="5" t="str">
        <f t="shared" si="2"/>
        <v>HGI0111100</v>
      </c>
      <c r="M98" s="5" t="str">
        <f t="shared" si="3"/>
        <v>I</v>
      </c>
      <c r="N98" s="5">
        <f>IF(G98=[1]Clientes!$C$3,[1]Clientes!$D$3,[1]Clientes!$D$2)</f>
        <v>13050505</v>
      </c>
    </row>
    <row r="99" spans="1:14">
      <c r="A99" s="6" t="s">
        <v>7</v>
      </c>
      <c r="B99" s="7">
        <v>44943</v>
      </c>
      <c r="C99" s="6" t="s">
        <v>3218</v>
      </c>
      <c r="D99" s="6" t="s">
        <v>3219</v>
      </c>
      <c r="E99" s="6" t="s">
        <v>3176</v>
      </c>
      <c r="F99" s="7">
        <v>44973</v>
      </c>
      <c r="G99" s="6" t="s">
        <v>3102</v>
      </c>
      <c r="H99" s="8">
        <v>562</v>
      </c>
      <c r="I99" s="9">
        <v>474.11</v>
      </c>
      <c r="J99" s="9">
        <v>474.11</v>
      </c>
      <c r="K99" s="5" t="str">
        <f>VLOOKUP(D99,[1]Clientes!$A$1:$B$1485,2,0)</f>
        <v>NAC0487</v>
      </c>
      <c r="L99" s="5" t="str">
        <f t="shared" si="2"/>
        <v>HGI0107211</v>
      </c>
      <c r="M99" s="5" t="str">
        <f t="shared" si="3"/>
        <v>I</v>
      </c>
      <c r="N99" s="5">
        <f>IF(G99=[1]Clientes!$C$3,[1]Clientes!$D$3,[1]Clientes!$D$2)</f>
        <v>13050505</v>
      </c>
    </row>
    <row r="100" spans="1:14">
      <c r="A100" s="6" t="s">
        <v>7</v>
      </c>
      <c r="B100" s="7">
        <v>44944</v>
      </c>
      <c r="C100" s="6" t="s">
        <v>3220</v>
      </c>
      <c r="D100" s="6" t="s">
        <v>3221</v>
      </c>
      <c r="E100" s="6" t="s">
        <v>3176</v>
      </c>
      <c r="F100" s="7">
        <v>44974</v>
      </c>
      <c r="G100" s="6" t="s">
        <v>3102</v>
      </c>
      <c r="H100" s="8">
        <v>561</v>
      </c>
      <c r="I100" s="9">
        <v>1185.28</v>
      </c>
      <c r="J100" s="9">
        <v>1185.28</v>
      </c>
      <c r="K100" s="5" t="str">
        <f>VLOOKUP(D100,[1]Clientes!$A$1:$B$1485,2,0)</f>
        <v>NAC0485</v>
      </c>
      <c r="L100" s="5" t="str">
        <f t="shared" si="2"/>
        <v>HGI0107226</v>
      </c>
      <c r="M100" s="5" t="str">
        <f t="shared" si="3"/>
        <v>I</v>
      </c>
      <c r="N100" s="5">
        <f>IF(G100=[1]Clientes!$C$3,[1]Clientes!$D$3,[1]Clientes!$D$2)</f>
        <v>13050505</v>
      </c>
    </row>
    <row r="101" spans="1:14">
      <c r="A101" s="6" t="s">
        <v>7</v>
      </c>
      <c r="B101" s="7">
        <v>45037</v>
      </c>
      <c r="C101" s="6" t="s">
        <v>3222</v>
      </c>
      <c r="D101" s="6" t="s">
        <v>3221</v>
      </c>
      <c r="E101" s="6" t="s">
        <v>3176</v>
      </c>
      <c r="F101" s="7">
        <v>45067</v>
      </c>
      <c r="G101" s="6" t="s">
        <v>3102</v>
      </c>
      <c r="H101" s="8">
        <v>468</v>
      </c>
      <c r="I101" s="9">
        <v>117.52</v>
      </c>
      <c r="J101" s="9">
        <v>117.52</v>
      </c>
      <c r="K101" s="5" t="str">
        <f>VLOOKUP(D101,[1]Clientes!$A$1:$B$1485,2,0)</f>
        <v>NAC0485</v>
      </c>
      <c r="L101" s="5" t="str">
        <f t="shared" si="2"/>
        <v>HGI0111160</v>
      </c>
      <c r="M101" s="5" t="str">
        <f t="shared" si="3"/>
        <v>I</v>
      </c>
      <c r="N101" s="5">
        <f>IF(G101=[1]Clientes!$C$3,[1]Clientes!$D$3,[1]Clientes!$D$2)</f>
        <v>13050505</v>
      </c>
    </row>
    <row r="102" spans="1:14">
      <c r="A102" s="6" t="s">
        <v>7</v>
      </c>
      <c r="B102" s="7">
        <v>44944</v>
      </c>
      <c r="C102" s="6" t="s">
        <v>3223</v>
      </c>
      <c r="D102" s="6" t="s">
        <v>3224</v>
      </c>
      <c r="E102" s="6" t="s">
        <v>3176</v>
      </c>
      <c r="F102" s="7">
        <v>44974</v>
      </c>
      <c r="G102" s="6" t="s">
        <v>3102</v>
      </c>
      <c r="H102" s="8">
        <v>561</v>
      </c>
      <c r="I102" s="9">
        <v>474.08</v>
      </c>
      <c r="J102" s="9">
        <v>474.08</v>
      </c>
      <c r="K102" s="5" t="str">
        <f>VLOOKUP(D102,[1]Clientes!$A$1:$B$1485,2,0)</f>
        <v>NAC0500</v>
      </c>
      <c r="L102" s="5" t="str">
        <f t="shared" si="2"/>
        <v>HGI0107227</v>
      </c>
      <c r="M102" s="5" t="str">
        <f t="shared" si="3"/>
        <v>I</v>
      </c>
      <c r="N102" s="5">
        <f>IF(G102=[1]Clientes!$C$3,[1]Clientes!$D$3,[1]Clientes!$D$2)</f>
        <v>13050505</v>
      </c>
    </row>
    <row r="103" spans="1:14">
      <c r="A103" s="6" t="s">
        <v>7</v>
      </c>
      <c r="B103" s="7">
        <v>45037</v>
      </c>
      <c r="C103" s="6" t="s">
        <v>3225</v>
      </c>
      <c r="D103" s="6" t="s">
        <v>3224</v>
      </c>
      <c r="E103" s="6" t="s">
        <v>3176</v>
      </c>
      <c r="F103" s="7">
        <v>45067</v>
      </c>
      <c r="G103" s="6" t="s">
        <v>3102</v>
      </c>
      <c r="H103" s="8">
        <v>468</v>
      </c>
      <c r="I103" s="9">
        <v>117.52</v>
      </c>
      <c r="J103" s="9">
        <v>117.52</v>
      </c>
      <c r="K103" s="5" t="str">
        <f>VLOOKUP(D103,[1]Clientes!$A$1:$B$1485,2,0)</f>
        <v>NAC0500</v>
      </c>
      <c r="L103" s="5" t="str">
        <f t="shared" si="2"/>
        <v>HGI0111161</v>
      </c>
      <c r="M103" s="5" t="str">
        <f t="shared" si="3"/>
        <v>I</v>
      </c>
      <c r="N103" s="5">
        <f>IF(G103=[1]Clientes!$C$3,[1]Clientes!$D$3,[1]Clientes!$D$2)</f>
        <v>13050505</v>
      </c>
    </row>
    <row r="104" spans="1:14">
      <c r="A104" s="6" t="s">
        <v>7</v>
      </c>
      <c r="B104" s="7">
        <v>45244</v>
      </c>
      <c r="C104" s="6" t="s">
        <v>3226</v>
      </c>
      <c r="D104" s="6" t="s">
        <v>3224</v>
      </c>
      <c r="E104" s="6" t="s">
        <v>3176</v>
      </c>
      <c r="F104" s="7">
        <v>45274</v>
      </c>
      <c r="G104" s="6" t="s">
        <v>3102</v>
      </c>
      <c r="H104" s="8">
        <v>261</v>
      </c>
      <c r="I104" s="9">
        <v>550.27</v>
      </c>
      <c r="J104" s="9">
        <v>550.27</v>
      </c>
      <c r="K104" s="5" t="str">
        <f>VLOOKUP(D104,[1]Clientes!$A$1:$B$1485,2,0)</f>
        <v>NAC0500</v>
      </c>
      <c r="L104" s="5" t="str">
        <f t="shared" si="2"/>
        <v>HGI0117241</v>
      </c>
      <c r="M104" s="5" t="str">
        <f t="shared" si="3"/>
        <v>I</v>
      </c>
      <c r="N104" s="5">
        <f>IF(G104=[1]Clientes!$C$3,[1]Clientes!$D$3,[1]Clientes!$D$2)</f>
        <v>13050505</v>
      </c>
    </row>
    <row r="105" spans="1:14">
      <c r="A105" s="6" t="s">
        <v>7</v>
      </c>
      <c r="B105" s="7">
        <v>44944</v>
      </c>
      <c r="C105" s="6" t="s">
        <v>3227</v>
      </c>
      <c r="D105" s="6" t="s">
        <v>3228</v>
      </c>
      <c r="E105" s="6" t="s">
        <v>3176</v>
      </c>
      <c r="F105" s="7">
        <v>44974</v>
      </c>
      <c r="G105" s="6" t="s">
        <v>3102</v>
      </c>
      <c r="H105" s="8">
        <v>561</v>
      </c>
      <c r="I105" s="9">
        <v>356.59</v>
      </c>
      <c r="J105" s="9">
        <v>356.59</v>
      </c>
      <c r="K105" s="5" t="str">
        <f>VLOOKUP(D105,[1]Clientes!$A$1:$B$1485,2,0)</f>
        <v>NAC0490</v>
      </c>
      <c r="L105" s="5" t="str">
        <f t="shared" si="2"/>
        <v>HGI0107229</v>
      </c>
      <c r="M105" s="5" t="str">
        <f t="shared" si="3"/>
        <v>I</v>
      </c>
      <c r="N105" s="5">
        <f>IF(G105=[1]Clientes!$C$3,[1]Clientes!$D$3,[1]Clientes!$D$2)</f>
        <v>13050505</v>
      </c>
    </row>
    <row r="106" spans="1:14">
      <c r="A106" s="6" t="s">
        <v>7</v>
      </c>
      <c r="B106" s="7">
        <v>45036</v>
      </c>
      <c r="C106" s="6" t="s">
        <v>3229</v>
      </c>
      <c r="D106" s="6" t="s">
        <v>3228</v>
      </c>
      <c r="E106" s="6" t="s">
        <v>3176</v>
      </c>
      <c r="F106" s="7">
        <v>45066</v>
      </c>
      <c r="G106" s="6" t="s">
        <v>3102</v>
      </c>
      <c r="H106" s="8">
        <v>469</v>
      </c>
      <c r="I106" s="9">
        <v>117.52</v>
      </c>
      <c r="J106" s="9">
        <v>117.52</v>
      </c>
      <c r="K106" s="5" t="str">
        <f>VLOOKUP(D106,[1]Clientes!$A$1:$B$1485,2,0)</f>
        <v>NAC0490</v>
      </c>
      <c r="L106" s="5" t="str">
        <f t="shared" si="2"/>
        <v>HGI0111110</v>
      </c>
      <c r="M106" s="5" t="str">
        <f t="shared" si="3"/>
        <v>I</v>
      </c>
      <c r="N106" s="5">
        <f>IF(G106=[1]Clientes!$C$3,[1]Clientes!$D$3,[1]Clientes!$D$2)</f>
        <v>13050505</v>
      </c>
    </row>
    <row r="107" spans="1:14">
      <c r="A107" s="6" t="s">
        <v>7</v>
      </c>
      <c r="B107" s="7">
        <v>44944</v>
      </c>
      <c r="C107" s="6" t="s">
        <v>3230</v>
      </c>
      <c r="D107" s="6" t="s">
        <v>3231</v>
      </c>
      <c r="E107" s="6" t="s">
        <v>3176</v>
      </c>
      <c r="F107" s="7">
        <v>44974</v>
      </c>
      <c r="G107" s="6" t="s">
        <v>3102</v>
      </c>
      <c r="H107" s="8">
        <v>561</v>
      </c>
      <c r="I107" s="9">
        <v>356.59</v>
      </c>
      <c r="J107" s="9">
        <v>356.59</v>
      </c>
      <c r="K107" s="5" t="str">
        <f>VLOOKUP(D107,[1]Clientes!$A$1:$B$1485,2,0)</f>
        <v>NAC0505</v>
      </c>
      <c r="L107" s="5" t="str">
        <f t="shared" si="2"/>
        <v>HGI0107230</v>
      </c>
      <c r="M107" s="5" t="str">
        <f t="shared" si="3"/>
        <v>I</v>
      </c>
      <c r="N107" s="5">
        <f>IF(G107=[1]Clientes!$C$3,[1]Clientes!$D$3,[1]Clientes!$D$2)</f>
        <v>13050505</v>
      </c>
    </row>
    <row r="108" spans="1:14">
      <c r="A108" s="6" t="s">
        <v>7</v>
      </c>
      <c r="B108" s="7">
        <v>44944</v>
      </c>
      <c r="C108" s="6" t="s">
        <v>3232</v>
      </c>
      <c r="D108" s="6" t="s">
        <v>3233</v>
      </c>
      <c r="E108" s="6" t="s">
        <v>3176</v>
      </c>
      <c r="F108" s="7">
        <v>44974</v>
      </c>
      <c r="G108" s="6" t="s">
        <v>3102</v>
      </c>
      <c r="H108" s="8">
        <v>561</v>
      </c>
      <c r="I108" s="9">
        <v>1126.56</v>
      </c>
      <c r="J108" s="9">
        <v>1126.56</v>
      </c>
      <c r="K108" s="5" t="str">
        <f>VLOOKUP(D108,[1]Clientes!$A$1:$B$1485,2,0)</f>
        <v>NAC0496</v>
      </c>
      <c r="L108" s="5" t="str">
        <f t="shared" si="2"/>
        <v>HGI0107155</v>
      </c>
      <c r="M108" s="5" t="str">
        <f t="shared" si="3"/>
        <v>I</v>
      </c>
      <c r="N108" s="5">
        <f>IF(G108=[1]Clientes!$C$3,[1]Clientes!$D$3,[1]Clientes!$D$2)</f>
        <v>13050505</v>
      </c>
    </row>
    <row r="109" spans="1:14">
      <c r="A109" s="6" t="s">
        <v>7</v>
      </c>
      <c r="B109" s="7">
        <v>45219</v>
      </c>
      <c r="C109" s="6" t="s">
        <v>3234</v>
      </c>
      <c r="D109" s="6" t="s">
        <v>3233</v>
      </c>
      <c r="E109" s="6" t="s">
        <v>3176</v>
      </c>
      <c r="F109" s="7">
        <v>45249</v>
      </c>
      <c r="G109" s="6" t="s">
        <v>3102</v>
      </c>
      <c r="H109" s="8">
        <v>286</v>
      </c>
      <c r="I109" s="9">
        <v>653.23</v>
      </c>
      <c r="J109" s="9">
        <v>653.23</v>
      </c>
      <c r="K109" s="5" t="str">
        <f>VLOOKUP(D109,[1]Clientes!$A$1:$B$1485,2,0)</f>
        <v>NAC0496</v>
      </c>
      <c r="L109" s="5" t="str">
        <f t="shared" si="2"/>
        <v>HGI0116254</v>
      </c>
      <c r="M109" s="5" t="str">
        <f t="shared" si="3"/>
        <v>I</v>
      </c>
      <c r="N109" s="5">
        <f>IF(G109=[1]Clientes!$C$3,[1]Clientes!$D$3,[1]Clientes!$D$2)</f>
        <v>13050505</v>
      </c>
    </row>
    <row r="110" spans="1:14">
      <c r="A110" s="6" t="s">
        <v>7</v>
      </c>
      <c r="B110" s="7">
        <v>44944</v>
      </c>
      <c r="C110" s="6" t="s">
        <v>3235</v>
      </c>
      <c r="D110" s="6" t="s">
        <v>3236</v>
      </c>
      <c r="E110" s="6" t="s">
        <v>3176</v>
      </c>
      <c r="F110" s="7">
        <v>44974</v>
      </c>
      <c r="G110" s="6" t="s">
        <v>3102</v>
      </c>
      <c r="H110" s="8">
        <v>561</v>
      </c>
      <c r="I110" s="9">
        <v>1178.99</v>
      </c>
      <c r="J110" s="9">
        <v>1178.99</v>
      </c>
      <c r="K110" s="5" t="str">
        <f>VLOOKUP(D110,[1]Clientes!$A$1:$B$1485,2,0)</f>
        <v>NAC0493</v>
      </c>
      <c r="L110" s="5" t="str">
        <f t="shared" si="2"/>
        <v>HGI0107237</v>
      </c>
      <c r="M110" s="5" t="str">
        <f t="shared" si="3"/>
        <v>I</v>
      </c>
      <c r="N110" s="5">
        <f>IF(G110=[1]Clientes!$C$3,[1]Clientes!$D$3,[1]Clientes!$D$2)</f>
        <v>13050505</v>
      </c>
    </row>
    <row r="111" spans="1:14">
      <c r="A111" s="6" t="s">
        <v>7</v>
      </c>
      <c r="B111" s="7">
        <v>45036</v>
      </c>
      <c r="C111" s="6" t="s">
        <v>3237</v>
      </c>
      <c r="D111" s="6" t="s">
        <v>3236</v>
      </c>
      <c r="E111" s="6" t="s">
        <v>3176</v>
      </c>
      <c r="F111" s="7">
        <v>45066</v>
      </c>
      <c r="G111" s="6" t="s">
        <v>3102</v>
      </c>
      <c r="H111" s="8">
        <v>469</v>
      </c>
      <c r="I111" s="9">
        <v>879.68</v>
      </c>
      <c r="J111" s="9">
        <v>879.68</v>
      </c>
      <c r="K111" s="5" t="str">
        <f>VLOOKUP(D111,[1]Clientes!$A$1:$B$1485,2,0)</f>
        <v>NAC0493</v>
      </c>
      <c r="L111" s="5" t="str">
        <f t="shared" si="2"/>
        <v>HGI0111107</v>
      </c>
      <c r="M111" s="5" t="str">
        <f t="shared" si="3"/>
        <v>I</v>
      </c>
      <c r="N111" s="5">
        <f>IF(G111=[1]Clientes!$C$3,[1]Clientes!$D$3,[1]Clientes!$D$2)</f>
        <v>13050505</v>
      </c>
    </row>
    <row r="112" spans="1:14">
      <c r="A112" s="6" t="s">
        <v>7</v>
      </c>
      <c r="B112" s="7">
        <v>44944</v>
      </c>
      <c r="C112" s="6" t="s">
        <v>3238</v>
      </c>
      <c r="D112" s="6" t="s">
        <v>3239</v>
      </c>
      <c r="E112" s="6" t="s">
        <v>3176</v>
      </c>
      <c r="F112" s="7">
        <v>44974</v>
      </c>
      <c r="G112" s="6" t="s">
        <v>3102</v>
      </c>
      <c r="H112" s="8">
        <v>561</v>
      </c>
      <c r="I112" s="9">
        <v>673.92</v>
      </c>
      <c r="J112" s="9">
        <v>673.92</v>
      </c>
      <c r="K112" s="5" t="str">
        <f>VLOOKUP(D112,[1]Clientes!$A$1:$B$1485,2,0)</f>
        <v>NAC0509</v>
      </c>
      <c r="L112" s="5" t="str">
        <f t="shared" si="2"/>
        <v>HGI0107156</v>
      </c>
      <c r="M112" s="5" t="str">
        <f t="shared" si="3"/>
        <v>I</v>
      </c>
      <c r="N112" s="5">
        <f>IF(G112=[1]Clientes!$C$3,[1]Clientes!$D$3,[1]Clientes!$D$2)</f>
        <v>13050505</v>
      </c>
    </row>
    <row r="113" spans="1:14">
      <c r="A113" s="6" t="s">
        <v>7</v>
      </c>
      <c r="B113" s="7">
        <v>45036</v>
      </c>
      <c r="C113" s="6" t="s">
        <v>3240</v>
      </c>
      <c r="D113" s="6" t="s">
        <v>3239</v>
      </c>
      <c r="E113" s="6" t="s">
        <v>3176</v>
      </c>
      <c r="F113" s="7">
        <v>45066</v>
      </c>
      <c r="G113" s="6" t="s">
        <v>3102</v>
      </c>
      <c r="H113" s="8">
        <v>469</v>
      </c>
      <c r="I113" s="9">
        <v>228</v>
      </c>
      <c r="J113" s="9">
        <v>228</v>
      </c>
      <c r="K113" s="5" t="str">
        <f>VLOOKUP(D113,[1]Clientes!$A$1:$B$1485,2,0)</f>
        <v>NAC0509</v>
      </c>
      <c r="L113" s="5" t="str">
        <f t="shared" si="2"/>
        <v>HGI0111108</v>
      </c>
      <c r="M113" s="5" t="str">
        <f t="shared" si="3"/>
        <v>I</v>
      </c>
      <c r="N113" s="5">
        <f>IF(G113=[1]Clientes!$C$3,[1]Clientes!$D$3,[1]Clientes!$D$2)</f>
        <v>13050505</v>
      </c>
    </row>
    <row r="114" spans="1:14">
      <c r="A114" s="6" t="s">
        <v>7</v>
      </c>
      <c r="B114" s="7">
        <v>44967</v>
      </c>
      <c r="C114" s="6" t="s">
        <v>3241</v>
      </c>
      <c r="D114" s="6" t="s">
        <v>3242</v>
      </c>
      <c r="E114" s="6" t="s">
        <v>3176</v>
      </c>
      <c r="F114" s="7">
        <v>44997</v>
      </c>
      <c r="G114" s="6" t="s">
        <v>3102</v>
      </c>
      <c r="H114" s="8">
        <v>538</v>
      </c>
      <c r="I114" s="9">
        <v>975.94</v>
      </c>
      <c r="J114" s="9">
        <v>975.94</v>
      </c>
      <c r="K114" s="5" t="str">
        <f>VLOOKUP(D114,[1]Clientes!$A$1:$B$1485,2,0)</f>
        <v>NAC0486</v>
      </c>
      <c r="L114" s="5" t="str">
        <f t="shared" si="2"/>
        <v>HGI0108773</v>
      </c>
      <c r="M114" s="5" t="str">
        <f t="shared" si="3"/>
        <v>I</v>
      </c>
      <c r="N114" s="5">
        <f>IF(G114=[1]Clientes!$C$3,[1]Clientes!$D$3,[1]Clientes!$D$2)</f>
        <v>13050505</v>
      </c>
    </row>
    <row r="115" spans="1:14">
      <c r="A115" s="6" t="s">
        <v>7</v>
      </c>
      <c r="B115" s="7">
        <v>45513</v>
      </c>
      <c r="C115" s="6" t="s">
        <v>3243</v>
      </c>
      <c r="D115" s="6" t="s">
        <v>3242</v>
      </c>
      <c r="E115" s="6" t="s">
        <v>3176</v>
      </c>
      <c r="F115" s="7">
        <v>45543</v>
      </c>
      <c r="G115" s="6" t="s">
        <v>3102</v>
      </c>
      <c r="H115" s="8"/>
      <c r="I115" s="9">
        <v>1269.03</v>
      </c>
      <c r="J115" s="9">
        <v>1365.8</v>
      </c>
      <c r="K115" s="5" t="str">
        <f>VLOOKUP(D115,[1]Clientes!$A$1:$B$1485,2,0)</f>
        <v>NAC0486</v>
      </c>
      <c r="L115" s="5" t="str">
        <f t="shared" si="2"/>
        <v>HGI0126359</v>
      </c>
      <c r="M115" s="5" t="str">
        <f t="shared" si="3"/>
        <v>I</v>
      </c>
      <c r="N115" s="5">
        <f>IF(G115=[1]Clientes!$C$3,[1]Clientes!$D$3,[1]Clientes!$D$2)</f>
        <v>13050505</v>
      </c>
    </row>
    <row r="116" spans="1:14">
      <c r="A116" s="6" t="s">
        <v>7</v>
      </c>
      <c r="B116" s="7">
        <v>45489</v>
      </c>
      <c r="C116" s="6" t="s">
        <v>3244</v>
      </c>
      <c r="D116" s="6" t="s">
        <v>15</v>
      </c>
      <c r="E116" s="6" t="s">
        <v>16</v>
      </c>
      <c r="F116" s="7">
        <v>45519</v>
      </c>
      <c r="G116" s="6" t="s">
        <v>3102</v>
      </c>
      <c r="H116" s="8">
        <v>16</v>
      </c>
      <c r="I116" s="9">
        <v>0.34</v>
      </c>
      <c r="J116" s="9">
        <v>2732.34</v>
      </c>
      <c r="K116" s="5" t="str">
        <f>VLOOKUP(D116,[1]Clientes!$A$1:$B$1370,2,0)</f>
        <v>CAN0001</v>
      </c>
      <c r="L116" s="5" t="str">
        <f t="shared" si="2"/>
        <v>HGI0125726</v>
      </c>
      <c r="M116" s="5" t="str">
        <f t="shared" si="3"/>
        <v>I</v>
      </c>
      <c r="N116" s="5">
        <f>IF(G116=[1]Clientes!$C$3,[1]Clientes!$D$3,[1]Clientes!$D$2)</f>
        <v>13050505</v>
      </c>
    </row>
    <row r="117" spans="1:14">
      <c r="A117" s="6" t="s">
        <v>7</v>
      </c>
      <c r="B117" s="7">
        <v>45504</v>
      </c>
      <c r="C117" s="6" t="s">
        <v>3245</v>
      </c>
      <c r="D117" s="6" t="s">
        <v>15</v>
      </c>
      <c r="E117" s="6" t="s">
        <v>16</v>
      </c>
      <c r="F117" s="7">
        <v>45534</v>
      </c>
      <c r="G117" s="6" t="s">
        <v>3102</v>
      </c>
      <c r="H117" s="8">
        <v>1</v>
      </c>
      <c r="I117" s="9">
        <v>2356.0500000000002</v>
      </c>
      <c r="J117" s="9">
        <v>2356.0500000000002</v>
      </c>
      <c r="K117" s="5" t="str">
        <f>VLOOKUP(D117,[1]Clientes!$A$1:$B$1370,2,0)</f>
        <v>CAN0001</v>
      </c>
      <c r="L117" s="5" t="str">
        <f t="shared" si="2"/>
        <v>HGI0126095</v>
      </c>
      <c r="M117" s="5" t="str">
        <f t="shared" si="3"/>
        <v>I</v>
      </c>
      <c r="N117" s="5">
        <f>IF(G117=[1]Clientes!$C$3,[1]Clientes!$D$3,[1]Clientes!$D$2)</f>
        <v>13050505</v>
      </c>
    </row>
    <row r="118" spans="1:14">
      <c r="A118" s="6" t="s">
        <v>7</v>
      </c>
      <c r="B118" s="7">
        <v>45511</v>
      </c>
      <c r="C118" s="6" t="s">
        <v>3246</v>
      </c>
      <c r="D118" s="6" t="s">
        <v>15</v>
      </c>
      <c r="E118" s="6" t="s">
        <v>16</v>
      </c>
      <c r="F118" s="7">
        <v>45541</v>
      </c>
      <c r="G118" s="6" t="s">
        <v>3102</v>
      </c>
      <c r="H118" s="8"/>
      <c r="I118" s="9">
        <v>8701</v>
      </c>
      <c r="J118" s="9">
        <v>8701</v>
      </c>
      <c r="K118" s="5" t="str">
        <f>VLOOKUP(D118,[1]Clientes!$A$1:$B$1370,2,0)</f>
        <v>CAN0001</v>
      </c>
      <c r="L118" s="5" t="str">
        <f t="shared" si="2"/>
        <v>HGI0126290</v>
      </c>
      <c r="M118" s="5" t="str">
        <f t="shared" si="3"/>
        <v>I</v>
      </c>
      <c r="N118" s="5">
        <f>IF(G118=[1]Clientes!$C$3,[1]Clientes!$D$3,[1]Clientes!$D$2)</f>
        <v>13050505</v>
      </c>
    </row>
    <row r="119" spans="1:14">
      <c r="A119" s="6" t="s">
        <v>7</v>
      </c>
      <c r="B119" s="7">
        <v>45517</v>
      </c>
      <c r="C119" s="6" t="s">
        <v>3247</v>
      </c>
      <c r="D119" s="6" t="s">
        <v>15</v>
      </c>
      <c r="E119" s="6" t="s">
        <v>16</v>
      </c>
      <c r="F119" s="7">
        <v>45547</v>
      </c>
      <c r="G119" s="6" t="s">
        <v>3102</v>
      </c>
      <c r="H119" s="8"/>
      <c r="I119" s="9">
        <v>474.6</v>
      </c>
      <c r="J119" s="9">
        <v>474.6</v>
      </c>
      <c r="K119" s="5" t="str">
        <f>VLOOKUP(D119,[1]Clientes!$A$1:$B$1370,2,0)</f>
        <v>CAN0001</v>
      </c>
      <c r="L119" s="5" t="str">
        <f t="shared" si="2"/>
        <v>HGI0126442</v>
      </c>
      <c r="M119" s="5" t="str">
        <f t="shared" si="3"/>
        <v>I</v>
      </c>
      <c r="N119" s="5">
        <f>IF(G119=[1]Clientes!$C$3,[1]Clientes!$D$3,[1]Clientes!$D$2)</f>
        <v>13050505</v>
      </c>
    </row>
    <row r="120" spans="1:14">
      <c r="A120" s="6" t="s">
        <v>7</v>
      </c>
      <c r="B120" s="7">
        <v>45524</v>
      </c>
      <c r="C120" s="6" t="s">
        <v>3248</v>
      </c>
      <c r="D120" s="6" t="s">
        <v>15</v>
      </c>
      <c r="E120" s="6" t="s">
        <v>16</v>
      </c>
      <c r="F120" s="7">
        <v>45554</v>
      </c>
      <c r="G120" s="6" t="s">
        <v>3102</v>
      </c>
      <c r="H120" s="8"/>
      <c r="I120" s="9">
        <v>8529.24</v>
      </c>
      <c r="J120" s="9">
        <v>8529.24</v>
      </c>
      <c r="K120" s="5" t="str">
        <f>VLOOKUP(D120,[1]Clientes!$A$1:$B$1370,2,0)</f>
        <v>CAN0001</v>
      </c>
      <c r="L120" s="5" t="str">
        <f t="shared" si="2"/>
        <v>HGI0126690</v>
      </c>
      <c r="M120" s="5" t="str">
        <f t="shared" si="3"/>
        <v>I</v>
      </c>
      <c r="N120" s="5">
        <f>IF(G120=[1]Clientes!$C$3,[1]Clientes!$D$3,[1]Clientes!$D$2)</f>
        <v>13050505</v>
      </c>
    </row>
    <row r="121" spans="1:14">
      <c r="A121" s="6" t="s">
        <v>7</v>
      </c>
      <c r="B121" s="7">
        <v>45532</v>
      </c>
      <c r="C121" s="6" t="s">
        <v>3249</v>
      </c>
      <c r="D121" s="6" t="s">
        <v>15</v>
      </c>
      <c r="E121" s="6" t="s">
        <v>16</v>
      </c>
      <c r="F121" s="7">
        <v>45562</v>
      </c>
      <c r="G121" s="6" t="s">
        <v>3102</v>
      </c>
      <c r="H121" s="8"/>
      <c r="I121" s="9">
        <v>12692.16</v>
      </c>
      <c r="J121" s="9">
        <v>12692.16</v>
      </c>
      <c r="K121" s="5" t="str">
        <f>VLOOKUP(D121,[1]Clientes!$A$1:$B$1370,2,0)</f>
        <v>CAN0001</v>
      </c>
      <c r="L121" s="5" t="str">
        <f t="shared" si="2"/>
        <v>HGI0127043</v>
      </c>
      <c r="M121" s="5" t="str">
        <f t="shared" si="3"/>
        <v>I</v>
      </c>
      <c r="N121" s="5">
        <f>IF(G121=[1]Clientes!$C$3,[1]Clientes!$D$3,[1]Clientes!$D$2)</f>
        <v>13050505</v>
      </c>
    </row>
    <row r="122" spans="1:14">
      <c r="A122" s="6" t="s">
        <v>3139</v>
      </c>
      <c r="B122" s="7">
        <v>45349</v>
      </c>
      <c r="C122" s="6"/>
      <c r="D122" s="6" t="s">
        <v>453</v>
      </c>
      <c r="E122" s="6"/>
      <c r="F122" s="7"/>
      <c r="G122" s="6" t="s">
        <v>3102</v>
      </c>
      <c r="H122" s="8"/>
      <c r="I122" s="9">
        <v>-220.24</v>
      </c>
      <c r="J122" s="9">
        <v>-220.24</v>
      </c>
      <c r="K122" s="5" t="str">
        <f>VLOOKUP(D122,[1]Clientes!$A$1:$B$1370,2,0)</f>
        <v>NAC0513</v>
      </c>
      <c r="L122" s="5" t="str">
        <f t="shared" si="2"/>
        <v>Revisar</v>
      </c>
      <c r="M122" s="5" t="str">
        <f t="shared" si="3"/>
        <v>P</v>
      </c>
      <c r="N122" s="5">
        <f>IF(G122=[1]Clientes!$C$3,[1]Clientes!$D$3,[1]Clientes!$D$2)</f>
        <v>13050505</v>
      </c>
    </row>
    <row r="123" spans="1:14">
      <c r="A123" s="6" t="s">
        <v>7</v>
      </c>
      <c r="B123" s="7">
        <v>45523</v>
      </c>
      <c r="C123" s="6" t="s">
        <v>3250</v>
      </c>
      <c r="D123" s="6" t="s">
        <v>3251</v>
      </c>
      <c r="E123" s="6" t="s">
        <v>16</v>
      </c>
      <c r="F123" s="7">
        <v>45553</v>
      </c>
      <c r="G123" s="6" t="s">
        <v>3102</v>
      </c>
      <c r="H123" s="8"/>
      <c r="I123" s="9">
        <v>668.19</v>
      </c>
      <c r="J123" s="9">
        <v>668.19</v>
      </c>
      <c r="K123" s="5" t="str">
        <f>VLOOKUP(D123,[1]Clientes!$A$1:$B$1370,2,0)</f>
        <v>NAC0514</v>
      </c>
      <c r="L123" s="5" t="str">
        <f t="shared" si="2"/>
        <v>HGI0126638</v>
      </c>
      <c r="M123" s="5" t="str">
        <f t="shared" si="3"/>
        <v>I</v>
      </c>
      <c r="N123" s="5">
        <f>IF(G123=[1]Clientes!$C$3,[1]Clientes!$D$3,[1]Clientes!$D$2)</f>
        <v>13050505</v>
      </c>
    </row>
    <row r="124" spans="1:14">
      <c r="A124" s="6" t="s">
        <v>3139</v>
      </c>
      <c r="B124" s="7">
        <v>45016</v>
      </c>
      <c r="C124" s="6"/>
      <c r="D124" s="6" t="s">
        <v>458</v>
      </c>
      <c r="E124" s="6"/>
      <c r="F124" s="7"/>
      <c r="G124" s="6" t="s">
        <v>3102</v>
      </c>
      <c r="H124" s="8"/>
      <c r="I124" s="9">
        <v>-0.01</v>
      </c>
      <c r="J124" s="9">
        <v>-5417.24</v>
      </c>
      <c r="K124" s="5" t="str">
        <f>VLOOKUP(D124,[1]Clientes!$A$1:$B$1370,2,0)</f>
        <v>NAC0520</v>
      </c>
      <c r="L124" s="5" t="str">
        <f t="shared" si="2"/>
        <v>Revisar</v>
      </c>
      <c r="M124" s="5" t="str">
        <f t="shared" si="3"/>
        <v>P</v>
      </c>
      <c r="N124" s="5">
        <f>IF(G124=[1]Clientes!$C$3,[1]Clientes!$D$3,[1]Clientes!$D$2)</f>
        <v>13050505</v>
      </c>
    </row>
    <row r="125" spans="1:14">
      <c r="A125" s="6" t="s">
        <v>3099</v>
      </c>
      <c r="B125" s="7">
        <v>45217</v>
      </c>
      <c r="C125" s="6" t="s">
        <v>3252</v>
      </c>
      <c r="D125" s="6" t="s">
        <v>458</v>
      </c>
      <c r="E125" s="6" t="s">
        <v>16</v>
      </c>
      <c r="F125" s="7">
        <v>45247</v>
      </c>
      <c r="G125" s="6" t="s">
        <v>3102</v>
      </c>
      <c r="H125" s="8">
        <v>288</v>
      </c>
      <c r="I125" s="9">
        <v>-146.32</v>
      </c>
      <c r="J125" s="9">
        <v>-292.5</v>
      </c>
      <c r="K125" s="5" t="str">
        <f>VLOOKUP(D125,[1]Clientes!$A$1:$B$1370,2,0)</f>
        <v>NAC0520</v>
      </c>
      <c r="L125" s="5" t="str">
        <f t="shared" si="2"/>
        <v>CRM0116149</v>
      </c>
      <c r="M125" s="5" t="str">
        <f t="shared" si="3"/>
        <v>C</v>
      </c>
      <c r="N125" s="5">
        <f>IF(G125=[1]Clientes!$C$3,[1]Clientes!$D$3,[1]Clientes!$D$2)</f>
        <v>13050505</v>
      </c>
    </row>
    <row r="126" spans="1:14">
      <c r="A126" s="6" t="s">
        <v>3099</v>
      </c>
      <c r="B126" s="7">
        <v>45226</v>
      </c>
      <c r="C126" s="6" t="s">
        <v>3253</v>
      </c>
      <c r="D126" s="6" t="s">
        <v>458</v>
      </c>
      <c r="E126" s="6" t="s">
        <v>16</v>
      </c>
      <c r="F126" s="7">
        <v>45256</v>
      </c>
      <c r="G126" s="6" t="s">
        <v>3102</v>
      </c>
      <c r="H126" s="8">
        <v>279</v>
      </c>
      <c r="I126" s="9">
        <v>-312</v>
      </c>
      <c r="J126" s="9">
        <v>-312</v>
      </c>
      <c r="K126" s="5" t="str">
        <f>VLOOKUP(D126,[1]Clientes!$A$1:$B$1370,2,0)</f>
        <v>NAC0520</v>
      </c>
      <c r="L126" s="5" t="str">
        <f t="shared" si="2"/>
        <v>CRM0116513</v>
      </c>
      <c r="M126" s="5" t="str">
        <f t="shared" si="3"/>
        <v>C</v>
      </c>
      <c r="N126" s="5">
        <f>IF(G126=[1]Clientes!$C$3,[1]Clientes!$D$3,[1]Clientes!$D$2)</f>
        <v>13050505</v>
      </c>
    </row>
    <row r="127" spans="1:14">
      <c r="A127" s="6" t="s">
        <v>3099</v>
      </c>
      <c r="B127" s="7">
        <v>45336</v>
      </c>
      <c r="C127" s="6" t="s">
        <v>3254</v>
      </c>
      <c r="D127" s="6" t="s">
        <v>458</v>
      </c>
      <c r="E127" s="6" t="s">
        <v>16</v>
      </c>
      <c r="F127" s="7">
        <v>45366</v>
      </c>
      <c r="G127" s="6" t="s">
        <v>3102</v>
      </c>
      <c r="H127" s="8">
        <v>169</v>
      </c>
      <c r="I127" s="9">
        <v>-13.6</v>
      </c>
      <c r="J127" s="9">
        <v>-13.6</v>
      </c>
      <c r="K127" s="5" t="str">
        <f>VLOOKUP(D127,[1]Clientes!$A$1:$B$1370,2,0)</f>
        <v>NAC0520</v>
      </c>
      <c r="L127" s="5" t="str">
        <f t="shared" si="2"/>
        <v>CRM0120963</v>
      </c>
      <c r="M127" s="5" t="str">
        <f t="shared" si="3"/>
        <v>C</v>
      </c>
      <c r="N127" s="5">
        <f>IF(G127=[1]Clientes!$C$3,[1]Clientes!$D$3,[1]Clientes!$D$2)</f>
        <v>13050505</v>
      </c>
    </row>
    <row r="128" spans="1:14">
      <c r="A128" s="6" t="s">
        <v>7</v>
      </c>
      <c r="B128" s="7">
        <v>45488</v>
      </c>
      <c r="C128" s="6" t="s">
        <v>3255</v>
      </c>
      <c r="D128" s="6" t="s">
        <v>458</v>
      </c>
      <c r="E128" s="6" t="s">
        <v>16</v>
      </c>
      <c r="F128" s="7">
        <v>45518</v>
      </c>
      <c r="G128" s="6" t="s">
        <v>3102</v>
      </c>
      <c r="H128" s="8">
        <v>17</v>
      </c>
      <c r="I128" s="9">
        <v>2088</v>
      </c>
      <c r="J128" s="9">
        <v>2088</v>
      </c>
      <c r="K128" s="5" t="str">
        <f>VLOOKUP(D128,[1]Clientes!$A$1:$B$1370,2,0)</f>
        <v>NAC0520</v>
      </c>
      <c r="L128" s="5" t="str">
        <f t="shared" si="2"/>
        <v>HGI0125699</v>
      </c>
      <c r="M128" s="5" t="str">
        <f t="shared" si="3"/>
        <v>I</v>
      </c>
      <c r="N128" s="5">
        <f>IF(G128=[1]Clientes!$C$3,[1]Clientes!$D$3,[1]Clientes!$D$2)</f>
        <v>13050505</v>
      </c>
    </row>
    <row r="129" spans="1:14">
      <c r="A129" s="6" t="s">
        <v>7</v>
      </c>
      <c r="B129" s="7">
        <v>45502</v>
      </c>
      <c r="C129" s="6" t="s">
        <v>3256</v>
      </c>
      <c r="D129" s="6" t="s">
        <v>458</v>
      </c>
      <c r="E129" s="6" t="s">
        <v>16</v>
      </c>
      <c r="F129" s="7">
        <v>45532</v>
      </c>
      <c r="G129" s="6" t="s">
        <v>3102</v>
      </c>
      <c r="H129" s="8">
        <v>3</v>
      </c>
      <c r="I129" s="9">
        <v>588.70000000000005</v>
      </c>
      <c r="J129" s="9">
        <v>588.70000000000005</v>
      </c>
      <c r="K129" s="5" t="str">
        <f>VLOOKUP(D129,[1]Clientes!$A$1:$B$1370,2,0)</f>
        <v>NAC0520</v>
      </c>
      <c r="L129" s="5" t="str">
        <f t="shared" si="2"/>
        <v>HGI0125998</v>
      </c>
      <c r="M129" s="5" t="str">
        <f t="shared" si="3"/>
        <v>I</v>
      </c>
      <c r="N129" s="5">
        <f>IF(G129=[1]Clientes!$C$3,[1]Clientes!$D$3,[1]Clientes!$D$2)</f>
        <v>13050505</v>
      </c>
    </row>
    <row r="130" spans="1:14">
      <c r="A130" s="6" t="s">
        <v>7</v>
      </c>
      <c r="B130" s="7">
        <v>45510</v>
      </c>
      <c r="C130" s="6" t="s">
        <v>3257</v>
      </c>
      <c r="D130" s="6" t="s">
        <v>458</v>
      </c>
      <c r="E130" s="6" t="s">
        <v>16</v>
      </c>
      <c r="F130" s="7">
        <v>45540</v>
      </c>
      <c r="G130" s="6" t="s">
        <v>3102</v>
      </c>
      <c r="H130" s="8"/>
      <c r="I130" s="9">
        <v>2532.6</v>
      </c>
      <c r="J130" s="9">
        <v>2532.6</v>
      </c>
      <c r="K130" s="5" t="str">
        <f>VLOOKUP(D130,[1]Clientes!$A$1:$B$1370,2,0)</f>
        <v>NAC0520</v>
      </c>
      <c r="L130" s="5" t="str">
        <f t="shared" si="2"/>
        <v>HGI0126238</v>
      </c>
      <c r="M130" s="5" t="str">
        <f t="shared" si="3"/>
        <v>I</v>
      </c>
      <c r="N130" s="5">
        <f>IF(G130=[1]Clientes!$C$3,[1]Clientes!$D$3,[1]Clientes!$D$2)</f>
        <v>13050505</v>
      </c>
    </row>
    <row r="131" spans="1:14">
      <c r="A131" s="6" t="s">
        <v>7</v>
      </c>
      <c r="B131" s="7">
        <v>45510</v>
      </c>
      <c r="C131" s="6" t="s">
        <v>3258</v>
      </c>
      <c r="D131" s="6" t="s">
        <v>458</v>
      </c>
      <c r="E131" s="6" t="s">
        <v>16</v>
      </c>
      <c r="F131" s="7">
        <v>45540</v>
      </c>
      <c r="G131" s="6" t="s">
        <v>3102</v>
      </c>
      <c r="H131" s="8"/>
      <c r="I131" s="9">
        <v>1688.4</v>
      </c>
      <c r="J131" s="9">
        <v>1688.4</v>
      </c>
      <c r="K131" s="5" t="str">
        <f>VLOOKUP(D131,[1]Clientes!$A$1:$B$1370,2,0)</f>
        <v>NAC0520</v>
      </c>
      <c r="L131" s="5" t="str">
        <f t="shared" ref="L131:L194" si="4">IF(A131="Invoice",
    IF(LEFT(C131,5)="TGDR-", "TGDR"&amp;RIGHT(C131,LEN(C131)-5), "HGI"&amp;C131),
    IF(A131="Credit Memo",
        IF(LEFT(C131,5)="TGDR-", "CRM"&amp;RIGHT(C131,LEN(C131)-5), "CRM"&amp;C131),
        "Revisar")
)</f>
        <v>HGI0126239</v>
      </c>
      <c r="M131" s="5" t="str">
        <f t="shared" ref="M131:M194" si="5">IF(A131="Invoice","I",IF(A131="Credit Memo","C",IF(A131="Payment","P","GJ")))</f>
        <v>I</v>
      </c>
      <c r="N131" s="5">
        <f>IF(G131=[1]Clientes!$C$3,[1]Clientes!$D$3,[1]Clientes!$D$2)</f>
        <v>13050505</v>
      </c>
    </row>
    <row r="132" spans="1:14">
      <c r="A132" s="6" t="s">
        <v>7</v>
      </c>
      <c r="B132" s="7">
        <v>45530</v>
      </c>
      <c r="C132" s="6" t="s">
        <v>3259</v>
      </c>
      <c r="D132" s="6" t="s">
        <v>458</v>
      </c>
      <c r="E132" s="6" t="s">
        <v>16</v>
      </c>
      <c r="F132" s="7">
        <v>45560</v>
      </c>
      <c r="G132" s="6" t="s">
        <v>3102</v>
      </c>
      <c r="H132" s="8"/>
      <c r="I132" s="9">
        <v>20936</v>
      </c>
      <c r="J132" s="9">
        <v>20936</v>
      </c>
      <c r="K132" s="5" t="str">
        <f>VLOOKUP(D132,[1]Clientes!$A$1:$B$1370,2,0)</f>
        <v>NAC0520</v>
      </c>
      <c r="L132" s="5" t="str">
        <f t="shared" si="4"/>
        <v>HGI0126851</v>
      </c>
      <c r="M132" s="5" t="str">
        <f t="shared" si="5"/>
        <v>I</v>
      </c>
      <c r="N132" s="5">
        <f>IF(G132=[1]Clientes!$C$3,[1]Clientes!$D$3,[1]Clientes!$D$2)</f>
        <v>13050505</v>
      </c>
    </row>
    <row r="133" spans="1:14">
      <c r="A133" s="6" t="s">
        <v>7</v>
      </c>
      <c r="B133" s="7">
        <v>45530</v>
      </c>
      <c r="C133" s="6" t="s">
        <v>3260</v>
      </c>
      <c r="D133" s="6" t="s">
        <v>458</v>
      </c>
      <c r="E133" s="6" t="s">
        <v>16</v>
      </c>
      <c r="F133" s="7">
        <v>45560</v>
      </c>
      <c r="G133" s="6" t="s">
        <v>3102</v>
      </c>
      <c r="H133" s="8"/>
      <c r="I133" s="9">
        <v>21156.799999999999</v>
      </c>
      <c r="J133" s="9">
        <v>21156.799999999999</v>
      </c>
      <c r="K133" s="5" t="str">
        <f>VLOOKUP(D133,[1]Clientes!$A$1:$B$1370,2,0)</f>
        <v>NAC0520</v>
      </c>
      <c r="L133" s="5" t="str">
        <f t="shared" si="4"/>
        <v>HGI0126887</v>
      </c>
      <c r="M133" s="5" t="str">
        <f t="shared" si="5"/>
        <v>I</v>
      </c>
      <c r="N133" s="5">
        <f>IF(G133=[1]Clientes!$C$3,[1]Clientes!$D$3,[1]Clientes!$D$2)</f>
        <v>13050505</v>
      </c>
    </row>
    <row r="134" spans="1:14">
      <c r="A134" s="6" t="s">
        <v>7</v>
      </c>
      <c r="B134" s="7">
        <v>45532</v>
      </c>
      <c r="C134" s="6" t="s">
        <v>3261</v>
      </c>
      <c r="D134" s="6" t="s">
        <v>458</v>
      </c>
      <c r="E134" s="6" t="s">
        <v>16</v>
      </c>
      <c r="F134" s="7">
        <v>45562</v>
      </c>
      <c r="G134" s="6" t="s">
        <v>3102</v>
      </c>
      <c r="H134" s="8"/>
      <c r="I134" s="9">
        <v>380</v>
      </c>
      <c r="J134" s="9">
        <v>380</v>
      </c>
      <c r="K134" s="5" t="str">
        <f>VLOOKUP(D134,[1]Clientes!$A$1:$B$1370,2,0)</f>
        <v>NAC0520</v>
      </c>
      <c r="L134" s="5" t="str">
        <f t="shared" si="4"/>
        <v>HGI0126964</v>
      </c>
      <c r="M134" s="5" t="str">
        <f t="shared" si="5"/>
        <v>I</v>
      </c>
      <c r="N134" s="5">
        <f>IF(G134=[1]Clientes!$C$3,[1]Clientes!$D$3,[1]Clientes!$D$2)</f>
        <v>13050505</v>
      </c>
    </row>
    <row r="135" spans="1:14">
      <c r="A135" s="6" t="s">
        <v>7</v>
      </c>
      <c r="B135" s="7">
        <v>45532</v>
      </c>
      <c r="C135" s="6" t="s">
        <v>3262</v>
      </c>
      <c r="D135" s="6" t="s">
        <v>458</v>
      </c>
      <c r="E135" s="6" t="s">
        <v>16</v>
      </c>
      <c r="F135" s="7">
        <v>45562</v>
      </c>
      <c r="G135" s="6" t="s">
        <v>3102</v>
      </c>
      <c r="H135" s="8"/>
      <c r="I135" s="9">
        <v>14980.6</v>
      </c>
      <c r="J135" s="9">
        <v>14980.6</v>
      </c>
      <c r="K135" s="5" t="str">
        <f>VLOOKUP(D135,[1]Clientes!$A$1:$B$1370,2,0)</f>
        <v>NAC0520</v>
      </c>
      <c r="L135" s="5" t="str">
        <f t="shared" si="4"/>
        <v>HGI0126966</v>
      </c>
      <c r="M135" s="5" t="str">
        <f t="shared" si="5"/>
        <v>I</v>
      </c>
      <c r="N135" s="5">
        <f>IF(G135=[1]Clientes!$C$3,[1]Clientes!$D$3,[1]Clientes!$D$2)</f>
        <v>13050505</v>
      </c>
    </row>
    <row r="136" spans="1:14">
      <c r="A136" s="6" t="s">
        <v>7</v>
      </c>
      <c r="B136" s="7">
        <v>45532</v>
      </c>
      <c r="C136" s="6" t="s">
        <v>3263</v>
      </c>
      <c r="D136" s="6" t="s">
        <v>458</v>
      </c>
      <c r="E136" s="6" t="s">
        <v>16</v>
      </c>
      <c r="F136" s="7">
        <v>45562</v>
      </c>
      <c r="G136" s="6" t="s">
        <v>3102</v>
      </c>
      <c r="H136" s="8"/>
      <c r="I136" s="9">
        <v>675</v>
      </c>
      <c r="J136" s="9">
        <v>675</v>
      </c>
      <c r="K136" s="5" t="str">
        <f>VLOOKUP(D136,[1]Clientes!$A$1:$B$1370,2,0)</f>
        <v>NAC0520</v>
      </c>
      <c r="L136" s="5" t="str">
        <f t="shared" si="4"/>
        <v>HGI0126965</v>
      </c>
      <c r="M136" s="5" t="str">
        <f t="shared" si="5"/>
        <v>I</v>
      </c>
      <c r="N136" s="5">
        <f>IF(G136=[1]Clientes!$C$3,[1]Clientes!$D$3,[1]Clientes!$D$2)</f>
        <v>13050505</v>
      </c>
    </row>
    <row r="137" spans="1:14">
      <c r="A137" s="6" t="s">
        <v>7</v>
      </c>
      <c r="B137" s="7">
        <v>45532</v>
      </c>
      <c r="C137" s="6" t="s">
        <v>3264</v>
      </c>
      <c r="D137" s="6" t="s">
        <v>458</v>
      </c>
      <c r="E137" s="6" t="s">
        <v>16</v>
      </c>
      <c r="F137" s="7">
        <v>45562</v>
      </c>
      <c r="G137" s="6" t="s">
        <v>3102</v>
      </c>
      <c r="H137" s="8"/>
      <c r="I137" s="9">
        <v>1320</v>
      </c>
      <c r="J137" s="9">
        <v>1320</v>
      </c>
      <c r="K137" s="5" t="str">
        <f>VLOOKUP(D137,[1]Clientes!$A$1:$B$1370,2,0)</f>
        <v>NAC0520</v>
      </c>
      <c r="L137" s="5" t="str">
        <f t="shared" si="4"/>
        <v>HGI0127064</v>
      </c>
      <c r="M137" s="5" t="str">
        <f t="shared" si="5"/>
        <v>I</v>
      </c>
      <c r="N137" s="5">
        <f>IF(G137=[1]Clientes!$C$3,[1]Clientes!$D$3,[1]Clientes!$D$2)</f>
        <v>13050505</v>
      </c>
    </row>
    <row r="138" spans="1:14">
      <c r="A138" s="6" t="s">
        <v>3265</v>
      </c>
      <c r="B138" s="7">
        <v>44500</v>
      </c>
      <c r="C138" s="6" t="s">
        <v>3266</v>
      </c>
      <c r="D138" s="6" t="s">
        <v>3267</v>
      </c>
      <c r="E138" s="6"/>
      <c r="F138" s="7"/>
      <c r="G138" s="6" t="s">
        <v>3102</v>
      </c>
      <c r="H138" s="8"/>
      <c r="I138" s="9">
        <v>8803.11</v>
      </c>
      <c r="J138" s="9">
        <v>8803.11</v>
      </c>
      <c r="K138" s="5" t="str">
        <f>VLOOKUP(D138,[1]Clientes!$A$1:$B$1370,2,0)</f>
        <v>NAC1617</v>
      </c>
      <c r="L138" s="5" t="str">
        <f t="shared" si="4"/>
        <v>Revisar</v>
      </c>
      <c r="M138" s="5" t="str">
        <f t="shared" si="5"/>
        <v>GJ</v>
      </c>
      <c r="N138" s="5">
        <f>IF(G138=[1]Clientes!$C$3,[1]Clientes!$D$3,[1]Clientes!$D$2)</f>
        <v>13050505</v>
      </c>
    </row>
    <row r="139" spans="1:14">
      <c r="A139" s="6" t="s">
        <v>7</v>
      </c>
      <c r="B139" s="7">
        <v>45511</v>
      </c>
      <c r="C139" s="6" t="s">
        <v>3268</v>
      </c>
      <c r="D139" s="6" t="s">
        <v>480</v>
      </c>
      <c r="E139" s="6" t="s">
        <v>16</v>
      </c>
      <c r="F139" s="7">
        <v>45541</v>
      </c>
      <c r="G139" s="6" t="s">
        <v>3102</v>
      </c>
      <c r="H139" s="8"/>
      <c r="I139" s="9">
        <v>78590.649999999994</v>
      </c>
      <c r="J139" s="9">
        <v>78590.649999999994</v>
      </c>
      <c r="K139" s="5" t="str">
        <f>VLOOKUP(D139,[1]Clientes!$A$1:$B$1370,2,0)</f>
        <v>NAC0525</v>
      </c>
      <c r="L139" s="5" t="str">
        <f t="shared" si="4"/>
        <v>HGI0126275</v>
      </c>
      <c r="M139" s="5" t="str">
        <f t="shared" si="5"/>
        <v>I</v>
      </c>
      <c r="N139" s="5">
        <f>IF(G139=[1]Clientes!$C$3,[1]Clientes!$D$3,[1]Clientes!$D$2)</f>
        <v>13050505</v>
      </c>
    </row>
    <row r="140" spans="1:14">
      <c r="A140" s="6" t="s">
        <v>7</v>
      </c>
      <c r="B140" s="7">
        <v>45505</v>
      </c>
      <c r="C140" s="6" t="s">
        <v>3269</v>
      </c>
      <c r="D140" s="6" t="s">
        <v>490</v>
      </c>
      <c r="E140" s="6" t="s">
        <v>16</v>
      </c>
      <c r="F140" s="7">
        <v>45535</v>
      </c>
      <c r="G140" s="6" t="s">
        <v>3102</v>
      </c>
      <c r="H140" s="8"/>
      <c r="I140" s="9">
        <v>10500</v>
      </c>
      <c r="J140" s="9">
        <v>10500</v>
      </c>
      <c r="K140" s="5" t="str">
        <f>VLOOKUP(D140,[1]Clientes!$A$1:$B$1370,2,0)</f>
        <v>NAC0528</v>
      </c>
      <c r="L140" s="5" t="str">
        <f t="shared" si="4"/>
        <v>HGI0126123</v>
      </c>
      <c r="M140" s="5" t="str">
        <f t="shared" si="5"/>
        <v>I</v>
      </c>
      <c r="N140" s="5">
        <f>IF(G140=[1]Clientes!$C$3,[1]Clientes!$D$3,[1]Clientes!$D$2)</f>
        <v>13050505</v>
      </c>
    </row>
    <row r="141" spans="1:14">
      <c r="A141" s="6" t="s">
        <v>7</v>
      </c>
      <c r="B141" s="7">
        <v>45505</v>
      </c>
      <c r="C141" s="6" t="s">
        <v>3270</v>
      </c>
      <c r="D141" s="6" t="s">
        <v>490</v>
      </c>
      <c r="E141" s="6" t="s">
        <v>16</v>
      </c>
      <c r="F141" s="7">
        <v>45535</v>
      </c>
      <c r="G141" s="6" t="s">
        <v>3102</v>
      </c>
      <c r="H141" s="8"/>
      <c r="I141" s="9">
        <v>2345.1999999999998</v>
      </c>
      <c r="J141" s="9">
        <v>2345.1999999999998</v>
      </c>
      <c r="K141" s="5" t="str">
        <f>VLOOKUP(D141,[1]Clientes!$A$1:$B$1370,2,0)</f>
        <v>NAC0528</v>
      </c>
      <c r="L141" s="5" t="str">
        <f t="shared" si="4"/>
        <v>HGI0126748</v>
      </c>
      <c r="M141" s="5" t="str">
        <f t="shared" si="5"/>
        <v>I</v>
      </c>
      <c r="N141" s="5">
        <f>IF(G141=[1]Clientes!$C$3,[1]Clientes!$D$3,[1]Clientes!$D$2)</f>
        <v>13050505</v>
      </c>
    </row>
    <row r="142" spans="1:14">
      <c r="A142" s="6" t="s">
        <v>7</v>
      </c>
      <c r="B142" s="7">
        <v>45518</v>
      </c>
      <c r="C142" s="6" t="s">
        <v>3271</v>
      </c>
      <c r="D142" s="6" t="s">
        <v>490</v>
      </c>
      <c r="E142" s="6" t="s">
        <v>16</v>
      </c>
      <c r="F142" s="7">
        <v>45548</v>
      </c>
      <c r="G142" s="6" t="s">
        <v>3102</v>
      </c>
      <c r="H142" s="8"/>
      <c r="I142" s="9">
        <v>1524</v>
      </c>
      <c r="J142" s="9">
        <v>1524</v>
      </c>
      <c r="K142" s="5" t="str">
        <f>VLOOKUP(D142,[1]Clientes!$A$1:$B$1370,2,0)</f>
        <v>NAC0528</v>
      </c>
      <c r="L142" s="5" t="str">
        <f t="shared" si="4"/>
        <v>HGI0126471</v>
      </c>
      <c r="M142" s="5" t="str">
        <f t="shared" si="5"/>
        <v>I</v>
      </c>
      <c r="N142" s="5">
        <f>IF(G142=[1]Clientes!$C$3,[1]Clientes!$D$3,[1]Clientes!$D$2)</f>
        <v>13050505</v>
      </c>
    </row>
    <row r="143" spans="1:14">
      <c r="A143" s="6" t="s">
        <v>7</v>
      </c>
      <c r="B143" s="7">
        <v>45532</v>
      </c>
      <c r="C143" s="6" t="s">
        <v>3272</v>
      </c>
      <c r="D143" s="6" t="s">
        <v>490</v>
      </c>
      <c r="E143" s="6" t="s">
        <v>16</v>
      </c>
      <c r="F143" s="7">
        <v>45562</v>
      </c>
      <c r="G143" s="6" t="s">
        <v>3102</v>
      </c>
      <c r="H143" s="8"/>
      <c r="I143" s="9">
        <v>16236.28</v>
      </c>
      <c r="J143" s="9">
        <v>16236.28</v>
      </c>
      <c r="K143" s="5" t="str">
        <f>VLOOKUP(D143,[1]Clientes!$A$1:$B$1370,2,0)</f>
        <v>NAC0528</v>
      </c>
      <c r="L143" s="5" t="str">
        <f t="shared" si="4"/>
        <v>HGI0127041</v>
      </c>
      <c r="M143" s="5" t="str">
        <f t="shared" si="5"/>
        <v>I</v>
      </c>
      <c r="N143" s="5">
        <f>IF(G143=[1]Clientes!$C$3,[1]Clientes!$D$3,[1]Clientes!$D$2)</f>
        <v>13050505</v>
      </c>
    </row>
    <row r="144" spans="1:14">
      <c r="A144" s="6" t="s">
        <v>7</v>
      </c>
      <c r="B144" s="7">
        <v>45513</v>
      </c>
      <c r="C144" s="6" t="s">
        <v>3273</v>
      </c>
      <c r="D144" s="6" t="s">
        <v>3274</v>
      </c>
      <c r="E144" s="6" t="s">
        <v>3275</v>
      </c>
      <c r="F144" s="7">
        <v>45543</v>
      </c>
      <c r="G144" s="6" t="s">
        <v>3102</v>
      </c>
      <c r="H144" s="8"/>
      <c r="I144" s="9">
        <v>758.92</v>
      </c>
      <c r="J144" s="9">
        <v>758.92</v>
      </c>
      <c r="K144" s="5" t="str">
        <f>VLOOKUP(D144,[1]Clientes!$A$1:$B$1370,2,0)</f>
        <v>NAC0530</v>
      </c>
      <c r="L144" s="5" t="str">
        <f t="shared" si="4"/>
        <v>HGI0126361</v>
      </c>
      <c r="M144" s="5" t="str">
        <f t="shared" si="5"/>
        <v>I</v>
      </c>
      <c r="N144" s="5">
        <f>IF(G144=[1]Clientes!$C$3,[1]Clientes!$D$3,[1]Clientes!$D$2)</f>
        <v>13050505</v>
      </c>
    </row>
    <row r="145" spans="1:14">
      <c r="A145" s="6" t="s">
        <v>3099</v>
      </c>
      <c r="B145" s="7">
        <v>45519</v>
      </c>
      <c r="C145" s="6" t="s">
        <v>3276</v>
      </c>
      <c r="D145" s="6" t="s">
        <v>507</v>
      </c>
      <c r="E145" s="6" t="s">
        <v>213</v>
      </c>
      <c r="F145" s="7">
        <v>45519</v>
      </c>
      <c r="G145" s="6" t="s">
        <v>3102</v>
      </c>
      <c r="H145" s="8">
        <v>16</v>
      </c>
      <c r="I145" s="9">
        <v>-92.32</v>
      </c>
      <c r="J145" s="9">
        <v>-92.32</v>
      </c>
      <c r="K145" s="5" t="str">
        <f>VLOOKUP(D145,[1]Clientes!$A$1:$B$1370,2,0)</f>
        <v>NAC0532</v>
      </c>
      <c r="L145" s="5" t="str">
        <f t="shared" si="4"/>
        <v>CRM0126487</v>
      </c>
      <c r="M145" s="5" t="str">
        <f t="shared" si="5"/>
        <v>C</v>
      </c>
      <c r="N145" s="5">
        <f>IF(G145=[1]Clientes!$C$3,[1]Clientes!$D$3,[1]Clientes!$D$2)</f>
        <v>13050505</v>
      </c>
    </row>
    <row r="146" spans="1:14">
      <c r="A146" s="6" t="s">
        <v>7</v>
      </c>
      <c r="B146" s="7">
        <v>45516</v>
      </c>
      <c r="C146" s="6" t="s">
        <v>3277</v>
      </c>
      <c r="D146" s="6" t="s">
        <v>523</v>
      </c>
      <c r="E146" s="6" t="s">
        <v>16</v>
      </c>
      <c r="F146" s="7">
        <v>45546</v>
      </c>
      <c r="G146" s="6" t="s">
        <v>3102</v>
      </c>
      <c r="H146" s="8"/>
      <c r="I146" s="9">
        <v>600.20000000000005</v>
      </c>
      <c r="J146" s="9">
        <v>600.20000000000005</v>
      </c>
      <c r="K146" s="5" t="str">
        <f>VLOOKUP(D146,[1]Clientes!$A$1:$B$1370,2,0)</f>
        <v>NAC0537</v>
      </c>
      <c r="L146" s="5" t="str">
        <f t="shared" si="4"/>
        <v>HGI0126413</v>
      </c>
      <c r="M146" s="5" t="str">
        <f t="shared" si="5"/>
        <v>I</v>
      </c>
      <c r="N146" s="5">
        <f>IF(G146=[1]Clientes!$C$3,[1]Clientes!$D$3,[1]Clientes!$D$2)</f>
        <v>13050505</v>
      </c>
    </row>
    <row r="147" spans="1:14">
      <c r="A147" s="6" t="s">
        <v>7</v>
      </c>
      <c r="B147" s="7">
        <v>45516</v>
      </c>
      <c r="C147" s="6" t="s">
        <v>3278</v>
      </c>
      <c r="D147" s="6" t="s">
        <v>523</v>
      </c>
      <c r="E147" s="6" t="s">
        <v>16</v>
      </c>
      <c r="F147" s="7">
        <v>45546</v>
      </c>
      <c r="G147" s="6" t="s">
        <v>3102</v>
      </c>
      <c r="H147" s="8"/>
      <c r="I147" s="9">
        <v>600.20000000000005</v>
      </c>
      <c r="J147" s="9">
        <v>600.20000000000005</v>
      </c>
      <c r="K147" s="5" t="str">
        <f>VLOOKUP(D147,[1]Clientes!$A$1:$B$1370,2,0)</f>
        <v>NAC0537</v>
      </c>
      <c r="L147" s="5" t="str">
        <f t="shared" si="4"/>
        <v>HGI0126414</v>
      </c>
      <c r="M147" s="5" t="str">
        <f t="shared" si="5"/>
        <v>I</v>
      </c>
      <c r="N147" s="5">
        <f>IF(G147=[1]Clientes!$C$3,[1]Clientes!$D$3,[1]Clientes!$D$2)</f>
        <v>13050505</v>
      </c>
    </row>
    <row r="148" spans="1:14">
      <c r="A148" s="6" t="s">
        <v>7</v>
      </c>
      <c r="B148" s="7">
        <v>45516</v>
      </c>
      <c r="C148" s="6" t="s">
        <v>3279</v>
      </c>
      <c r="D148" s="6" t="s">
        <v>523</v>
      </c>
      <c r="E148" s="6" t="s">
        <v>16</v>
      </c>
      <c r="F148" s="7">
        <v>45546</v>
      </c>
      <c r="G148" s="6" t="s">
        <v>3102</v>
      </c>
      <c r="H148" s="8"/>
      <c r="I148" s="9">
        <v>600.20000000000005</v>
      </c>
      <c r="J148" s="9">
        <v>600.20000000000005</v>
      </c>
      <c r="K148" s="5" t="str">
        <f>VLOOKUP(D148,[1]Clientes!$A$1:$B$1370,2,0)</f>
        <v>NAC0537</v>
      </c>
      <c r="L148" s="5" t="str">
        <f t="shared" si="4"/>
        <v>HGI0126415</v>
      </c>
      <c r="M148" s="5" t="str">
        <f t="shared" si="5"/>
        <v>I</v>
      </c>
      <c r="N148" s="5">
        <f>IF(G148=[1]Clientes!$C$3,[1]Clientes!$D$3,[1]Clientes!$D$2)</f>
        <v>13050505</v>
      </c>
    </row>
    <row r="149" spans="1:14">
      <c r="A149" s="6" t="s">
        <v>7</v>
      </c>
      <c r="B149" s="7">
        <v>45516</v>
      </c>
      <c r="C149" s="6" t="s">
        <v>3280</v>
      </c>
      <c r="D149" s="6" t="s">
        <v>523</v>
      </c>
      <c r="E149" s="6" t="s">
        <v>16</v>
      </c>
      <c r="F149" s="7">
        <v>45546</v>
      </c>
      <c r="G149" s="6" t="s">
        <v>3102</v>
      </c>
      <c r="H149" s="8"/>
      <c r="I149" s="9">
        <v>600.20000000000005</v>
      </c>
      <c r="J149" s="9">
        <v>600.20000000000005</v>
      </c>
      <c r="K149" s="5" t="str">
        <f>VLOOKUP(D149,[1]Clientes!$A$1:$B$1370,2,0)</f>
        <v>NAC0537</v>
      </c>
      <c r="L149" s="5" t="str">
        <f t="shared" si="4"/>
        <v>HGI0126416</v>
      </c>
      <c r="M149" s="5" t="str">
        <f t="shared" si="5"/>
        <v>I</v>
      </c>
      <c r="N149" s="5">
        <f>IF(G149=[1]Clientes!$C$3,[1]Clientes!$D$3,[1]Clientes!$D$2)</f>
        <v>13050505</v>
      </c>
    </row>
    <row r="150" spans="1:14">
      <c r="A150" s="6" t="s">
        <v>7</v>
      </c>
      <c r="B150" s="7">
        <v>45516</v>
      </c>
      <c r="C150" s="6" t="s">
        <v>3281</v>
      </c>
      <c r="D150" s="6" t="s">
        <v>523</v>
      </c>
      <c r="E150" s="6" t="s">
        <v>16</v>
      </c>
      <c r="F150" s="7">
        <v>45546</v>
      </c>
      <c r="G150" s="6" t="s">
        <v>3102</v>
      </c>
      <c r="H150" s="8"/>
      <c r="I150" s="9">
        <v>600.20000000000005</v>
      </c>
      <c r="J150" s="9">
        <v>600.20000000000005</v>
      </c>
      <c r="K150" s="5" t="str">
        <f>VLOOKUP(D150,[1]Clientes!$A$1:$B$1370,2,0)</f>
        <v>NAC0537</v>
      </c>
      <c r="L150" s="5" t="str">
        <f t="shared" si="4"/>
        <v>HGI0126417</v>
      </c>
      <c r="M150" s="5" t="str">
        <f t="shared" si="5"/>
        <v>I</v>
      </c>
      <c r="N150" s="5">
        <f>IF(G150=[1]Clientes!$C$3,[1]Clientes!$D$3,[1]Clientes!$D$2)</f>
        <v>13050505</v>
      </c>
    </row>
    <row r="151" spans="1:14">
      <c r="A151" s="6" t="s">
        <v>7</v>
      </c>
      <c r="B151" s="7">
        <v>45516</v>
      </c>
      <c r="C151" s="6" t="s">
        <v>3282</v>
      </c>
      <c r="D151" s="6" t="s">
        <v>523</v>
      </c>
      <c r="E151" s="6" t="s">
        <v>16</v>
      </c>
      <c r="F151" s="7">
        <v>45546</v>
      </c>
      <c r="G151" s="6" t="s">
        <v>3102</v>
      </c>
      <c r="H151" s="8"/>
      <c r="I151" s="9">
        <v>600.20000000000005</v>
      </c>
      <c r="J151" s="9">
        <v>600.20000000000005</v>
      </c>
      <c r="K151" s="5" t="str">
        <f>VLOOKUP(D151,[1]Clientes!$A$1:$B$1370,2,0)</f>
        <v>NAC0537</v>
      </c>
      <c r="L151" s="5" t="str">
        <f t="shared" si="4"/>
        <v>HGI0126418</v>
      </c>
      <c r="M151" s="5" t="str">
        <f t="shared" si="5"/>
        <v>I</v>
      </c>
      <c r="N151" s="5">
        <f>IF(G151=[1]Clientes!$C$3,[1]Clientes!$D$3,[1]Clientes!$D$2)</f>
        <v>13050505</v>
      </c>
    </row>
    <row r="152" spans="1:14">
      <c r="A152" s="6" t="s">
        <v>7</v>
      </c>
      <c r="B152" s="7">
        <v>45516</v>
      </c>
      <c r="C152" s="6" t="s">
        <v>3283</v>
      </c>
      <c r="D152" s="6" t="s">
        <v>523</v>
      </c>
      <c r="E152" s="6" t="s">
        <v>16</v>
      </c>
      <c r="F152" s="7">
        <v>45546</v>
      </c>
      <c r="G152" s="6" t="s">
        <v>3102</v>
      </c>
      <c r="H152" s="8"/>
      <c r="I152" s="9">
        <v>600.20000000000005</v>
      </c>
      <c r="J152" s="9">
        <v>600.20000000000005</v>
      </c>
      <c r="K152" s="5" t="str">
        <f>VLOOKUP(D152,[1]Clientes!$A$1:$B$1370,2,0)</f>
        <v>NAC0537</v>
      </c>
      <c r="L152" s="5" t="str">
        <f t="shared" si="4"/>
        <v>HGI0126420</v>
      </c>
      <c r="M152" s="5" t="str">
        <f t="shared" si="5"/>
        <v>I</v>
      </c>
      <c r="N152" s="5">
        <f>IF(G152=[1]Clientes!$C$3,[1]Clientes!$D$3,[1]Clientes!$D$2)</f>
        <v>13050505</v>
      </c>
    </row>
    <row r="153" spans="1:14">
      <c r="A153" s="6" t="s">
        <v>7</v>
      </c>
      <c r="B153" s="7">
        <v>45516</v>
      </c>
      <c r="C153" s="6" t="s">
        <v>3284</v>
      </c>
      <c r="D153" s="6" t="s">
        <v>523</v>
      </c>
      <c r="E153" s="6" t="s">
        <v>16</v>
      </c>
      <c r="F153" s="7">
        <v>45546</v>
      </c>
      <c r="G153" s="6" t="s">
        <v>3102</v>
      </c>
      <c r="H153" s="8"/>
      <c r="I153" s="9">
        <v>582.55999999999995</v>
      </c>
      <c r="J153" s="9">
        <v>582.55999999999995</v>
      </c>
      <c r="K153" s="5" t="str">
        <f>VLOOKUP(D153,[1]Clientes!$A$1:$B$1370,2,0)</f>
        <v>NAC0537</v>
      </c>
      <c r="L153" s="5" t="str">
        <f t="shared" si="4"/>
        <v>HGI0126421</v>
      </c>
      <c r="M153" s="5" t="str">
        <f t="shared" si="5"/>
        <v>I</v>
      </c>
      <c r="N153" s="5">
        <f>IF(G153=[1]Clientes!$C$3,[1]Clientes!$D$3,[1]Clientes!$D$2)</f>
        <v>13050505</v>
      </c>
    </row>
    <row r="154" spans="1:14">
      <c r="A154" s="6" t="s">
        <v>7</v>
      </c>
      <c r="B154" s="7">
        <v>45516</v>
      </c>
      <c r="C154" s="6" t="s">
        <v>3285</v>
      </c>
      <c r="D154" s="6" t="s">
        <v>523</v>
      </c>
      <c r="E154" s="6" t="s">
        <v>16</v>
      </c>
      <c r="F154" s="7">
        <v>45546</v>
      </c>
      <c r="G154" s="6" t="s">
        <v>3102</v>
      </c>
      <c r="H154" s="8"/>
      <c r="I154" s="9">
        <v>600.20000000000005</v>
      </c>
      <c r="J154" s="9">
        <v>600.20000000000005</v>
      </c>
      <c r="K154" s="5" t="str">
        <f>VLOOKUP(D154,[1]Clientes!$A$1:$B$1370,2,0)</f>
        <v>NAC0537</v>
      </c>
      <c r="L154" s="5" t="str">
        <f t="shared" si="4"/>
        <v>HGI0126422</v>
      </c>
      <c r="M154" s="5" t="str">
        <f t="shared" si="5"/>
        <v>I</v>
      </c>
      <c r="N154" s="5">
        <f>IF(G154=[1]Clientes!$C$3,[1]Clientes!$D$3,[1]Clientes!$D$2)</f>
        <v>13050505</v>
      </c>
    </row>
    <row r="155" spans="1:14">
      <c r="A155" s="6" t="s">
        <v>7</v>
      </c>
      <c r="B155" s="7">
        <v>45516</v>
      </c>
      <c r="C155" s="6" t="s">
        <v>3286</v>
      </c>
      <c r="D155" s="6" t="s">
        <v>523</v>
      </c>
      <c r="E155" s="6" t="s">
        <v>16</v>
      </c>
      <c r="F155" s="7">
        <v>45546</v>
      </c>
      <c r="G155" s="6" t="s">
        <v>3102</v>
      </c>
      <c r="H155" s="8"/>
      <c r="I155" s="9">
        <v>582.55999999999995</v>
      </c>
      <c r="J155" s="9">
        <v>582.55999999999995</v>
      </c>
      <c r="K155" s="5" t="str">
        <f>VLOOKUP(D155,[1]Clientes!$A$1:$B$1370,2,0)</f>
        <v>NAC0537</v>
      </c>
      <c r="L155" s="5" t="str">
        <f t="shared" si="4"/>
        <v>HGI0126423</v>
      </c>
      <c r="M155" s="5" t="str">
        <f t="shared" si="5"/>
        <v>I</v>
      </c>
      <c r="N155" s="5">
        <f>IF(G155=[1]Clientes!$C$3,[1]Clientes!$D$3,[1]Clientes!$D$2)</f>
        <v>13050505</v>
      </c>
    </row>
    <row r="156" spans="1:14">
      <c r="A156" s="6" t="s">
        <v>7</v>
      </c>
      <c r="B156" s="7">
        <v>45516</v>
      </c>
      <c r="C156" s="6" t="s">
        <v>3287</v>
      </c>
      <c r="D156" s="6" t="s">
        <v>523</v>
      </c>
      <c r="E156" s="6" t="s">
        <v>16</v>
      </c>
      <c r="F156" s="7">
        <v>45546</v>
      </c>
      <c r="G156" s="6" t="s">
        <v>3102</v>
      </c>
      <c r="H156" s="8"/>
      <c r="I156" s="9">
        <v>582.55999999999995</v>
      </c>
      <c r="J156" s="9">
        <v>582.55999999999995</v>
      </c>
      <c r="K156" s="5" t="str">
        <f>VLOOKUP(D156,[1]Clientes!$A$1:$B$1370,2,0)</f>
        <v>NAC0537</v>
      </c>
      <c r="L156" s="5" t="str">
        <f t="shared" si="4"/>
        <v>HGI0126424</v>
      </c>
      <c r="M156" s="5" t="str">
        <f t="shared" si="5"/>
        <v>I</v>
      </c>
      <c r="N156" s="5">
        <f>IF(G156=[1]Clientes!$C$3,[1]Clientes!$D$3,[1]Clientes!$D$2)</f>
        <v>13050505</v>
      </c>
    </row>
    <row r="157" spans="1:14">
      <c r="A157" s="6" t="s">
        <v>7</v>
      </c>
      <c r="B157" s="7">
        <v>45516</v>
      </c>
      <c r="C157" s="6" t="s">
        <v>3288</v>
      </c>
      <c r="D157" s="6" t="s">
        <v>523</v>
      </c>
      <c r="E157" s="6" t="s">
        <v>16</v>
      </c>
      <c r="F157" s="7">
        <v>45546</v>
      </c>
      <c r="G157" s="6" t="s">
        <v>3102</v>
      </c>
      <c r="H157" s="8"/>
      <c r="I157" s="9">
        <v>582.55999999999995</v>
      </c>
      <c r="J157" s="9">
        <v>582.55999999999995</v>
      </c>
      <c r="K157" s="5" t="str">
        <f>VLOOKUP(D157,[1]Clientes!$A$1:$B$1370,2,0)</f>
        <v>NAC0537</v>
      </c>
      <c r="L157" s="5" t="str">
        <f t="shared" si="4"/>
        <v>HGI0126425</v>
      </c>
      <c r="M157" s="5" t="str">
        <f t="shared" si="5"/>
        <v>I</v>
      </c>
      <c r="N157" s="5">
        <f>IF(G157=[1]Clientes!$C$3,[1]Clientes!$D$3,[1]Clientes!$D$2)</f>
        <v>13050505</v>
      </c>
    </row>
    <row r="158" spans="1:14">
      <c r="A158" s="6" t="s">
        <v>7</v>
      </c>
      <c r="B158" s="7">
        <v>45516</v>
      </c>
      <c r="C158" s="6" t="s">
        <v>3289</v>
      </c>
      <c r="D158" s="6" t="s">
        <v>523</v>
      </c>
      <c r="E158" s="6" t="s">
        <v>16</v>
      </c>
      <c r="F158" s="7">
        <v>45546</v>
      </c>
      <c r="G158" s="6" t="s">
        <v>3102</v>
      </c>
      <c r="H158" s="8"/>
      <c r="I158" s="9">
        <v>582.55999999999995</v>
      </c>
      <c r="J158" s="9">
        <v>582.55999999999995</v>
      </c>
      <c r="K158" s="5" t="str">
        <f>VLOOKUP(D158,[1]Clientes!$A$1:$B$1370,2,0)</f>
        <v>NAC0537</v>
      </c>
      <c r="L158" s="5" t="str">
        <f t="shared" si="4"/>
        <v>HGI0126426</v>
      </c>
      <c r="M158" s="5" t="str">
        <f t="shared" si="5"/>
        <v>I</v>
      </c>
      <c r="N158" s="5">
        <f>IF(G158=[1]Clientes!$C$3,[1]Clientes!$D$3,[1]Clientes!$D$2)</f>
        <v>13050505</v>
      </c>
    </row>
    <row r="159" spans="1:14">
      <c r="A159" s="6" t="s">
        <v>7</v>
      </c>
      <c r="B159" s="7">
        <v>45516</v>
      </c>
      <c r="C159" s="6" t="s">
        <v>3290</v>
      </c>
      <c r="D159" s="6" t="s">
        <v>523</v>
      </c>
      <c r="E159" s="6" t="s">
        <v>16</v>
      </c>
      <c r="F159" s="7">
        <v>45546</v>
      </c>
      <c r="G159" s="6" t="s">
        <v>3102</v>
      </c>
      <c r="H159" s="8"/>
      <c r="I159" s="9">
        <v>582.55999999999995</v>
      </c>
      <c r="J159" s="9">
        <v>582.55999999999995</v>
      </c>
      <c r="K159" s="5" t="str">
        <f>VLOOKUP(D159,[1]Clientes!$A$1:$B$1370,2,0)</f>
        <v>NAC0537</v>
      </c>
      <c r="L159" s="5" t="str">
        <f t="shared" si="4"/>
        <v>HGI0126427</v>
      </c>
      <c r="M159" s="5" t="str">
        <f t="shared" si="5"/>
        <v>I</v>
      </c>
      <c r="N159" s="5">
        <f>IF(G159=[1]Clientes!$C$3,[1]Clientes!$D$3,[1]Clientes!$D$2)</f>
        <v>13050505</v>
      </c>
    </row>
    <row r="160" spans="1:14">
      <c r="A160" s="6" t="s">
        <v>7</v>
      </c>
      <c r="B160" s="7">
        <v>45516</v>
      </c>
      <c r="C160" s="6" t="s">
        <v>3291</v>
      </c>
      <c r="D160" s="6" t="s">
        <v>523</v>
      </c>
      <c r="E160" s="6" t="s">
        <v>16</v>
      </c>
      <c r="F160" s="7">
        <v>45546</v>
      </c>
      <c r="G160" s="6" t="s">
        <v>3102</v>
      </c>
      <c r="H160" s="8"/>
      <c r="I160" s="9">
        <v>556.97</v>
      </c>
      <c r="J160" s="9">
        <v>556.97</v>
      </c>
      <c r="K160" s="5" t="str">
        <f>VLOOKUP(D160,[1]Clientes!$A$1:$B$1370,2,0)</f>
        <v>NAC0537</v>
      </c>
      <c r="L160" s="5" t="str">
        <f t="shared" si="4"/>
        <v>HGI0126428</v>
      </c>
      <c r="M160" s="5" t="str">
        <f t="shared" si="5"/>
        <v>I</v>
      </c>
      <c r="N160" s="5">
        <f>IF(G160=[1]Clientes!$C$3,[1]Clientes!$D$3,[1]Clientes!$D$2)</f>
        <v>13050505</v>
      </c>
    </row>
    <row r="161" spans="1:14">
      <c r="A161" s="6" t="s">
        <v>7</v>
      </c>
      <c r="B161" s="7">
        <v>45516</v>
      </c>
      <c r="C161" s="6" t="s">
        <v>3292</v>
      </c>
      <c r="D161" s="6" t="s">
        <v>523</v>
      </c>
      <c r="E161" s="6" t="s">
        <v>16</v>
      </c>
      <c r="F161" s="7">
        <v>45546</v>
      </c>
      <c r="G161" s="6" t="s">
        <v>3102</v>
      </c>
      <c r="H161" s="8"/>
      <c r="I161" s="9">
        <v>534.9</v>
      </c>
      <c r="J161" s="9">
        <v>534.9</v>
      </c>
      <c r="K161" s="5" t="str">
        <f>VLOOKUP(D161,[1]Clientes!$A$1:$B$1370,2,0)</f>
        <v>NAC0537</v>
      </c>
      <c r="L161" s="5" t="str">
        <f t="shared" si="4"/>
        <v>HGI0126429</v>
      </c>
      <c r="M161" s="5" t="str">
        <f t="shared" si="5"/>
        <v>I</v>
      </c>
      <c r="N161" s="5">
        <f>IF(G161=[1]Clientes!$C$3,[1]Clientes!$D$3,[1]Clientes!$D$2)</f>
        <v>13050505</v>
      </c>
    </row>
    <row r="162" spans="1:14">
      <c r="A162" s="6" t="s">
        <v>7</v>
      </c>
      <c r="B162" s="7">
        <v>45516</v>
      </c>
      <c r="C162" s="6" t="s">
        <v>3293</v>
      </c>
      <c r="D162" s="6" t="s">
        <v>523</v>
      </c>
      <c r="E162" s="6" t="s">
        <v>16</v>
      </c>
      <c r="F162" s="7">
        <v>45546</v>
      </c>
      <c r="G162" s="6" t="s">
        <v>3102</v>
      </c>
      <c r="H162" s="8"/>
      <c r="I162" s="9">
        <v>534.9</v>
      </c>
      <c r="J162" s="9">
        <v>534.9</v>
      </c>
      <c r="K162" s="5" t="str">
        <f>VLOOKUP(D162,[1]Clientes!$A$1:$B$1370,2,0)</f>
        <v>NAC0537</v>
      </c>
      <c r="L162" s="5" t="str">
        <f t="shared" si="4"/>
        <v>HGI0126430</v>
      </c>
      <c r="M162" s="5" t="str">
        <f t="shared" si="5"/>
        <v>I</v>
      </c>
      <c r="N162" s="5">
        <f>IF(G162=[1]Clientes!$C$3,[1]Clientes!$D$3,[1]Clientes!$D$2)</f>
        <v>13050505</v>
      </c>
    </row>
    <row r="163" spans="1:14">
      <c r="A163" s="6" t="s">
        <v>7</v>
      </c>
      <c r="B163" s="7">
        <v>45516</v>
      </c>
      <c r="C163" s="6" t="s">
        <v>3294</v>
      </c>
      <c r="D163" s="6" t="s">
        <v>523</v>
      </c>
      <c r="E163" s="6" t="s">
        <v>16</v>
      </c>
      <c r="F163" s="7">
        <v>45546</v>
      </c>
      <c r="G163" s="6" t="s">
        <v>3102</v>
      </c>
      <c r="H163" s="8"/>
      <c r="I163" s="9">
        <v>534.9</v>
      </c>
      <c r="J163" s="9">
        <v>534.9</v>
      </c>
      <c r="K163" s="5" t="str">
        <f>VLOOKUP(D163,[1]Clientes!$A$1:$B$1370,2,0)</f>
        <v>NAC0537</v>
      </c>
      <c r="L163" s="5" t="str">
        <f t="shared" si="4"/>
        <v>HGI0126834</v>
      </c>
      <c r="M163" s="5" t="str">
        <f t="shared" si="5"/>
        <v>I</v>
      </c>
      <c r="N163" s="5">
        <f>IF(G163=[1]Clientes!$C$3,[1]Clientes!$D$3,[1]Clientes!$D$2)</f>
        <v>13050505</v>
      </c>
    </row>
    <row r="164" spans="1:14">
      <c r="A164" s="6" t="s">
        <v>7</v>
      </c>
      <c r="B164" s="7">
        <v>45516</v>
      </c>
      <c r="C164" s="6" t="s">
        <v>3295</v>
      </c>
      <c r="D164" s="6" t="s">
        <v>523</v>
      </c>
      <c r="E164" s="6" t="s">
        <v>16</v>
      </c>
      <c r="F164" s="7">
        <v>45546</v>
      </c>
      <c r="G164" s="6" t="s">
        <v>3102</v>
      </c>
      <c r="H164" s="8"/>
      <c r="I164" s="9">
        <v>534.9</v>
      </c>
      <c r="J164" s="9">
        <v>534.9</v>
      </c>
      <c r="K164" s="5" t="str">
        <f>VLOOKUP(D164,[1]Clientes!$A$1:$B$1370,2,0)</f>
        <v>NAC0537</v>
      </c>
      <c r="L164" s="5" t="str">
        <f t="shared" si="4"/>
        <v>HGI0126835</v>
      </c>
      <c r="M164" s="5" t="str">
        <f t="shared" si="5"/>
        <v>I</v>
      </c>
      <c r="N164" s="5">
        <f>IF(G164=[1]Clientes!$C$3,[1]Clientes!$D$3,[1]Clientes!$D$2)</f>
        <v>13050505</v>
      </c>
    </row>
    <row r="165" spans="1:14">
      <c r="A165" s="6" t="s">
        <v>7</v>
      </c>
      <c r="B165" s="7">
        <v>45516</v>
      </c>
      <c r="C165" s="6" t="s">
        <v>3296</v>
      </c>
      <c r="D165" s="6" t="s">
        <v>523</v>
      </c>
      <c r="E165" s="6" t="s">
        <v>16</v>
      </c>
      <c r="F165" s="7">
        <v>45546</v>
      </c>
      <c r="G165" s="6" t="s">
        <v>3102</v>
      </c>
      <c r="H165" s="8"/>
      <c r="I165" s="9">
        <v>534.9</v>
      </c>
      <c r="J165" s="9">
        <v>534.9</v>
      </c>
      <c r="K165" s="5" t="str">
        <f>VLOOKUP(D165,[1]Clientes!$A$1:$B$1370,2,0)</f>
        <v>NAC0537</v>
      </c>
      <c r="L165" s="5" t="str">
        <f t="shared" si="4"/>
        <v>HGI0126836</v>
      </c>
      <c r="M165" s="5" t="str">
        <f t="shared" si="5"/>
        <v>I</v>
      </c>
      <c r="N165" s="5">
        <f>IF(G165=[1]Clientes!$C$3,[1]Clientes!$D$3,[1]Clientes!$D$2)</f>
        <v>13050505</v>
      </c>
    </row>
    <row r="166" spans="1:14">
      <c r="A166" s="6" t="s">
        <v>7</v>
      </c>
      <c r="B166" s="7">
        <v>45516</v>
      </c>
      <c r="C166" s="6" t="s">
        <v>3297</v>
      </c>
      <c r="D166" s="6" t="s">
        <v>523</v>
      </c>
      <c r="E166" s="6" t="s">
        <v>16</v>
      </c>
      <c r="F166" s="7">
        <v>45546</v>
      </c>
      <c r="G166" s="6" t="s">
        <v>3102</v>
      </c>
      <c r="H166" s="8"/>
      <c r="I166" s="9">
        <v>534.9</v>
      </c>
      <c r="J166" s="9">
        <v>534.9</v>
      </c>
      <c r="K166" s="5" t="str">
        <f>VLOOKUP(D166,[1]Clientes!$A$1:$B$1370,2,0)</f>
        <v>NAC0537</v>
      </c>
      <c r="L166" s="5" t="str">
        <f t="shared" si="4"/>
        <v>HGI0126837</v>
      </c>
      <c r="M166" s="5" t="str">
        <f t="shared" si="5"/>
        <v>I</v>
      </c>
      <c r="N166" s="5">
        <f>IF(G166=[1]Clientes!$C$3,[1]Clientes!$D$3,[1]Clientes!$D$2)</f>
        <v>13050505</v>
      </c>
    </row>
    <row r="167" spans="1:14">
      <c r="A167" s="6" t="s">
        <v>7</v>
      </c>
      <c r="B167" s="7">
        <v>45516</v>
      </c>
      <c r="C167" s="6" t="s">
        <v>3298</v>
      </c>
      <c r="D167" s="6" t="s">
        <v>523</v>
      </c>
      <c r="E167" s="6" t="s">
        <v>16</v>
      </c>
      <c r="F167" s="7">
        <v>45546</v>
      </c>
      <c r="G167" s="6" t="s">
        <v>3102</v>
      </c>
      <c r="H167" s="8"/>
      <c r="I167" s="9">
        <v>534.9</v>
      </c>
      <c r="J167" s="9">
        <v>534.9</v>
      </c>
      <c r="K167" s="5" t="str">
        <f>VLOOKUP(D167,[1]Clientes!$A$1:$B$1370,2,0)</f>
        <v>NAC0537</v>
      </c>
      <c r="L167" s="5" t="str">
        <f t="shared" si="4"/>
        <v>HGI0126838</v>
      </c>
      <c r="M167" s="5" t="str">
        <f t="shared" si="5"/>
        <v>I</v>
      </c>
      <c r="N167" s="5">
        <f>IF(G167=[1]Clientes!$C$3,[1]Clientes!$D$3,[1]Clientes!$D$2)</f>
        <v>13050505</v>
      </c>
    </row>
    <row r="168" spans="1:14">
      <c r="A168" s="6" t="s">
        <v>7</v>
      </c>
      <c r="B168" s="7">
        <v>45516</v>
      </c>
      <c r="C168" s="6" t="s">
        <v>3299</v>
      </c>
      <c r="D168" s="6" t="s">
        <v>523</v>
      </c>
      <c r="E168" s="6" t="s">
        <v>16</v>
      </c>
      <c r="F168" s="7">
        <v>45546</v>
      </c>
      <c r="G168" s="6" t="s">
        <v>3102</v>
      </c>
      <c r="H168" s="8"/>
      <c r="I168" s="9">
        <v>534.9</v>
      </c>
      <c r="J168" s="9">
        <v>534.9</v>
      </c>
      <c r="K168" s="5" t="str">
        <f>VLOOKUP(D168,[1]Clientes!$A$1:$B$1370,2,0)</f>
        <v>NAC0537</v>
      </c>
      <c r="L168" s="5" t="str">
        <f t="shared" si="4"/>
        <v>HGI0126839</v>
      </c>
      <c r="M168" s="5" t="str">
        <f t="shared" si="5"/>
        <v>I</v>
      </c>
      <c r="N168" s="5">
        <f>IF(G168=[1]Clientes!$C$3,[1]Clientes!$D$3,[1]Clientes!$D$2)</f>
        <v>13050505</v>
      </c>
    </row>
    <row r="169" spans="1:14">
      <c r="A169" s="6" t="s">
        <v>7</v>
      </c>
      <c r="B169" s="7">
        <v>45516</v>
      </c>
      <c r="C169" s="6" t="s">
        <v>3300</v>
      </c>
      <c r="D169" s="6" t="s">
        <v>523</v>
      </c>
      <c r="E169" s="6" t="s">
        <v>16</v>
      </c>
      <c r="F169" s="7">
        <v>45546</v>
      </c>
      <c r="G169" s="6" t="s">
        <v>3102</v>
      </c>
      <c r="H169" s="8"/>
      <c r="I169" s="9">
        <v>534.9</v>
      </c>
      <c r="J169" s="9">
        <v>534.9</v>
      </c>
      <c r="K169" s="5" t="str">
        <f>VLOOKUP(D169,[1]Clientes!$A$1:$B$1370,2,0)</f>
        <v>NAC0537</v>
      </c>
      <c r="L169" s="5" t="str">
        <f t="shared" si="4"/>
        <v>HGI0126840</v>
      </c>
      <c r="M169" s="5" t="str">
        <f t="shared" si="5"/>
        <v>I</v>
      </c>
      <c r="N169" s="5">
        <f>IF(G169=[1]Clientes!$C$3,[1]Clientes!$D$3,[1]Clientes!$D$2)</f>
        <v>13050505</v>
      </c>
    </row>
    <row r="170" spans="1:14">
      <c r="A170" s="6" t="s">
        <v>7</v>
      </c>
      <c r="B170" s="7">
        <v>45516</v>
      </c>
      <c r="C170" s="6" t="s">
        <v>3301</v>
      </c>
      <c r="D170" s="6" t="s">
        <v>523</v>
      </c>
      <c r="E170" s="6" t="s">
        <v>16</v>
      </c>
      <c r="F170" s="7">
        <v>45546</v>
      </c>
      <c r="G170" s="6" t="s">
        <v>3102</v>
      </c>
      <c r="H170" s="8"/>
      <c r="I170" s="9">
        <v>594.75</v>
      </c>
      <c r="J170" s="9">
        <v>594.75</v>
      </c>
      <c r="K170" s="5" t="str">
        <f>VLOOKUP(D170,[1]Clientes!$A$1:$B$1370,2,0)</f>
        <v>NAC0537</v>
      </c>
      <c r="L170" s="5" t="str">
        <f t="shared" si="4"/>
        <v>HGI0126841</v>
      </c>
      <c r="M170" s="5" t="str">
        <f t="shared" si="5"/>
        <v>I</v>
      </c>
      <c r="N170" s="5">
        <f>IF(G170=[1]Clientes!$C$3,[1]Clientes!$D$3,[1]Clientes!$D$2)</f>
        <v>13050505</v>
      </c>
    </row>
    <row r="171" spans="1:14">
      <c r="A171" s="6" t="s">
        <v>7</v>
      </c>
      <c r="B171" s="7">
        <v>45516</v>
      </c>
      <c r="C171" s="6" t="s">
        <v>3302</v>
      </c>
      <c r="D171" s="6" t="s">
        <v>523</v>
      </c>
      <c r="E171" s="6" t="s">
        <v>16</v>
      </c>
      <c r="F171" s="7">
        <v>45546</v>
      </c>
      <c r="G171" s="6" t="s">
        <v>3102</v>
      </c>
      <c r="H171" s="8"/>
      <c r="I171" s="9">
        <v>594.75</v>
      </c>
      <c r="J171" s="9">
        <v>594.75</v>
      </c>
      <c r="K171" s="5" t="str">
        <f>VLOOKUP(D171,[1]Clientes!$A$1:$B$1370,2,0)</f>
        <v>NAC0537</v>
      </c>
      <c r="L171" s="5" t="str">
        <f t="shared" si="4"/>
        <v>HGI0126842</v>
      </c>
      <c r="M171" s="5" t="str">
        <f t="shared" si="5"/>
        <v>I</v>
      </c>
      <c r="N171" s="5">
        <f>IF(G171=[1]Clientes!$C$3,[1]Clientes!$D$3,[1]Clientes!$D$2)</f>
        <v>13050505</v>
      </c>
    </row>
    <row r="172" spans="1:14">
      <c r="A172" s="6" t="s">
        <v>7</v>
      </c>
      <c r="B172" s="7">
        <v>45523</v>
      </c>
      <c r="C172" s="6" t="s">
        <v>3303</v>
      </c>
      <c r="D172" s="6" t="s">
        <v>534</v>
      </c>
      <c r="E172" s="6" t="s">
        <v>16</v>
      </c>
      <c r="F172" s="7">
        <v>45553</v>
      </c>
      <c r="G172" s="6" t="s">
        <v>3102</v>
      </c>
      <c r="H172" s="8"/>
      <c r="I172" s="9">
        <v>78</v>
      </c>
      <c r="J172" s="9">
        <v>78</v>
      </c>
      <c r="K172" s="5" t="str">
        <f>VLOOKUP(D172,[1]Clientes!$A$1:$B$1370,2,0)</f>
        <v>NAC0544</v>
      </c>
      <c r="L172" s="5" t="str">
        <f t="shared" si="4"/>
        <v>HGI0126635</v>
      </c>
      <c r="M172" s="5" t="str">
        <f t="shared" si="5"/>
        <v>I</v>
      </c>
      <c r="N172" s="5">
        <f>IF(G172=[1]Clientes!$C$3,[1]Clientes!$D$3,[1]Clientes!$D$2)</f>
        <v>13050505</v>
      </c>
    </row>
    <row r="173" spans="1:14">
      <c r="A173" s="6" t="s">
        <v>7</v>
      </c>
      <c r="B173" s="7">
        <v>45524</v>
      </c>
      <c r="C173" s="6" t="s">
        <v>3304</v>
      </c>
      <c r="D173" s="6" t="s">
        <v>534</v>
      </c>
      <c r="E173" s="6" t="s">
        <v>16</v>
      </c>
      <c r="F173" s="7">
        <v>45554</v>
      </c>
      <c r="G173" s="6" t="s">
        <v>3102</v>
      </c>
      <c r="H173" s="8"/>
      <c r="I173" s="9">
        <v>978.05</v>
      </c>
      <c r="J173" s="9">
        <v>978.05</v>
      </c>
      <c r="K173" s="5" t="str">
        <f>VLOOKUP(D173,[1]Clientes!$A$1:$B$1370,2,0)</f>
        <v>NAC0544</v>
      </c>
      <c r="L173" s="5" t="str">
        <f t="shared" si="4"/>
        <v>HGI0126695</v>
      </c>
      <c r="M173" s="5" t="str">
        <f t="shared" si="5"/>
        <v>I</v>
      </c>
      <c r="N173" s="5">
        <f>IF(G173=[1]Clientes!$C$3,[1]Clientes!$D$3,[1]Clientes!$D$2)</f>
        <v>13050505</v>
      </c>
    </row>
    <row r="174" spans="1:14">
      <c r="A174" s="6" t="s">
        <v>7</v>
      </c>
      <c r="B174" s="7">
        <v>45524</v>
      </c>
      <c r="C174" s="6" t="s">
        <v>3305</v>
      </c>
      <c r="D174" s="6" t="s">
        <v>534</v>
      </c>
      <c r="E174" s="6" t="s">
        <v>16</v>
      </c>
      <c r="F174" s="7">
        <v>45554</v>
      </c>
      <c r="G174" s="6" t="s">
        <v>3102</v>
      </c>
      <c r="H174" s="8"/>
      <c r="I174" s="9">
        <v>91</v>
      </c>
      <c r="J174" s="9">
        <v>91</v>
      </c>
      <c r="K174" s="5" t="str">
        <f>VLOOKUP(D174,[1]Clientes!$A$1:$B$1370,2,0)</f>
        <v>NAC0544</v>
      </c>
      <c r="L174" s="5" t="str">
        <f t="shared" si="4"/>
        <v>HGI0126698</v>
      </c>
      <c r="M174" s="5" t="str">
        <f t="shared" si="5"/>
        <v>I</v>
      </c>
      <c r="N174" s="5">
        <f>IF(G174=[1]Clientes!$C$3,[1]Clientes!$D$3,[1]Clientes!$D$2)</f>
        <v>13050505</v>
      </c>
    </row>
    <row r="175" spans="1:14">
      <c r="A175" s="6" t="s">
        <v>7</v>
      </c>
      <c r="B175" s="7">
        <v>45510</v>
      </c>
      <c r="C175" s="6" t="s">
        <v>3306</v>
      </c>
      <c r="D175" s="6" t="s">
        <v>542</v>
      </c>
      <c r="E175" s="6" t="s">
        <v>16</v>
      </c>
      <c r="F175" s="7">
        <v>45540</v>
      </c>
      <c r="G175" s="6" t="s">
        <v>3102</v>
      </c>
      <c r="H175" s="8"/>
      <c r="I175" s="9">
        <v>70503.75</v>
      </c>
      <c r="J175" s="9">
        <v>70503.75</v>
      </c>
      <c r="K175" s="5" t="str">
        <f>VLOOKUP(D175,[1]Clientes!$A$1:$B$1370,2,0)</f>
        <v>NAC0550</v>
      </c>
      <c r="L175" s="5" t="str">
        <f t="shared" si="4"/>
        <v>HGI0126243</v>
      </c>
      <c r="M175" s="5" t="str">
        <f t="shared" si="5"/>
        <v>I</v>
      </c>
      <c r="N175" s="5">
        <f>IF(G175=[1]Clientes!$C$3,[1]Clientes!$D$3,[1]Clientes!$D$2)</f>
        <v>13050505</v>
      </c>
    </row>
    <row r="176" spans="1:14">
      <c r="A176" s="6" t="s">
        <v>7</v>
      </c>
      <c r="B176" s="7">
        <v>45527</v>
      </c>
      <c r="C176" s="6" t="s">
        <v>3307</v>
      </c>
      <c r="D176" s="6" t="s">
        <v>542</v>
      </c>
      <c r="E176" s="6" t="s">
        <v>16</v>
      </c>
      <c r="F176" s="7">
        <v>45557</v>
      </c>
      <c r="G176" s="6" t="s">
        <v>3102</v>
      </c>
      <c r="H176" s="8"/>
      <c r="I176" s="9">
        <v>3290</v>
      </c>
      <c r="J176" s="9">
        <v>3290</v>
      </c>
      <c r="K176" s="5" t="str">
        <f>VLOOKUP(D176,[1]Clientes!$A$1:$B$1370,2,0)</f>
        <v>NAC0550</v>
      </c>
      <c r="L176" s="5" t="str">
        <f t="shared" si="4"/>
        <v>HGI0126817</v>
      </c>
      <c r="M176" s="5" t="str">
        <f t="shared" si="5"/>
        <v>I</v>
      </c>
      <c r="N176" s="5">
        <f>IF(G176=[1]Clientes!$C$3,[1]Clientes!$D$3,[1]Clientes!$D$2)</f>
        <v>13050505</v>
      </c>
    </row>
    <row r="177" spans="1:14">
      <c r="A177" s="6" t="s">
        <v>3099</v>
      </c>
      <c r="B177" s="7">
        <v>45382</v>
      </c>
      <c r="C177" s="6" t="s">
        <v>3308</v>
      </c>
      <c r="D177" s="6" t="s">
        <v>548</v>
      </c>
      <c r="E177" s="6" t="s">
        <v>16</v>
      </c>
      <c r="F177" s="7">
        <v>45412</v>
      </c>
      <c r="G177" s="6" t="s">
        <v>3102</v>
      </c>
      <c r="H177" s="8">
        <v>123</v>
      </c>
      <c r="I177" s="9">
        <v>-4020</v>
      </c>
      <c r="J177" s="9">
        <v>-4020</v>
      </c>
      <c r="K177" s="5" t="str">
        <f>VLOOKUP(D177,[1]Clientes!$A$1:$B$1370,2,0)</f>
        <v>NAC0556</v>
      </c>
      <c r="L177" s="5" t="str">
        <f t="shared" si="4"/>
        <v>CRM0122483</v>
      </c>
      <c r="M177" s="5" t="str">
        <f t="shared" si="5"/>
        <v>C</v>
      </c>
      <c r="N177" s="5">
        <f>IF(G177=[1]Clientes!$C$3,[1]Clientes!$D$3,[1]Clientes!$D$2)</f>
        <v>13050505</v>
      </c>
    </row>
    <row r="178" spans="1:14">
      <c r="A178" s="6" t="s">
        <v>7</v>
      </c>
      <c r="B178" s="7">
        <v>45503</v>
      </c>
      <c r="C178" s="6" t="s">
        <v>3309</v>
      </c>
      <c r="D178" s="6" t="s">
        <v>548</v>
      </c>
      <c r="E178" s="6" t="s">
        <v>16</v>
      </c>
      <c r="F178" s="7">
        <v>45533</v>
      </c>
      <c r="G178" s="6" t="s">
        <v>3102</v>
      </c>
      <c r="H178" s="8">
        <v>2</v>
      </c>
      <c r="I178" s="9">
        <v>22221.5</v>
      </c>
      <c r="J178" s="9">
        <v>22221.5</v>
      </c>
      <c r="K178" s="5" t="str">
        <f>VLOOKUP(D178,[1]Clientes!$A$1:$B$1370,2,0)</f>
        <v>NAC0556</v>
      </c>
      <c r="L178" s="5" t="str">
        <f t="shared" si="4"/>
        <v>HGI0126064</v>
      </c>
      <c r="M178" s="5" t="str">
        <f t="shared" si="5"/>
        <v>I</v>
      </c>
      <c r="N178" s="5">
        <f>IF(G178=[1]Clientes!$C$3,[1]Clientes!$D$3,[1]Clientes!$D$2)</f>
        <v>13050505</v>
      </c>
    </row>
    <row r="179" spans="1:14">
      <c r="A179" s="6" t="s">
        <v>7</v>
      </c>
      <c r="B179" s="7">
        <v>45504</v>
      </c>
      <c r="C179" s="6" t="s">
        <v>3310</v>
      </c>
      <c r="D179" s="6" t="s">
        <v>548</v>
      </c>
      <c r="E179" s="6" t="s">
        <v>16</v>
      </c>
      <c r="F179" s="7">
        <v>45534</v>
      </c>
      <c r="G179" s="6" t="s">
        <v>3102</v>
      </c>
      <c r="H179" s="8">
        <v>1</v>
      </c>
      <c r="I179" s="9">
        <v>15120</v>
      </c>
      <c r="J179" s="9">
        <v>15120</v>
      </c>
      <c r="K179" s="5" t="str">
        <f>VLOOKUP(D179,[1]Clientes!$A$1:$B$1370,2,0)</f>
        <v>NAC0556</v>
      </c>
      <c r="L179" s="5" t="str">
        <f t="shared" si="4"/>
        <v>HGI0126116</v>
      </c>
      <c r="M179" s="5" t="str">
        <f t="shared" si="5"/>
        <v>I</v>
      </c>
      <c r="N179" s="5">
        <f>IF(G179=[1]Clientes!$C$3,[1]Clientes!$D$3,[1]Clientes!$D$2)</f>
        <v>13050505</v>
      </c>
    </row>
    <row r="180" spans="1:14">
      <c r="A180" s="6" t="s">
        <v>7</v>
      </c>
      <c r="B180" s="7">
        <v>45504</v>
      </c>
      <c r="C180" s="6" t="s">
        <v>3311</v>
      </c>
      <c r="D180" s="6" t="s">
        <v>548</v>
      </c>
      <c r="E180" s="6" t="s">
        <v>16</v>
      </c>
      <c r="F180" s="7">
        <v>45534</v>
      </c>
      <c r="G180" s="6" t="s">
        <v>3102</v>
      </c>
      <c r="H180" s="8">
        <v>1</v>
      </c>
      <c r="I180" s="9">
        <v>15120</v>
      </c>
      <c r="J180" s="9">
        <v>15120</v>
      </c>
      <c r="K180" s="5" t="str">
        <f>VLOOKUP(D180,[1]Clientes!$A$1:$B$1370,2,0)</f>
        <v>NAC0556</v>
      </c>
      <c r="L180" s="5" t="str">
        <f t="shared" si="4"/>
        <v>HGI0126117</v>
      </c>
      <c r="M180" s="5" t="str">
        <f t="shared" si="5"/>
        <v>I</v>
      </c>
      <c r="N180" s="5">
        <f>IF(G180=[1]Clientes!$C$3,[1]Clientes!$D$3,[1]Clientes!$D$2)</f>
        <v>13050505</v>
      </c>
    </row>
    <row r="181" spans="1:14">
      <c r="A181" s="6" t="s">
        <v>3099</v>
      </c>
      <c r="B181" s="7">
        <v>45512</v>
      </c>
      <c r="C181" s="6" t="s">
        <v>3312</v>
      </c>
      <c r="D181" s="6" t="s">
        <v>548</v>
      </c>
      <c r="E181" s="6" t="s">
        <v>16</v>
      </c>
      <c r="F181" s="7">
        <v>45542</v>
      </c>
      <c r="G181" s="6" t="s">
        <v>3102</v>
      </c>
      <c r="H181" s="8"/>
      <c r="I181" s="9">
        <v>-25.2</v>
      </c>
      <c r="J181" s="9">
        <v>-25.2</v>
      </c>
      <c r="K181" s="5" t="str">
        <f>VLOOKUP(D181,[1]Clientes!$A$1:$B$1370,2,0)</f>
        <v>NAC0556</v>
      </c>
      <c r="L181" s="5" t="str">
        <f t="shared" si="4"/>
        <v>CRM0126307</v>
      </c>
      <c r="M181" s="5" t="str">
        <f t="shared" si="5"/>
        <v>C</v>
      </c>
      <c r="N181" s="5">
        <f>IF(G181=[1]Clientes!$C$3,[1]Clientes!$D$3,[1]Clientes!$D$2)</f>
        <v>13050505</v>
      </c>
    </row>
    <row r="182" spans="1:14">
      <c r="A182" s="6" t="s">
        <v>7</v>
      </c>
      <c r="B182" s="7">
        <v>45512</v>
      </c>
      <c r="C182" s="6" t="s">
        <v>3313</v>
      </c>
      <c r="D182" s="6" t="s">
        <v>548</v>
      </c>
      <c r="E182" s="6" t="s">
        <v>16</v>
      </c>
      <c r="F182" s="7">
        <v>45542</v>
      </c>
      <c r="G182" s="6" t="s">
        <v>3102</v>
      </c>
      <c r="H182" s="8"/>
      <c r="I182" s="9">
        <v>15120</v>
      </c>
      <c r="J182" s="9">
        <v>15120</v>
      </c>
      <c r="K182" s="5" t="str">
        <f>VLOOKUP(D182,[1]Clientes!$A$1:$B$1370,2,0)</f>
        <v>NAC0556</v>
      </c>
      <c r="L182" s="5" t="str">
        <f t="shared" si="4"/>
        <v>HGI0126323</v>
      </c>
      <c r="M182" s="5" t="str">
        <f t="shared" si="5"/>
        <v>I</v>
      </c>
      <c r="N182" s="5">
        <f>IF(G182=[1]Clientes!$C$3,[1]Clientes!$D$3,[1]Clientes!$D$2)</f>
        <v>13050505</v>
      </c>
    </row>
    <row r="183" spans="1:14">
      <c r="A183" s="6" t="s">
        <v>7</v>
      </c>
      <c r="B183" s="7">
        <v>45512</v>
      </c>
      <c r="C183" s="6" t="s">
        <v>3314</v>
      </c>
      <c r="D183" s="6" t="s">
        <v>548</v>
      </c>
      <c r="E183" s="6" t="s">
        <v>16</v>
      </c>
      <c r="F183" s="7">
        <v>45542</v>
      </c>
      <c r="G183" s="6" t="s">
        <v>3102</v>
      </c>
      <c r="H183" s="8"/>
      <c r="I183" s="9">
        <v>15120</v>
      </c>
      <c r="J183" s="9">
        <v>15120</v>
      </c>
      <c r="K183" s="5" t="str">
        <f>VLOOKUP(D183,[1]Clientes!$A$1:$B$1370,2,0)</f>
        <v>NAC0556</v>
      </c>
      <c r="L183" s="5" t="str">
        <f t="shared" si="4"/>
        <v>HGI0126341</v>
      </c>
      <c r="M183" s="5" t="str">
        <f t="shared" si="5"/>
        <v>I</v>
      </c>
      <c r="N183" s="5">
        <f>IF(G183=[1]Clientes!$C$3,[1]Clientes!$D$3,[1]Clientes!$D$2)</f>
        <v>13050505</v>
      </c>
    </row>
    <row r="184" spans="1:14">
      <c r="A184" s="6" t="s">
        <v>7</v>
      </c>
      <c r="B184" s="7">
        <v>45513</v>
      </c>
      <c r="C184" s="6" t="s">
        <v>3315</v>
      </c>
      <c r="D184" s="6" t="s">
        <v>548</v>
      </c>
      <c r="E184" s="6" t="s">
        <v>16</v>
      </c>
      <c r="F184" s="7">
        <v>45543</v>
      </c>
      <c r="G184" s="6" t="s">
        <v>3102</v>
      </c>
      <c r="H184" s="8"/>
      <c r="I184" s="9">
        <v>15120</v>
      </c>
      <c r="J184" s="9">
        <v>15120</v>
      </c>
      <c r="K184" s="5" t="str">
        <f>VLOOKUP(D184,[1]Clientes!$A$1:$B$1370,2,0)</f>
        <v>NAC0556</v>
      </c>
      <c r="L184" s="5" t="str">
        <f t="shared" si="4"/>
        <v>HGI0126372</v>
      </c>
      <c r="M184" s="5" t="str">
        <f t="shared" si="5"/>
        <v>I</v>
      </c>
      <c r="N184" s="5">
        <f>IF(G184=[1]Clientes!$C$3,[1]Clientes!$D$3,[1]Clientes!$D$2)</f>
        <v>13050505</v>
      </c>
    </row>
    <row r="185" spans="1:14">
      <c r="A185" s="6" t="s">
        <v>7</v>
      </c>
      <c r="B185" s="7">
        <v>45516</v>
      </c>
      <c r="C185" s="6" t="s">
        <v>3316</v>
      </c>
      <c r="D185" s="6" t="s">
        <v>548</v>
      </c>
      <c r="E185" s="6" t="s">
        <v>16</v>
      </c>
      <c r="F185" s="7">
        <v>45546</v>
      </c>
      <c r="G185" s="6" t="s">
        <v>3102</v>
      </c>
      <c r="H185" s="8"/>
      <c r="I185" s="9">
        <v>15120</v>
      </c>
      <c r="J185" s="9">
        <v>15120</v>
      </c>
      <c r="K185" s="5" t="str">
        <f>VLOOKUP(D185,[1]Clientes!$A$1:$B$1370,2,0)</f>
        <v>NAC0556</v>
      </c>
      <c r="L185" s="5" t="str">
        <f t="shared" si="4"/>
        <v>HGI0126412</v>
      </c>
      <c r="M185" s="5" t="str">
        <f t="shared" si="5"/>
        <v>I</v>
      </c>
      <c r="N185" s="5">
        <f>IF(G185=[1]Clientes!$C$3,[1]Clientes!$D$3,[1]Clientes!$D$2)</f>
        <v>13050505</v>
      </c>
    </row>
    <row r="186" spans="1:14">
      <c r="A186" s="6" t="s">
        <v>7</v>
      </c>
      <c r="B186" s="7">
        <v>45463</v>
      </c>
      <c r="C186" s="6" t="s">
        <v>3317</v>
      </c>
      <c r="D186" s="6" t="s">
        <v>554</v>
      </c>
      <c r="E186" s="6" t="s">
        <v>382</v>
      </c>
      <c r="F186" s="7">
        <v>45523</v>
      </c>
      <c r="G186" s="6" t="s">
        <v>3102</v>
      </c>
      <c r="H186" s="8">
        <v>12</v>
      </c>
      <c r="I186" s="9">
        <v>1390</v>
      </c>
      <c r="J186" s="9">
        <v>1390</v>
      </c>
      <c r="K186" s="5" t="str">
        <f>VLOOKUP(D186,[1]Clientes!$A$1:$B$1370,2,0)</f>
        <v>NAC0558</v>
      </c>
      <c r="L186" s="5" t="str">
        <f t="shared" si="4"/>
        <v>HGI0125199</v>
      </c>
      <c r="M186" s="5" t="str">
        <f t="shared" si="5"/>
        <v>I</v>
      </c>
      <c r="N186" s="5">
        <f>IF(G186=[1]Clientes!$C$3,[1]Clientes!$D$3,[1]Clientes!$D$2)</f>
        <v>13050505</v>
      </c>
    </row>
    <row r="187" spans="1:14">
      <c r="A187" s="6" t="s">
        <v>7</v>
      </c>
      <c r="B187" s="7">
        <v>45463</v>
      </c>
      <c r="C187" s="6" t="s">
        <v>3318</v>
      </c>
      <c r="D187" s="6" t="s">
        <v>554</v>
      </c>
      <c r="E187" s="6" t="s">
        <v>382</v>
      </c>
      <c r="F187" s="7">
        <v>45523</v>
      </c>
      <c r="G187" s="6" t="s">
        <v>3102</v>
      </c>
      <c r="H187" s="8">
        <v>12</v>
      </c>
      <c r="I187" s="9">
        <v>720</v>
      </c>
      <c r="J187" s="9">
        <v>720</v>
      </c>
      <c r="K187" s="5" t="str">
        <f>VLOOKUP(D187,[1]Clientes!$A$1:$B$1370,2,0)</f>
        <v>NAC0558</v>
      </c>
      <c r="L187" s="5" t="str">
        <f t="shared" si="4"/>
        <v>HGI0125200</v>
      </c>
      <c r="M187" s="5" t="str">
        <f t="shared" si="5"/>
        <v>I</v>
      </c>
      <c r="N187" s="5">
        <f>IF(G187=[1]Clientes!$C$3,[1]Clientes!$D$3,[1]Clientes!$D$2)</f>
        <v>13050505</v>
      </c>
    </row>
    <row r="188" spans="1:14">
      <c r="A188" s="6" t="s">
        <v>7</v>
      </c>
      <c r="B188" s="7">
        <v>45493</v>
      </c>
      <c r="C188" s="6" t="s">
        <v>3319</v>
      </c>
      <c r="D188" s="6" t="s">
        <v>554</v>
      </c>
      <c r="E188" s="6" t="s">
        <v>382</v>
      </c>
      <c r="F188" s="7">
        <v>45553</v>
      </c>
      <c r="G188" s="6" t="s">
        <v>3102</v>
      </c>
      <c r="H188" s="8"/>
      <c r="I188" s="9">
        <v>123</v>
      </c>
      <c r="J188" s="9">
        <v>123</v>
      </c>
      <c r="K188" s="5" t="str">
        <f>VLOOKUP(D188,[1]Clientes!$A$1:$B$1370,2,0)</f>
        <v>NAC0558</v>
      </c>
      <c r="L188" s="5" t="str">
        <f t="shared" si="4"/>
        <v>HGI0125803</v>
      </c>
      <c r="M188" s="5" t="str">
        <f t="shared" si="5"/>
        <v>I</v>
      </c>
      <c r="N188" s="5">
        <f>IF(G188=[1]Clientes!$C$3,[1]Clientes!$D$3,[1]Clientes!$D$2)</f>
        <v>13050505</v>
      </c>
    </row>
    <row r="189" spans="1:14">
      <c r="A189" s="6" t="s">
        <v>7</v>
      </c>
      <c r="B189" s="7">
        <v>45493</v>
      </c>
      <c r="C189" s="6" t="s">
        <v>3320</v>
      </c>
      <c r="D189" s="6" t="s">
        <v>554</v>
      </c>
      <c r="E189" s="6" t="s">
        <v>382</v>
      </c>
      <c r="F189" s="7">
        <v>45553</v>
      </c>
      <c r="G189" s="6" t="s">
        <v>3102</v>
      </c>
      <c r="H189" s="8"/>
      <c r="I189" s="9">
        <v>123</v>
      </c>
      <c r="J189" s="9">
        <v>123</v>
      </c>
      <c r="K189" s="5" t="str">
        <f>VLOOKUP(D189,[1]Clientes!$A$1:$B$1370,2,0)</f>
        <v>NAC0558</v>
      </c>
      <c r="L189" s="5" t="str">
        <f t="shared" si="4"/>
        <v>HGI0125804</v>
      </c>
      <c r="M189" s="5" t="str">
        <f t="shared" si="5"/>
        <v>I</v>
      </c>
      <c r="N189" s="5">
        <f>IF(G189=[1]Clientes!$C$3,[1]Clientes!$D$3,[1]Clientes!$D$2)</f>
        <v>13050505</v>
      </c>
    </row>
    <row r="190" spans="1:14">
      <c r="A190" s="6" t="s">
        <v>7</v>
      </c>
      <c r="B190" s="7">
        <v>45493</v>
      </c>
      <c r="C190" s="6" t="s">
        <v>3321</v>
      </c>
      <c r="D190" s="6" t="s">
        <v>554</v>
      </c>
      <c r="E190" s="6" t="s">
        <v>382</v>
      </c>
      <c r="F190" s="7">
        <v>45553</v>
      </c>
      <c r="G190" s="6" t="s">
        <v>3102</v>
      </c>
      <c r="H190" s="8"/>
      <c r="I190" s="9">
        <v>123</v>
      </c>
      <c r="J190" s="9">
        <v>123</v>
      </c>
      <c r="K190" s="5" t="str">
        <f>VLOOKUP(D190,[1]Clientes!$A$1:$B$1370,2,0)</f>
        <v>NAC0558</v>
      </c>
      <c r="L190" s="5" t="str">
        <f t="shared" si="4"/>
        <v>HGI0125805</v>
      </c>
      <c r="M190" s="5" t="str">
        <f t="shared" si="5"/>
        <v>I</v>
      </c>
      <c r="N190" s="5">
        <f>IF(G190=[1]Clientes!$C$3,[1]Clientes!$D$3,[1]Clientes!$D$2)</f>
        <v>13050505</v>
      </c>
    </row>
    <row r="191" spans="1:14">
      <c r="A191" s="6" t="s">
        <v>7</v>
      </c>
      <c r="B191" s="7">
        <v>45493</v>
      </c>
      <c r="C191" s="6" t="s">
        <v>3322</v>
      </c>
      <c r="D191" s="6" t="s">
        <v>554</v>
      </c>
      <c r="E191" s="6" t="s">
        <v>382</v>
      </c>
      <c r="F191" s="7">
        <v>45553</v>
      </c>
      <c r="G191" s="6" t="s">
        <v>3102</v>
      </c>
      <c r="H191" s="8"/>
      <c r="I191" s="9">
        <v>123</v>
      </c>
      <c r="J191" s="9">
        <v>123</v>
      </c>
      <c r="K191" s="5" t="str">
        <f>VLOOKUP(D191,[1]Clientes!$A$1:$B$1370,2,0)</f>
        <v>NAC0558</v>
      </c>
      <c r="L191" s="5" t="str">
        <f t="shared" si="4"/>
        <v>HGI0125806</v>
      </c>
      <c r="M191" s="5" t="str">
        <f t="shared" si="5"/>
        <v>I</v>
      </c>
      <c r="N191" s="5">
        <f>IF(G191=[1]Clientes!$C$3,[1]Clientes!$D$3,[1]Clientes!$D$2)</f>
        <v>13050505</v>
      </c>
    </row>
    <row r="192" spans="1:14">
      <c r="A192" s="6" t="s">
        <v>7</v>
      </c>
      <c r="B192" s="7">
        <v>45503</v>
      </c>
      <c r="C192" s="6" t="s">
        <v>3323</v>
      </c>
      <c r="D192" s="6" t="s">
        <v>554</v>
      </c>
      <c r="E192" s="6" t="s">
        <v>382</v>
      </c>
      <c r="F192" s="7">
        <v>45563</v>
      </c>
      <c r="G192" s="6" t="s">
        <v>3102</v>
      </c>
      <c r="H192" s="8"/>
      <c r="I192" s="9">
        <v>2110</v>
      </c>
      <c r="J192" s="9">
        <v>2110</v>
      </c>
      <c r="K192" s="5" t="str">
        <f>VLOOKUP(D192,[1]Clientes!$A$1:$B$1370,2,0)</f>
        <v>NAC0558</v>
      </c>
      <c r="L192" s="5" t="str">
        <f t="shared" si="4"/>
        <v>HGI0126083</v>
      </c>
      <c r="M192" s="5" t="str">
        <f t="shared" si="5"/>
        <v>I</v>
      </c>
      <c r="N192" s="5">
        <f>IF(G192=[1]Clientes!$C$3,[1]Clientes!$D$3,[1]Clientes!$D$2)</f>
        <v>13050505</v>
      </c>
    </row>
    <row r="193" spans="1:14">
      <c r="A193" s="6" t="s">
        <v>7</v>
      </c>
      <c r="B193" s="7">
        <v>45512</v>
      </c>
      <c r="C193" s="6" t="s">
        <v>3324</v>
      </c>
      <c r="D193" s="6" t="s">
        <v>554</v>
      </c>
      <c r="E193" s="6" t="s">
        <v>382</v>
      </c>
      <c r="F193" s="7">
        <v>45572</v>
      </c>
      <c r="G193" s="6" t="s">
        <v>3102</v>
      </c>
      <c r="H193" s="8"/>
      <c r="I193" s="9">
        <v>3600</v>
      </c>
      <c r="J193" s="9">
        <v>3600</v>
      </c>
      <c r="K193" s="5" t="str">
        <f>VLOOKUP(D193,[1]Clientes!$A$1:$B$1370,2,0)</f>
        <v>NAC0558</v>
      </c>
      <c r="L193" s="5" t="str">
        <f t="shared" si="4"/>
        <v>HGI0126331</v>
      </c>
      <c r="M193" s="5" t="str">
        <f t="shared" si="5"/>
        <v>I</v>
      </c>
      <c r="N193" s="5">
        <f>IF(G193=[1]Clientes!$C$3,[1]Clientes!$D$3,[1]Clientes!$D$2)</f>
        <v>13050505</v>
      </c>
    </row>
    <row r="194" spans="1:14">
      <c r="A194" s="6" t="s">
        <v>7</v>
      </c>
      <c r="B194" s="7">
        <v>45531</v>
      </c>
      <c r="C194" s="6" t="s">
        <v>3325</v>
      </c>
      <c r="D194" s="6" t="s">
        <v>554</v>
      </c>
      <c r="E194" s="6" t="s">
        <v>382</v>
      </c>
      <c r="F194" s="7">
        <v>45591</v>
      </c>
      <c r="G194" s="6" t="s">
        <v>3102</v>
      </c>
      <c r="H194" s="8"/>
      <c r="I194" s="9">
        <v>1510</v>
      </c>
      <c r="J194" s="9">
        <v>1510</v>
      </c>
      <c r="K194" s="5" t="str">
        <f>VLOOKUP(D194,[1]Clientes!$A$1:$B$1370,2,0)</f>
        <v>NAC0558</v>
      </c>
      <c r="L194" s="5" t="str">
        <f t="shared" si="4"/>
        <v>HGI0126954</v>
      </c>
      <c r="M194" s="5" t="str">
        <f t="shared" si="5"/>
        <v>I</v>
      </c>
      <c r="N194" s="5">
        <f>IF(G194=[1]Clientes!$C$3,[1]Clientes!$D$3,[1]Clientes!$D$2)</f>
        <v>13050505</v>
      </c>
    </row>
    <row r="195" spans="1:14">
      <c r="A195" s="6" t="s">
        <v>7</v>
      </c>
      <c r="B195" s="7">
        <v>45237</v>
      </c>
      <c r="C195" s="6" t="s">
        <v>3326</v>
      </c>
      <c r="D195" s="6" t="s">
        <v>39</v>
      </c>
      <c r="E195" s="6" t="s">
        <v>16</v>
      </c>
      <c r="F195" s="7">
        <v>45267</v>
      </c>
      <c r="G195" s="6" t="s">
        <v>3102</v>
      </c>
      <c r="H195" s="8">
        <v>268</v>
      </c>
      <c r="I195" s="9">
        <v>130</v>
      </c>
      <c r="J195" s="9">
        <v>1102</v>
      </c>
      <c r="K195" s="5" t="str">
        <f>VLOOKUP(D195,[1]Clientes!$A$1:$B$1370,2,0)</f>
        <v>CAN0002</v>
      </c>
      <c r="L195" s="5" t="str">
        <f t="shared" ref="L195:L258" si="6">IF(A195="Invoice",
    IF(LEFT(C195,5)="TGDR-", "TGDR"&amp;RIGHT(C195,LEN(C195)-5), "HGI"&amp;C195),
    IF(A195="Credit Memo",
        IF(LEFT(C195,5)="TGDR-", "CRM"&amp;RIGHT(C195,LEN(C195)-5), "CRM"&amp;C195),
        "Revisar")
)</f>
        <v>HGI0116929</v>
      </c>
      <c r="M195" s="5" t="str">
        <f t="shared" ref="M195:M258" si="7">IF(A195="Invoice","I",IF(A195="Credit Memo","C",IF(A195="Payment","P","GJ")))</f>
        <v>I</v>
      </c>
      <c r="N195" s="5">
        <f>IF(G195=[1]Clientes!$C$3,[1]Clientes!$D$3,[1]Clientes!$D$2)</f>
        <v>13050505</v>
      </c>
    </row>
    <row r="196" spans="1:14">
      <c r="A196" s="6" t="s">
        <v>7</v>
      </c>
      <c r="B196" s="7">
        <v>45238</v>
      </c>
      <c r="C196" s="6" t="s">
        <v>3327</v>
      </c>
      <c r="D196" s="6" t="s">
        <v>39</v>
      </c>
      <c r="E196" s="6" t="s">
        <v>16</v>
      </c>
      <c r="F196" s="7">
        <v>45268</v>
      </c>
      <c r="G196" s="6" t="s">
        <v>3102</v>
      </c>
      <c r="H196" s="8">
        <v>267</v>
      </c>
      <c r="I196" s="9">
        <v>201.42</v>
      </c>
      <c r="J196" s="9">
        <v>962.47</v>
      </c>
      <c r="K196" s="5" t="str">
        <f>VLOOKUP(D196,[1]Clientes!$A$1:$B$1370,2,0)</f>
        <v>CAN0002</v>
      </c>
      <c r="L196" s="5" t="str">
        <f t="shared" si="6"/>
        <v>HGI0117026</v>
      </c>
      <c r="M196" s="5" t="str">
        <f t="shared" si="7"/>
        <v>I</v>
      </c>
      <c r="N196" s="5">
        <f>IF(G196=[1]Clientes!$C$3,[1]Clientes!$D$3,[1]Clientes!$D$2)</f>
        <v>13050505</v>
      </c>
    </row>
    <row r="197" spans="1:14">
      <c r="A197" s="6" t="s">
        <v>3099</v>
      </c>
      <c r="B197" s="7">
        <v>45252</v>
      </c>
      <c r="C197" s="6" t="s">
        <v>3328</v>
      </c>
      <c r="D197" s="6" t="s">
        <v>39</v>
      </c>
      <c r="E197" s="6" t="s">
        <v>16</v>
      </c>
      <c r="F197" s="7">
        <v>45282</v>
      </c>
      <c r="G197" s="6" t="s">
        <v>3102</v>
      </c>
      <c r="H197" s="8">
        <v>253</v>
      </c>
      <c r="I197" s="9">
        <v>-81.7</v>
      </c>
      <c r="J197" s="9">
        <v>-528.84</v>
      </c>
      <c r="K197" s="5" t="str">
        <f>VLOOKUP(D197,[1]Clientes!$A$1:$B$1370,2,0)</f>
        <v>CAN0002</v>
      </c>
      <c r="L197" s="5" t="str">
        <f t="shared" si="6"/>
        <v>CRM0117572</v>
      </c>
      <c r="M197" s="5" t="str">
        <f t="shared" si="7"/>
        <v>C</v>
      </c>
      <c r="N197" s="5">
        <f>IF(G197=[1]Clientes!$C$3,[1]Clientes!$D$3,[1]Clientes!$D$2)</f>
        <v>13050505</v>
      </c>
    </row>
    <row r="198" spans="1:14">
      <c r="A198" s="6" t="s">
        <v>7</v>
      </c>
      <c r="B198" s="7">
        <v>45279</v>
      </c>
      <c r="C198" s="6" t="s">
        <v>3329</v>
      </c>
      <c r="D198" s="6" t="s">
        <v>39</v>
      </c>
      <c r="E198" s="6" t="s">
        <v>16</v>
      </c>
      <c r="F198" s="7">
        <v>45309</v>
      </c>
      <c r="G198" s="6" t="s">
        <v>3102</v>
      </c>
      <c r="H198" s="8">
        <v>226</v>
      </c>
      <c r="I198" s="9">
        <v>167.81</v>
      </c>
      <c r="J198" s="9">
        <v>167.81</v>
      </c>
      <c r="K198" s="5" t="str">
        <f>VLOOKUP(D198,[1]Clientes!$A$1:$B$1370,2,0)</f>
        <v>CAN0002</v>
      </c>
      <c r="L198" s="5" t="str">
        <f t="shared" si="6"/>
        <v>HGI0118535</v>
      </c>
      <c r="M198" s="5" t="str">
        <f t="shared" si="7"/>
        <v>I</v>
      </c>
      <c r="N198" s="5">
        <f>IF(G198=[1]Clientes!$C$3,[1]Clientes!$D$3,[1]Clientes!$D$2)</f>
        <v>13050505</v>
      </c>
    </row>
    <row r="199" spans="1:14">
      <c r="A199" s="6" t="s">
        <v>7</v>
      </c>
      <c r="B199" s="7">
        <v>45307</v>
      </c>
      <c r="C199" s="6" t="s">
        <v>3330</v>
      </c>
      <c r="D199" s="6" t="s">
        <v>39</v>
      </c>
      <c r="E199" s="6" t="s">
        <v>16</v>
      </c>
      <c r="F199" s="7">
        <v>45337</v>
      </c>
      <c r="G199" s="6" t="s">
        <v>3102</v>
      </c>
      <c r="H199" s="8">
        <v>198</v>
      </c>
      <c r="I199" s="9">
        <v>130</v>
      </c>
      <c r="J199" s="9">
        <v>3210</v>
      </c>
      <c r="K199" s="5" t="str">
        <f>VLOOKUP(D199,[1]Clientes!$A$1:$B$1370,2,0)</f>
        <v>CAN0002</v>
      </c>
      <c r="L199" s="5" t="str">
        <f t="shared" si="6"/>
        <v>HGI0119385</v>
      </c>
      <c r="M199" s="5" t="str">
        <f t="shared" si="7"/>
        <v>I</v>
      </c>
      <c r="N199" s="5">
        <f>IF(G199=[1]Clientes!$C$3,[1]Clientes!$D$3,[1]Clientes!$D$2)</f>
        <v>13050505</v>
      </c>
    </row>
    <row r="200" spans="1:14">
      <c r="A200" s="6" t="s">
        <v>3099</v>
      </c>
      <c r="B200" s="7">
        <v>45331</v>
      </c>
      <c r="C200" s="6" t="s">
        <v>3331</v>
      </c>
      <c r="D200" s="6" t="s">
        <v>39</v>
      </c>
      <c r="E200" s="6" t="s">
        <v>16</v>
      </c>
      <c r="F200" s="7">
        <v>45361</v>
      </c>
      <c r="G200" s="6" t="s">
        <v>3102</v>
      </c>
      <c r="H200" s="8">
        <v>174</v>
      </c>
      <c r="I200" s="9">
        <v>-1102</v>
      </c>
      <c r="J200" s="9">
        <v>-1102</v>
      </c>
      <c r="K200" s="5" t="str">
        <f>VLOOKUP(D200,[1]Clientes!$A$1:$B$1370,2,0)</f>
        <v>CAN0002</v>
      </c>
      <c r="L200" s="5" t="str">
        <f t="shared" si="6"/>
        <v>CRM202563</v>
      </c>
      <c r="M200" s="5" t="str">
        <f t="shared" si="7"/>
        <v>C</v>
      </c>
      <c r="N200" s="5">
        <f>IF(G200=[1]Clientes!$C$3,[1]Clientes!$D$3,[1]Clientes!$D$2)</f>
        <v>13050505</v>
      </c>
    </row>
    <row r="201" spans="1:14">
      <c r="A201" s="6" t="s">
        <v>7</v>
      </c>
      <c r="B201" s="7">
        <v>45495</v>
      </c>
      <c r="C201" s="6" t="s">
        <v>3332</v>
      </c>
      <c r="D201" s="6" t="s">
        <v>39</v>
      </c>
      <c r="E201" s="6" t="s">
        <v>16</v>
      </c>
      <c r="F201" s="7">
        <v>45525</v>
      </c>
      <c r="G201" s="6" t="s">
        <v>3102</v>
      </c>
      <c r="H201" s="8">
        <v>10</v>
      </c>
      <c r="I201" s="9">
        <v>1586.52</v>
      </c>
      <c r="J201" s="9">
        <v>1586.52</v>
      </c>
      <c r="K201" s="5" t="str">
        <f>VLOOKUP(D201,[1]Clientes!$A$1:$B$1370,2,0)</f>
        <v>CAN0002</v>
      </c>
      <c r="L201" s="5" t="str">
        <f t="shared" si="6"/>
        <v>HGI0125834</v>
      </c>
      <c r="M201" s="5" t="str">
        <f t="shared" si="7"/>
        <v>I</v>
      </c>
      <c r="N201" s="5">
        <f>IF(G201=[1]Clientes!$C$3,[1]Clientes!$D$3,[1]Clientes!$D$2)</f>
        <v>13050505</v>
      </c>
    </row>
    <row r="202" spans="1:14">
      <c r="A202" s="6" t="s">
        <v>3139</v>
      </c>
      <c r="B202" s="7">
        <v>45509</v>
      </c>
      <c r="C202" s="6" t="s">
        <v>3333</v>
      </c>
      <c r="D202" s="6" t="s">
        <v>561</v>
      </c>
      <c r="E202" s="6"/>
      <c r="F202" s="7"/>
      <c r="G202" s="6" t="s">
        <v>3102</v>
      </c>
      <c r="H202" s="8"/>
      <c r="I202" s="9">
        <v>-608.84</v>
      </c>
      <c r="J202" s="9">
        <v>-608.84</v>
      </c>
      <c r="K202" s="5" t="str">
        <f>VLOOKUP(D202,[1]Clientes!$A$1:$B$1370,2,0)</f>
        <v>NAC0567</v>
      </c>
      <c r="L202" s="5" t="str">
        <f t="shared" si="6"/>
        <v>Revisar</v>
      </c>
      <c r="M202" s="5" t="str">
        <f t="shared" si="7"/>
        <v>P</v>
      </c>
      <c r="N202" s="5">
        <f>IF(G202=[1]Clientes!$C$3,[1]Clientes!$D$3,[1]Clientes!$D$2)</f>
        <v>13050505</v>
      </c>
    </row>
    <row r="203" spans="1:14">
      <c r="A203" s="6" t="s">
        <v>3139</v>
      </c>
      <c r="B203" s="7">
        <v>45492</v>
      </c>
      <c r="C203" s="6" t="s">
        <v>3334</v>
      </c>
      <c r="D203" s="6" t="s">
        <v>3335</v>
      </c>
      <c r="E203" s="6"/>
      <c r="F203" s="7"/>
      <c r="G203" s="6" t="s">
        <v>3102</v>
      </c>
      <c r="H203" s="8"/>
      <c r="I203" s="9">
        <v>-3500</v>
      </c>
      <c r="J203" s="9">
        <v>-3500</v>
      </c>
      <c r="K203" s="5" t="str">
        <f>VLOOKUP(D203,[1]Clientes!$A$1:$B$1370,2,0)</f>
        <v>NAC0569</v>
      </c>
      <c r="L203" s="5" t="str">
        <f t="shared" si="6"/>
        <v>Revisar</v>
      </c>
      <c r="M203" s="5" t="str">
        <f t="shared" si="7"/>
        <v>P</v>
      </c>
      <c r="N203" s="5">
        <f>IF(G203=[1]Clientes!$C$3,[1]Clientes!$D$3,[1]Clientes!$D$2)</f>
        <v>13050505</v>
      </c>
    </row>
    <row r="204" spans="1:14">
      <c r="A204" s="6" t="s">
        <v>3265</v>
      </c>
      <c r="B204" s="7">
        <v>45518</v>
      </c>
      <c r="C204" s="6" t="s">
        <v>3336</v>
      </c>
      <c r="D204" s="6" t="s">
        <v>3335</v>
      </c>
      <c r="E204" s="6"/>
      <c r="F204" s="7"/>
      <c r="G204" s="6" t="s">
        <v>3102</v>
      </c>
      <c r="H204" s="8"/>
      <c r="I204" s="9">
        <v>3500</v>
      </c>
      <c r="J204" s="9">
        <v>3500</v>
      </c>
      <c r="K204" s="5" t="str">
        <f>VLOOKUP(D204,[1]Clientes!$A$1:$B$1370,2,0)</f>
        <v>NAC0569</v>
      </c>
      <c r="L204" s="5" t="str">
        <f t="shared" si="6"/>
        <v>Revisar</v>
      </c>
      <c r="M204" s="5" t="str">
        <f t="shared" si="7"/>
        <v>GJ</v>
      </c>
      <c r="N204" s="5">
        <f>IF(G204=[1]Clientes!$C$3,[1]Clientes!$D$3,[1]Clientes!$D$2)</f>
        <v>13050505</v>
      </c>
    </row>
    <row r="205" spans="1:14">
      <c r="A205" s="6" t="s">
        <v>7</v>
      </c>
      <c r="B205" s="7">
        <v>45169</v>
      </c>
      <c r="C205" s="6" t="s">
        <v>3337</v>
      </c>
      <c r="D205" s="6" t="s">
        <v>563</v>
      </c>
      <c r="E205" s="6" t="s">
        <v>16</v>
      </c>
      <c r="F205" s="7">
        <v>45199</v>
      </c>
      <c r="G205" s="6" t="s">
        <v>3102</v>
      </c>
      <c r="H205" s="8">
        <v>336</v>
      </c>
      <c r="I205" s="9">
        <v>90</v>
      </c>
      <c r="J205" s="9">
        <v>23966.84</v>
      </c>
      <c r="K205" s="5" t="str">
        <f>VLOOKUP(D205,[1]Clientes!$A$1:$B$1370,2,0)</f>
        <v>NAC0573</v>
      </c>
      <c r="L205" s="5" t="str">
        <f t="shared" si="6"/>
        <v>HGI0114770</v>
      </c>
      <c r="M205" s="5" t="str">
        <f t="shared" si="7"/>
        <v>I</v>
      </c>
      <c r="N205" s="5">
        <f>IF(G205=[1]Clientes!$C$3,[1]Clientes!$D$3,[1]Clientes!$D$2)</f>
        <v>13050505</v>
      </c>
    </row>
    <row r="206" spans="1:14">
      <c r="A206" s="6" t="s">
        <v>7</v>
      </c>
      <c r="B206" s="7">
        <v>45194</v>
      </c>
      <c r="C206" s="6" t="s">
        <v>3338</v>
      </c>
      <c r="D206" s="6" t="s">
        <v>563</v>
      </c>
      <c r="E206" s="6" t="s">
        <v>16</v>
      </c>
      <c r="F206" s="7">
        <v>45224</v>
      </c>
      <c r="G206" s="6" t="s">
        <v>3102</v>
      </c>
      <c r="H206" s="8">
        <v>311</v>
      </c>
      <c r="I206" s="9">
        <v>193.5</v>
      </c>
      <c r="J206" s="9">
        <v>10489.23</v>
      </c>
      <c r="K206" s="5" t="str">
        <f>VLOOKUP(D206,[1]Clientes!$A$1:$B$1370,2,0)</f>
        <v>NAC0573</v>
      </c>
      <c r="L206" s="5" t="str">
        <f t="shared" si="6"/>
        <v>HGI0115293</v>
      </c>
      <c r="M206" s="5" t="str">
        <f t="shared" si="7"/>
        <v>I</v>
      </c>
      <c r="N206" s="5">
        <f>IF(G206=[1]Clientes!$C$3,[1]Clientes!$D$3,[1]Clientes!$D$2)</f>
        <v>13050505</v>
      </c>
    </row>
    <row r="207" spans="1:14">
      <c r="A207" s="6" t="s">
        <v>7</v>
      </c>
      <c r="B207" s="7">
        <v>45257</v>
      </c>
      <c r="C207" s="6" t="s">
        <v>3339</v>
      </c>
      <c r="D207" s="6" t="s">
        <v>563</v>
      </c>
      <c r="E207" s="6" t="s">
        <v>16</v>
      </c>
      <c r="F207" s="7">
        <v>45287</v>
      </c>
      <c r="G207" s="6" t="s">
        <v>3102</v>
      </c>
      <c r="H207" s="8">
        <v>248</v>
      </c>
      <c r="I207" s="9">
        <v>7.5</v>
      </c>
      <c r="J207" s="9">
        <v>7.5</v>
      </c>
      <c r="K207" s="5" t="str">
        <f>VLOOKUP(D207,[1]Clientes!$A$1:$B$1370,2,0)</f>
        <v>NAC0573</v>
      </c>
      <c r="L207" s="5" t="str">
        <f t="shared" si="6"/>
        <v>HGI0117688</v>
      </c>
      <c r="M207" s="5" t="str">
        <f t="shared" si="7"/>
        <v>I</v>
      </c>
      <c r="N207" s="5">
        <f>IF(G207=[1]Clientes!$C$3,[1]Clientes!$D$3,[1]Clientes!$D$2)</f>
        <v>13050505</v>
      </c>
    </row>
    <row r="208" spans="1:14">
      <c r="A208" s="6" t="s">
        <v>3139</v>
      </c>
      <c r="B208" s="7">
        <v>45307</v>
      </c>
      <c r="C208" s="6" t="s">
        <v>3340</v>
      </c>
      <c r="D208" s="6" t="s">
        <v>563</v>
      </c>
      <c r="E208" s="6"/>
      <c r="F208" s="7"/>
      <c r="G208" s="6" t="s">
        <v>3102</v>
      </c>
      <c r="H208" s="8"/>
      <c r="I208" s="9">
        <v>-3.45</v>
      </c>
      <c r="J208" s="9">
        <v>-3968.89</v>
      </c>
      <c r="K208" s="5" t="str">
        <f>VLOOKUP(D208,[1]Clientes!$A$1:$B$1370,2,0)</f>
        <v>NAC0573</v>
      </c>
      <c r="L208" s="5" t="str">
        <f t="shared" si="6"/>
        <v>Revisar</v>
      </c>
      <c r="M208" s="5" t="str">
        <f t="shared" si="7"/>
        <v>P</v>
      </c>
      <c r="N208" s="5">
        <f>IF(G208=[1]Clientes!$C$3,[1]Clientes!$D$3,[1]Clientes!$D$2)</f>
        <v>13050505</v>
      </c>
    </row>
    <row r="209" spans="1:14">
      <c r="A209" s="6" t="s">
        <v>3139</v>
      </c>
      <c r="B209" s="7">
        <v>45314</v>
      </c>
      <c r="C209" s="6" t="s">
        <v>3341</v>
      </c>
      <c r="D209" s="6" t="s">
        <v>563</v>
      </c>
      <c r="E209" s="6"/>
      <c r="F209" s="7"/>
      <c r="G209" s="6" t="s">
        <v>3102</v>
      </c>
      <c r="H209" s="8"/>
      <c r="I209" s="9">
        <v>-200</v>
      </c>
      <c r="J209" s="9">
        <v>-5331.47</v>
      </c>
      <c r="K209" s="5" t="str">
        <f>VLOOKUP(D209,[1]Clientes!$A$1:$B$1370,2,0)</f>
        <v>NAC0573</v>
      </c>
      <c r="L209" s="5" t="str">
        <f t="shared" si="6"/>
        <v>Revisar</v>
      </c>
      <c r="M209" s="5" t="str">
        <f t="shared" si="7"/>
        <v>P</v>
      </c>
      <c r="N209" s="5">
        <f>IF(G209=[1]Clientes!$C$3,[1]Clientes!$D$3,[1]Clientes!$D$2)</f>
        <v>13050505</v>
      </c>
    </row>
    <row r="210" spans="1:14">
      <c r="A210" s="6" t="s">
        <v>3099</v>
      </c>
      <c r="B210" s="7">
        <v>45289</v>
      </c>
      <c r="C210" s="6" t="s">
        <v>3342</v>
      </c>
      <c r="D210" s="6" t="s">
        <v>563</v>
      </c>
      <c r="E210" s="6" t="s">
        <v>16</v>
      </c>
      <c r="F210" s="7">
        <v>45319</v>
      </c>
      <c r="G210" s="6" t="s">
        <v>3102</v>
      </c>
      <c r="H210" s="8">
        <v>216</v>
      </c>
      <c r="I210" s="9">
        <v>-1.44</v>
      </c>
      <c r="J210" s="9">
        <v>-15.48</v>
      </c>
      <c r="K210" s="5" t="str">
        <f>VLOOKUP(D210,[1]Clientes!$A$1:$B$1370,2,0)</f>
        <v>NAC0573</v>
      </c>
      <c r="L210" s="5" t="str">
        <f t="shared" si="6"/>
        <v>CRM0118845</v>
      </c>
      <c r="M210" s="5" t="str">
        <f t="shared" si="7"/>
        <v>C</v>
      </c>
      <c r="N210" s="5">
        <f>IF(G210=[1]Clientes!$C$3,[1]Clientes!$D$3,[1]Clientes!$D$2)</f>
        <v>13050505</v>
      </c>
    </row>
    <row r="211" spans="1:14">
      <c r="A211" s="6" t="s">
        <v>7</v>
      </c>
      <c r="B211" s="7">
        <v>45365</v>
      </c>
      <c r="C211" s="6" t="s">
        <v>3343</v>
      </c>
      <c r="D211" s="6" t="s">
        <v>563</v>
      </c>
      <c r="E211" s="6" t="s">
        <v>16</v>
      </c>
      <c r="F211" s="7">
        <v>45395</v>
      </c>
      <c r="G211" s="6" t="s">
        <v>3102</v>
      </c>
      <c r="H211" s="8">
        <v>140</v>
      </c>
      <c r="I211" s="9">
        <v>213.4</v>
      </c>
      <c r="J211" s="9">
        <v>213.4</v>
      </c>
      <c r="K211" s="5" t="str">
        <f>VLOOKUP(D211,[1]Clientes!$A$1:$B$1370,2,0)</f>
        <v>NAC0573</v>
      </c>
      <c r="L211" s="5" t="str">
        <f t="shared" si="6"/>
        <v>HGI0121981</v>
      </c>
      <c r="M211" s="5" t="str">
        <f t="shared" si="7"/>
        <v>I</v>
      </c>
      <c r="N211" s="5">
        <f>IF(G211=[1]Clientes!$C$3,[1]Clientes!$D$3,[1]Clientes!$D$2)</f>
        <v>13050505</v>
      </c>
    </row>
    <row r="212" spans="1:14">
      <c r="A212" s="6" t="s">
        <v>7</v>
      </c>
      <c r="B212" s="7">
        <v>45453</v>
      </c>
      <c r="C212" s="6" t="s">
        <v>3344</v>
      </c>
      <c r="D212" s="6" t="s">
        <v>563</v>
      </c>
      <c r="E212" s="6" t="s">
        <v>16</v>
      </c>
      <c r="F212" s="7">
        <v>45483</v>
      </c>
      <c r="G212" s="6" t="s">
        <v>3102</v>
      </c>
      <c r="H212" s="8">
        <v>52</v>
      </c>
      <c r="I212" s="9">
        <v>126.86</v>
      </c>
      <c r="J212" s="9">
        <v>126.86</v>
      </c>
      <c r="K212" s="5" t="str">
        <f>VLOOKUP(D212,[1]Clientes!$A$1:$B$1370,2,0)</f>
        <v>NAC0573</v>
      </c>
      <c r="L212" s="5" t="str">
        <f t="shared" si="6"/>
        <v>HGI0124960</v>
      </c>
      <c r="M212" s="5" t="str">
        <f t="shared" si="7"/>
        <v>I</v>
      </c>
      <c r="N212" s="5">
        <f>IF(G212=[1]Clientes!$C$3,[1]Clientes!$D$3,[1]Clientes!$D$2)</f>
        <v>13050505</v>
      </c>
    </row>
    <row r="213" spans="1:14">
      <c r="A213" s="6" t="s">
        <v>7</v>
      </c>
      <c r="B213" s="7">
        <v>45483</v>
      </c>
      <c r="C213" s="6" t="s">
        <v>3345</v>
      </c>
      <c r="D213" s="6" t="s">
        <v>563</v>
      </c>
      <c r="E213" s="6" t="s">
        <v>16</v>
      </c>
      <c r="F213" s="7">
        <v>45513</v>
      </c>
      <c r="G213" s="6" t="s">
        <v>3102</v>
      </c>
      <c r="H213" s="8">
        <v>22</v>
      </c>
      <c r="I213" s="9">
        <v>366.5</v>
      </c>
      <c r="J213" s="9">
        <v>366.5</v>
      </c>
      <c r="K213" s="5" t="str">
        <f>VLOOKUP(D213,[1]Clientes!$A$1:$B$1370,2,0)</f>
        <v>NAC0573</v>
      </c>
      <c r="L213" s="5" t="str">
        <f t="shared" si="6"/>
        <v>HGI0125611</v>
      </c>
      <c r="M213" s="5" t="str">
        <f t="shared" si="7"/>
        <v>I</v>
      </c>
      <c r="N213" s="5">
        <f>IF(G213=[1]Clientes!$C$3,[1]Clientes!$D$3,[1]Clientes!$D$2)</f>
        <v>13050505</v>
      </c>
    </row>
    <row r="214" spans="1:14">
      <c r="A214" s="6" t="s">
        <v>7</v>
      </c>
      <c r="B214" s="7">
        <v>45498</v>
      </c>
      <c r="C214" s="6" t="s">
        <v>3346</v>
      </c>
      <c r="D214" s="6" t="s">
        <v>563</v>
      </c>
      <c r="E214" s="6" t="s">
        <v>16</v>
      </c>
      <c r="F214" s="7">
        <v>45528</v>
      </c>
      <c r="G214" s="6" t="s">
        <v>3102</v>
      </c>
      <c r="H214" s="8">
        <v>7</v>
      </c>
      <c r="I214" s="9">
        <v>1735.21</v>
      </c>
      <c r="J214" s="9">
        <v>1735.21</v>
      </c>
      <c r="K214" s="5" t="str">
        <f>VLOOKUP(D214,[1]Clientes!$A$1:$B$1370,2,0)</f>
        <v>NAC0573</v>
      </c>
      <c r="L214" s="5" t="str">
        <f t="shared" si="6"/>
        <v>HGI0125949</v>
      </c>
      <c r="M214" s="5" t="str">
        <f t="shared" si="7"/>
        <v>I</v>
      </c>
      <c r="N214" s="5">
        <f>IF(G214=[1]Clientes!$C$3,[1]Clientes!$D$3,[1]Clientes!$D$2)</f>
        <v>13050505</v>
      </c>
    </row>
    <row r="215" spans="1:14">
      <c r="A215" s="6" t="s">
        <v>7</v>
      </c>
      <c r="B215" s="7">
        <v>45502</v>
      </c>
      <c r="C215" s="6" t="s">
        <v>3347</v>
      </c>
      <c r="D215" s="6" t="s">
        <v>563</v>
      </c>
      <c r="E215" s="6" t="s">
        <v>16</v>
      </c>
      <c r="F215" s="7">
        <v>45532</v>
      </c>
      <c r="G215" s="6" t="s">
        <v>3102</v>
      </c>
      <c r="H215" s="8">
        <v>3</v>
      </c>
      <c r="I215" s="9">
        <v>1429.1</v>
      </c>
      <c r="J215" s="9">
        <v>1485.6</v>
      </c>
      <c r="K215" s="5" t="str">
        <f>VLOOKUP(D215,[1]Clientes!$A$1:$B$1370,2,0)</f>
        <v>NAC0573</v>
      </c>
      <c r="L215" s="5" t="str">
        <f t="shared" si="6"/>
        <v>HGI0126002</v>
      </c>
      <c r="M215" s="5" t="str">
        <f t="shared" si="7"/>
        <v>I</v>
      </c>
      <c r="N215" s="5">
        <f>IF(G215=[1]Clientes!$C$3,[1]Clientes!$D$3,[1]Clientes!$D$2)</f>
        <v>13050505</v>
      </c>
    </row>
    <row r="216" spans="1:14">
      <c r="A216" s="6" t="s">
        <v>7</v>
      </c>
      <c r="B216" s="7">
        <v>45503</v>
      </c>
      <c r="C216" s="6" t="s">
        <v>3348</v>
      </c>
      <c r="D216" s="6" t="s">
        <v>563</v>
      </c>
      <c r="E216" s="6" t="s">
        <v>16</v>
      </c>
      <c r="F216" s="7">
        <v>45533</v>
      </c>
      <c r="G216" s="6" t="s">
        <v>3102</v>
      </c>
      <c r="H216" s="8">
        <v>2</v>
      </c>
      <c r="I216" s="9">
        <v>198.08</v>
      </c>
      <c r="J216" s="9">
        <v>198.08</v>
      </c>
      <c r="K216" s="5" t="str">
        <f>VLOOKUP(D216,[1]Clientes!$A$1:$B$1370,2,0)</f>
        <v>NAC0573</v>
      </c>
      <c r="L216" s="5" t="str">
        <f t="shared" si="6"/>
        <v>HGI0126041</v>
      </c>
      <c r="M216" s="5" t="str">
        <f t="shared" si="7"/>
        <v>I</v>
      </c>
      <c r="N216" s="5">
        <f>IF(G216=[1]Clientes!$C$3,[1]Clientes!$D$3,[1]Clientes!$D$2)</f>
        <v>13050505</v>
      </c>
    </row>
    <row r="217" spans="1:14">
      <c r="A217" s="6" t="s">
        <v>7</v>
      </c>
      <c r="B217" s="7">
        <v>45509</v>
      </c>
      <c r="C217" s="6" t="s">
        <v>3349</v>
      </c>
      <c r="D217" s="6" t="s">
        <v>563</v>
      </c>
      <c r="E217" s="6" t="s">
        <v>16</v>
      </c>
      <c r="F217" s="7">
        <v>45539</v>
      </c>
      <c r="G217" s="6" t="s">
        <v>3102</v>
      </c>
      <c r="H217" s="8"/>
      <c r="I217" s="9">
        <v>3345</v>
      </c>
      <c r="J217" s="9">
        <v>3345</v>
      </c>
      <c r="K217" s="5" t="str">
        <f>VLOOKUP(D217,[1]Clientes!$A$1:$B$1370,2,0)</f>
        <v>NAC0573</v>
      </c>
      <c r="L217" s="5" t="str">
        <f t="shared" si="6"/>
        <v>HGI0126192</v>
      </c>
      <c r="M217" s="5" t="str">
        <f t="shared" si="7"/>
        <v>I</v>
      </c>
      <c r="N217" s="5">
        <f>IF(G217=[1]Clientes!$C$3,[1]Clientes!$D$3,[1]Clientes!$D$2)</f>
        <v>13050505</v>
      </c>
    </row>
    <row r="218" spans="1:14">
      <c r="A218" s="6" t="s">
        <v>7</v>
      </c>
      <c r="B218" s="7">
        <v>45509</v>
      </c>
      <c r="C218" s="6" t="s">
        <v>3350</v>
      </c>
      <c r="D218" s="6" t="s">
        <v>563</v>
      </c>
      <c r="E218" s="6" t="s">
        <v>16</v>
      </c>
      <c r="F218" s="7">
        <v>45539</v>
      </c>
      <c r="G218" s="6" t="s">
        <v>3102</v>
      </c>
      <c r="H218" s="8"/>
      <c r="I218" s="9">
        <v>8149.5</v>
      </c>
      <c r="J218" s="9">
        <v>8149.5</v>
      </c>
      <c r="K218" s="5" t="str">
        <f>VLOOKUP(D218,[1]Clientes!$A$1:$B$1370,2,0)</f>
        <v>NAC0573</v>
      </c>
      <c r="L218" s="5" t="str">
        <f t="shared" si="6"/>
        <v>HGI0126193</v>
      </c>
      <c r="M218" s="5" t="str">
        <f t="shared" si="7"/>
        <v>I</v>
      </c>
      <c r="N218" s="5">
        <f>IF(G218=[1]Clientes!$C$3,[1]Clientes!$D$3,[1]Clientes!$D$2)</f>
        <v>13050505</v>
      </c>
    </row>
    <row r="219" spans="1:14">
      <c r="A219" s="6" t="s">
        <v>7</v>
      </c>
      <c r="B219" s="7">
        <v>45509</v>
      </c>
      <c r="C219" s="6" t="s">
        <v>3351</v>
      </c>
      <c r="D219" s="6" t="s">
        <v>563</v>
      </c>
      <c r="E219" s="6" t="s">
        <v>16</v>
      </c>
      <c r="F219" s="7">
        <v>45539</v>
      </c>
      <c r="G219" s="6" t="s">
        <v>3102</v>
      </c>
      <c r="H219" s="8"/>
      <c r="I219" s="9">
        <v>11653.5</v>
      </c>
      <c r="J219" s="9">
        <v>11653.5</v>
      </c>
      <c r="K219" s="5" t="str">
        <f>VLOOKUP(D219,[1]Clientes!$A$1:$B$1370,2,0)</f>
        <v>NAC0573</v>
      </c>
      <c r="L219" s="5" t="str">
        <f t="shared" si="6"/>
        <v>HGI0126194</v>
      </c>
      <c r="M219" s="5" t="str">
        <f t="shared" si="7"/>
        <v>I</v>
      </c>
      <c r="N219" s="5">
        <f>IF(G219=[1]Clientes!$C$3,[1]Clientes!$D$3,[1]Clientes!$D$2)</f>
        <v>13050505</v>
      </c>
    </row>
    <row r="220" spans="1:14">
      <c r="A220" s="6" t="s">
        <v>7</v>
      </c>
      <c r="B220" s="7">
        <v>45509</v>
      </c>
      <c r="C220" s="6" t="s">
        <v>3352</v>
      </c>
      <c r="D220" s="6" t="s">
        <v>563</v>
      </c>
      <c r="E220" s="6" t="s">
        <v>16</v>
      </c>
      <c r="F220" s="7">
        <v>45539</v>
      </c>
      <c r="G220" s="6" t="s">
        <v>3102</v>
      </c>
      <c r="H220" s="8"/>
      <c r="I220" s="9">
        <v>4248</v>
      </c>
      <c r="J220" s="9">
        <v>4248</v>
      </c>
      <c r="K220" s="5" t="str">
        <f>VLOOKUP(D220,[1]Clientes!$A$1:$B$1370,2,0)</f>
        <v>NAC0573</v>
      </c>
      <c r="L220" s="5" t="str">
        <f t="shared" si="6"/>
        <v>HGI0126195</v>
      </c>
      <c r="M220" s="5" t="str">
        <f t="shared" si="7"/>
        <v>I</v>
      </c>
      <c r="N220" s="5">
        <f>IF(G220=[1]Clientes!$C$3,[1]Clientes!$D$3,[1]Clientes!$D$2)</f>
        <v>13050505</v>
      </c>
    </row>
    <row r="221" spans="1:14">
      <c r="A221" s="6" t="s">
        <v>7</v>
      </c>
      <c r="B221" s="7">
        <v>45509</v>
      </c>
      <c r="C221" s="6" t="s">
        <v>3353</v>
      </c>
      <c r="D221" s="6" t="s">
        <v>563</v>
      </c>
      <c r="E221" s="6" t="s">
        <v>16</v>
      </c>
      <c r="F221" s="7">
        <v>45539</v>
      </c>
      <c r="G221" s="6" t="s">
        <v>3102</v>
      </c>
      <c r="H221" s="8"/>
      <c r="I221" s="9">
        <v>949.88</v>
      </c>
      <c r="J221" s="9">
        <v>949.88</v>
      </c>
      <c r="K221" s="5" t="str">
        <f>VLOOKUP(D221,[1]Clientes!$A$1:$B$1370,2,0)</f>
        <v>NAC0573</v>
      </c>
      <c r="L221" s="5" t="str">
        <f t="shared" si="6"/>
        <v>HGI0126222</v>
      </c>
      <c r="M221" s="5" t="str">
        <f t="shared" si="7"/>
        <v>I</v>
      </c>
      <c r="N221" s="5">
        <f>IF(G221=[1]Clientes!$C$3,[1]Clientes!$D$3,[1]Clientes!$D$2)</f>
        <v>13050505</v>
      </c>
    </row>
    <row r="222" spans="1:14">
      <c r="A222" s="6" t="s">
        <v>7</v>
      </c>
      <c r="B222" s="7">
        <v>45511</v>
      </c>
      <c r="C222" s="6" t="s">
        <v>3354</v>
      </c>
      <c r="D222" s="6" t="s">
        <v>563</v>
      </c>
      <c r="E222" s="6" t="s">
        <v>16</v>
      </c>
      <c r="F222" s="7">
        <v>45541</v>
      </c>
      <c r="G222" s="6" t="s">
        <v>3102</v>
      </c>
      <c r="H222" s="8"/>
      <c r="I222" s="9">
        <v>225.28</v>
      </c>
      <c r="J222" s="9">
        <v>225.28</v>
      </c>
      <c r="K222" s="5" t="str">
        <f>VLOOKUP(D222,[1]Clientes!$A$1:$B$1370,2,0)</f>
        <v>NAC0573</v>
      </c>
      <c r="L222" s="5" t="str">
        <f t="shared" si="6"/>
        <v>HGI0126279</v>
      </c>
      <c r="M222" s="5" t="str">
        <f t="shared" si="7"/>
        <v>I</v>
      </c>
      <c r="N222" s="5">
        <f>IF(G222=[1]Clientes!$C$3,[1]Clientes!$D$3,[1]Clientes!$D$2)</f>
        <v>13050505</v>
      </c>
    </row>
    <row r="223" spans="1:14">
      <c r="A223" s="6" t="s">
        <v>7</v>
      </c>
      <c r="B223" s="7">
        <v>45532</v>
      </c>
      <c r="C223" s="6" t="s">
        <v>3355</v>
      </c>
      <c r="D223" s="6" t="s">
        <v>563</v>
      </c>
      <c r="E223" s="6" t="s">
        <v>16</v>
      </c>
      <c r="F223" s="7">
        <v>45562</v>
      </c>
      <c r="G223" s="6" t="s">
        <v>3102</v>
      </c>
      <c r="H223" s="8"/>
      <c r="I223" s="9">
        <v>415.7</v>
      </c>
      <c r="J223" s="9">
        <v>415.7</v>
      </c>
      <c r="K223" s="5" t="str">
        <f>VLOOKUP(D223,[1]Clientes!$A$1:$B$1370,2,0)</f>
        <v>NAC0573</v>
      </c>
      <c r="L223" s="5" t="str">
        <f t="shared" si="6"/>
        <v>HGI0127046</v>
      </c>
      <c r="M223" s="5" t="str">
        <f t="shared" si="7"/>
        <v>I</v>
      </c>
      <c r="N223" s="5">
        <f>IF(G223=[1]Clientes!$C$3,[1]Clientes!$D$3,[1]Clientes!$D$2)</f>
        <v>13050505</v>
      </c>
    </row>
    <row r="224" spans="1:14">
      <c r="A224" s="6" t="s">
        <v>7</v>
      </c>
      <c r="B224" s="7">
        <v>45223</v>
      </c>
      <c r="C224" s="6" t="s">
        <v>3356</v>
      </c>
      <c r="D224" s="6" t="s">
        <v>54</v>
      </c>
      <c r="E224" s="6" t="s">
        <v>16</v>
      </c>
      <c r="F224" s="7">
        <v>45253</v>
      </c>
      <c r="G224" s="6" t="s">
        <v>3102</v>
      </c>
      <c r="H224" s="8">
        <v>282</v>
      </c>
      <c r="I224" s="9">
        <v>10260</v>
      </c>
      <c r="J224" s="9">
        <v>51368.639999999999</v>
      </c>
      <c r="K224" s="5" t="str">
        <f>VLOOKUP(D224,[1]Clientes!$A$1:$B$1370,2,0)</f>
        <v>CAN0005</v>
      </c>
      <c r="L224" s="5" t="str">
        <f t="shared" si="6"/>
        <v>HGI0116371</v>
      </c>
      <c r="M224" s="5" t="str">
        <f t="shared" si="7"/>
        <v>I</v>
      </c>
      <c r="N224" s="5">
        <f>IF(G224=[1]Clientes!$C$3,[1]Clientes!$D$3,[1]Clientes!$D$2)</f>
        <v>13050505</v>
      </c>
    </row>
    <row r="225" spans="1:14">
      <c r="A225" s="6" t="s">
        <v>7</v>
      </c>
      <c r="B225" s="7">
        <v>45408</v>
      </c>
      <c r="C225" s="6" t="s">
        <v>3357</v>
      </c>
      <c r="D225" s="6" t="s">
        <v>54</v>
      </c>
      <c r="E225" s="6" t="s">
        <v>16</v>
      </c>
      <c r="F225" s="7">
        <v>45438</v>
      </c>
      <c r="G225" s="6" t="s">
        <v>3102</v>
      </c>
      <c r="H225" s="8">
        <v>97</v>
      </c>
      <c r="I225" s="9">
        <v>20</v>
      </c>
      <c r="J225" s="9">
        <v>2268</v>
      </c>
      <c r="K225" s="5" t="str">
        <f>VLOOKUP(D225,[1]Clientes!$A$1:$B$1370,2,0)</f>
        <v>CAN0005</v>
      </c>
      <c r="L225" s="5" t="str">
        <f t="shared" si="6"/>
        <v>HGI0123570</v>
      </c>
      <c r="M225" s="5" t="str">
        <f t="shared" si="7"/>
        <v>I</v>
      </c>
      <c r="N225" s="5">
        <f>IF(G225=[1]Clientes!$C$3,[1]Clientes!$D$3,[1]Clientes!$D$2)</f>
        <v>13050505</v>
      </c>
    </row>
    <row r="226" spans="1:14">
      <c r="A226" s="6" t="s">
        <v>7</v>
      </c>
      <c r="B226" s="7">
        <v>45484</v>
      </c>
      <c r="C226" s="6" t="s">
        <v>3358</v>
      </c>
      <c r="D226" s="6" t="s">
        <v>54</v>
      </c>
      <c r="E226" s="6" t="s">
        <v>16</v>
      </c>
      <c r="F226" s="7">
        <v>45514</v>
      </c>
      <c r="G226" s="6" t="s">
        <v>3102</v>
      </c>
      <c r="H226" s="8">
        <v>21</v>
      </c>
      <c r="I226" s="9">
        <v>13692</v>
      </c>
      <c r="J226" s="9">
        <v>13692</v>
      </c>
      <c r="K226" s="5" t="str">
        <f>VLOOKUP(D226,[1]Clientes!$A$1:$B$1370,2,0)</f>
        <v>CAN0005</v>
      </c>
      <c r="L226" s="5" t="str">
        <f t="shared" si="6"/>
        <v>HGI0125644</v>
      </c>
      <c r="M226" s="5" t="str">
        <f t="shared" si="7"/>
        <v>I</v>
      </c>
      <c r="N226" s="5">
        <f>IF(G226=[1]Clientes!$C$3,[1]Clientes!$D$3,[1]Clientes!$D$2)</f>
        <v>13050505</v>
      </c>
    </row>
    <row r="227" spans="1:14">
      <c r="A227" s="6" t="s">
        <v>7</v>
      </c>
      <c r="B227" s="7">
        <v>45484</v>
      </c>
      <c r="C227" s="6" t="s">
        <v>3359</v>
      </c>
      <c r="D227" s="6" t="s">
        <v>54</v>
      </c>
      <c r="E227" s="6" t="s">
        <v>16</v>
      </c>
      <c r="F227" s="7">
        <v>45514</v>
      </c>
      <c r="G227" s="6" t="s">
        <v>3102</v>
      </c>
      <c r="H227" s="8">
        <v>21</v>
      </c>
      <c r="I227" s="9">
        <v>6408</v>
      </c>
      <c r="J227" s="9">
        <v>6408</v>
      </c>
      <c r="K227" s="5" t="str">
        <f>VLOOKUP(D227,[1]Clientes!$A$1:$B$1370,2,0)</f>
        <v>CAN0005</v>
      </c>
      <c r="L227" s="5" t="str">
        <f t="shared" si="6"/>
        <v>HGI0125661</v>
      </c>
      <c r="M227" s="5" t="str">
        <f t="shared" si="7"/>
        <v>I</v>
      </c>
      <c r="N227" s="5">
        <f>IF(G227=[1]Clientes!$C$3,[1]Clientes!$D$3,[1]Clientes!$D$2)</f>
        <v>13050505</v>
      </c>
    </row>
    <row r="228" spans="1:14">
      <c r="A228" s="6" t="s">
        <v>7</v>
      </c>
      <c r="B228" s="7">
        <v>45485</v>
      </c>
      <c r="C228" s="6" t="s">
        <v>3360</v>
      </c>
      <c r="D228" s="6" t="s">
        <v>54</v>
      </c>
      <c r="E228" s="6" t="s">
        <v>16</v>
      </c>
      <c r="F228" s="7">
        <v>45515</v>
      </c>
      <c r="G228" s="6" t="s">
        <v>3102</v>
      </c>
      <c r="H228" s="8">
        <v>20</v>
      </c>
      <c r="I228" s="9">
        <v>6750</v>
      </c>
      <c r="J228" s="9">
        <v>6750</v>
      </c>
      <c r="K228" s="5" t="str">
        <f>VLOOKUP(D228,[1]Clientes!$A$1:$B$1370,2,0)</f>
        <v>CAN0005</v>
      </c>
      <c r="L228" s="5" t="str">
        <f t="shared" si="6"/>
        <v>HGI0125687</v>
      </c>
      <c r="M228" s="5" t="str">
        <f t="shared" si="7"/>
        <v>I</v>
      </c>
      <c r="N228" s="5">
        <f>IF(G228=[1]Clientes!$C$3,[1]Clientes!$D$3,[1]Clientes!$D$2)</f>
        <v>13050505</v>
      </c>
    </row>
    <row r="229" spans="1:14">
      <c r="A229" s="6" t="s">
        <v>7</v>
      </c>
      <c r="B229" s="7">
        <v>45485</v>
      </c>
      <c r="C229" s="6" t="s">
        <v>3361</v>
      </c>
      <c r="D229" s="6" t="s">
        <v>54</v>
      </c>
      <c r="E229" s="6" t="s">
        <v>16</v>
      </c>
      <c r="F229" s="7">
        <v>45515</v>
      </c>
      <c r="G229" s="6" t="s">
        <v>3102</v>
      </c>
      <c r="H229" s="8">
        <v>20</v>
      </c>
      <c r="I229" s="9">
        <v>17414.400000000001</v>
      </c>
      <c r="J229" s="9">
        <v>17414.400000000001</v>
      </c>
      <c r="K229" s="5" t="str">
        <f>VLOOKUP(D229,[1]Clientes!$A$1:$B$1370,2,0)</f>
        <v>CAN0005</v>
      </c>
      <c r="L229" s="5" t="str">
        <f t="shared" si="6"/>
        <v>HGI0125688</v>
      </c>
      <c r="M229" s="5" t="str">
        <f t="shared" si="7"/>
        <v>I</v>
      </c>
      <c r="N229" s="5">
        <f>IF(G229=[1]Clientes!$C$3,[1]Clientes!$D$3,[1]Clientes!$D$2)</f>
        <v>13050505</v>
      </c>
    </row>
    <row r="230" spans="1:14">
      <c r="A230" s="6" t="s">
        <v>7</v>
      </c>
      <c r="B230" s="7">
        <v>45493</v>
      </c>
      <c r="C230" s="6" t="s">
        <v>3362</v>
      </c>
      <c r="D230" s="6" t="s">
        <v>54</v>
      </c>
      <c r="E230" s="6" t="s">
        <v>16</v>
      </c>
      <c r="F230" s="7">
        <v>45523</v>
      </c>
      <c r="G230" s="6" t="s">
        <v>3102</v>
      </c>
      <c r="H230" s="8">
        <v>12</v>
      </c>
      <c r="I230" s="9">
        <v>9870</v>
      </c>
      <c r="J230" s="9">
        <v>9870</v>
      </c>
      <c r="K230" s="5" t="str">
        <f>VLOOKUP(D230,[1]Clientes!$A$1:$B$1370,2,0)</f>
        <v>CAN0005</v>
      </c>
      <c r="L230" s="5" t="str">
        <f t="shared" si="6"/>
        <v>HGI0125807</v>
      </c>
      <c r="M230" s="5" t="str">
        <f t="shared" si="7"/>
        <v>I</v>
      </c>
      <c r="N230" s="5">
        <f>IF(G230=[1]Clientes!$C$3,[1]Clientes!$D$3,[1]Clientes!$D$2)</f>
        <v>13050505</v>
      </c>
    </row>
    <row r="231" spans="1:14">
      <c r="A231" s="6" t="s">
        <v>7</v>
      </c>
      <c r="B231" s="7">
        <v>45512</v>
      </c>
      <c r="C231" s="6" t="s">
        <v>3363</v>
      </c>
      <c r="D231" s="6" t="s">
        <v>54</v>
      </c>
      <c r="E231" s="6" t="s">
        <v>16</v>
      </c>
      <c r="F231" s="7">
        <v>45542</v>
      </c>
      <c r="G231" s="6" t="s">
        <v>3102</v>
      </c>
      <c r="H231" s="8"/>
      <c r="I231" s="9">
        <v>14370</v>
      </c>
      <c r="J231" s="9">
        <v>14370</v>
      </c>
      <c r="K231" s="5" t="str">
        <f>VLOOKUP(D231,[1]Clientes!$A$1:$B$1370,2,0)</f>
        <v>CAN0005</v>
      </c>
      <c r="L231" s="5" t="str">
        <f t="shared" si="6"/>
        <v>HGI0126330</v>
      </c>
      <c r="M231" s="5" t="str">
        <f t="shared" si="7"/>
        <v>I</v>
      </c>
      <c r="N231" s="5">
        <f>IF(G231=[1]Clientes!$C$3,[1]Clientes!$D$3,[1]Clientes!$D$2)</f>
        <v>13050505</v>
      </c>
    </row>
    <row r="232" spans="1:14">
      <c r="A232" s="6" t="s">
        <v>7</v>
      </c>
      <c r="B232" s="7">
        <v>45513</v>
      </c>
      <c r="C232" s="6" t="s">
        <v>3364</v>
      </c>
      <c r="D232" s="6" t="s">
        <v>54</v>
      </c>
      <c r="E232" s="6" t="s">
        <v>16</v>
      </c>
      <c r="F232" s="7">
        <v>45543</v>
      </c>
      <c r="G232" s="6" t="s">
        <v>3102</v>
      </c>
      <c r="H232" s="8"/>
      <c r="I232" s="9">
        <v>4074</v>
      </c>
      <c r="J232" s="9">
        <v>4074</v>
      </c>
      <c r="K232" s="5" t="str">
        <f>VLOOKUP(D232,[1]Clientes!$A$1:$B$1370,2,0)</f>
        <v>CAN0005</v>
      </c>
      <c r="L232" s="5" t="str">
        <f t="shared" si="6"/>
        <v>HGI0126354</v>
      </c>
      <c r="M232" s="5" t="str">
        <f t="shared" si="7"/>
        <v>I</v>
      </c>
      <c r="N232" s="5">
        <f>IF(G232=[1]Clientes!$C$3,[1]Clientes!$D$3,[1]Clientes!$D$2)</f>
        <v>13050505</v>
      </c>
    </row>
    <row r="233" spans="1:14">
      <c r="A233" s="6" t="s">
        <v>7</v>
      </c>
      <c r="B233" s="7">
        <v>45513</v>
      </c>
      <c r="C233" s="6" t="s">
        <v>3365</v>
      </c>
      <c r="D233" s="6" t="s">
        <v>54</v>
      </c>
      <c r="E233" s="6" t="s">
        <v>16</v>
      </c>
      <c r="F233" s="7">
        <v>45543</v>
      </c>
      <c r="G233" s="6" t="s">
        <v>3102</v>
      </c>
      <c r="H233" s="8"/>
      <c r="I233" s="9">
        <v>18121.8</v>
      </c>
      <c r="J233" s="9">
        <v>18121.8</v>
      </c>
      <c r="K233" s="5" t="str">
        <f>VLOOKUP(D233,[1]Clientes!$A$1:$B$1370,2,0)</f>
        <v>CAN0005</v>
      </c>
      <c r="L233" s="5" t="str">
        <f t="shared" si="6"/>
        <v>HGI0126365</v>
      </c>
      <c r="M233" s="5" t="str">
        <f t="shared" si="7"/>
        <v>I</v>
      </c>
      <c r="N233" s="5">
        <f>IF(G233=[1]Clientes!$C$3,[1]Clientes!$D$3,[1]Clientes!$D$2)</f>
        <v>13050505</v>
      </c>
    </row>
    <row r="234" spans="1:14">
      <c r="A234" s="6" t="s">
        <v>7</v>
      </c>
      <c r="B234" s="7">
        <v>45513</v>
      </c>
      <c r="C234" s="6" t="s">
        <v>3366</v>
      </c>
      <c r="D234" s="6" t="s">
        <v>54</v>
      </c>
      <c r="E234" s="6" t="s">
        <v>16</v>
      </c>
      <c r="F234" s="7">
        <v>45543</v>
      </c>
      <c r="G234" s="6" t="s">
        <v>3102</v>
      </c>
      <c r="H234" s="8"/>
      <c r="I234" s="9">
        <v>14072.4</v>
      </c>
      <c r="J234" s="9">
        <v>14072.4</v>
      </c>
      <c r="K234" s="5" t="str">
        <f>VLOOKUP(D234,[1]Clientes!$A$1:$B$1370,2,0)</f>
        <v>CAN0005</v>
      </c>
      <c r="L234" s="5" t="str">
        <f t="shared" si="6"/>
        <v>HGI0126374</v>
      </c>
      <c r="M234" s="5" t="str">
        <f t="shared" si="7"/>
        <v>I</v>
      </c>
      <c r="N234" s="5">
        <f>IF(G234=[1]Clientes!$C$3,[1]Clientes!$D$3,[1]Clientes!$D$2)</f>
        <v>13050505</v>
      </c>
    </row>
    <row r="235" spans="1:14">
      <c r="A235" s="6" t="s">
        <v>7</v>
      </c>
      <c r="B235" s="7">
        <v>45513</v>
      </c>
      <c r="C235" s="6" t="s">
        <v>3367</v>
      </c>
      <c r="D235" s="6" t="s">
        <v>54</v>
      </c>
      <c r="E235" s="6" t="s">
        <v>16</v>
      </c>
      <c r="F235" s="7">
        <v>45543</v>
      </c>
      <c r="G235" s="6" t="s">
        <v>3102</v>
      </c>
      <c r="H235" s="8"/>
      <c r="I235" s="9">
        <v>19068</v>
      </c>
      <c r="J235" s="9">
        <v>19068</v>
      </c>
      <c r="K235" s="5" t="str">
        <f>VLOOKUP(D235,[1]Clientes!$A$1:$B$1370,2,0)</f>
        <v>CAN0005</v>
      </c>
      <c r="L235" s="5" t="str">
        <f t="shared" si="6"/>
        <v>HGI0126375</v>
      </c>
      <c r="M235" s="5" t="str">
        <f t="shared" si="7"/>
        <v>I</v>
      </c>
      <c r="N235" s="5">
        <f>IF(G235=[1]Clientes!$C$3,[1]Clientes!$D$3,[1]Clientes!$D$2)</f>
        <v>13050505</v>
      </c>
    </row>
    <row r="236" spans="1:14">
      <c r="A236" s="6" t="s">
        <v>3099</v>
      </c>
      <c r="B236" s="7">
        <v>45519</v>
      </c>
      <c r="C236" s="6" t="s">
        <v>3368</v>
      </c>
      <c r="D236" s="6" t="s">
        <v>54</v>
      </c>
      <c r="E236" s="6" t="s">
        <v>16</v>
      </c>
      <c r="F236" s="7">
        <v>45549</v>
      </c>
      <c r="G236" s="6" t="s">
        <v>3102</v>
      </c>
      <c r="H236" s="8"/>
      <c r="I236" s="9">
        <v>-598.27</v>
      </c>
      <c r="J236" s="9">
        <v>-598.27</v>
      </c>
      <c r="K236" s="5" t="str">
        <f>VLOOKUP(D236,[1]Clientes!$A$1:$B$1370,2,0)</f>
        <v>CAN0005</v>
      </c>
      <c r="L236" s="5" t="str">
        <f t="shared" si="6"/>
        <v>CRM0126523</v>
      </c>
      <c r="M236" s="5" t="str">
        <f t="shared" si="7"/>
        <v>C</v>
      </c>
      <c r="N236" s="5">
        <f>IF(G236=[1]Clientes!$C$3,[1]Clientes!$D$3,[1]Clientes!$D$2)</f>
        <v>13050505</v>
      </c>
    </row>
    <row r="237" spans="1:14">
      <c r="A237" s="6" t="s">
        <v>3099</v>
      </c>
      <c r="B237" s="7">
        <v>45519</v>
      </c>
      <c r="C237" s="6" t="s">
        <v>3369</v>
      </c>
      <c r="D237" s="6" t="s">
        <v>54</v>
      </c>
      <c r="E237" s="6" t="s">
        <v>16</v>
      </c>
      <c r="F237" s="7">
        <v>45549</v>
      </c>
      <c r="G237" s="6" t="s">
        <v>3102</v>
      </c>
      <c r="H237" s="8"/>
      <c r="I237" s="9">
        <v>-85.73</v>
      </c>
      <c r="J237" s="9">
        <v>-85.73</v>
      </c>
      <c r="K237" s="5" t="str">
        <f>VLOOKUP(D237,[1]Clientes!$A$1:$B$1370,2,0)</f>
        <v>CAN0005</v>
      </c>
      <c r="L237" s="5" t="str">
        <f t="shared" si="6"/>
        <v>CRM0126524</v>
      </c>
      <c r="M237" s="5" t="str">
        <f t="shared" si="7"/>
        <v>C</v>
      </c>
      <c r="N237" s="5">
        <f>IF(G237=[1]Clientes!$C$3,[1]Clientes!$D$3,[1]Clientes!$D$2)</f>
        <v>13050505</v>
      </c>
    </row>
    <row r="238" spans="1:14">
      <c r="A238" s="6" t="s">
        <v>3099</v>
      </c>
      <c r="B238" s="7">
        <v>45519</v>
      </c>
      <c r="C238" s="6" t="s">
        <v>3370</v>
      </c>
      <c r="D238" s="6" t="s">
        <v>54</v>
      </c>
      <c r="E238" s="6" t="s">
        <v>16</v>
      </c>
      <c r="F238" s="7">
        <v>45549</v>
      </c>
      <c r="G238" s="6" t="s">
        <v>3102</v>
      </c>
      <c r="H238" s="8"/>
      <c r="I238" s="9">
        <v>-28.08</v>
      </c>
      <c r="J238" s="9">
        <v>-28.08</v>
      </c>
      <c r="K238" s="5" t="str">
        <f>VLOOKUP(D238,[1]Clientes!$A$1:$B$1370,2,0)</f>
        <v>CAN0005</v>
      </c>
      <c r="L238" s="5" t="str">
        <f t="shared" si="6"/>
        <v>CRM0126526</v>
      </c>
      <c r="M238" s="5" t="str">
        <f t="shared" si="7"/>
        <v>C</v>
      </c>
      <c r="N238" s="5">
        <f>IF(G238=[1]Clientes!$C$3,[1]Clientes!$D$3,[1]Clientes!$D$2)</f>
        <v>13050505</v>
      </c>
    </row>
    <row r="239" spans="1:14">
      <c r="A239" s="6" t="s">
        <v>3099</v>
      </c>
      <c r="B239" s="7">
        <v>45519</v>
      </c>
      <c r="C239" s="6" t="s">
        <v>3371</v>
      </c>
      <c r="D239" s="6" t="s">
        <v>54</v>
      </c>
      <c r="E239" s="6" t="s">
        <v>16</v>
      </c>
      <c r="F239" s="7">
        <v>45549</v>
      </c>
      <c r="G239" s="6" t="s">
        <v>3102</v>
      </c>
      <c r="H239" s="8"/>
      <c r="I239" s="9">
        <v>-1805.09</v>
      </c>
      <c r="J239" s="9">
        <v>-1805.09</v>
      </c>
      <c r="K239" s="5" t="str">
        <f>VLOOKUP(D239,[1]Clientes!$A$1:$B$1370,2,0)</f>
        <v>CAN0005</v>
      </c>
      <c r="L239" s="5" t="str">
        <f t="shared" si="6"/>
        <v>CRM0126527</v>
      </c>
      <c r="M239" s="5" t="str">
        <f t="shared" si="7"/>
        <v>C</v>
      </c>
      <c r="N239" s="5">
        <f>IF(G239=[1]Clientes!$C$3,[1]Clientes!$D$3,[1]Clientes!$D$2)</f>
        <v>13050505</v>
      </c>
    </row>
    <row r="240" spans="1:14">
      <c r="A240" s="6" t="s">
        <v>7</v>
      </c>
      <c r="B240" s="7">
        <v>45520</v>
      </c>
      <c r="C240" s="6" t="s">
        <v>3372</v>
      </c>
      <c r="D240" s="6" t="s">
        <v>54</v>
      </c>
      <c r="E240" s="6" t="s">
        <v>16</v>
      </c>
      <c r="F240" s="7">
        <v>45550</v>
      </c>
      <c r="G240" s="6" t="s">
        <v>3102</v>
      </c>
      <c r="H240" s="8"/>
      <c r="I240" s="9">
        <v>9184.7999999999993</v>
      </c>
      <c r="J240" s="9">
        <v>9184.7999999999993</v>
      </c>
      <c r="K240" s="5" t="str">
        <f>VLOOKUP(D240,[1]Clientes!$A$1:$B$1370,2,0)</f>
        <v>CAN0005</v>
      </c>
      <c r="L240" s="5" t="str">
        <f t="shared" si="6"/>
        <v>HGI0126606</v>
      </c>
      <c r="M240" s="5" t="str">
        <f t="shared" si="7"/>
        <v>I</v>
      </c>
      <c r="N240" s="5">
        <f>IF(G240=[1]Clientes!$C$3,[1]Clientes!$D$3,[1]Clientes!$D$2)</f>
        <v>13050505</v>
      </c>
    </row>
    <row r="241" spans="1:14">
      <c r="A241" s="6" t="s">
        <v>7</v>
      </c>
      <c r="B241" s="7">
        <v>45520</v>
      </c>
      <c r="C241" s="6" t="s">
        <v>3373</v>
      </c>
      <c r="D241" s="6" t="s">
        <v>54</v>
      </c>
      <c r="E241" s="6" t="s">
        <v>16</v>
      </c>
      <c r="F241" s="7">
        <v>45550</v>
      </c>
      <c r="G241" s="6" t="s">
        <v>3102</v>
      </c>
      <c r="H241" s="8"/>
      <c r="I241" s="9">
        <v>2975.4</v>
      </c>
      <c r="J241" s="9">
        <v>2975.4</v>
      </c>
      <c r="K241" s="5" t="str">
        <f>VLOOKUP(D241,[1]Clientes!$A$1:$B$1370,2,0)</f>
        <v>CAN0005</v>
      </c>
      <c r="L241" s="5" t="str">
        <f t="shared" si="6"/>
        <v>HGI0126660</v>
      </c>
      <c r="M241" s="5" t="str">
        <f t="shared" si="7"/>
        <v>I</v>
      </c>
      <c r="N241" s="5">
        <f>IF(G241=[1]Clientes!$C$3,[1]Clientes!$D$3,[1]Clientes!$D$2)</f>
        <v>13050505</v>
      </c>
    </row>
    <row r="242" spans="1:14">
      <c r="A242" s="6" t="s">
        <v>7</v>
      </c>
      <c r="B242" s="7">
        <v>45531</v>
      </c>
      <c r="C242" s="6" t="s">
        <v>3374</v>
      </c>
      <c r="D242" s="6" t="s">
        <v>591</v>
      </c>
      <c r="E242" s="6" t="s">
        <v>16</v>
      </c>
      <c r="F242" s="7">
        <v>45561</v>
      </c>
      <c r="G242" s="6" t="s">
        <v>3102</v>
      </c>
      <c r="H242" s="8"/>
      <c r="I242" s="9">
        <v>1578</v>
      </c>
      <c r="J242" s="9">
        <v>1578</v>
      </c>
      <c r="K242" s="5" t="str">
        <f>VLOOKUP(D242,[1]Clientes!$A$1:$B$1370,2,0)</f>
        <v>NAC0589</v>
      </c>
      <c r="L242" s="5" t="str">
        <f t="shared" si="6"/>
        <v>HGI0126903</v>
      </c>
      <c r="M242" s="5" t="str">
        <f t="shared" si="7"/>
        <v>I</v>
      </c>
      <c r="N242" s="5">
        <f>IF(G242=[1]Clientes!$C$3,[1]Clientes!$D$3,[1]Clientes!$D$2)</f>
        <v>13050505</v>
      </c>
    </row>
    <row r="243" spans="1:14">
      <c r="A243" s="6" t="s">
        <v>7</v>
      </c>
      <c r="B243" s="7">
        <v>45509</v>
      </c>
      <c r="C243" s="6" t="s">
        <v>3375</v>
      </c>
      <c r="D243" s="6" t="s">
        <v>598</v>
      </c>
      <c r="E243" s="6" t="s">
        <v>16</v>
      </c>
      <c r="F243" s="7">
        <v>45539</v>
      </c>
      <c r="G243" s="6" t="s">
        <v>3102</v>
      </c>
      <c r="H243" s="8"/>
      <c r="I243" s="9">
        <v>31828</v>
      </c>
      <c r="J243" s="9">
        <v>31828</v>
      </c>
      <c r="K243" s="5" t="str">
        <f>VLOOKUP(D243,[1]Clientes!$A$1:$B$1370,2,0)</f>
        <v>NAC0594</v>
      </c>
      <c r="L243" s="5" t="str">
        <f t="shared" si="6"/>
        <v>HGI0126189</v>
      </c>
      <c r="M243" s="5" t="str">
        <f t="shared" si="7"/>
        <v>I</v>
      </c>
      <c r="N243" s="5">
        <f>IF(G243=[1]Clientes!$C$3,[1]Clientes!$D$3,[1]Clientes!$D$2)</f>
        <v>13050505</v>
      </c>
    </row>
    <row r="244" spans="1:14">
      <c r="A244" s="6" t="s">
        <v>7</v>
      </c>
      <c r="B244" s="7">
        <v>45509</v>
      </c>
      <c r="C244" s="6" t="s">
        <v>3376</v>
      </c>
      <c r="D244" s="6" t="s">
        <v>598</v>
      </c>
      <c r="E244" s="6" t="s">
        <v>16</v>
      </c>
      <c r="F244" s="7">
        <v>45539</v>
      </c>
      <c r="G244" s="6" t="s">
        <v>3102</v>
      </c>
      <c r="H244" s="8"/>
      <c r="I244" s="9">
        <v>43848</v>
      </c>
      <c r="J244" s="9">
        <v>43848</v>
      </c>
      <c r="K244" s="5" t="str">
        <f>VLOOKUP(D244,[1]Clientes!$A$1:$B$1370,2,0)</f>
        <v>NAC0594</v>
      </c>
      <c r="L244" s="5" t="str">
        <f t="shared" si="6"/>
        <v>HGI0126221</v>
      </c>
      <c r="M244" s="5" t="str">
        <f t="shared" si="7"/>
        <v>I</v>
      </c>
      <c r="N244" s="5">
        <f>IF(G244=[1]Clientes!$C$3,[1]Clientes!$D$3,[1]Clientes!$D$2)</f>
        <v>13050505</v>
      </c>
    </row>
    <row r="245" spans="1:14">
      <c r="A245" s="6" t="s">
        <v>7</v>
      </c>
      <c r="B245" s="7">
        <v>45510</v>
      </c>
      <c r="C245" s="6" t="s">
        <v>3377</v>
      </c>
      <c r="D245" s="6" t="s">
        <v>598</v>
      </c>
      <c r="E245" s="6" t="s">
        <v>16</v>
      </c>
      <c r="F245" s="7">
        <v>45540</v>
      </c>
      <c r="G245" s="6" t="s">
        <v>3102</v>
      </c>
      <c r="H245" s="8"/>
      <c r="I245" s="9">
        <v>617</v>
      </c>
      <c r="J245" s="9">
        <v>617</v>
      </c>
      <c r="K245" s="5" t="str">
        <f>VLOOKUP(D245,[1]Clientes!$A$1:$B$1370,2,0)</f>
        <v>NAC0594</v>
      </c>
      <c r="L245" s="5" t="str">
        <f t="shared" si="6"/>
        <v>HGI0126258</v>
      </c>
      <c r="M245" s="5" t="str">
        <f t="shared" si="7"/>
        <v>I</v>
      </c>
      <c r="N245" s="5">
        <f>IF(G245=[1]Clientes!$C$3,[1]Clientes!$D$3,[1]Clientes!$D$2)</f>
        <v>13050505</v>
      </c>
    </row>
    <row r="246" spans="1:14">
      <c r="A246" s="6" t="s">
        <v>7</v>
      </c>
      <c r="B246" s="7">
        <v>45519</v>
      </c>
      <c r="C246" s="6" t="s">
        <v>3378</v>
      </c>
      <c r="D246" s="6" t="s">
        <v>598</v>
      </c>
      <c r="E246" s="6" t="s">
        <v>16</v>
      </c>
      <c r="F246" s="7">
        <v>45549</v>
      </c>
      <c r="G246" s="6" t="s">
        <v>3102</v>
      </c>
      <c r="H246" s="8"/>
      <c r="I246" s="9">
        <v>100</v>
      </c>
      <c r="J246" s="9">
        <v>100</v>
      </c>
      <c r="K246" s="5" t="str">
        <f>VLOOKUP(D246,[1]Clientes!$A$1:$B$1370,2,0)</f>
        <v>NAC0594</v>
      </c>
      <c r="L246" s="5" t="str">
        <f t="shared" si="6"/>
        <v>HGI0126541</v>
      </c>
      <c r="M246" s="5" t="str">
        <f t="shared" si="7"/>
        <v>I</v>
      </c>
      <c r="N246" s="5">
        <f>IF(G246=[1]Clientes!$C$3,[1]Clientes!$D$3,[1]Clientes!$D$2)</f>
        <v>13050505</v>
      </c>
    </row>
    <row r="247" spans="1:14">
      <c r="A247" s="6" t="s">
        <v>7</v>
      </c>
      <c r="B247" s="7">
        <v>45523</v>
      </c>
      <c r="C247" s="6" t="s">
        <v>3379</v>
      </c>
      <c r="D247" s="6" t="s">
        <v>598</v>
      </c>
      <c r="E247" s="6" t="s">
        <v>16</v>
      </c>
      <c r="F247" s="7">
        <v>45553</v>
      </c>
      <c r="G247" s="6" t="s">
        <v>3102</v>
      </c>
      <c r="H247" s="8"/>
      <c r="I247" s="9">
        <v>2256</v>
      </c>
      <c r="J247" s="9">
        <v>2256</v>
      </c>
      <c r="K247" s="5" t="str">
        <f>VLOOKUP(D247,[1]Clientes!$A$1:$B$1370,2,0)</f>
        <v>NAC0594</v>
      </c>
      <c r="L247" s="5" t="str">
        <f t="shared" si="6"/>
        <v>HGI0126628</v>
      </c>
      <c r="M247" s="5" t="str">
        <f t="shared" si="7"/>
        <v>I</v>
      </c>
      <c r="N247" s="5">
        <f>IF(G247=[1]Clientes!$C$3,[1]Clientes!$D$3,[1]Clientes!$D$2)</f>
        <v>13050505</v>
      </c>
    </row>
    <row r="248" spans="1:14">
      <c r="A248" s="6" t="s">
        <v>7</v>
      </c>
      <c r="B248" s="7">
        <v>45530</v>
      </c>
      <c r="C248" s="6" t="s">
        <v>3380</v>
      </c>
      <c r="D248" s="6" t="s">
        <v>598</v>
      </c>
      <c r="E248" s="6" t="s">
        <v>16</v>
      </c>
      <c r="F248" s="7">
        <v>45560</v>
      </c>
      <c r="G248" s="6" t="s">
        <v>3102</v>
      </c>
      <c r="H248" s="8"/>
      <c r="I248" s="9">
        <v>211.2</v>
      </c>
      <c r="J248" s="9">
        <v>211.2</v>
      </c>
      <c r="K248" s="5" t="str">
        <f>VLOOKUP(D248,[1]Clientes!$A$1:$B$1370,2,0)</f>
        <v>NAC0594</v>
      </c>
      <c r="L248" s="5" t="str">
        <f t="shared" si="6"/>
        <v>HGI0126894</v>
      </c>
      <c r="M248" s="5" t="str">
        <f t="shared" si="7"/>
        <v>I</v>
      </c>
      <c r="N248" s="5">
        <f>IF(G248=[1]Clientes!$C$3,[1]Clientes!$D$3,[1]Clientes!$D$2)</f>
        <v>13050505</v>
      </c>
    </row>
    <row r="249" spans="1:14">
      <c r="A249" s="6" t="s">
        <v>7</v>
      </c>
      <c r="B249" s="7">
        <v>45506</v>
      </c>
      <c r="C249" s="6" t="s">
        <v>3381</v>
      </c>
      <c r="D249" s="6" t="s">
        <v>615</v>
      </c>
      <c r="E249" s="6" t="s">
        <v>16</v>
      </c>
      <c r="F249" s="7">
        <v>45536</v>
      </c>
      <c r="G249" s="6" t="s">
        <v>3102</v>
      </c>
      <c r="H249" s="8"/>
      <c r="I249" s="9">
        <v>4090.32</v>
      </c>
      <c r="J249" s="9">
        <v>4090.32</v>
      </c>
      <c r="K249" s="5" t="str">
        <f>VLOOKUP(D249,[1]Clientes!$A$1:$B$1370,2,0)</f>
        <v>NAC0600</v>
      </c>
      <c r="L249" s="5" t="str">
        <f t="shared" si="6"/>
        <v>HGI0126147</v>
      </c>
      <c r="M249" s="5" t="str">
        <f t="shared" si="7"/>
        <v>I</v>
      </c>
      <c r="N249" s="5">
        <f>IF(G249=[1]Clientes!$C$3,[1]Clientes!$D$3,[1]Clientes!$D$2)</f>
        <v>13050505</v>
      </c>
    </row>
    <row r="250" spans="1:14">
      <c r="A250" s="6" t="s">
        <v>7</v>
      </c>
      <c r="B250" s="7">
        <v>45532</v>
      </c>
      <c r="C250" s="6" t="s">
        <v>3382</v>
      </c>
      <c r="D250" s="6" t="s">
        <v>615</v>
      </c>
      <c r="E250" s="6" t="s">
        <v>16</v>
      </c>
      <c r="F250" s="7">
        <v>45562</v>
      </c>
      <c r="G250" s="6" t="s">
        <v>3102</v>
      </c>
      <c r="H250" s="8"/>
      <c r="I250" s="9">
        <v>2520</v>
      </c>
      <c r="J250" s="9">
        <v>2520</v>
      </c>
      <c r="K250" s="5" t="str">
        <f>VLOOKUP(D250,[1]Clientes!$A$1:$B$1370,2,0)</f>
        <v>NAC0600</v>
      </c>
      <c r="L250" s="5" t="str">
        <f t="shared" si="6"/>
        <v>HGI0127015</v>
      </c>
      <c r="M250" s="5" t="str">
        <f t="shared" si="7"/>
        <v>I</v>
      </c>
      <c r="N250" s="5">
        <f>IF(G250=[1]Clientes!$C$3,[1]Clientes!$D$3,[1]Clientes!$D$2)</f>
        <v>13050505</v>
      </c>
    </row>
    <row r="251" spans="1:14">
      <c r="A251" s="6" t="s">
        <v>7</v>
      </c>
      <c r="B251" s="7">
        <v>45488</v>
      </c>
      <c r="C251" s="6" t="s">
        <v>3383</v>
      </c>
      <c r="D251" s="6" t="s">
        <v>3384</v>
      </c>
      <c r="E251" s="6" t="s">
        <v>382</v>
      </c>
      <c r="F251" s="7">
        <v>45548</v>
      </c>
      <c r="G251" s="6" t="s">
        <v>3102</v>
      </c>
      <c r="H251" s="8"/>
      <c r="I251" s="9">
        <v>23867.31</v>
      </c>
      <c r="J251" s="9">
        <v>23867.31</v>
      </c>
      <c r="K251" s="5" t="str">
        <f>VLOOKUP(D251,[1]Clientes!$A$1:$B$1485,2,0)</f>
        <v>NAC0609</v>
      </c>
      <c r="L251" s="5" t="str">
        <f t="shared" si="6"/>
        <v>HGI0125697</v>
      </c>
      <c r="M251" s="5" t="str">
        <f t="shared" si="7"/>
        <v>I</v>
      </c>
      <c r="N251" s="5">
        <f>IF(G251=[1]Clientes!$C$3,[1]Clientes!$D$3,[1]Clientes!$D$2)</f>
        <v>13050505</v>
      </c>
    </row>
    <row r="252" spans="1:14">
      <c r="A252" s="6" t="s">
        <v>7</v>
      </c>
      <c r="B252" s="7">
        <v>45511</v>
      </c>
      <c r="C252" s="6" t="s">
        <v>3385</v>
      </c>
      <c r="D252" s="6" t="s">
        <v>3384</v>
      </c>
      <c r="E252" s="6" t="s">
        <v>382</v>
      </c>
      <c r="F252" s="7">
        <v>45571</v>
      </c>
      <c r="G252" s="6" t="s">
        <v>3102</v>
      </c>
      <c r="H252" s="8"/>
      <c r="I252" s="9">
        <v>78952.160000000003</v>
      </c>
      <c r="J252" s="9">
        <v>78952.160000000003</v>
      </c>
      <c r="K252" s="5" t="str">
        <f>VLOOKUP(D252,[1]Clientes!$A$1:$B$1485,2,0)</f>
        <v>NAC0609</v>
      </c>
      <c r="L252" s="5" t="str">
        <f t="shared" si="6"/>
        <v>HGI0126309</v>
      </c>
      <c r="M252" s="5" t="str">
        <f t="shared" si="7"/>
        <v>I</v>
      </c>
      <c r="N252" s="5">
        <f>IF(G252=[1]Clientes!$C$3,[1]Clientes!$D$3,[1]Clientes!$D$2)</f>
        <v>13050505</v>
      </c>
    </row>
    <row r="253" spans="1:14">
      <c r="A253" s="6" t="s">
        <v>7</v>
      </c>
      <c r="B253" s="7">
        <v>45392</v>
      </c>
      <c r="C253" s="6" t="s">
        <v>3386</v>
      </c>
      <c r="D253" s="6" t="s">
        <v>621</v>
      </c>
      <c r="E253" s="6" t="s">
        <v>382</v>
      </c>
      <c r="F253" s="7">
        <v>45452</v>
      </c>
      <c r="G253" s="6" t="s">
        <v>3102</v>
      </c>
      <c r="H253" s="8">
        <v>83</v>
      </c>
      <c r="I253" s="9">
        <v>6000</v>
      </c>
      <c r="J253" s="9">
        <v>65783.649999999994</v>
      </c>
      <c r="K253" s="5" t="str">
        <f>VLOOKUP(D253,[1]Clientes!$A$1:$B$1370,2,0)</f>
        <v>NAC0610</v>
      </c>
      <c r="L253" s="5" t="str">
        <f t="shared" si="6"/>
        <v>HGI0122829</v>
      </c>
      <c r="M253" s="5" t="str">
        <f t="shared" si="7"/>
        <v>I</v>
      </c>
      <c r="N253" s="5">
        <f>IF(G253=[1]Clientes!$C$3,[1]Clientes!$D$3,[1]Clientes!$D$2)</f>
        <v>13050505</v>
      </c>
    </row>
    <row r="254" spans="1:14">
      <c r="A254" s="6" t="s">
        <v>7</v>
      </c>
      <c r="B254" s="7">
        <v>45470</v>
      </c>
      <c r="C254" s="6" t="s">
        <v>3387</v>
      </c>
      <c r="D254" s="6" t="s">
        <v>621</v>
      </c>
      <c r="E254" s="6" t="s">
        <v>382</v>
      </c>
      <c r="F254" s="7">
        <v>45530</v>
      </c>
      <c r="G254" s="6" t="s">
        <v>3102</v>
      </c>
      <c r="H254" s="8">
        <v>5</v>
      </c>
      <c r="I254" s="9">
        <v>59744.02</v>
      </c>
      <c r="J254" s="9">
        <v>59744.02</v>
      </c>
      <c r="K254" s="5" t="str">
        <f>VLOOKUP(D254,[1]Clientes!$A$1:$B$1370,2,0)</f>
        <v>NAC0610</v>
      </c>
      <c r="L254" s="5" t="str">
        <f t="shared" si="6"/>
        <v>HGI0125343</v>
      </c>
      <c r="M254" s="5" t="str">
        <f t="shared" si="7"/>
        <v>I</v>
      </c>
      <c r="N254" s="5">
        <f>IF(G254=[1]Clientes!$C$3,[1]Clientes!$D$3,[1]Clientes!$D$2)</f>
        <v>13050505</v>
      </c>
    </row>
    <row r="255" spans="1:14">
      <c r="A255" s="6" t="s">
        <v>7</v>
      </c>
      <c r="B255" s="7">
        <v>45149</v>
      </c>
      <c r="C255" s="6" t="s">
        <v>3388</v>
      </c>
      <c r="D255" s="6" t="s">
        <v>79</v>
      </c>
      <c r="E255" s="6" t="s">
        <v>16</v>
      </c>
      <c r="F255" s="7">
        <v>45179</v>
      </c>
      <c r="G255" s="6" t="s">
        <v>3102</v>
      </c>
      <c r="H255" s="8">
        <v>356</v>
      </c>
      <c r="I255" s="9">
        <v>128.80000000000001</v>
      </c>
      <c r="J255" s="9">
        <v>2885.12</v>
      </c>
      <c r="K255" s="5" t="str">
        <f>VLOOKUP(D255,[1]Clientes!$A$1:$B$1370,2,0)</f>
        <v>CAN0006</v>
      </c>
      <c r="L255" s="5" t="str">
        <f t="shared" si="6"/>
        <v>HGI0114263</v>
      </c>
      <c r="M255" s="5" t="str">
        <f t="shared" si="7"/>
        <v>I</v>
      </c>
      <c r="N255" s="5">
        <f>IF(G255=[1]Clientes!$C$3,[1]Clientes!$D$3,[1]Clientes!$D$2)</f>
        <v>13050505</v>
      </c>
    </row>
    <row r="256" spans="1:14">
      <c r="A256" s="6" t="s">
        <v>7</v>
      </c>
      <c r="B256" s="7">
        <v>45153</v>
      </c>
      <c r="C256" s="6" t="s">
        <v>3389</v>
      </c>
      <c r="D256" s="6" t="s">
        <v>79</v>
      </c>
      <c r="E256" s="6" t="s">
        <v>16</v>
      </c>
      <c r="F256" s="7">
        <v>45183</v>
      </c>
      <c r="G256" s="6" t="s">
        <v>3102</v>
      </c>
      <c r="H256" s="8">
        <v>352</v>
      </c>
      <c r="I256" s="9">
        <v>202.19</v>
      </c>
      <c r="J256" s="9">
        <v>4527.67</v>
      </c>
      <c r="K256" s="5" t="str">
        <f>VLOOKUP(D256,[1]Clientes!$A$1:$B$1370,2,0)</f>
        <v>CAN0006</v>
      </c>
      <c r="L256" s="5" t="str">
        <f t="shared" si="6"/>
        <v>HGI0114442</v>
      </c>
      <c r="M256" s="5" t="str">
        <f t="shared" si="7"/>
        <v>I</v>
      </c>
      <c r="N256" s="5">
        <f>IF(G256=[1]Clientes!$C$3,[1]Clientes!$D$3,[1]Clientes!$D$2)</f>
        <v>13050505</v>
      </c>
    </row>
    <row r="257" spans="1:14">
      <c r="A257" s="6" t="s">
        <v>7</v>
      </c>
      <c r="B257" s="7">
        <v>45156</v>
      </c>
      <c r="C257" s="6" t="s">
        <v>3390</v>
      </c>
      <c r="D257" s="6" t="s">
        <v>79</v>
      </c>
      <c r="E257" s="6" t="s">
        <v>16</v>
      </c>
      <c r="F257" s="7">
        <v>45186</v>
      </c>
      <c r="G257" s="6" t="s">
        <v>3102</v>
      </c>
      <c r="H257" s="8">
        <v>349</v>
      </c>
      <c r="I257" s="9">
        <v>253.76</v>
      </c>
      <c r="J257" s="9">
        <v>5684.01</v>
      </c>
      <c r="K257" s="5" t="str">
        <f>VLOOKUP(D257,[1]Clientes!$A$1:$B$1370,2,0)</f>
        <v>CAN0006</v>
      </c>
      <c r="L257" s="5" t="str">
        <f t="shared" si="6"/>
        <v>HGI0114557</v>
      </c>
      <c r="M257" s="5" t="str">
        <f t="shared" si="7"/>
        <v>I</v>
      </c>
      <c r="N257" s="5">
        <f>IF(G257=[1]Clientes!$C$3,[1]Clientes!$D$3,[1]Clientes!$D$2)</f>
        <v>13050505</v>
      </c>
    </row>
    <row r="258" spans="1:14">
      <c r="A258" s="6" t="s">
        <v>7</v>
      </c>
      <c r="B258" s="7">
        <v>45168</v>
      </c>
      <c r="C258" s="6" t="s">
        <v>3391</v>
      </c>
      <c r="D258" s="6" t="s">
        <v>79</v>
      </c>
      <c r="E258" s="6" t="s">
        <v>16</v>
      </c>
      <c r="F258" s="7">
        <v>45198</v>
      </c>
      <c r="G258" s="6" t="s">
        <v>3102</v>
      </c>
      <c r="H258" s="8">
        <v>337</v>
      </c>
      <c r="I258" s="9">
        <v>361.73</v>
      </c>
      <c r="J258" s="9">
        <v>8102.65</v>
      </c>
      <c r="K258" s="5" t="str">
        <f>VLOOKUP(D258,[1]Clientes!$A$1:$B$1370,2,0)</f>
        <v>CAN0006</v>
      </c>
      <c r="L258" s="5" t="str">
        <f t="shared" si="6"/>
        <v>HGI0114744</v>
      </c>
      <c r="M258" s="5" t="str">
        <f t="shared" si="7"/>
        <v>I</v>
      </c>
      <c r="N258" s="5">
        <f>IF(G258=[1]Clientes!$C$3,[1]Clientes!$D$3,[1]Clientes!$D$2)</f>
        <v>13050505</v>
      </c>
    </row>
    <row r="259" spans="1:14">
      <c r="A259" s="6" t="s">
        <v>7</v>
      </c>
      <c r="B259" s="7">
        <v>45180</v>
      </c>
      <c r="C259" s="6" t="s">
        <v>3392</v>
      </c>
      <c r="D259" s="6" t="s">
        <v>79</v>
      </c>
      <c r="E259" s="6" t="s">
        <v>16</v>
      </c>
      <c r="F259" s="7">
        <v>45210</v>
      </c>
      <c r="G259" s="6" t="s">
        <v>3102</v>
      </c>
      <c r="H259" s="8">
        <v>325</v>
      </c>
      <c r="I259" s="9">
        <v>0.01</v>
      </c>
      <c r="J259" s="9">
        <v>9741.2199999999993</v>
      </c>
      <c r="K259" s="5" t="str">
        <f>VLOOKUP(D259,[1]Clientes!$A$1:$B$1370,2,0)</f>
        <v>CAN0006</v>
      </c>
      <c r="L259" s="5" t="str">
        <f t="shared" ref="L259:L322" si="8">IF(A259="Invoice",
    IF(LEFT(C259,5)="TGDR-", "TGDR"&amp;RIGHT(C259,LEN(C259)-5), "HGI"&amp;C259),
    IF(A259="Credit Memo",
        IF(LEFT(C259,5)="TGDR-", "CRM"&amp;RIGHT(C259,LEN(C259)-5), "CRM"&amp;C259),
        "Revisar")
)</f>
        <v>HGI0115035</v>
      </c>
      <c r="M259" s="5" t="str">
        <f t="shared" ref="M259:M322" si="9">IF(A259="Invoice","I",IF(A259="Credit Memo","C",IF(A259="Payment","P","GJ")))</f>
        <v>I</v>
      </c>
      <c r="N259" s="5">
        <f>IF(G259=[1]Clientes!$C$3,[1]Clientes!$D$3,[1]Clientes!$D$2)</f>
        <v>13050505</v>
      </c>
    </row>
    <row r="260" spans="1:14">
      <c r="A260" s="6" t="s">
        <v>7</v>
      </c>
      <c r="B260" s="7">
        <v>45196</v>
      </c>
      <c r="C260" s="6" t="s">
        <v>3393</v>
      </c>
      <c r="D260" s="6" t="s">
        <v>79</v>
      </c>
      <c r="E260" s="6" t="s">
        <v>16</v>
      </c>
      <c r="F260" s="7">
        <v>45226</v>
      </c>
      <c r="G260" s="6" t="s">
        <v>3102</v>
      </c>
      <c r="H260" s="8">
        <v>309</v>
      </c>
      <c r="I260" s="9">
        <v>105</v>
      </c>
      <c r="J260" s="9">
        <v>2352</v>
      </c>
      <c r="K260" s="5" t="str">
        <f>VLOOKUP(D260,[1]Clientes!$A$1:$B$1370,2,0)</f>
        <v>CAN0006</v>
      </c>
      <c r="L260" s="5" t="str">
        <f t="shared" si="8"/>
        <v>HGI0115478</v>
      </c>
      <c r="M260" s="5" t="str">
        <f t="shared" si="9"/>
        <v>I</v>
      </c>
      <c r="N260" s="5">
        <f>IF(G260=[1]Clientes!$C$3,[1]Clientes!$D$3,[1]Clientes!$D$2)</f>
        <v>13050505</v>
      </c>
    </row>
    <row r="261" spans="1:14">
      <c r="A261" s="6" t="s">
        <v>7</v>
      </c>
      <c r="B261" s="7">
        <v>45196</v>
      </c>
      <c r="C261" s="6" t="s">
        <v>3394</v>
      </c>
      <c r="D261" s="6" t="s">
        <v>79</v>
      </c>
      <c r="E261" s="6" t="s">
        <v>16</v>
      </c>
      <c r="F261" s="7">
        <v>45226</v>
      </c>
      <c r="G261" s="6" t="s">
        <v>3102</v>
      </c>
      <c r="H261" s="8">
        <v>309</v>
      </c>
      <c r="I261" s="9">
        <v>300</v>
      </c>
      <c r="J261" s="9">
        <v>6720</v>
      </c>
      <c r="K261" s="5" t="str">
        <f>VLOOKUP(D261,[1]Clientes!$A$1:$B$1370,2,0)</f>
        <v>CAN0006</v>
      </c>
      <c r="L261" s="5" t="str">
        <f t="shared" si="8"/>
        <v>HGI0115479</v>
      </c>
      <c r="M261" s="5" t="str">
        <f t="shared" si="9"/>
        <v>I</v>
      </c>
      <c r="N261" s="5">
        <f>IF(G261=[1]Clientes!$C$3,[1]Clientes!$D$3,[1]Clientes!$D$2)</f>
        <v>13050505</v>
      </c>
    </row>
    <row r="262" spans="1:14">
      <c r="A262" s="6" t="s">
        <v>7</v>
      </c>
      <c r="B262" s="7">
        <v>45197</v>
      </c>
      <c r="C262" s="6" t="s">
        <v>3395</v>
      </c>
      <c r="D262" s="6" t="s">
        <v>79</v>
      </c>
      <c r="E262" s="6" t="s">
        <v>16</v>
      </c>
      <c r="F262" s="7">
        <v>45227</v>
      </c>
      <c r="G262" s="6" t="s">
        <v>3102</v>
      </c>
      <c r="H262" s="8">
        <v>308</v>
      </c>
      <c r="I262" s="9">
        <v>417.01</v>
      </c>
      <c r="J262" s="9">
        <v>9339.4699999999993</v>
      </c>
      <c r="K262" s="5" t="str">
        <f>VLOOKUP(D262,[1]Clientes!$A$1:$B$1370,2,0)</f>
        <v>CAN0006</v>
      </c>
      <c r="L262" s="5" t="str">
        <f t="shared" si="8"/>
        <v>HGI0115522</v>
      </c>
      <c r="M262" s="5" t="str">
        <f t="shared" si="9"/>
        <v>I</v>
      </c>
      <c r="N262" s="5">
        <f>IF(G262=[1]Clientes!$C$3,[1]Clientes!$D$3,[1]Clientes!$D$2)</f>
        <v>13050505</v>
      </c>
    </row>
    <row r="263" spans="1:14">
      <c r="A263" s="6" t="s">
        <v>7</v>
      </c>
      <c r="B263" s="7">
        <v>45202</v>
      </c>
      <c r="C263" s="6" t="s">
        <v>3396</v>
      </c>
      <c r="D263" s="6" t="s">
        <v>79</v>
      </c>
      <c r="E263" s="6" t="s">
        <v>16</v>
      </c>
      <c r="F263" s="7">
        <v>45232</v>
      </c>
      <c r="G263" s="6" t="s">
        <v>3102</v>
      </c>
      <c r="H263" s="8">
        <v>303</v>
      </c>
      <c r="I263" s="9">
        <v>192.5</v>
      </c>
      <c r="J263" s="9">
        <v>4312</v>
      </c>
      <c r="K263" s="5" t="str">
        <f>VLOOKUP(D263,[1]Clientes!$A$1:$B$1370,2,0)</f>
        <v>CAN0006</v>
      </c>
      <c r="L263" s="5" t="str">
        <f t="shared" si="8"/>
        <v>HGI0115638</v>
      </c>
      <c r="M263" s="5" t="str">
        <f t="shared" si="9"/>
        <v>I</v>
      </c>
      <c r="N263" s="5">
        <f>IF(G263=[1]Clientes!$C$3,[1]Clientes!$D$3,[1]Clientes!$D$2)</f>
        <v>13050505</v>
      </c>
    </row>
    <row r="264" spans="1:14">
      <c r="A264" s="6" t="s">
        <v>7</v>
      </c>
      <c r="B264" s="7">
        <v>45209</v>
      </c>
      <c r="C264" s="6" t="s">
        <v>3397</v>
      </c>
      <c r="D264" s="6" t="s">
        <v>79</v>
      </c>
      <c r="E264" s="6" t="s">
        <v>16</v>
      </c>
      <c r="F264" s="7">
        <v>45239</v>
      </c>
      <c r="G264" s="6" t="s">
        <v>3102</v>
      </c>
      <c r="H264" s="8">
        <v>296</v>
      </c>
      <c r="I264" s="9">
        <v>126</v>
      </c>
      <c r="J264" s="9">
        <v>2822.4</v>
      </c>
      <c r="K264" s="5" t="str">
        <f>VLOOKUP(D264,[1]Clientes!$A$1:$B$1370,2,0)</f>
        <v>CAN0006</v>
      </c>
      <c r="L264" s="5" t="str">
        <f t="shared" si="8"/>
        <v>HGI0115833</v>
      </c>
      <c r="M264" s="5" t="str">
        <f t="shared" si="9"/>
        <v>I</v>
      </c>
      <c r="N264" s="5">
        <f>IF(G264=[1]Clientes!$C$3,[1]Clientes!$D$3,[1]Clientes!$D$2)</f>
        <v>13050505</v>
      </c>
    </row>
    <row r="265" spans="1:14">
      <c r="A265" s="6" t="s">
        <v>7</v>
      </c>
      <c r="B265" s="7">
        <v>45209</v>
      </c>
      <c r="C265" s="6" t="s">
        <v>3398</v>
      </c>
      <c r="D265" s="6" t="s">
        <v>79</v>
      </c>
      <c r="E265" s="6" t="s">
        <v>16</v>
      </c>
      <c r="F265" s="7">
        <v>45239</v>
      </c>
      <c r="G265" s="6" t="s">
        <v>3102</v>
      </c>
      <c r="H265" s="8">
        <v>296</v>
      </c>
      <c r="I265" s="9">
        <v>105</v>
      </c>
      <c r="J265" s="9">
        <v>2352</v>
      </c>
      <c r="K265" s="5" t="str">
        <f>VLOOKUP(D265,[1]Clientes!$A$1:$B$1370,2,0)</f>
        <v>CAN0006</v>
      </c>
      <c r="L265" s="5" t="str">
        <f t="shared" si="8"/>
        <v>HGI0115834</v>
      </c>
      <c r="M265" s="5" t="str">
        <f t="shared" si="9"/>
        <v>I</v>
      </c>
      <c r="N265" s="5">
        <f>IF(G265=[1]Clientes!$C$3,[1]Clientes!$D$3,[1]Clientes!$D$2)</f>
        <v>13050505</v>
      </c>
    </row>
    <row r="266" spans="1:14">
      <c r="A266" s="6" t="s">
        <v>7</v>
      </c>
      <c r="B266" s="7">
        <v>45209</v>
      </c>
      <c r="C266" s="6" t="s">
        <v>3399</v>
      </c>
      <c r="D266" s="6" t="s">
        <v>79</v>
      </c>
      <c r="E266" s="6" t="s">
        <v>16</v>
      </c>
      <c r="F266" s="7">
        <v>45239</v>
      </c>
      <c r="G266" s="6" t="s">
        <v>3102</v>
      </c>
      <c r="H266" s="8">
        <v>296</v>
      </c>
      <c r="I266" s="9">
        <v>1070</v>
      </c>
      <c r="J266" s="9">
        <v>23968</v>
      </c>
      <c r="K266" s="5" t="str">
        <f>VLOOKUP(D266,[1]Clientes!$A$1:$B$1370,2,0)</f>
        <v>CAN0006</v>
      </c>
      <c r="L266" s="5" t="str">
        <f t="shared" si="8"/>
        <v>HGI0115835</v>
      </c>
      <c r="M266" s="5" t="str">
        <f t="shared" si="9"/>
        <v>I</v>
      </c>
      <c r="N266" s="5">
        <f>IF(G266=[1]Clientes!$C$3,[1]Clientes!$D$3,[1]Clientes!$D$2)</f>
        <v>13050505</v>
      </c>
    </row>
    <row r="267" spans="1:14">
      <c r="A267" s="6" t="s">
        <v>7</v>
      </c>
      <c r="B267" s="7">
        <v>45209</v>
      </c>
      <c r="C267" s="6" t="s">
        <v>3400</v>
      </c>
      <c r="D267" s="6" t="s">
        <v>79</v>
      </c>
      <c r="E267" s="6" t="s">
        <v>16</v>
      </c>
      <c r="F267" s="7">
        <v>45239</v>
      </c>
      <c r="G267" s="6" t="s">
        <v>3102</v>
      </c>
      <c r="H267" s="8">
        <v>296</v>
      </c>
      <c r="I267" s="9">
        <v>400</v>
      </c>
      <c r="J267" s="9">
        <v>8960</v>
      </c>
      <c r="K267" s="5" t="str">
        <f>VLOOKUP(D267,[1]Clientes!$A$1:$B$1370,2,0)</f>
        <v>CAN0006</v>
      </c>
      <c r="L267" s="5" t="str">
        <f t="shared" si="8"/>
        <v>HGI0115836</v>
      </c>
      <c r="M267" s="5" t="str">
        <f t="shared" si="9"/>
        <v>I</v>
      </c>
      <c r="N267" s="5">
        <f>IF(G267=[1]Clientes!$C$3,[1]Clientes!$D$3,[1]Clientes!$D$2)</f>
        <v>13050505</v>
      </c>
    </row>
    <row r="268" spans="1:14">
      <c r="A268" s="6" t="s">
        <v>7</v>
      </c>
      <c r="B268" s="7">
        <v>45212</v>
      </c>
      <c r="C268" s="6" t="s">
        <v>3401</v>
      </c>
      <c r="D268" s="6" t="s">
        <v>79</v>
      </c>
      <c r="E268" s="6" t="s">
        <v>16</v>
      </c>
      <c r="F268" s="7">
        <v>45242</v>
      </c>
      <c r="G268" s="6" t="s">
        <v>3102</v>
      </c>
      <c r="H268" s="8">
        <v>293</v>
      </c>
      <c r="I268" s="9">
        <v>254.05</v>
      </c>
      <c r="J268" s="9">
        <v>5690.72</v>
      </c>
      <c r="K268" s="5" t="str">
        <f>VLOOKUP(D268,[1]Clientes!$A$1:$B$1370,2,0)</f>
        <v>CAN0006</v>
      </c>
      <c r="L268" s="5" t="str">
        <f t="shared" si="8"/>
        <v>HGI0116689</v>
      </c>
      <c r="M268" s="5" t="str">
        <f t="shared" si="9"/>
        <v>I</v>
      </c>
      <c r="N268" s="5">
        <f>IF(G268=[1]Clientes!$C$3,[1]Clientes!$D$3,[1]Clientes!$D$2)</f>
        <v>13050505</v>
      </c>
    </row>
    <row r="269" spans="1:14">
      <c r="A269" s="6" t="s">
        <v>7</v>
      </c>
      <c r="B269" s="7">
        <v>45218</v>
      </c>
      <c r="C269" s="6" t="s">
        <v>3402</v>
      </c>
      <c r="D269" s="6" t="s">
        <v>79</v>
      </c>
      <c r="E269" s="6" t="s">
        <v>16</v>
      </c>
      <c r="F269" s="7">
        <v>45248</v>
      </c>
      <c r="G269" s="6" t="s">
        <v>3102</v>
      </c>
      <c r="H269" s="8">
        <v>287</v>
      </c>
      <c r="I269" s="9">
        <v>253.45</v>
      </c>
      <c r="J269" s="9">
        <v>5677.01</v>
      </c>
      <c r="K269" s="5" t="str">
        <f>VLOOKUP(D269,[1]Clientes!$A$1:$B$1370,2,0)</f>
        <v>CAN0006</v>
      </c>
      <c r="L269" s="5" t="str">
        <f t="shared" si="8"/>
        <v>HGI0116182</v>
      </c>
      <c r="M269" s="5" t="str">
        <f t="shared" si="9"/>
        <v>I</v>
      </c>
      <c r="N269" s="5">
        <f>IF(G269=[1]Clientes!$C$3,[1]Clientes!$D$3,[1]Clientes!$D$2)</f>
        <v>13050505</v>
      </c>
    </row>
    <row r="270" spans="1:14">
      <c r="A270" s="6" t="s">
        <v>7</v>
      </c>
      <c r="B270" s="7">
        <v>45224</v>
      </c>
      <c r="C270" s="6" t="s">
        <v>3403</v>
      </c>
      <c r="D270" s="6" t="s">
        <v>79</v>
      </c>
      <c r="E270" s="6" t="s">
        <v>16</v>
      </c>
      <c r="F270" s="7">
        <v>45254</v>
      </c>
      <c r="G270" s="6" t="s">
        <v>3102</v>
      </c>
      <c r="H270" s="8">
        <v>281</v>
      </c>
      <c r="I270" s="9">
        <v>385</v>
      </c>
      <c r="J270" s="9">
        <v>8624</v>
      </c>
      <c r="K270" s="5" t="str">
        <f>VLOOKUP(D270,[1]Clientes!$A$1:$B$1370,2,0)</f>
        <v>CAN0006</v>
      </c>
      <c r="L270" s="5" t="str">
        <f t="shared" si="8"/>
        <v>HGI0116484</v>
      </c>
      <c r="M270" s="5" t="str">
        <f t="shared" si="9"/>
        <v>I</v>
      </c>
      <c r="N270" s="5">
        <f>IF(G270=[1]Clientes!$C$3,[1]Clientes!$D$3,[1]Clientes!$D$2)</f>
        <v>13050505</v>
      </c>
    </row>
    <row r="271" spans="1:14">
      <c r="A271" s="6" t="s">
        <v>3099</v>
      </c>
      <c r="B271" s="7">
        <v>45289</v>
      </c>
      <c r="C271" s="6" t="s">
        <v>3404</v>
      </c>
      <c r="D271" s="6" t="s">
        <v>79</v>
      </c>
      <c r="E271" s="6" t="s">
        <v>16</v>
      </c>
      <c r="F271" s="7">
        <v>45319</v>
      </c>
      <c r="G271" s="6" t="s">
        <v>3102</v>
      </c>
      <c r="H271" s="8">
        <v>216</v>
      </c>
      <c r="I271" s="9">
        <v>-271</v>
      </c>
      <c r="J271" s="9">
        <v>-271</v>
      </c>
      <c r="K271" s="5" t="str">
        <f>VLOOKUP(D271,[1]Clientes!$A$1:$B$1370,2,0)</f>
        <v>CAN0006</v>
      </c>
      <c r="L271" s="5" t="str">
        <f t="shared" si="8"/>
        <v>CRM0118875</v>
      </c>
      <c r="M271" s="5" t="str">
        <f t="shared" si="9"/>
        <v>C</v>
      </c>
      <c r="N271" s="5">
        <f>IF(G271=[1]Clientes!$C$3,[1]Clientes!$D$3,[1]Clientes!$D$2)</f>
        <v>13050505</v>
      </c>
    </row>
    <row r="272" spans="1:14">
      <c r="A272" s="6" t="s">
        <v>3099</v>
      </c>
      <c r="B272" s="7">
        <v>45289</v>
      </c>
      <c r="C272" s="6" t="s">
        <v>3405</v>
      </c>
      <c r="D272" s="6" t="s">
        <v>79</v>
      </c>
      <c r="E272" s="6" t="s">
        <v>16</v>
      </c>
      <c r="F272" s="7">
        <v>45319</v>
      </c>
      <c r="G272" s="6" t="s">
        <v>3102</v>
      </c>
      <c r="H272" s="8">
        <v>216</v>
      </c>
      <c r="I272" s="9">
        <v>-312.10000000000002</v>
      </c>
      <c r="J272" s="9">
        <v>-312.10000000000002</v>
      </c>
      <c r="K272" s="5" t="str">
        <f>VLOOKUP(D272,[1]Clientes!$A$1:$B$1370,2,0)</f>
        <v>CAN0006</v>
      </c>
      <c r="L272" s="5" t="str">
        <f t="shared" si="8"/>
        <v>CRM0118879</v>
      </c>
      <c r="M272" s="5" t="str">
        <f t="shared" si="9"/>
        <v>C</v>
      </c>
      <c r="N272" s="5">
        <f>IF(G272=[1]Clientes!$C$3,[1]Clientes!$D$3,[1]Clientes!$D$2)</f>
        <v>13050505</v>
      </c>
    </row>
    <row r="273" spans="1:14">
      <c r="A273" s="6" t="s">
        <v>3139</v>
      </c>
      <c r="B273" s="7">
        <v>45329</v>
      </c>
      <c r="C273" s="6"/>
      <c r="D273" s="6" t="s">
        <v>79</v>
      </c>
      <c r="E273" s="6"/>
      <c r="F273" s="7"/>
      <c r="G273" s="6" t="s">
        <v>3102</v>
      </c>
      <c r="H273" s="8"/>
      <c r="I273" s="9">
        <v>-4695.08</v>
      </c>
      <c r="J273" s="9">
        <v>-98652.83</v>
      </c>
      <c r="K273" s="5" t="str">
        <f>VLOOKUP(D273,[1]Clientes!$A$1:$B$1370,2,0)</f>
        <v>CAN0006</v>
      </c>
      <c r="L273" s="5" t="str">
        <f t="shared" si="8"/>
        <v>Revisar</v>
      </c>
      <c r="M273" s="5" t="str">
        <f t="shared" si="9"/>
        <v>P</v>
      </c>
      <c r="N273" s="5">
        <f>IF(G273=[1]Clientes!$C$3,[1]Clientes!$D$3,[1]Clientes!$D$2)</f>
        <v>13050505</v>
      </c>
    </row>
    <row r="274" spans="1:14">
      <c r="A274" s="6" t="s">
        <v>3099</v>
      </c>
      <c r="B274" s="7">
        <v>45320</v>
      </c>
      <c r="C274" s="6" t="s">
        <v>3406</v>
      </c>
      <c r="D274" s="6" t="s">
        <v>79</v>
      </c>
      <c r="E274" s="6" t="s">
        <v>16</v>
      </c>
      <c r="F274" s="7">
        <v>45350</v>
      </c>
      <c r="G274" s="6" t="s">
        <v>3102</v>
      </c>
      <c r="H274" s="8">
        <v>185</v>
      </c>
      <c r="I274" s="9">
        <v>-459.99</v>
      </c>
      <c r="J274" s="9">
        <v>-459.99</v>
      </c>
      <c r="K274" s="5" t="str">
        <f>VLOOKUP(D274,[1]Clientes!$A$1:$B$1370,2,0)</f>
        <v>CAN0006</v>
      </c>
      <c r="L274" s="5" t="str">
        <f t="shared" si="8"/>
        <v>CRM0120005</v>
      </c>
      <c r="M274" s="5" t="str">
        <f t="shared" si="9"/>
        <v>C</v>
      </c>
      <c r="N274" s="5">
        <f>IF(G274=[1]Clientes!$C$3,[1]Clientes!$D$3,[1]Clientes!$D$2)</f>
        <v>13050505</v>
      </c>
    </row>
    <row r="275" spans="1:14">
      <c r="A275" s="6" t="s">
        <v>7</v>
      </c>
      <c r="B275" s="7">
        <v>45323</v>
      </c>
      <c r="C275" s="6" t="s">
        <v>3407</v>
      </c>
      <c r="D275" s="6" t="s">
        <v>79</v>
      </c>
      <c r="E275" s="6" t="s">
        <v>16</v>
      </c>
      <c r="F275" s="7">
        <v>45353</v>
      </c>
      <c r="G275" s="6" t="s">
        <v>3102</v>
      </c>
      <c r="H275" s="8">
        <v>182</v>
      </c>
      <c r="I275" s="9">
        <v>859.95</v>
      </c>
      <c r="J275" s="9">
        <v>5843.25</v>
      </c>
      <c r="K275" s="5" t="str">
        <f>VLOOKUP(D275,[1]Clientes!$A$1:$B$1370,2,0)</f>
        <v>CAN0006</v>
      </c>
      <c r="L275" s="5" t="str">
        <f t="shared" si="8"/>
        <v>HGI0120299</v>
      </c>
      <c r="M275" s="5" t="str">
        <f t="shared" si="9"/>
        <v>I</v>
      </c>
      <c r="N275" s="5">
        <f>IF(G275=[1]Clientes!$C$3,[1]Clientes!$D$3,[1]Clientes!$D$2)</f>
        <v>13050505</v>
      </c>
    </row>
    <row r="276" spans="1:14">
      <c r="A276" s="6" t="s">
        <v>3099</v>
      </c>
      <c r="B276" s="7">
        <v>45331</v>
      </c>
      <c r="C276" s="6" t="s">
        <v>3408</v>
      </c>
      <c r="D276" s="6" t="s">
        <v>79</v>
      </c>
      <c r="E276" s="6" t="s">
        <v>16</v>
      </c>
      <c r="F276" s="7">
        <v>45361</v>
      </c>
      <c r="G276" s="6" t="s">
        <v>3102</v>
      </c>
      <c r="H276" s="8">
        <v>174</v>
      </c>
      <c r="I276" s="9">
        <v>-771.75</v>
      </c>
      <c r="J276" s="9">
        <v>-771.75</v>
      </c>
      <c r="K276" s="5" t="str">
        <f>VLOOKUP(D276,[1]Clientes!$A$1:$B$1370,2,0)</f>
        <v>CAN0006</v>
      </c>
      <c r="L276" s="5" t="str">
        <f t="shared" si="8"/>
        <v>CRM0120766</v>
      </c>
      <c r="M276" s="5" t="str">
        <f t="shared" si="9"/>
        <v>C</v>
      </c>
      <c r="N276" s="5">
        <f>IF(G276=[1]Clientes!$C$3,[1]Clientes!$D$3,[1]Clientes!$D$2)</f>
        <v>13050505</v>
      </c>
    </row>
    <row r="277" spans="1:14">
      <c r="A277" s="6" t="s">
        <v>3099</v>
      </c>
      <c r="B277" s="7">
        <v>45342</v>
      </c>
      <c r="C277" s="6" t="s">
        <v>3409</v>
      </c>
      <c r="D277" s="6" t="s">
        <v>79</v>
      </c>
      <c r="E277" s="6" t="s">
        <v>16</v>
      </c>
      <c r="F277" s="7">
        <v>45372</v>
      </c>
      <c r="G277" s="6" t="s">
        <v>3102</v>
      </c>
      <c r="H277" s="8">
        <v>163</v>
      </c>
      <c r="I277" s="9">
        <v>-88.2</v>
      </c>
      <c r="J277" s="9">
        <v>-88.2</v>
      </c>
      <c r="K277" s="5" t="str">
        <f>VLOOKUP(D277,[1]Clientes!$A$1:$B$1370,2,0)</f>
        <v>CAN0006</v>
      </c>
      <c r="L277" s="5" t="str">
        <f t="shared" si="8"/>
        <v>CRM0121078</v>
      </c>
      <c r="M277" s="5" t="str">
        <f t="shared" si="9"/>
        <v>C</v>
      </c>
      <c r="N277" s="5">
        <f>IF(G277=[1]Clientes!$C$3,[1]Clientes!$D$3,[1]Clientes!$D$2)</f>
        <v>13050505</v>
      </c>
    </row>
    <row r="278" spans="1:14">
      <c r="A278" s="6" t="s">
        <v>7</v>
      </c>
      <c r="B278" s="7">
        <v>45404</v>
      </c>
      <c r="C278" s="6" t="s">
        <v>3410</v>
      </c>
      <c r="D278" s="6" t="s">
        <v>79</v>
      </c>
      <c r="E278" s="6" t="s">
        <v>16</v>
      </c>
      <c r="F278" s="7">
        <v>45434</v>
      </c>
      <c r="G278" s="6" t="s">
        <v>3102</v>
      </c>
      <c r="H278" s="8">
        <v>101</v>
      </c>
      <c r="I278" s="9">
        <v>147</v>
      </c>
      <c r="J278" s="9">
        <v>12862.5</v>
      </c>
      <c r="K278" s="5" t="str">
        <f>VLOOKUP(D278,[1]Clientes!$A$1:$B$1370,2,0)</f>
        <v>CAN0006</v>
      </c>
      <c r="L278" s="5" t="str">
        <f t="shared" si="8"/>
        <v>HGI0123406</v>
      </c>
      <c r="M278" s="5" t="str">
        <f t="shared" si="9"/>
        <v>I</v>
      </c>
      <c r="N278" s="5">
        <f>IF(G278=[1]Clientes!$C$3,[1]Clientes!$D$3,[1]Clientes!$D$2)</f>
        <v>13050505</v>
      </c>
    </row>
    <row r="279" spans="1:14">
      <c r="A279" s="6" t="s">
        <v>7</v>
      </c>
      <c r="B279" s="7">
        <v>45476</v>
      </c>
      <c r="C279" s="6" t="s">
        <v>3411</v>
      </c>
      <c r="D279" s="6" t="s">
        <v>79</v>
      </c>
      <c r="E279" s="6" t="s">
        <v>16</v>
      </c>
      <c r="F279" s="7">
        <v>45506</v>
      </c>
      <c r="G279" s="6" t="s">
        <v>3102</v>
      </c>
      <c r="H279" s="8">
        <v>29</v>
      </c>
      <c r="I279" s="9">
        <v>172.72</v>
      </c>
      <c r="J279" s="9">
        <v>9011.1</v>
      </c>
      <c r="K279" s="5" t="str">
        <f>VLOOKUP(D279,[1]Clientes!$A$1:$B$1370,2,0)</f>
        <v>CAN0006</v>
      </c>
      <c r="L279" s="5" t="str">
        <f t="shared" si="8"/>
        <v>HGI0125518</v>
      </c>
      <c r="M279" s="5" t="str">
        <f t="shared" si="9"/>
        <v>I</v>
      </c>
      <c r="N279" s="5">
        <f>IF(G279=[1]Clientes!$C$3,[1]Clientes!$D$3,[1]Clientes!$D$2)</f>
        <v>13050505</v>
      </c>
    </row>
    <row r="280" spans="1:14">
      <c r="A280" s="6" t="s">
        <v>3099</v>
      </c>
      <c r="B280" s="7">
        <v>45495</v>
      </c>
      <c r="C280" s="6" t="s">
        <v>3412</v>
      </c>
      <c r="D280" s="6" t="s">
        <v>79</v>
      </c>
      <c r="E280" s="6" t="s">
        <v>16</v>
      </c>
      <c r="F280" s="7">
        <v>45525</v>
      </c>
      <c r="G280" s="6" t="s">
        <v>3102</v>
      </c>
      <c r="H280" s="8">
        <v>10</v>
      </c>
      <c r="I280" s="9">
        <v>-14.7</v>
      </c>
      <c r="J280" s="9">
        <v>-14.7</v>
      </c>
      <c r="K280" s="5" t="str">
        <f>VLOOKUP(D280,[1]Clientes!$A$1:$B$1370,2,0)</f>
        <v>CAN0006</v>
      </c>
      <c r="L280" s="5" t="str">
        <f t="shared" si="8"/>
        <v>CRM0125788</v>
      </c>
      <c r="M280" s="5" t="str">
        <f t="shared" si="9"/>
        <v>C</v>
      </c>
      <c r="N280" s="5">
        <f>IF(G280=[1]Clientes!$C$3,[1]Clientes!$D$3,[1]Clientes!$D$2)</f>
        <v>13050505</v>
      </c>
    </row>
    <row r="281" spans="1:14">
      <c r="A281" s="6" t="s">
        <v>7</v>
      </c>
      <c r="B281" s="7">
        <v>45505</v>
      </c>
      <c r="C281" s="6" t="s">
        <v>3413</v>
      </c>
      <c r="D281" s="6" t="s">
        <v>79</v>
      </c>
      <c r="E281" s="6" t="s">
        <v>16</v>
      </c>
      <c r="F281" s="7">
        <v>45535</v>
      </c>
      <c r="G281" s="6" t="s">
        <v>3102</v>
      </c>
      <c r="H281" s="8"/>
      <c r="I281" s="9">
        <v>735</v>
      </c>
      <c r="J281" s="9">
        <v>12906.6</v>
      </c>
      <c r="K281" s="5" t="str">
        <f>VLOOKUP(D281,[1]Clientes!$A$1:$B$1370,2,0)</f>
        <v>CAN0006</v>
      </c>
      <c r="L281" s="5" t="str">
        <f t="shared" si="8"/>
        <v>HGI0126132</v>
      </c>
      <c r="M281" s="5" t="str">
        <f t="shared" si="9"/>
        <v>I</v>
      </c>
      <c r="N281" s="5">
        <f>IF(G281=[1]Clientes!$C$3,[1]Clientes!$D$3,[1]Clientes!$D$2)</f>
        <v>13050505</v>
      </c>
    </row>
    <row r="282" spans="1:14">
      <c r="A282" s="6" t="s">
        <v>7</v>
      </c>
      <c r="B282" s="7">
        <v>45524</v>
      </c>
      <c r="C282" s="6" t="s">
        <v>3414</v>
      </c>
      <c r="D282" s="6" t="s">
        <v>79</v>
      </c>
      <c r="E282" s="6" t="s">
        <v>16</v>
      </c>
      <c r="F282" s="7">
        <v>45554</v>
      </c>
      <c r="G282" s="6" t="s">
        <v>3102</v>
      </c>
      <c r="H282" s="8"/>
      <c r="I282" s="9">
        <v>12082.35</v>
      </c>
      <c r="J282" s="9">
        <v>12082.35</v>
      </c>
      <c r="K282" s="5" t="str">
        <f>VLOOKUP(D282,[1]Clientes!$A$1:$B$1370,2,0)</f>
        <v>CAN0006</v>
      </c>
      <c r="L282" s="5" t="str">
        <f t="shared" si="8"/>
        <v>HGI0126725</v>
      </c>
      <c r="M282" s="5" t="str">
        <f t="shared" si="9"/>
        <v>I</v>
      </c>
      <c r="N282" s="5">
        <f>IF(G282=[1]Clientes!$C$3,[1]Clientes!$D$3,[1]Clientes!$D$2)</f>
        <v>13050505</v>
      </c>
    </row>
    <row r="283" spans="1:14">
      <c r="A283" s="6" t="s">
        <v>7</v>
      </c>
      <c r="B283" s="7">
        <v>45532</v>
      </c>
      <c r="C283" s="6" t="s">
        <v>3415</v>
      </c>
      <c r="D283" s="6" t="s">
        <v>79</v>
      </c>
      <c r="E283" s="6" t="s">
        <v>16</v>
      </c>
      <c r="F283" s="7">
        <v>45562</v>
      </c>
      <c r="G283" s="6" t="s">
        <v>3102</v>
      </c>
      <c r="H283" s="8"/>
      <c r="I283" s="9">
        <v>4210.5</v>
      </c>
      <c r="J283" s="9">
        <v>4210.5</v>
      </c>
      <c r="K283" s="5" t="str">
        <f>VLOOKUP(D283,[1]Clientes!$A$1:$B$1370,2,0)</f>
        <v>CAN0006</v>
      </c>
      <c r="L283" s="5" t="str">
        <f t="shared" si="8"/>
        <v>HGI0127051</v>
      </c>
      <c r="M283" s="5" t="str">
        <f t="shared" si="9"/>
        <v>I</v>
      </c>
      <c r="N283" s="5">
        <f>IF(G283=[1]Clientes!$C$3,[1]Clientes!$D$3,[1]Clientes!$D$2)</f>
        <v>13050505</v>
      </c>
    </row>
    <row r="284" spans="1:14">
      <c r="A284" s="6" t="s">
        <v>7</v>
      </c>
      <c r="B284" s="7">
        <v>45513</v>
      </c>
      <c r="C284" s="6" t="s">
        <v>3416</v>
      </c>
      <c r="D284" s="6" t="s">
        <v>627</v>
      </c>
      <c r="E284" s="6" t="s">
        <v>16</v>
      </c>
      <c r="F284" s="7">
        <v>45543</v>
      </c>
      <c r="G284" s="6" t="s">
        <v>3102</v>
      </c>
      <c r="H284" s="8"/>
      <c r="I284" s="9">
        <v>6404.83</v>
      </c>
      <c r="J284" s="9">
        <v>6404.83</v>
      </c>
      <c r="K284" s="5" t="str">
        <f>VLOOKUP(D284,[1]Clientes!$A$1:$B$1370,2,0)</f>
        <v>NAC0612</v>
      </c>
      <c r="L284" s="5" t="str">
        <f t="shared" si="8"/>
        <v>HGI0126358</v>
      </c>
      <c r="M284" s="5" t="str">
        <f t="shared" si="9"/>
        <v>I</v>
      </c>
      <c r="N284" s="5">
        <f>IF(G284=[1]Clientes!$C$3,[1]Clientes!$D$3,[1]Clientes!$D$2)</f>
        <v>13050505</v>
      </c>
    </row>
    <row r="285" spans="1:14">
      <c r="A285" s="6" t="s">
        <v>3099</v>
      </c>
      <c r="B285" s="7">
        <v>45289</v>
      </c>
      <c r="C285" s="6" t="s">
        <v>3417</v>
      </c>
      <c r="D285" s="6" t="s">
        <v>634</v>
      </c>
      <c r="E285" s="6" t="s">
        <v>3275</v>
      </c>
      <c r="F285" s="7">
        <v>45319</v>
      </c>
      <c r="G285" s="6" t="s">
        <v>3102</v>
      </c>
      <c r="H285" s="8">
        <v>216</v>
      </c>
      <c r="I285" s="9">
        <v>-6.23</v>
      </c>
      <c r="J285" s="9">
        <v>-6.23</v>
      </c>
      <c r="K285" s="5" t="str">
        <f>VLOOKUP(D285,[1]Clientes!$A$1:$B$1370,2,0)</f>
        <v>NAC0613</v>
      </c>
      <c r="L285" s="5" t="str">
        <f t="shared" si="8"/>
        <v>CRM0118842</v>
      </c>
      <c r="M285" s="5" t="str">
        <f t="shared" si="9"/>
        <v>C</v>
      </c>
      <c r="N285" s="5">
        <f>IF(G285=[1]Clientes!$C$3,[1]Clientes!$D$3,[1]Clientes!$D$2)</f>
        <v>13050505</v>
      </c>
    </row>
    <row r="286" spans="1:14">
      <c r="A286" s="6" t="s">
        <v>3099</v>
      </c>
      <c r="B286" s="7">
        <v>45289</v>
      </c>
      <c r="C286" s="6" t="s">
        <v>3418</v>
      </c>
      <c r="D286" s="6" t="s">
        <v>634</v>
      </c>
      <c r="E286" s="6" t="s">
        <v>3275</v>
      </c>
      <c r="F286" s="7">
        <v>45319</v>
      </c>
      <c r="G286" s="6" t="s">
        <v>3102</v>
      </c>
      <c r="H286" s="8">
        <v>216</v>
      </c>
      <c r="I286" s="9">
        <v>-14.02</v>
      </c>
      <c r="J286" s="9">
        <v>-14.02</v>
      </c>
      <c r="K286" s="5" t="str">
        <f>VLOOKUP(D286,[1]Clientes!$A$1:$B$1370,2,0)</f>
        <v>NAC0613</v>
      </c>
      <c r="L286" s="5" t="str">
        <f t="shared" si="8"/>
        <v>CRM0118844</v>
      </c>
      <c r="M286" s="5" t="str">
        <f t="shared" si="9"/>
        <v>C</v>
      </c>
      <c r="N286" s="5">
        <f>IF(G286=[1]Clientes!$C$3,[1]Clientes!$D$3,[1]Clientes!$D$2)</f>
        <v>13050505</v>
      </c>
    </row>
    <row r="287" spans="1:14">
      <c r="A287" s="6" t="s">
        <v>3099</v>
      </c>
      <c r="B287" s="7">
        <v>45289</v>
      </c>
      <c r="C287" s="6" t="s">
        <v>3419</v>
      </c>
      <c r="D287" s="6" t="s">
        <v>634</v>
      </c>
      <c r="E287" s="6" t="s">
        <v>3275</v>
      </c>
      <c r="F287" s="7">
        <v>45319</v>
      </c>
      <c r="G287" s="6" t="s">
        <v>3102</v>
      </c>
      <c r="H287" s="8">
        <v>216</v>
      </c>
      <c r="I287" s="9">
        <v>-61.35</v>
      </c>
      <c r="J287" s="9">
        <v>-61.35</v>
      </c>
      <c r="K287" s="5" t="str">
        <f>VLOOKUP(D287,[1]Clientes!$A$1:$B$1370,2,0)</f>
        <v>NAC0613</v>
      </c>
      <c r="L287" s="5" t="str">
        <f t="shared" si="8"/>
        <v>CRM0118869</v>
      </c>
      <c r="M287" s="5" t="str">
        <f t="shared" si="9"/>
        <v>C</v>
      </c>
      <c r="N287" s="5">
        <f>IF(G287=[1]Clientes!$C$3,[1]Clientes!$D$3,[1]Clientes!$D$2)</f>
        <v>13050505</v>
      </c>
    </row>
    <row r="288" spans="1:14">
      <c r="A288" s="6" t="s">
        <v>7</v>
      </c>
      <c r="B288" s="7">
        <v>45330</v>
      </c>
      <c r="C288" s="6" t="s">
        <v>3420</v>
      </c>
      <c r="D288" s="6" t="s">
        <v>634</v>
      </c>
      <c r="E288" s="6" t="s">
        <v>3275</v>
      </c>
      <c r="F288" s="7">
        <v>45360</v>
      </c>
      <c r="G288" s="6" t="s">
        <v>3102</v>
      </c>
      <c r="H288" s="8">
        <v>175</v>
      </c>
      <c r="I288" s="9">
        <v>12.3</v>
      </c>
      <c r="J288" s="9">
        <v>1416.16</v>
      </c>
      <c r="K288" s="5" t="str">
        <f>VLOOKUP(D288,[1]Clientes!$A$1:$B$1370,2,0)</f>
        <v>NAC0613</v>
      </c>
      <c r="L288" s="5" t="str">
        <f t="shared" si="8"/>
        <v>HGI0120720</v>
      </c>
      <c r="M288" s="5" t="str">
        <f t="shared" si="9"/>
        <v>I</v>
      </c>
      <c r="N288" s="5">
        <f>IF(G288=[1]Clientes!$C$3,[1]Clientes!$D$3,[1]Clientes!$D$2)</f>
        <v>13050505</v>
      </c>
    </row>
    <row r="289" spans="1:14">
      <c r="A289" s="6" t="s">
        <v>7</v>
      </c>
      <c r="B289" s="7">
        <v>45498</v>
      </c>
      <c r="C289" s="6" t="s">
        <v>3421</v>
      </c>
      <c r="D289" s="6" t="s">
        <v>634</v>
      </c>
      <c r="E289" s="6" t="s">
        <v>3275</v>
      </c>
      <c r="F289" s="7">
        <v>45528</v>
      </c>
      <c r="G289" s="6" t="s">
        <v>3102</v>
      </c>
      <c r="H289" s="8">
        <v>7</v>
      </c>
      <c r="I289" s="9">
        <v>11.6</v>
      </c>
      <c r="J289" s="9">
        <v>700.21</v>
      </c>
      <c r="K289" s="5" t="str">
        <f>VLOOKUP(D289,[1]Clientes!$A$1:$B$1370,2,0)</f>
        <v>NAC0613</v>
      </c>
      <c r="L289" s="5" t="str">
        <f t="shared" si="8"/>
        <v>HGI0125952</v>
      </c>
      <c r="M289" s="5" t="str">
        <f t="shared" si="9"/>
        <v>I</v>
      </c>
      <c r="N289" s="5">
        <f>IF(G289=[1]Clientes!$C$3,[1]Clientes!$D$3,[1]Clientes!$D$2)</f>
        <v>13050505</v>
      </c>
    </row>
    <row r="290" spans="1:14">
      <c r="A290" s="6" t="s">
        <v>7</v>
      </c>
      <c r="B290" s="7">
        <v>45502</v>
      </c>
      <c r="C290" s="6" t="s">
        <v>3422</v>
      </c>
      <c r="D290" s="6" t="s">
        <v>634</v>
      </c>
      <c r="E290" s="6" t="s">
        <v>3275</v>
      </c>
      <c r="F290" s="7">
        <v>45532</v>
      </c>
      <c r="G290" s="6" t="s">
        <v>3102</v>
      </c>
      <c r="H290" s="8">
        <v>3</v>
      </c>
      <c r="I290" s="9">
        <v>0.78</v>
      </c>
      <c r="J290" s="9">
        <v>111.12</v>
      </c>
      <c r="K290" s="5" t="str">
        <f>VLOOKUP(D290,[1]Clientes!$A$1:$B$1370,2,0)</f>
        <v>NAC0613</v>
      </c>
      <c r="L290" s="5" t="str">
        <f t="shared" si="8"/>
        <v>HGI0126009</v>
      </c>
      <c r="M290" s="5" t="str">
        <f t="shared" si="9"/>
        <v>I</v>
      </c>
      <c r="N290" s="5">
        <f>IF(G290=[1]Clientes!$C$3,[1]Clientes!$D$3,[1]Clientes!$D$2)</f>
        <v>13050505</v>
      </c>
    </row>
    <row r="291" spans="1:14">
      <c r="A291" s="6" t="s">
        <v>7</v>
      </c>
      <c r="B291" s="7">
        <v>45506</v>
      </c>
      <c r="C291" s="6" t="s">
        <v>3423</v>
      </c>
      <c r="D291" s="6" t="s">
        <v>634</v>
      </c>
      <c r="E291" s="6" t="s">
        <v>3275</v>
      </c>
      <c r="F291" s="7">
        <v>45536</v>
      </c>
      <c r="G291" s="6" t="s">
        <v>3102</v>
      </c>
      <c r="H291" s="8"/>
      <c r="I291" s="9">
        <v>2.16</v>
      </c>
      <c r="J291" s="9">
        <v>298.81</v>
      </c>
      <c r="K291" s="5" t="str">
        <f>VLOOKUP(D291,[1]Clientes!$A$1:$B$1370,2,0)</f>
        <v>NAC0613</v>
      </c>
      <c r="L291" s="5" t="str">
        <f t="shared" si="8"/>
        <v>HGI0126161</v>
      </c>
      <c r="M291" s="5" t="str">
        <f t="shared" si="9"/>
        <v>I</v>
      </c>
      <c r="N291" s="5">
        <f>IF(G291=[1]Clientes!$C$3,[1]Clientes!$D$3,[1]Clientes!$D$2)</f>
        <v>13050505</v>
      </c>
    </row>
    <row r="292" spans="1:14">
      <c r="A292" s="6" t="s">
        <v>7</v>
      </c>
      <c r="B292" s="7">
        <v>45520</v>
      </c>
      <c r="C292" s="6" t="s">
        <v>3424</v>
      </c>
      <c r="D292" s="6" t="s">
        <v>634</v>
      </c>
      <c r="E292" s="6" t="s">
        <v>3275</v>
      </c>
      <c r="F292" s="7">
        <v>45550</v>
      </c>
      <c r="G292" s="6" t="s">
        <v>3102</v>
      </c>
      <c r="H292" s="8"/>
      <c r="I292" s="9">
        <v>2.84</v>
      </c>
      <c r="J292" s="9">
        <v>427.27</v>
      </c>
      <c r="K292" s="5" t="str">
        <f>VLOOKUP(D292,[1]Clientes!$A$1:$B$1370,2,0)</f>
        <v>NAC0613</v>
      </c>
      <c r="L292" s="5" t="str">
        <f t="shared" si="8"/>
        <v>HGI0126603</v>
      </c>
      <c r="M292" s="5" t="str">
        <f t="shared" si="9"/>
        <v>I</v>
      </c>
      <c r="N292" s="5">
        <f>IF(G292=[1]Clientes!$C$3,[1]Clientes!$D$3,[1]Clientes!$D$2)</f>
        <v>13050505</v>
      </c>
    </row>
    <row r="293" spans="1:14">
      <c r="A293" s="6" t="s">
        <v>7</v>
      </c>
      <c r="B293" s="7">
        <v>45525</v>
      </c>
      <c r="C293" s="6" t="s">
        <v>3425</v>
      </c>
      <c r="D293" s="6" t="s">
        <v>634</v>
      </c>
      <c r="E293" s="6" t="s">
        <v>3275</v>
      </c>
      <c r="F293" s="7">
        <v>45555</v>
      </c>
      <c r="G293" s="6" t="s">
        <v>3102</v>
      </c>
      <c r="H293" s="8"/>
      <c r="I293" s="9">
        <v>435</v>
      </c>
      <c r="J293" s="9">
        <v>435</v>
      </c>
      <c r="K293" s="5" t="str">
        <f>VLOOKUP(D293,[1]Clientes!$A$1:$B$1370,2,0)</f>
        <v>NAC0613</v>
      </c>
      <c r="L293" s="5" t="str">
        <f t="shared" si="8"/>
        <v>HGI0126752</v>
      </c>
      <c r="M293" s="5" t="str">
        <f t="shared" si="9"/>
        <v>I</v>
      </c>
      <c r="N293" s="5">
        <f>IF(G293=[1]Clientes!$C$3,[1]Clientes!$D$3,[1]Clientes!$D$2)</f>
        <v>13050505</v>
      </c>
    </row>
    <row r="294" spans="1:14">
      <c r="A294" s="6" t="s">
        <v>7</v>
      </c>
      <c r="B294" s="7">
        <v>45442</v>
      </c>
      <c r="C294" s="6" t="s">
        <v>3426</v>
      </c>
      <c r="D294" s="6" t="s">
        <v>650</v>
      </c>
      <c r="E294" s="6" t="s">
        <v>16</v>
      </c>
      <c r="F294" s="7">
        <v>45472</v>
      </c>
      <c r="G294" s="6" t="s">
        <v>3102</v>
      </c>
      <c r="H294" s="8">
        <v>63</v>
      </c>
      <c r="I294" s="9">
        <v>150</v>
      </c>
      <c r="J294" s="9">
        <v>1540</v>
      </c>
      <c r="K294" s="5" t="str">
        <f>VLOOKUP(D294,[1]Clientes!$A$1:$B$1370,2,0)</f>
        <v>NAC0614</v>
      </c>
      <c r="L294" s="5" t="str">
        <f t="shared" si="8"/>
        <v>HGI0124696</v>
      </c>
      <c r="M294" s="5" t="str">
        <f t="shared" si="9"/>
        <v>I</v>
      </c>
      <c r="N294" s="5">
        <f>IF(G294=[1]Clientes!$C$3,[1]Clientes!$D$3,[1]Clientes!$D$2)</f>
        <v>13050505</v>
      </c>
    </row>
    <row r="295" spans="1:14">
      <c r="A295" s="6" t="s">
        <v>7</v>
      </c>
      <c r="B295" s="7">
        <v>45509</v>
      </c>
      <c r="C295" s="6" t="s">
        <v>3427</v>
      </c>
      <c r="D295" s="6" t="s">
        <v>650</v>
      </c>
      <c r="E295" s="6" t="s">
        <v>16</v>
      </c>
      <c r="F295" s="7">
        <v>45539</v>
      </c>
      <c r="G295" s="6" t="s">
        <v>3102</v>
      </c>
      <c r="H295" s="8"/>
      <c r="I295" s="9">
        <v>8020</v>
      </c>
      <c r="J295" s="9">
        <v>8020</v>
      </c>
      <c r="K295" s="5" t="str">
        <f>VLOOKUP(D295,[1]Clientes!$A$1:$B$1370,2,0)</f>
        <v>NAC0614</v>
      </c>
      <c r="L295" s="5" t="str">
        <f t="shared" si="8"/>
        <v>HGI0126201</v>
      </c>
      <c r="M295" s="5" t="str">
        <f t="shared" si="9"/>
        <v>I</v>
      </c>
      <c r="N295" s="5">
        <f>IF(G295=[1]Clientes!$C$3,[1]Clientes!$D$3,[1]Clientes!$D$2)</f>
        <v>13050505</v>
      </c>
    </row>
    <row r="296" spans="1:14">
      <c r="A296" s="6" t="s">
        <v>7</v>
      </c>
      <c r="B296" s="7">
        <v>45397</v>
      </c>
      <c r="C296" s="6" t="s">
        <v>3428</v>
      </c>
      <c r="D296" s="6" t="s">
        <v>3429</v>
      </c>
      <c r="E296" s="6" t="s">
        <v>213</v>
      </c>
      <c r="F296" s="7">
        <v>45397</v>
      </c>
      <c r="G296" s="6" t="s">
        <v>3102</v>
      </c>
      <c r="H296" s="8">
        <v>138</v>
      </c>
      <c r="I296" s="9">
        <v>120.02</v>
      </c>
      <c r="J296" s="9">
        <v>240.05</v>
      </c>
      <c r="K296" s="5" t="str">
        <f>VLOOKUP(D296,[1]Clientes!$A$1:$B$1370,2,0)</f>
        <v>NAC0618</v>
      </c>
      <c r="L296" s="5" t="str">
        <f t="shared" si="8"/>
        <v>HGI0123006</v>
      </c>
      <c r="M296" s="5" t="str">
        <f t="shared" si="9"/>
        <v>I</v>
      </c>
      <c r="N296" s="5">
        <f>IF(G296=[1]Clientes!$C$3,[1]Clientes!$D$3,[1]Clientes!$D$2)</f>
        <v>13050505</v>
      </c>
    </row>
    <row r="297" spans="1:14">
      <c r="A297" s="6" t="s">
        <v>3099</v>
      </c>
      <c r="B297" s="7">
        <v>45322</v>
      </c>
      <c r="C297" s="6" t="s">
        <v>3430</v>
      </c>
      <c r="D297" s="6" t="s">
        <v>656</v>
      </c>
      <c r="E297" s="6" t="s">
        <v>16</v>
      </c>
      <c r="F297" s="7">
        <v>45352</v>
      </c>
      <c r="G297" s="6" t="s">
        <v>3102</v>
      </c>
      <c r="H297" s="8">
        <v>183</v>
      </c>
      <c r="I297" s="9">
        <v>-231</v>
      </c>
      <c r="J297" s="9">
        <v>-231</v>
      </c>
      <c r="K297" s="5" t="str">
        <f>VLOOKUP(D297,[1]Clientes!$A$1:$B$1370,2,0)</f>
        <v>NAC0624</v>
      </c>
      <c r="L297" s="5" t="str">
        <f t="shared" si="8"/>
        <v>CRM0120342</v>
      </c>
      <c r="M297" s="5" t="str">
        <f t="shared" si="9"/>
        <v>C</v>
      </c>
      <c r="N297" s="5">
        <f>IF(G297=[1]Clientes!$C$3,[1]Clientes!$D$3,[1]Clientes!$D$2)</f>
        <v>13050505</v>
      </c>
    </row>
    <row r="298" spans="1:14">
      <c r="A298" s="6" t="s">
        <v>7</v>
      </c>
      <c r="B298" s="7">
        <v>45525</v>
      </c>
      <c r="C298" s="6" t="s">
        <v>3431</v>
      </c>
      <c r="D298" s="6" t="s">
        <v>656</v>
      </c>
      <c r="E298" s="6" t="s">
        <v>16</v>
      </c>
      <c r="F298" s="7">
        <v>45555</v>
      </c>
      <c r="G298" s="6" t="s">
        <v>3102</v>
      </c>
      <c r="H298" s="8"/>
      <c r="I298" s="9">
        <v>745.98</v>
      </c>
      <c r="J298" s="9">
        <v>745.98</v>
      </c>
      <c r="K298" s="5" t="str">
        <f>VLOOKUP(D298,[1]Clientes!$A$1:$B$1370,2,0)</f>
        <v>NAC0624</v>
      </c>
      <c r="L298" s="5" t="str">
        <f t="shared" si="8"/>
        <v>HGI0126737</v>
      </c>
      <c r="M298" s="5" t="str">
        <f t="shared" si="9"/>
        <v>I</v>
      </c>
      <c r="N298" s="5">
        <f>IF(G298=[1]Clientes!$C$3,[1]Clientes!$D$3,[1]Clientes!$D$2)</f>
        <v>13050505</v>
      </c>
    </row>
    <row r="299" spans="1:14">
      <c r="A299" s="6" t="s">
        <v>7</v>
      </c>
      <c r="B299" s="7">
        <v>45531</v>
      </c>
      <c r="C299" s="6" t="s">
        <v>3432</v>
      </c>
      <c r="D299" s="6" t="s">
        <v>3433</v>
      </c>
      <c r="E299" s="6" t="s">
        <v>213</v>
      </c>
      <c r="F299" s="7">
        <v>45531</v>
      </c>
      <c r="G299" s="6" t="s">
        <v>3102</v>
      </c>
      <c r="H299" s="8">
        <v>4</v>
      </c>
      <c r="I299" s="9">
        <v>96.93</v>
      </c>
      <c r="J299" s="9">
        <v>96.93</v>
      </c>
      <c r="K299" s="5" t="str">
        <f>VLOOKUP(D299,[1]Clientes!$A$1:$B$1485,2,0)</f>
        <v>SH02830</v>
      </c>
      <c r="L299" s="5" t="str">
        <f t="shared" si="8"/>
        <v>HGI0126960</v>
      </c>
      <c r="M299" s="5" t="str">
        <f t="shared" si="9"/>
        <v>I</v>
      </c>
      <c r="N299" s="5">
        <f>IF(G299=[1]Clientes!$C$3,[1]Clientes!$D$3,[1]Clientes!$D$2)</f>
        <v>13050505</v>
      </c>
    </row>
    <row r="300" spans="1:14">
      <c r="A300" s="6" t="s">
        <v>3099</v>
      </c>
      <c r="B300" s="7">
        <v>45532</v>
      </c>
      <c r="C300" s="6" t="s">
        <v>3434</v>
      </c>
      <c r="D300" s="6" t="s">
        <v>667</v>
      </c>
      <c r="E300" s="6" t="s">
        <v>16</v>
      </c>
      <c r="F300" s="7">
        <v>45562</v>
      </c>
      <c r="G300" s="6" t="s">
        <v>3102</v>
      </c>
      <c r="H300" s="8"/>
      <c r="I300" s="9">
        <v>-10</v>
      </c>
      <c r="J300" s="9">
        <v>-275.68</v>
      </c>
      <c r="K300" s="5" t="str">
        <f>VLOOKUP(D300,[1]Clientes!$A$1:$B$1370,2,0)</f>
        <v>NAC0641</v>
      </c>
      <c r="L300" s="5" t="str">
        <f t="shared" si="8"/>
        <v>CRM0126936</v>
      </c>
      <c r="M300" s="5" t="str">
        <f t="shared" si="9"/>
        <v>C</v>
      </c>
      <c r="N300" s="5">
        <f>IF(G300=[1]Clientes!$C$3,[1]Clientes!$D$3,[1]Clientes!$D$2)</f>
        <v>13050505</v>
      </c>
    </row>
    <row r="301" spans="1:14">
      <c r="A301" s="6" t="s">
        <v>7</v>
      </c>
      <c r="B301" s="7">
        <v>45527</v>
      </c>
      <c r="C301" s="6" t="s">
        <v>3435</v>
      </c>
      <c r="D301" s="6" t="s">
        <v>3436</v>
      </c>
      <c r="E301" s="6" t="s">
        <v>16</v>
      </c>
      <c r="F301" s="7">
        <v>45557</v>
      </c>
      <c r="G301" s="6" t="s">
        <v>3102</v>
      </c>
      <c r="H301" s="8"/>
      <c r="I301" s="9">
        <v>37565.800000000003</v>
      </c>
      <c r="J301" s="9">
        <v>37565.800000000003</v>
      </c>
      <c r="K301" s="5" t="str">
        <f>VLOOKUP(D301,[1]Clientes!$A$1:$B$1370,2,0)</f>
        <v>NAC0649</v>
      </c>
      <c r="L301" s="5" t="str">
        <f t="shared" si="8"/>
        <v>HGI0126808</v>
      </c>
      <c r="M301" s="5" t="str">
        <f t="shared" si="9"/>
        <v>I</v>
      </c>
      <c r="N301" s="5">
        <f>IF(G301=[1]Clientes!$C$3,[1]Clientes!$D$3,[1]Clientes!$D$2)</f>
        <v>13050505</v>
      </c>
    </row>
    <row r="302" spans="1:14">
      <c r="A302" s="6" t="s">
        <v>7</v>
      </c>
      <c r="B302" s="7">
        <v>45511</v>
      </c>
      <c r="C302" s="6" t="s">
        <v>3437</v>
      </c>
      <c r="D302" s="6" t="s">
        <v>677</v>
      </c>
      <c r="E302" s="6" t="s">
        <v>16</v>
      </c>
      <c r="F302" s="7">
        <v>45541</v>
      </c>
      <c r="G302" s="6" t="s">
        <v>3102</v>
      </c>
      <c r="H302" s="8"/>
      <c r="I302" s="9">
        <v>124.33</v>
      </c>
      <c r="J302" s="9">
        <v>124.33</v>
      </c>
      <c r="K302" s="5" t="str">
        <f>VLOOKUP(D302,[1]Clientes!$A$1:$B$1370,2,0)</f>
        <v>NAC0652</v>
      </c>
      <c r="L302" s="5" t="str">
        <f t="shared" si="8"/>
        <v>HGI0126287</v>
      </c>
      <c r="M302" s="5" t="str">
        <f t="shared" si="9"/>
        <v>I</v>
      </c>
      <c r="N302" s="5">
        <f>IF(G302=[1]Clientes!$C$3,[1]Clientes!$D$3,[1]Clientes!$D$2)</f>
        <v>13050505</v>
      </c>
    </row>
    <row r="303" spans="1:14">
      <c r="A303" s="6" t="s">
        <v>3139</v>
      </c>
      <c r="B303" s="7">
        <v>45532</v>
      </c>
      <c r="C303" s="6"/>
      <c r="D303" s="6" t="s">
        <v>3438</v>
      </c>
      <c r="E303" s="6"/>
      <c r="F303" s="7"/>
      <c r="G303" s="6" t="s">
        <v>3102</v>
      </c>
      <c r="H303" s="8"/>
      <c r="I303" s="9">
        <v>-17433.5</v>
      </c>
      <c r="J303" s="9">
        <v>-17433.5</v>
      </c>
      <c r="K303" s="5" t="str">
        <f>VLOOKUP(D303,[1]Clientes!$A$1:$B$1370,2,0)</f>
        <v>CAN0008</v>
      </c>
      <c r="L303" s="5" t="str">
        <f t="shared" si="8"/>
        <v>Revisar</v>
      </c>
      <c r="M303" s="5" t="str">
        <f t="shared" si="9"/>
        <v>P</v>
      </c>
      <c r="N303" s="5">
        <f>IF(G303=[1]Clientes!$C$3,[1]Clientes!$D$3,[1]Clientes!$D$2)</f>
        <v>13050505</v>
      </c>
    </row>
    <row r="304" spans="1:14">
      <c r="A304" s="6" t="s">
        <v>7</v>
      </c>
      <c r="B304" s="7">
        <v>45488</v>
      </c>
      <c r="C304" s="6" t="s">
        <v>3439</v>
      </c>
      <c r="D304" s="6" t="s">
        <v>690</v>
      </c>
      <c r="E304" s="6" t="s">
        <v>16</v>
      </c>
      <c r="F304" s="7">
        <v>45518</v>
      </c>
      <c r="G304" s="6" t="s">
        <v>3102</v>
      </c>
      <c r="H304" s="8">
        <v>17</v>
      </c>
      <c r="I304" s="9">
        <v>0.2</v>
      </c>
      <c r="J304" s="9">
        <v>4687.2</v>
      </c>
      <c r="K304" s="5" t="str">
        <f>VLOOKUP(D304,[1]Clientes!$A$1:$B$1370,2,0)</f>
        <v>NAC0666</v>
      </c>
      <c r="L304" s="5" t="str">
        <f t="shared" si="8"/>
        <v>HGI0125700</v>
      </c>
      <c r="M304" s="5" t="str">
        <f t="shared" si="9"/>
        <v>I</v>
      </c>
      <c r="N304" s="5">
        <f>IF(G304=[1]Clientes!$C$3,[1]Clientes!$D$3,[1]Clientes!$D$2)</f>
        <v>13050505</v>
      </c>
    </row>
    <row r="305" spans="1:14">
      <c r="A305" s="6" t="s">
        <v>7</v>
      </c>
      <c r="B305" s="7">
        <v>45489</v>
      </c>
      <c r="C305" s="6" t="s">
        <v>3440</v>
      </c>
      <c r="D305" s="6" t="s">
        <v>690</v>
      </c>
      <c r="E305" s="6" t="s">
        <v>16</v>
      </c>
      <c r="F305" s="7">
        <v>45519</v>
      </c>
      <c r="G305" s="6" t="s">
        <v>3102</v>
      </c>
      <c r="H305" s="8">
        <v>16</v>
      </c>
      <c r="I305" s="9">
        <v>135</v>
      </c>
      <c r="J305" s="9">
        <v>135</v>
      </c>
      <c r="K305" s="5" t="str">
        <f>VLOOKUP(D305,[1]Clientes!$A$1:$B$1370,2,0)</f>
        <v>NAC0666</v>
      </c>
      <c r="L305" s="5" t="str">
        <f t="shared" si="8"/>
        <v>HGI0125732</v>
      </c>
      <c r="M305" s="5" t="str">
        <f t="shared" si="9"/>
        <v>I</v>
      </c>
      <c r="N305" s="5">
        <f>IF(G305=[1]Clientes!$C$3,[1]Clientes!$D$3,[1]Clientes!$D$2)</f>
        <v>13050505</v>
      </c>
    </row>
    <row r="306" spans="1:14">
      <c r="A306" s="6" t="s">
        <v>7</v>
      </c>
      <c r="B306" s="7">
        <v>45492</v>
      </c>
      <c r="C306" s="6" t="s">
        <v>3441</v>
      </c>
      <c r="D306" s="6" t="s">
        <v>690</v>
      </c>
      <c r="E306" s="6" t="s">
        <v>16</v>
      </c>
      <c r="F306" s="7">
        <v>45522</v>
      </c>
      <c r="G306" s="6" t="s">
        <v>3102</v>
      </c>
      <c r="H306" s="8">
        <v>13</v>
      </c>
      <c r="I306" s="9">
        <v>3740</v>
      </c>
      <c r="J306" s="9">
        <v>3740</v>
      </c>
      <c r="K306" s="5" t="str">
        <f>VLOOKUP(D306,[1]Clientes!$A$1:$B$1370,2,0)</f>
        <v>NAC0666</v>
      </c>
      <c r="L306" s="5" t="str">
        <f t="shared" si="8"/>
        <v>HGI0125851</v>
      </c>
      <c r="M306" s="5" t="str">
        <f t="shared" si="9"/>
        <v>I</v>
      </c>
      <c r="N306" s="5">
        <f>IF(G306=[1]Clientes!$C$3,[1]Clientes!$D$3,[1]Clientes!$D$2)</f>
        <v>13050505</v>
      </c>
    </row>
    <row r="307" spans="1:14">
      <c r="A307" s="6" t="s">
        <v>7</v>
      </c>
      <c r="B307" s="7">
        <v>45499</v>
      </c>
      <c r="C307" s="6" t="s">
        <v>3442</v>
      </c>
      <c r="D307" s="6" t="s">
        <v>690</v>
      </c>
      <c r="E307" s="6" t="s">
        <v>16</v>
      </c>
      <c r="F307" s="7">
        <v>45529</v>
      </c>
      <c r="G307" s="6" t="s">
        <v>3102</v>
      </c>
      <c r="H307" s="8">
        <v>6</v>
      </c>
      <c r="I307" s="9">
        <v>230</v>
      </c>
      <c r="J307" s="9">
        <v>230</v>
      </c>
      <c r="K307" s="5" t="str">
        <f>VLOOKUP(D307,[1]Clientes!$A$1:$B$1370,2,0)</f>
        <v>NAC0666</v>
      </c>
      <c r="L307" s="5" t="str">
        <f t="shared" si="8"/>
        <v>HGI0125971</v>
      </c>
      <c r="M307" s="5" t="str">
        <f t="shared" si="9"/>
        <v>I</v>
      </c>
      <c r="N307" s="5">
        <f>IF(G307=[1]Clientes!$C$3,[1]Clientes!$D$3,[1]Clientes!$D$2)</f>
        <v>13050505</v>
      </c>
    </row>
    <row r="308" spans="1:14">
      <c r="A308" s="6" t="s">
        <v>7</v>
      </c>
      <c r="B308" s="7">
        <v>45499</v>
      </c>
      <c r="C308" s="6" t="s">
        <v>3443</v>
      </c>
      <c r="D308" s="6" t="s">
        <v>690</v>
      </c>
      <c r="E308" s="6" t="s">
        <v>16</v>
      </c>
      <c r="F308" s="7">
        <v>45529</v>
      </c>
      <c r="G308" s="6" t="s">
        <v>3102</v>
      </c>
      <c r="H308" s="8">
        <v>6</v>
      </c>
      <c r="I308" s="9">
        <v>567</v>
      </c>
      <c r="J308" s="9">
        <v>567</v>
      </c>
      <c r="K308" s="5" t="str">
        <f>VLOOKUP(D308,[1]Clientes!$A$1:$B$1370,2,0)</f>
        <v>NAC0666</v>
      </c>
      <c r="L308" s="5" t="str">
        <f t="shared" si="8"/>
        <v>HGI0125972</v>
      </c>
      <c r="M308" s="5" t="str">
        <f t="shared" si="9"/>
        <v>I</v>
      </c>
      <c r="N308" s="5">
        <f>IF(G308=[1]Clientes!$C$3,[1]Clientes!$D$3,[1]Clientes!$D$2)</f>
        <v>13050505</v>
      </c>
    </row>
    <row r="309" spans="1:14">
      <c r="A309" s="6" t="s">
        <v>7</v>
      </c>
      <c r="B309" s="7">
        <v>45499</v>
      </c>
      <c r="C309" s="6" t="s">
        <v>3444</v>
      </c>
      <c r="D309" s="6" t="s">
        <v>690</v>
      </c>
      <c r="E309" s="6" t="s">
        <v>16</v>
      </c>
      <c r="F309" s="7">
        <v>45529</v>
      </c>
      <c r="G309" s="6" t="s">
        <v>3102</v>
      </c>
      <c r="H309" s="8">
        <v>6</v>
      </c>
      <c r="I309" s="9">
        <v>183</v>
      </c>
      <c r="J309" s="9">
        <v>183</v>
      </c>
      <c r="K309" s="5" t="str">
        <f>VLOOKUP(D309,[1]Clientes!$A$1:$B$1370,2,0)</f>
        <v>NAC0666</v>
      </c>
      <c r="L309" s="5" t="str">
        <f t="shared" si="8"/>
        <v>HGI0125973</v>
      </c>
      <c r="M309" s="5" t="str">
        <f t="shared" si="9"/>
        <v>I</v>
      </c>
      <c r="N309" s="5">
        <f>IF(G309=[1]Clientes!$C$3,[1]Clientes!$D$3,[1]Clientes!$D$2)</f>
        <v>13050505</v>
      </c>
    </row>
    <row r="310" spans="1:14">
      <c r="A310" s="6" t="s">
        <v>7</v>
      </c>
      <c r="B310" s="7">
        <v>45505</v>
      </c>
      <c r="C310" s="6" t="s">
        <v>3445</v>
      </c>
      <c r="D310" s="6" t="s">
        <v>690</v>
      </c>
      <c r="E310" s="6" t="s">
        <v>16</v>
      </c>
      <c r="F310" s="7">
        <v>45535</v>
      </c>
      <c r="G310" s="6" t="s">
        <v>3102</v>
      </c>
      <c r="H310" s="8"/>
      <c r="I310" s="9">
        <v>880</v>
      </c>
      <c r="J310" s="9">
        <v>880</v>
      </c>
      <c r="K310" s="5" t="str">
        <f>VLOOKUP(D310,[1]Clientes!$A$1:$B$1370,2,0)</f>
        <v>NAC0666</v>
      </c>
      <c r="L310" s="5" t="str">
        <f t="shared" si="8"/>
        <v>HGI0126127</v>
      </c>
      <c r="M310" s="5" t="str">
        <f t="shared" si="9"/>
        <v>I</v>
      </c>
      <c r="N310" s="5">
        <f>IF(G310=[1]Clientes!$C$3,[1]Clientes!$D$3,[1]Clientes!$D$2)</f>
        <v>13050505</v>
      </c>
    </row>
    <row r="311" spans="1:14">
      <c r="A311" s="6" t="s">
        <v>7</v>
      </c>
      <c r="B311" s="7">
        <v>45506</v>
      </c>
      <c r="C311" s="6" t="s">
        <v>3446</v>
      </c>
      <c r="D311" s="6" t="s">
        <v>690</v>
      </c>
      <c r="E311" s="6" t="s">
        <v>16</v>
      </c>
      <c r="F311" s="7">
        <v>45536</v>
      </c>
      <c r="G311" s="6" t="s">
        <v>3102</v>
      </c>
      <c r="H311" s="8"/>
      <c r="I311" s="9">
        <v>183</v>
      </c>
      <c r="J311" s="9">
        <v>183</v>
      </c>
      <c r="K311" s="5" t="str">
        <f>VLOOKUP(D311,[1]Clientes!$A$1:$B$1370,2,0)</f>
        <v>NAC0666</v>
      </c>
      <c r="L311" s="5" t="str">
        <f t="shared" si="8"/>
        <v>HGI0126154</v>
      </c>
      <c r="M311" s="5" t="str">
        <f t="shared" si="9"/>
        <v>I</v>
      </c>
      <c r="N311" s="5">
        <f>IF(G311=[1]Clientes!$C$3,[1]Clientes!$D$3,[1]Clientes!$D$2)</f>
        <v>13050505</v>
      </c>
    </row>
    <row r="312" spans="1:14">
      <c r="A312" s="6" t="s">
        <v>7</v>
      </c>
      <c r="B312" s="7">
        <v>45509</v>
      </c>
      <c r="C312" s="6" t="s">
        <v>3447</v>
      </c>
      <c r="D312" s="6" t="s">
        <v>690</v>
      </c>
      <c r="E312" s="6" t="s">
        <v>16</v>
      </c>
      <c r="F312" s="7">
        <v>45539</v>
      </c>
      <c r="G312" s="6" t="s">
        <v>3102</v>
      </c>
      <c r="H312" s="8"/>
      <c r="I312" s="9">
        <v>230</v>
      </c>
      <c r="J312" s="9">
        <v>230</v>
      </c>
      <c r="K312" s="5" t="str">
        <f>VLOOKUP(D312,[1]Clientes!$A$1:$B$1370,2,0)</f>
        <v>NAC0666</v>
      </c>
      <c r="L312" s="5" t="str">
        <f t="shared" si="8"/>
        <v>HGI0126199</v>
      </c>
      <c r="M312" s="5" t="str">
        <f t="shared" si="9"/>
        <v>I</v>
      </c>
      <c r="N312" s="5">
        <f>IF(G312=[1]Clientes!$C$3,[1]Clientes!$D$3,[1]Clientes!$D$2)</f>
        <v>13050505</v>
      </c>
    </row>
    <row r="313" spans="1:14">
      <c r="A313" s="6" t="s">
        <v>7</v>
      </c>
      <c r="B313" s="7">
        <v>45509</v>
      </c>
      <c r="C313" s="6" t="s">
        <v>3448</v>
      </c>
      <c r="D313" s="6" t="s">
        <v>690</v>
      </c>
      <c r="E313" s="6" t="s">
        <v>16</v>
      </c>
      <c r="F313" s="7">
        <v>45539</v>
      </c>
      <c r="G313" s="6" t="s">
        <v>3102</v>
      </c>
      <c r="H313" s="8"/>
      <c r="I313" s="9">
        <v>756</v>
      </c>
      <c r="J313" s="9">
        <v>756</v>
      </c>
      <c r="K313" s="5" t="str">
        <f>VLOOKUP(D313,[1]Clientes!$A$1:$B$1370,2,0)</f>
        <v>NAC0666</v>
      </c>
      <c r="L313" s="5" t="str">
        <f t="shared" si="8"/>
        <v>HGI0126203</v>
      </c>
      <c r="M313" s="5" t="str">
        <f t="shared" si="9"/>
        <v>I</v>
      </c>
      <c r="N313" s="5">
        <f>IF(G313=[1]Clientes!$C$3,[1]Clientes!$D$3,[1]Clientes!$D$2)</f>
        <v>13050505</v>
      </c>
    </row>
    <row r="314" spans="1:14">
      <c r="A314" s="6" t="s">
        <v>7</v>
      </c>
      <c r="B314" s="7">
        <v>45509</v>
      </c>
      <c r="C314" s="6" t="s">
        <v>3449</v>
      </c>
      <c r="D314" s="6" t="s">
        <v>690</v>
      </c>
      <c r="E314" s="6" t="s">
        <v>16</v>
      </c>
      <c r="F314" s="7">
        <v>45539</v>
      </c>
      <c r="G314" s="6" t="s">
        <v>3102</v>
      </c>
      <c r="H314" s="8"/>
      <c r="I314" s="9">
        <v>62.55</v>
      </c>
      <c r="J314" s="9">
        <v>62.55</v>
      </c>
      <c r="K314" s="5" t="str">
        <f>VLOOKUP(D314,[1]Clientes!$A$1:$B$1370,2,0)</f>
        <v>NAC0666</v>
      </c>
      <c r="L314" s="5" t="str">
        <f t="shared" si="8"/>
        <v>HGI0126206</v>
      </c>
      <c r="M314" s="5" t="str">
        <f t="shared" si="9"/>
        <v>I</v>
      </c>
      <c r="N314" s="5">
        <f>IF(G314=[1]Clientes!$C$3,[1]Clientes!$D$3,[1]Clientes!$D$2)</f>
        <v>13050505</v>
      </c>
    </row>
    <row r="315" spans="1:14">
      <c r="A315" s="6" t="s">
        <v>7</v>
      </c>
      <c r="B315" s="7">
        <v>45509</v>
      </c>
      <c r="C315" s="6" t="s">
        <v>3450</v>
      </c>
      <c r="D315" s="6" t="s">
        <v>690</v>
      </c>
      <c r="E315" s="6" t="s">
        <v>16</v>
      </c>
      <c r="F315" s="7">
        <v>45539</v>
      </c>
      <c r="G315" s="6" t="s">
        <v>3102</v>
      </c>
      <c r="H315" s="8"/>
      <c r="I315" s="9">
        <v>567</v>
      </c>
      <c r="J315" s="9">
        <v>567</v>
      </c>
      <c r="K315" s="5" t="str">
        <f>VLOOKUP(D315,[1]Clientes!$A$1:$B$1370,2,0)</f>
        <v>NAC0666</v>
      </c>
      <c r="L315" s="5" t="str">
        <f t="shared" si="8"/>
        <v>HGI0126223</v>
      </c>
      <c r="M315" s="5" t="str">
        <f t="shared" si="9"/>
        <v>I</v>
      </c>
      <c r="N315" s="5">
        <f>IF(G315=[1]Clientes!$C$3,[1]Clientes!$D$3,[1]Clientes!$D$2)</f>
        <v>13050505</v>
      </c>
    </row>
    <row r="316" spans="1:14">
      <c r="A316" s="6" t="s">
        <v>7</v>
      </c>
      <c r="B316" s="7">
        <v>45512</v>
      </c>
      <c r="C316" s="6" t="s">
        <v>3451</v>
      </c>
      <c r="D316" s="6" t="s">
        <v>690</v>
      </c>
      <c r="E316" s="6" t="s">
        <v>16</v>
      </c>
      <c r="F316" s="7">
        <v>45542</v>
      </c>
      <c r="G316" s="6" t="s">
        <v>3102</v>
      </c>
      <c r="H316" s="8"/>
      <c r="I316" s="9">
        <v>450</v>
      </c>
      <c r="J316" s="9">
        <v>450</v>
      </c>
      <c r="K316" s="5" t="str">
        <f>VLOOKUP(D316,[1]Clientes!$A$1:$B$1370,2,0)</f>
        <v>NAC0666</v>
      </c>
      <c r="L316" s="5" t="str">
        <f t="shared" si="8"/>
        <v>HGI0126325</v>
      </c>
      <c r="M316" s="5" t="str">
        <f t="shared" si="9"/>
        <v>I</v>
      </c>
      <c r="N316" s="5">
        <f>IF(G316=[1]Clientes!$C$3,[1]Clientes!$D$3,[1]Clientes!$D$2)</f>
        <v>13050505</v>
      </c>
    </row>
    <row r="317" spans="1:14">
      <c r="A317" s="6" t="s">
        <v>7</v>
      </c>
      <c r="B317" s="7">
        <v>45513</v>
      </c>
      <c r="C317" s="6" t="s">
        <v>3452</v>
      </c>
      <c r="D317" s="6" t="s">
        <v>690</v>
      </c>
      <c r="E317" s="6" t="s">
        <v>16</v>
      </c>
      <c r="F317" s="7">
        <v>45543</v>
      </c>
      <c r="G317" s="6" t="s">
        <v>3102</v>
      </c>
      <c r="H317" s="8"/>
      <c r="I317" s="9">
        <v>220</v>
      </c>
      <c r="J317" s="9">
        <v>220</v>
      </c>
      <c r="K317" s="5" t="str">
        <f>VLOOKUP(D317,[1]Clientes!$A$1:$B$1370,2,0)</f>
        <v>NAC0666</v>
      </c>
      <c r="L317" s="5" t="str">
        <f t="shared" si="8"/>
        <v>HGI0126346</v>
      </c>
      <c r="M317" s="5" t="str">
        <f t="shared" si="9"/>
        <v>I</v>
      </c>
      <c r="N317" s="5">
        <f>IF(G317=[1]Clientes!$C$3,[1]Clientes!$D$3,[1]Clientes!$D$2)</f>
        <v>13050505</v>
      </c>
    </row>
    <row r="318" spans="1:14">
      <c r="A318" s="6" t="s">
        <v>7</v>
      </c>
      <c r="B318" s="7">
        <v>45516</v>
      </c>
      <c r="C318" s="6" t="s">
        <v>3453</v>
      </c>
      <c r="D318" s="6" t="s">
        <v>690</v>
      </c>
      <c r="E318" s="6" t="s">
        <v>16</v>
      </c>
      <c r="F318" s="7">
        <v>45546</v>
      </c>
      <c r="G318" s="6" t="s">
        <v>3102</v>
      </c>
      <c r="H318" s="8"/>
      <c r="I318" s="9">
        <v>1395</v>
      </c>
      <c r="J318" s="9">
        <v>1395</v>
      </c>
      <c r="K318" s="5" t="str">
        <f>VLOOKUP(D318,[1]Clientes!$A$1:$B$1370,2,0)</f>
        <v>NAC0666</v>
      </c>
      <c r="L318" s="5" t="str">
        <f t="shared" si="8"/>
        <v>HGI0126390</v>
      </c>
      <c r="M318" s="5" t="str">
        <f t="shared" si="9"/>
        <v>I</v>
      </c>
      <c r="N318" s="5">
        <f>IF(G318=[1]Clientes!$C$3,[1]Clientes!$D$3,[1]Clientes!$D$2)</f>
        <v>13050505</v>
      </c>
    </row>
    <row r="319" spans="1:14">
      <c r="A319" s="6" t="s">
        <v>7</v>
      </c>
      <c r="B319" s="7">
        <v>45516</v>
      </c>
      <c r="C319" s="6" t="s">
        <v>3454</v>
      </c>
      <c r="D319" s="6" t="s">
        <v>690</v>
      </c>
      <c r="E319" s="6" t="s">
        <v>16</v>
      </c>
      <c r="F319" s="7">
        <v>45546</v>
      </c>
      <c r="G319" s="6" t="s">
        <v>3102</v>
      </c>
      <c r="H319" s="8"/>
      <c r="I319" s="9">
        <v>525</v>
      </c>
      <c r="J319" s="9">
        <v>525</v>
      </c>
      <c r="K319" s="5" t="str">
        <f>VLOOKUP(D319,[1]Clientes!$A$1:$B$1370,2,0)</f>
        <v>NAC0666</v>
      </c>
      <c r="L319" s="5" t="str">
        <f t="shared" si="8"/>
        <v>HGI0126391</v>
      </c>
      <c r="M319" s="5" t="str">
        <f t="shared" si="9"/>
        <v>I</v>
      </c>
      <c r="N319" s="5">
        <f>IF(G319=[1]Clientes!$C$3,[1]Clientes!$D$3,[1]Clientes!$D$2)</f>
        <v>13050505</v>
      </c>
    </row>
    <row r="320" spans="1:14">
      <c r="A320" s="6" t="s">
        <v>7</v>
      </c>
      <c r="B320" s="7">
        <v>45519</v>
      </c>
      <c r="C320" s="6" t="s">
        <v>3455</v>
      </c>
      <c r="D320" s="6" t="s">
        <v>690</v>
      </c>
      <c r="E320" s="6" t="s">
        <v>16</v>
      </c>
      <c r="F320" s="7">
        <v>45549</v>
      </c>
      <c r="G320" s="6" t="s">
        <v>3102</v>
      </c>
      <c r="H320" s="8"/>
      <c r="I320" s="9">
        <v>440</v>
      </c>
      <c r="J320" s="9">
        <v>440</v>
      </c>
      <c r="K320" s="5" t="str">
        <f>VLOOKUP(D320,[1]Clientes!$A$1:$B$1370,2,0)</f>
        <v>NAC0666</v>
      </c>
      <c r="L320" s="5" t="str">
        <f t="shared" si="8"/>
        <v>HGI0126533</v>
      </c>
      <c r="M320" s="5" t="str">
        <f t="shared" si="9"/>
        <v>I</v>
      </c>
      <c r="N320" s="5">
        <f>IF(G320=[1]Clientes!$C$3,[1]Clientes!$D$3,[1]Clientes!$D$2)</f>
        <v>13050505</v>
      </c>
    </row>
    <row r="321" spans="1:14">
      <c r="A321" s="6" t="s">
        <v>7</v>
      </c>
      <c r="B321" s="7">
        <v>45526</v>
      </c>
      <c r="C321" s="6" t="s">
        <v>3456</v>
      </c>
      <c r="D321" s="6" t="s">
        <v>690</v>
      </c>
      <c r="E321" s="6" t="s">
        <v>16</v>
      </c>
      <c r="F321" s="7">
        <v>45556</v>
      </c>
      <c r="G321" s="6" t="s">
        <v>3102</v>
      </c>
      <c r="H321" s="8"/>
      <c r="I321" s="9">
        <v>720</v>
      </c>
      <c r="J321" s="9">
        <v>720</v>
      </c>
      <c r="K321" s="5" t="str">
        <f>VLOOKUP(D321,[1]Clientes!$A$1:$B$1370,2,0)</f>
        <v>NAC0666</v>
      </c>
      <c r="L321" s="5" t="str">
        <f t="shared" si="8"/>
        <v>HGI0126801</v>
      </c>
      <c r="M321" s="5" t="str">
        <f t="shared" si="9"/>
        <v>I</v>
      </c>
      <c r="N321" s="5">
        <f>IF(G321=[1]Clientes!$C$3,[1]Clientes!$D$3,[1]Clientes!$D$2)</f>
        <v>13050505</v>
      </c>
    </row>
    <row r="322" spans="1:14">
      <c r="A322" s="6" t="s">
        <v>7</v>
      </c>
      <c r="B322" s="7">
        <v>45530</v>
      </c>
      <c r="C322" s="6" t="s">
        <v>3457</v>
      </c>
      <c r="D322" s="6" t="s">
        <v>690</v>
      </c>
      <c r="E322" s="6" t="s">
        <v>16</v>
      </c>
      <c r="F322" s="7">
        <v>45560</v>
      </c>
      <c r="G322" s="6" t="s">
        <v>3102</v>
      </c>
      <c r="H322" s="8"/>
      <c r="I322" s="9">
        <v>783</v>
      </c>
      <c r="J322" s="9">
        <v>783</v>
      </c>
      <c r="K322" s="5" t="str">
        <f>VLOOKUP(D322,[1]Clientes!$A$1:$B$1370,2,0)</f>
        <v>NAC0666</v>
      </c>
      <c r="L322" s="5" t="str">
        <f t="shared" si="8"/>
        <v>HGI0126859</v>
      </c>
      <c r="M322" s="5" t="str">
        <f t="shared" si="9"/>
        <v>I</v>
      </c>
      <c r="N322" s="5">
        <f>IF(G322=[1]Clientes!$C$3,[1]Clientes!$D$3,[1]Clientes!$D$2)</f>
        <v>13050505</v>
      </c>
    </row>
    <row r="323" spans="1:14">
      <c r="A323" s="6" t="s">
        <v>7</v>
      </c>
      <c r="B323" s="7">
        <v>45531</v>
      </c>
      <c r="C323" s="6" t="s">
        <v>3458</v>
      </c>
      <c r="D323" s="6" t="s">
        <v>690</v>
      </c>
      <c r="E323" s="6" t="s">
        <v>16</v>
      </c>
      <c r="F323" s="7">
        <v>45561</v>
      </c>
      <c r="G323" s="6" t="s">
        <v>3102</v>
      </c>
      <c r="H323" s="8"/>
      <c r="I323" s="9">
        <v>3969</v>
      </c>
      <c r="J323" s="9">
        <v>3969</v>
      </c>
      <c r="K323" s="5" t="str">
        <f>VLOOKUP(D323,[1]Clientes!$A$1:$B$1370,2,0)</f>
        <v>NAC0666</v>
      </c>
      <c r="L323" s="5" t="str">
        <f t="shared" ref="L323:L386" si="10">IF(A323="Invoice",
    IF(LEFT(C323,5)="TGDR-", "TGDR"&amp;RIGHT(C323,LEN(C323)-5), "HGI"&amp;C323),
    IF(A323="Credit Memo",
        IF(LEFT(C323,5)="TGDR-", "CRM"&amp;RIGHT(C323,LEN(C323)-5), "CRM"&amp;C323),
        "Revisar")
)</f>
        <v>HGI0126950</v>
      </c>
      <c r="M323" s="5" t="str">
        <f t="shared" ref="M323:M386" si="11">IF(A323="Invoice","I",IF(A323="Credit Memo","C",IF(A323="Payment","P","GJ")))</f>
        <v>I</v>
      </c>
      <c r="N323" s="5">
        <f>IF(G323=[1]Clientes!$C$3,[1]Clientes!$D$3,[1]Clientes!$D$2)</f>
        <v>13050505</v>
      </c>
    </row>
    <row r="324" spans="1:14">
      <c r="A324" s="6" t="s">
        <v>7</v>
      </c>
      <c r="B324" s="7">
        <v>45506</v>
      </c>
      <c r="C324" s="6" t="s">
        <v>3459</v>
      </c>
      <c r="D324" s="6" t="s">
        <v>716</v>
      </c>
      <c r="E324" s="6" t="s">
        <v>16</v>
      </c>
      <c r="F324" s="7">
        <v>45536</v>
      </c>
      <c r="G324" s="6" t="s">
        <v>3102</v>
      </c>
      <c r="H324" s="8"/>
      <c r="I324" s="9">
        <v>811</v>
      </c>
      <c r="J324" s="9">
        <v>811</v>
      </c>
      <c r="K324" s="5" t="str">
        <f>VLOOKUP(D324,[1]Clientes!$A$1:$B$1370,2,0)</f>
        <v>NAC0669</v>
      </c>
      <c r="L324" s="5" t="str">
        <f t="shared" si="10"/>
        <v>HGI0126164</v>
      </c>
      <c r="M324" s="5" t="str">
        <f t="shared" si="11"/>
        <v>I</v>
      </c>
      <c r="N324" s="5">
        <f>IF(G324=[1]Clientes!$C$3,[1]Clientes!$D$3,[1]Clientes!$D$2)</f>
        <v>13050505</v>
      </c>
    </row>
    <row r="325" spans="1:14">
      <c r="A325" s="6" t="s">
        <v>7</v>
      </c>
      <c r="B325" s="7">
        <v>45509</v>
      </c>
      <c r="C325" s="6" t="s">
        <v>3460</v>
      </c>
      <c r="D325" s="6" t="s">
        <v>716</v>
      </c>
      <c r="E325" s="6" t="s">
        <v>16</v>
      </c>
      <c r="F325" s="7">
        <v>45539</v>
      </c>
      <c r="G325" s="6" t="s">
        <v>3102</v>
      </c>
      <c r="H325" s="8"/>
      <c r="I325" s="9">
        <v>265</v>
      </c>
      <c r="J325" s="9">
        <v>265</v>
      </c>
      <c r="K325" s="5" t="str">
        <f>VLOOKUP(D325,[1]Clientes!$A$1:$B$1370,2,0)</f>
        <v>NAC0669</v>
      </c>
      <c r="L325" s="5" t="str">
        <f t="shared" si="10"/>
        <v>HGI0126210</v>
      </c>
      <c r="M325" s="5" t="str">
        <f t="shared" si="11"/>
        <v>I</v>
      </c>
      <c r="N325" s="5">
        <f>IF(G325=[1]Clientes!$C$3,[1]Clientes!$D$3,[1]Clientes!$D$2)</f>
        <v>13050505</v>
      </c>
    </row>
    <row r="326" spans="1:14">
      <c r="A326" s="6" t="s">
        <v>7</v>
      </c>
      <c r="B326" s="7">
        <v>45275</v>
      </c>
      <c r="C326" s="6" t="s">
        <v>3461</v>
      </c>
      <c r="D326" s="6" t="s">
        <v>94</v>
      </c>
      <c r="E326" s="6" t="s">
        <v>16</v>
      </c>
      <c r="F326" s="7">
        <v>45305</v>
      </c>
      <c r="G326" s="6" t="s">
        <v>3102</v>
      </c>
      <c r="H326" s="8">
        <v>230</v>
      </c>
      <c r="I326" s="9">
        <v>381.94</v>
      </c>
      <c r="J326" s="9">
        <v>381.94</v>
      </c>
      <c r="K326" s="5" t="str">
        <f>VLOOKUP(D326,[1]Clientes!$A$1:$B$1370,2,0)</f>
        <v>CAN0011</v>
      </c>
      <c r="L326" s="5" t="str">
        <f t="shared" si="10"/>
        <v>HGI0118395</v>
      </c>
      <c r="M326" s="5" t="str">
        <f t="shared" si="11"/>
        <v>I</v>
      </c>
      <c r="N326" s="5">
        <f>IF(G326=[1]Clientes!$C$3,[1]Clientes!$D$3,[1]Clientes!$D$2)</f>
        <v>13050505</v>
      </c>
    </row>
    <row r="327" spans="1:14">
      <c r="A327" s="6" t="s">
        <v>7</v>
      </c>
      <c r="B327" s="7">
        <v>45342</v>
      </c>
      <c r="C327" s="6" t="s">
        <v>3462</v>
      </c>
      <c r="D327" s="6" t="s">
        <v>94</v>
      </c>
      <c r="E327" s="6" t="s">
        <v>16</v>
      </c>
      <c r="F327" s="7">
        <v>45372</v>
      </c>
      <c r="G327" s="6" t="s">
        <v>3102</v>
      </c>
      <c r="H327" s="8">
        <v>163</v>
      </c>
      <c r="I327" s="9">
        <v>389.85</v>
      </c>
      <c r="J327" s="9">
        <v>389.85</v>
      </c>
      <c r="K327" s="5" t="str">
        <f>VLOOKUP(D327,[1]Clientes!$A$1:$B$1370,2,0)</f>
        <v>CAN0011</v>
      </c>
      <c r="L327" s="5" t="str">
        <f t="shared" si="10"/>
        <v>HGI0121100</v>
      </c>
      <c r="M327" s="5" t="str">
        <f t="shared" si="11"/>
        <v>I</v>
      </c>
      <c r="N327" s="5">
        <f>IF(G327=[1]Clientes!$C$3,[1]Clientes!$D$3,[1]Clientes!$D$2)</f>
        <v>13050505</v>
      </c>
    </row>
    <row r="328" spans="1:14">
      <c r="A328" s="6" t="s">
        <v>7</v>
      </c>
      <c r="B328" s="7">
        <v>45348</v>
      </c>
      <c r="C328" s="6" t="s">
        <v>3463</v>
      </c>
      <c r="D328" s="6" t="s">
        <v>94</v>
      </c>
      <c r="E328" s="6" t="s">
        <v>16</v>
      </c>
      <c r="F328" s="7">
        <v>45378</v>
      </c>
      <c r="G328" s="6" t="s">
        <v>3102</v>
      </c>
      <c r="H328" s="8">
        <v>157</v>
      </c>
      <c r="I328" s="9">
        <v>758</v>
      </c>
      <c r="J328" s="9">
        <v>758</v>
      </c>
      <c r="K328" s="5" t="str">
        <f>VLOOKUP(D328,[1]Clientes!$A$1:$B$1370,2,0)</f>
        <v>CAN0011</v>
      </c>
      <c r="L328" s="5" t="str">
        <f t="shared" si="10"/>
        <v>HGI0121227</v>
      </c>
      <c r="M328" s="5" t="str">
        <f t="shared" si="11"/>
        <v>I</v>
      </c>
      <c r="N328" s="5">
        <f>IF(G328=[1]Clientes!$C$3,[1]Clientes!$D$3,[1]Clientes!$D$2)</f>
        <v>13050505</v>
      </c>
    </row>
    <row r="329" spans="1:14">
      <c r="A329" s="6" t="s">
        <v>7</v>
      </c>
      <c r="B329" s="7">
        <v>45352</v>
      </c>
      <c r="C329" s="6" t="s">
        <v>3464</v>
      </c>
      <c r="D329" s="6" t="s">
        <v>94</v>
      </c>
      <c r="E329" s="6" t="s">
        <v>16</v>
      </c>
      <c r="F329" s="7">
        <v>45382</v>
      </c>
      <c r="G329" s="6" t="s">
        <v>3102</v>
      </c>
      <c r="H329" s="8">
        <v>153</v>
      </c>
      <c r="I329" s="9">
        <v>507.37</v>
      </c>
      <c r="J329" s="9">
        <v>507.37</v>
      </c>
      <c r="K329" s="5" t="str">
        <f>VLOOKUP(D329,[1]Clientes!$A$1:$B$1370,2,0)</f>
        <v>CAN0011</v>
      </c>
      <c r="L329" s="5" t="str">
        <f t="shared" si="10"/>
        <v>HGI0121411</v>
      </c>
      <c r="M329" s="5" t="str">
        <f t="shared" si="11"/>
        <v>I</v>
      </c>
      <c r="N329" s="5">
        <f>IF(G329=[1]Clientes!$C$3,[1]Clientes!$D$3,[1]Clientes!$D$2)</f>
        <v>13050505</v>
      </c>
    </row>
    <row r="330" spans="1:14">
      <c r="A330" s="6" t="s">
        <v>7</v>
      </c>
      <c r="B330" s="7">
        <v>45357</v>
      </c>
      <c r="C330" s="6" t="s">
        <v>3465</v>
      </c>
      <c r="D330" s="6" t="s">
        <v>94</v>
      </c>
      <c r="E330" s="6" t="s">
        <v>16</v>
      </c>
      <c r="F330" s="7">
        <v>45387</v>
      </c>
      <c r="G330" s="6" t="s">
        <v>3102</v>
      </c>
      <c r="H330" s="8">
        <v>148</v>
      </c>
      <c r="I330" s="9">
        <v>7119</v>
      </c>
      <c r="J330" s="9">
        <v>7119</v>
      </c>
      <c r="K330" s="5" t="str">
        <f>VLOOKUP(D330,[1]Clientes!$A$1:$B$1370,2,0)</f>
        <v>CAN0011</v>
      </c>
      <c r="L330" s="5" t="str">
        <f t="shared" si="10"/>
        <v>HGI0121529</v>
      </c>
      <c r="M330" s="5" t="str">
        <f t="shared" si="11"/>
        <v>I</v>
      </c>
      <c r="N330" s="5">
        <f>IF(G330=[1]Clientes!$C$3,[1]Clientes!$D$3,[1]Clientes!$D$2)</f>
        <v>13050505</v>
      </c>
    </row>
    <row r="331" spans="1:14">
      <c r="A331" s="6" t="s">
        <v>7</v>
      </c>
      <c r="B331" s="7">
        <v>45398</v>
      </c>
      <c r="C331" s="6" t="s">
        <v>3466</v>
      </c>
      <c r="D331" s="6" t="s">
        <v>94</v>
      </c>
      <c r="E331" s="6" t="s">
        <v>16</v>
      </c>
      <c r="F331" s="7">
        <v>45428</v>
      </c>
      <c r="G331" s="6" t="s">
        <v>3102</v>
      </c>
      <c r="H331" s="8">
        <v>107</v>
      </c>
      <c r="I331" s="9">
        <v>31157.49</v>
      </c>
      <c r="J331" s="9">
        <v>31157.49</v>
      </c>
      <c r="K331" s="5" t="str">
        <f>VLOOKUP(D331,[1]Clientes!$A$1:$B$1370,2,0)</f>
        <v>CAN0011</v>
      </c>
      <c r="L331" s="5" t="str">
        <f t="shared" si="10"/>
        <v>HGI0123063</v>
      </c>
      <c r="M331" s="5" t="str">
        <f t="shared" si="11"/>
        <v>I</v>
      </c>
      <c r="N331" s="5">
        <f>IF(G331=[1]Clientes!$C$3,[1]Clientes!$D$3,[1]Clientes!$D$2)</f>
        <v>13050505</v>
      </c>
    </row>
    <row r="332" spans="1:14">
      <c r="A332" s="6" t="s">
        <v>7</v>
      </c>
      <c r="B332" s="7">
        <v>45397</v>
      </c>
      <c r="C332" s="6" t="s">
        <v>3467</v>
      </c>
      <c r="D332" s="6" t="s">
        <v>723</v>
      </c>
      <c r="E332" s="6" t="s">
        <v>16</v>
      </c>
      <c r="F332" s="7">
        <v>45427</v>
      </c>
      <c r="G332" s="6" t="s">
        <v>3102</v>
      </c>
      <c r="H332" s="8">
        <v>108</v>
      </c>
      <c r="I332" s="9">
        <v>105.8</v>
      </c>
      <c r="J332" s="9">
        <v>105.8</v>
      </c>
      <c r="K332" s="5" t="str">
        <f>VLOOKUP(D332,[1]Clientes!$A$1:$B$1370,2,0)</f>
        <v>NAC0672</v>
      </c>
      <c r="L332" s="5" t="str">
        <f t="shared" si="10"/>
        <v>HGI0123022</v>
      </c>
      <c r="M332" s="5" t="str">
        <f t="shared" si="11"/>
        <v>I</v>
      </c>
      <c r="N332" s="5">
        <f>IF(G332=[1]Clientes!$C$3,[1]Clientes!$D$3,[1]Clientes!$D$2)</f>
        <v>13050505</v>
      </c>
    </row>
    <row r="333" spans="1:14">
      <c r="A333" s="6" t="s">
        <v>7</v>
      </c>
      <c r="B333" s="7">
        <v>45448</v>
      </c>
      <c r="C333" s="6" t="s">
        <v>3468</v>
      </c>
      <c r="D333" s="6" t="s">
        <v>723</v>
      </c>
      <c r="E333" s="6" t="s">
        <v>16</v>
      </c>
      <c r="F333" s="7">
        <v>45478</v>
      </c>
      <c r="G333" s="6" t="s">
        <v>3102</v>
      </c>
      <c r="H333" s="8">
        <v>57</v>
      </c>
      <c r="I333" s="9">
        <v>222</v>
      </c>
      <c r="J333" s="9">
        <v>222</v>
      </c>
      <c r="K333" s="5" t="str">
        <f>VLOOKUP(D333,[1]Clientes!$A$1:$B$1370,2,0)</f>
        <v>NAC0672</v>
      </c>
      <c r="L333" s="5" t="str">
        <f t="shared" si="10"/>
        <v>HGI0124851</v>
      </c>
      <c r="M333" s="5" t="str">
        <f t="shared" si="11"/>
        <v>I</v>
      </c>
      <c r="N333" s="5">
        <f>IF(G333=[1]Clientes!$C$3,[1]Clientes!$D$3,[1]Clientes!$D$2)</f>
        <v>13050505</v>
      </c>
    </row>
    <row r="334" spans="1:14">
      <c r="A334" s="6" t="s">
        <v>7</v>
      </c>
      <c r="B334" s="7">
        <v>45512</v>
      </c>
      <c r="C334" s="6" t="s">
        <v>3469</v>
      </c>
      <c r="D334" s="6" t="s">
        <v>723</v>
      </c>
      <c r="E334" s="6" t="s">
        <v>16</v>
      </c>
      <c r="F334" s="7">
        <v>45542</v>
      </c>
      <c r="G334" s="6" t="s">
        <v>3102</v>
      </c>
      <c r="H334" s="8"/>
      <c r="I334" s="9">
        <v>432</v>
      </c>
      <c r="J334" s="9">
        <v>432</v>
      </c>
      <c r="K334" s="5" t="str">
        <f>VLOOKUP(D334,[1]Clientes!$A$1:$B$1370,2,0)</f>
        <v>NAC0672</v>
      </c>
      <c r="L334" s="5" t="str">
        <f t="shared" si="10"/>
        <v>HGI0126312</v>
      </c>
      <c r="M334" s="5" t="str">
        <f t="shared" si="11"/>
        <v>I</v>
      </c>
      <c r="N334" s="5">
        <f>IF(G334=[1]Clientes!$C$3,[1]Clientes!$D$3,[1]Clientes!$D$2)</f>
        <v>13050505</v>
      </c>
    </row>
    <row r="335" spans="1:14">
      <c r="A335" s="6" t="s">
        <v>7</v>
      </c>
      <c r="B335" s="7">
        <v>45525</v>
      </c>
      <c r="C335" s="6" t="s">
        <v>3470</v>
      </c>
      <c r="D335" s="6" t="s">
        <v>723</v>
      </c>
      <c r="E335" s="6" t="s">
        <v>16</v>
      </c>
      <c r="F335" s="7">
        <v>45555</v>
      </c>
      <c r="G335" s="6" t="s">
        <v>3102</v>
      </c>
      <c r="H335" s="8"/>
      <c r="I335" s="9">
        <v>2016</v>
      </c>
      <c r="J335" s="9">
        <v>2016</v>
      </c>
      <c r="K335" s="5" t="str">
        <f>VLOOKUP(D335,[1]Clientes!$A$1:$B$1370,2,0)</f>
        <v>NAC0672</v>
      </c>
      <c r="L335" s="5" t="str">
        <f t="shared" si="10"/>
        <v>HGI0126727</v>
      </c>
      <c r="M335" s="5" t="str">
        <f t="shared" si="11"/>
        <v>I</v>
      </c>
      <c r="N335" s="5">
        <f>IF(G335=[1]Clientes!$C$3,[1]Clientes!$D$3,[1]Clientes!$D$2)</f>
        <v>13050505</v>
      </c>
    </row>
    <row r="336" spans="1:14">
      <c r="A336" s="6" t="s">
        <v>7</v>
      </c>
      <c r="B336" s="7">
        <v>45530</v>
      </c>
      <c r="C336" s="6" t="s">
        <v>3471</v>
      </c>
      <c r="D336" s="6" t="s">
        <v>723</v>
      </c>
      <c r="E336" s="6" t="s">
        <v>16</v>
      </c>
      <c r="F336" s="7">
        <v>45560</v>
      </c>
      <c r="G336" s="6" t="s">
        <v>3102</v>
      </c>
      <c r="H336" s="8"/>
      <c r="I336" s="9">
        <v>6862</v>
      </c>
      <c r="J336" s="9">
        <v>6862</v>
      </c>
      <c r="K336" s="5" t="str">
        <f>VLOOKUP(D336,[1]Clientes!$A$1:$B$1370,2,0)</f>
        <v>NAC0672</v>
      </c>
      <c r="L336" s="5" t="str">
        <f t="shared" si="10"/>
        <v>HGI0126848</v>
      </c>
      <c r="M336" s="5" t="str">
        <f t="shared" si="11"/>
        <v>I</v>
      </c>
      <c r="N336" s="5">
        <f>IF(G336=[1]Clientes!$C$3,[1]Clientes!$D$3,[1]Clientes!$D$2)</f>
        <v>13050505</v>
      </c>
    </row>
    <row r="337" spans="1:14">
      <c r="A337" s="6" t="s">
        <v>7</v>
      </c>
      <c r="B337" s="7">
        <v>45330</v>
      </c>
      <c r="C337" s="6" t="s">
        <v>3472</v>
      </c>
      <c r="D337" s="6" t="s">
        <v>732</v>
      </c>
      <c r="E337" s="6" t="s">
        <v>16</v>
      </c>
      <c r="F337" s="7">
        <v>45360</v>
      </c>
      <c r="G337" s="6" t="s">
        <v>3102</v>
      </c>
      <c r="H337" s="8">
        <v>175</v>
      </c>
      <c r="I337" s="9">
        <v>32.729999999999997</v>
      </c>
      <c r="J337" s="9">
        <v>672.85</v>
      </c>
      <c r="K337" s="5" t="str">
        <f>VLOOKUP(D337,[1]Clientes!$A$1:$B$1370,2,0)</f>
        <v>NAC0673</v>
      </c>
      <c r="L337" s="5" t="str">
        <f t="shared" si="10"/>
        <v>HGI0120729</v>
      </c>
      <c r="M337" s="5" t="str">
        <f t="shared" si="11"/>
        <v>I</v>
      </c>
      <c r="N337" s="5">
        <f>IF(G337=[1]Clientes!$C$3,[1]Clientes!$D$3,[1]Clientes!$D$2)</f>
        <v>13050505</v>
      </c>
    </row>
    <row r="338" spans="1:14">
      <c r="A338" s="6" t="s">
        <v>3099</v>
      </c>
      <c r="B338" s="7">
        <v>45289</v>
      </c>
      <c r="C338" s="6" t="s">
        <v>3473</v>
      </c>
      <c r="D338" s="6" t="s">
        <v>735</v>
      </c>
      <c r="E338" s="6" t="s">
        <v>16</v>
      </c>
      <c r="F338" s="7">
        <v>45319</v>
      </c>
      <c r="G338" s="6" t="s">
        <v>3102</v>
      </c>
      <c r="H338" s="8">
        <v>216</v>
      </c>
      <c r="I338" s="9">
        <v>-787.89</v>
      </c>
      <c r="J338" s="9">
        <v>-787.89</v>
      </c>
      <c r="K338" s="5" t="str">
        <f>VLOOKUP(D338,[1]Clientes!$A$1:$B$1370,2,0)</f>
        <v>NAC0675</v>
      </c>
      <c r="L338" s="5" t="str">
        <f t="shared" si="10"/>
        <v>CRM0118769</v>
      </c>
      <c r="M338" s="5" t="str">
        <f t="shared" si="11"/>
        <v>C</v>
      </c>
      <c r="N338" s="5">
        <f>IF(G338=[1]Clientes!$C$3,[1]Clientes!$D$3,[1]Clientes!$D$2)</f>
        <v>13050505</v>
      </c>
    </row>
    <row r="339" spans="1:14">
      <c r="A339" s="6" t="s">
        <v>3099</v>
      </c>
      <c r="B339" s="7">
        <v>45531</v>
      </c>
      <c r="C339" s="6" t="s">
        <v>3474</v>
      </c>
      <c r="D339" s="6" t="s">
        <v>3475</v>
      </c>
      <c r="E339" s="6" t="s">
        <v>213</v>
      </c>
      <c r="F339" s="7">
        <v>45531</v>
      </c>
      <c r="G339" s="6" t="s">
        <v>3102</v>
      </c>
      <c r="H339" s="8">
        <v>4</v>
      </c>
      <c r="I339" s="9">
        <v>-15</v>
      </c>
      <c r="J339" s="9">
        <v>-68.53</v>
      </c>
      <c r="K339" s="5" t="str">
        <f>VLOOKUP(D339,[1]Clientes!$A$1:$B$1370,2,0)</f>
        <v>SH00610</v>
      </c>
      <c r="L339" s="5" t="str">
        <f t="shared" si="10"/>
        <v>CRM0126880</v>
      </c>
      <c r="M339" s="5" t="str">
        <f t="shared" si="11"/>
        <v>C</v>
      </c>
      <c r="N339" s="5">
        <f>IF(G339=[1]Clientes!$C$3,[1]Clientes!$D$3,[1]Clientes!$D$2)</f>
        <v>13050505</v>
      </c>
    </row>
    <row r="340" spans="1:14">
      <c r="A340" s="6" t="s">
        <v>3139</v>
      </c>
      <c r="B340" s="7">
        <v>45014</v>
      </c>
      <c r="C340" s="6" t="s">
        <v>3476</v>
      </c>
      <c r="D340" s="6" t="s">
        <v>3477</v>
      </c>
      <c r="E340" s="6"/>
      <c r="F340" s="7"/>
      <c r="G340" s="6" t="s">
        <v>3478</v>
      </c>
      <c r="H340" s="8"/>
      <c r="I340" s="9">
        <v>-24.62</v>
      </c>
      <c r="J340" s="9">
        <v>-91.31</v>
      </c>
      <c r="K340" s="5" t="str">
        <f>VLOOKUP(D340,[1]Clientes!$A$1:$B$1370,2,0)</f>
        <v>INT0052</v>
      </c>
      <c r="L340" s="5" t="str">
        <f t="shared" si="10"/>
        <v>Revisar</v>
      </c>
      <c r="M340" s="5" t="str">
        <f t="shared" si="11"/>
        <v>P</v>
      </c>
      <c r="N340" s="5">
        <f>IF(G340=[1]Clientes!$C$3,[1]Clientes!$D$3,[1]Clientes!$D$2)</f>
        <v>13050101</v>
      </c>
    </row>
    <row r="341" spans="1:14">
      <c r="A341" s="6" t="s">
        <v>7</v>
      </c>
      <c r="B341" s="7">
        <v>45016</v>
      </c>
      <c r="C341" s="6" t="s">
        <v>3479</v>
      </c>
      <c r="D341" s="6" t="s">
        <v>3477</v>
      </c>
      <c r="E341" s="6" t="s">
        <v>16</v>
      </c>
      <c r="F341" s="7">
        <v>45046</v>
      </c>
      <c r="G341" s="6" t="s">
        <v>3478</v>
      </c>
      <c r="H341" s="8">
        <v>489</v>
      </c>
      <c r="I341" s="9">
        <v>13.02</v>
      </c>
      <c r="J341" s="9">
        <v>13.02</v>
      </c>
      <c r="K341" s="5" t="str">
        <f>VLOOKUP(D341,[1]Clientes!$A$1:$B$1370,2,0)</f>
        <v>INT0052</v>
      </c>
      <c r="L341" s="5" t="str">
        <f t="shared" si="10"/>
        <v>TGDR202406</v>
      </c>
      <c r="M341" s="5" t="str">
        <f t="shared" si="11"/>
        <v>I</v>
      </c>
      <c r="N341" s="5">
        <f>IF(G341=[1]Clientes!$C$3,[1]Clientes!$D$3,[1]Clientes!$D$2)</f>
        <v>13050101</v>
      </c>
    </row>
    <row r="342" spans="1:14">
      <c r="A342" s="6" t="s">
        <v>7</v>
      </c>
      <c r="B342" s="7">
        <v>45046</v>
      </c>
      <c r="C342" s="6" t="s">
        <v>3480</v>
      </c>
      <c r="D342" s="6" t="s">
        <v>3477</v>
      </c>
      <c r="E342" s="6" t="s">
        <v>16</v>
      </c>
      <c r="F342" s="7">
        <v>45076</v>
      </c>
      <c r="G342" s="6" t="s">
        <v>3478</v>
      </c>
      <c r="H342" s="8">
        <v>459</v>
      </c>
      <c r="I342" s="9">
        <v>12.7</v>
      </c>
      <c r="J342" s="9">
        <v>12.7</v>
      </c>
      <c r="K342" s="5" t="str">
        <f>VLOOKUP(D342,[1]Clientes!$A$1:$B$1370,2,0)</f>
        <v>INT0052</v>
      </c>
      <c r="L342" s="5" t="str">
        <f t="shared" si="10"/>
        <v>TGDR202431</v>
      </c>
      <c r="M342" s="5" t="str">
        <f t="shared" si="11"/>
        <v>I</v>
      </c>
      <c r="N342" s="5">
        <f>IF(G342=[1]Clientes!$C$3,[1]Clientes!$D$3,[1]Clientes!$D$2)</f>
        <v>13050101</v>
      </c>
    </row>
    <row r="343" spans="1:14">
      <c r="A343" s="6" t="s">
        <v>7</v>
      </c>
      <c r="B343" s="7">
        <v>45077</v>
      </c>
      <c r="C343" s="6" t="s">
        <v>3481</v>
      </c>
      <c r="D343" s="6" t="s">
        <v>3477</v>
      </c>
      <c r="E343" s="6" t="s">
        <v>16</v>
      </c>
      <c r="F343" s="7">
        <v>45107</v>
      </c>
      <c r="G343" s="6" t="s">
        <v>3478</v>
      </c>
      <c r="H343" s="8">
        <v>428</v>
      </c>
      <c r="I343" s="9">
        <v>16.41</v>
      </c>
      <c r="J343" s="9">
        <v>16.41</v>
      </c>
      <c r="K343" s="5" t="str">
        <f>VLOOKUP(D343,[1]Clientes!$A$1:$B$1370,2,0)</f>
        <v>INT0052</v>
      </c>
      <c r="L343" s="5" t="str">
        <f t="shared" si="10"/>
        <v>TGDR202443</v>
      </c>
      <c r="M343" s="5" t="str">
        <f t="shared" si="11"/>
        <v>I</v>
      </c>
      <c r="N343" s="5">
        <f>IF(G343=[1]Clientes!$C$3,[1]Clientes!$D$3,[1]Clientes!$D$2)</f>
        <v>13050101</v>
      </c>
    </row>
    <row r="344" spans="1:14">
      <c r="A344" s="6" t="s">
        <v>7</v>
      </c>
      <c r="B344" s="7">
        <v>45107</v>
      </c>
      <c r="C344" s="6" t="s">
        <v>3482</v>
      </c>
      <c r="D344" s="6" t="s">
        <v>3477</v>
      </c>
      <c r="E344" s="6" t="s">
        <v>16</v>
      </c>
      <c r="F344" s="7">
        <v>45137</v>
      </c>
      <c r="G344" s="6" t="s">
        <v>3478</v>
      </c>
      <c r="H344" s="8">
        <v>398</v>
      </c>
      <c r="I344" s="9">
        <v>16.77</v>
      </c>
      <c r="J344" s="9">
        <v>16.77</v>
      </c>
      <c r="K344" s="5" t="str">
        <f>VLOOKUP(D344,[1]Clientes!$A$1:$B$1370,2,0)</f>
        <v>INT0052</v>
      </c>
      <c r="L344" s="5" t="str">
        <f t="shared" si="10"/>
        <v>TGDR202463</v>
      </c>
      <c r="M344" s="5" t="str">
        <f t="shared" si="11"/>
        <v>I</v>
      </c>
      <c r="N344" s="5">
        <f>IF(G344=[1]Clientes!$C$3,[1]Clientes!$D$3,[1]Clientes!$D$2)</f>
        <v>13050101</v>
      </c>
    </row>
    <row r="345" spans="1:14">
      <c r="A345" s="6" t="s">
        <v>7</v>
      </c>
      <c r="B345" s="7">
        <v>45138</v>
      </c>
      <c r="C345" s="6" t="s">
        <v>3483</v>
      </c>
      <c r="D345" s="6" t="s">
        <v>3477</v>
      </c>
      <c r="E345" s="6" t="s">
        <v>16</v>
      </c>
      <c r="F345" s="7">
        <v>45168</v>
      </c>
      <c r="G345" s="6" t="s">
        <v>3478</v>
      </c>
      <c r="H345" s="8">
        <v>367</v>
      </c>
      <c r="I345" s="9">
        <v>27.01</v>
      </c>
      <c r="J345" s="9">
        <v>27.01</v>
      </c>
      <c r="K345" s="5" t="str">
        <f>VLOOKUP(D345,[1]Clientes!$A$1:$B$1370,2,0)</f>
        <v>INT0052</v>
      </c>
      <c r="L345" s="5" t="str">
        <f t="shared" si="10"/>
        <v>TGDR202480</v>
      </c>
      <c r="M345" s="5" t="str">
        <f t="shared" si="11"/>
        <v>I</v>
      </c>
      <c r="N345" s="5">
        <f>IF(G345=[1]Clientes!$C$3,[1]Clientes!$D$3,[1]Clientes!$D$2)</f>
        <v>13050101</v>
      </c>
    </row>
    <row r="346" spans="1:14">
      <c r="A346" s="6" t="s">
        <v>7</v>
      </c>
      <c r="B346" s="7">
        <v>45169</v>
      </c>
      <c r="C346" s="6" t="s">
        <v>3484</v>
      </c>
      <c r="D346" s="6" t="s">
        <v>3477</v>
      </c>
      <c r="E346" s="6" t="s">
        <v>16</v>
      </c>
      <c r="F346" s="7">
        <v>45199</v>
      </c>
      <c r="G346" s="6" t="s">
        <v>3478</v>
      </c>
      <c r="H346" s="8">
        <v>336</v>
      </c>
      <c r="I346" s="9">
        <v>48.01</v>
      </c>
      <c r="J346" s="9">
        <v>48.01</v>
      </c>
      <c r="K346" s="5" t="str">
        <f>VLOOKUP(D346,[1]Clientes!$A$1:$B$1370,2,0)</f>
        <v>INT0052</v>
      </c>
      <c r="L346" s="5" t="str">
        <f t="shared" si="10"/>
        <v>TGDR202505</v>
      </c>
      <c r="M346" s="5" t="str">
        <f t="shared" si="11"/>
        <v>I</v>
      </c>
      <c r="N346" s="5">
        <f>IF(G346=[1]Clientes!$C$3,[1]Clientes!$D$3,[1]Clientes!$D$2)</f>
        <v>13050101</v>
      </c>
    </row>
    <row r="347" spans="1:14">
      <c r="A347" s="6" t="s">
        <v>7</v>
      </c>
      <c r="B347" s="7">
        <v>45169</v>
      </c>
      <c r="C347" s="6" t="s">
        <v>3485</v>
      </c>
      <c r="D347" s="6" t="s">
        <v>3477</v>
      </c>
      <c r="E347" s="6" t="s">
        <v>16</v>
      </c>
      <c r="F347" s="7">
        <v>45199</v>
      </c>
      <c r="G347" s="6" t="s">
        <v>3478</v>
      </c>
      <c r="H347" s="8">
        <v>336</v>
      </c>
      <c r="I347" s="9">
        <v>279.01</v>
      </c>
      <c r="J347" s="9">
        <v>279.01</v>
      </c>
      <c r="K347" s="5" t="str">
        <f>VLOOKUP(D347,[1]Clientes!$A$1:$B$1370,2,0)</f>
        <v>INT0052</v>
      </c>
      <c r="L347" s="5" t="str">
        <f t="shared" si="10"/>
        <v>TGDR202509</v>
      </c>
      <c r="M347" s="5" t="str">
        <f t="shared" si="11"/>
        <v>I</v>
      </c>
      <c r="N347" s="5">
        <f>IF(G347=[1]Clientes!$C$3,[1]Clientes!$D$3,[1]Clientes!$D$2)</f>
        <v>13050101</v>
      </c>
    </row>
    <row r="348" spans="1:14">
      <c r="A348" s="6" t="s">
        <v>7</v>
      </c>
      <c r="B348" s="7">
        <v>45198</v>
      </c>
      <c r="C348" s="6" t="s">
        <v>3486</v>
      </c>
      <c r="D348" s="6" t="s">
        <v>3477</v>
      </c>
      <c r="E348" s="6" t="s">
        <v>16</v>
      </c>
      <c r="F348" s="7">
        <v>45228</v>
      </c>
      <c r="G348" s="6" t="s">
        <v>3478</v>
      </c>
      <c r="H348" s="8">
        <v>307</v>
      </c>
      <c r="I348" s="9">
        <v>107.33</v>
      </c>
      <c r="J348" s="9">
        <v>107.33</v>
      </c>
      <c r="K348" s="5" t="str">
        <f>VLOOKUP(D348,[1]Clientes!$A$1:$B$1370,2,0)</f>
        <v>INT0052</v>
      </c>
      <c r="L348" s="5" t="str">
        <f t="shared" si="10"/>
        <v>TGDR202521</v>
      </c>
      <c r="M348" s="5" t="str">
        <f t="shared" si="11"/>
        <v>I</v>
      </c>
      <c r="N348" s="5">
        <f>IF(G348=[1]Clientes!$C$3,[1]Clientes!$D$3,[1]Clientes!$D$2)</f>
        <v>13050101</v>
      </c>
    </row>
    <row r="349" spans="1:14">
      <c r="A349" s="6" t="s">
        <v>7</v>
      </c>
      <c r="B349" s="7">
        <v>45198</v>
      </c>
      <c r="C349" s="6" t="s">
        <v>3487</v>
      </c>
      <c r="D349" s="6" t="s">
        <v>3477</v>
      </c>
      <c r="E349" s="6" t="s">
        <v>16</v>
      </c>
      <c r="F349" s="7">
        <v>45228</v>
      </c>
      <c r="G349" s="6" t="s">
        <v>3478</v>
      </c>
      <c r="H349" s="8">
        <v>307</v>
      </c>
      <c r="I349" s="9">
        <v>104.58</v>
      </c>
      <c r="J349" s="9">
        <v>104.58</v>
      </c>
      <c r="K349" s="5" t="str">
        <f>VLOOKUP(D349,[1]Clientes!$A$1:$B$1370,2,0)</f>
        <v>INT0052</v>
      </c>
      <c r="L349" s="5" t="str">
        <f t="shared" si="10"/>
        <v>TGDR202526</v>
      </c>
      <c r="M349" s="5" t="str">
        <f t="shared" si="11"/>
        <v>I</v>
      </c>
      <c r="N349" s="5">
        <f>IF(G349=[1]Clientes!$C$3,[1]Clientes!$D$3,[1]Clientes!$D$2)</f>
        <v>13050101</v>
      </c>
    </row>
    <row r="350" spans="1:14">
      <c r="A350" s="6" t="s">
        <v>7</v>
      </c>
      <c r="B350" s="7">
        <v>45198</v>
      </c>
      <c r="C350" s="6" t="s">
        <v>3488</v>
      </c>
      <c r="D350" s="6" t="s">
        <v>3477</v>
      </c>
      <c r="E350" s="6" t="s">
        <v>16</v>
      </c>
      <c r="F350" s="7">
        <v>45228</v>
      </c>
      <c r="G350" s="6" t="s">
        <v>3478</v>
      </c>
      <c r="H350" s="8">
        <v>307</v>
      </c>
      <c r="I350" s="9">
        <v>10849.82</v>
      </c>
      <c r="J350" s="9">
        <v>10849.82</v>
      </c>
      <c r="K350" s="5" t="str">
        <f>VLOOKUP(D350,[1]Clientes!$A$1:$B$1370,2,0)</f>
        <v>INT0052</v>
      </c>
      <c r="L350" s="5" t="str">
        <f t="shared" si="10"/>
        <v>TGDR202529</v>
      </c>
      <c r="M350" s="5" t="str">
        <f t="shared" si="11"/>
        <v>I</v>
      </c>
      <c r="N350" s="5">
        <f>IF(G350=[1]Clientes!$C$3,[1]Clientes!$D$3,[1]Clientes!$D$2)</f>
        <v>13050101</v>
      </c>
    </row>
    <row r="351" spans="1:14">
      <c r="A351" s="6" t="s">
        <v>7</v>
      </c>
      <c r="B351" s="7">
        <v>45230</v>
      </c>
      <c r="C351" s="6" t="s">
        <v>3489</v>
      </c>
      <c r="D351" s="6" t="s">
        <v>3477</v>
      </c>
      <c r="E351" s="6" t="s">
        <v>16</v>
      </c>
      <c r="F351" s="7">
        <v>45260</v>
      </c>
      <c r="G351" s="6" t="s">
        <v>3478</v>
      </c>
      <c r="H351" s="8">
        <v>275</v>
      </c>
      <c r="I351" s="9">
        <v>97.4</v>
      </c>
      <c r="J351" s="9">
        <v>97.4</v>
      </c>
      <c r="K351" s="5" t="str">
        <f>VLOOKUP(D351,[1]Clientes!$A$1:$B$1370,2,0)</f>
        <v>INT0052</v>
      </c>
      <c r="L351" s="5" t="str">
        <f t="shared" si="10"/>
        <v>TGDR202542</v>
      </c>
      <c r="M351" s="5" t="str">
        <f t="shared" si="11"/>
        <v>I</v>
      </c>
      <c r="N351" s="5">
        <f>IF(G351=[1]Clientes!$C$3,[1]Clientes!$D$3,[1]Clientes!$D$2)</f>
        <v>13050101</v>
      </c>
    </row>
    <row r="352" spans="1:14">
      <c r="A352" s="6" t="s">
        <v>7</v>
      </c>
      <c r="B352" s="7">
        <v>45260</v>
      </c>
      <c r="C352" s="6" t="s">
        <v>3490</v>
      </c>
      <c r="D352" s="6" t="s">
        <v>3477</v>
      </c>
      <c r="E352" s="6" t="s">
        <v>16</v>
      </c>
      <c r="F352" s="7">
        <v>45290</v>
      </c>
      <c r="G352" s="6" t="s">
        <v>3478</v>
      </c>
      <c r="H352" s="8">
        <v>245</v>
      </c>
      <c r="I352" s="9">
        <v>139.1</v>
      </c>
      <c r="J352" s="9">
        <v>139.1</v>
      </c>
      <c r="K352" s="5" t="str">
        <f>VLOOKUP(D352,[1]Clientes!$A$1:$B$1370,2,0)</f>
        <v>INT0052</v>
      </c>
      <c r="L352" s="5" t="str">
        <f t="shared" si="10"/>
        <v>TGDR202560</v>
      </c>
      <c r="M352" s="5" t="str">
        <f t="shared" si="11"/>
        <v>I</v>
      </c>
      <c r="N352" s="5">
        <f>IF(G352=[1]Clientes!$C$3,[1]Clientes!$D$3,[1]Clientes!$D$2)</f>
        <v>13050101</v>
      </c>
    </row>
    <row r="353" spans="1:14">
      <c r="A353" s="6" t="s">
        <v>7</v>
      </c>
      <c r="B353" s="7">
        <v>45260</v>
      </c>
      <c r="C353" s="6" t="s">
        <v>3491</v>
      </c>
      <c r="D353" s="6" t="s">
        <v>3477</v>
      </c>
      <c r="E353" s="6" t="s">
        <v>16</v>
      </c>
      <c r="F353" s="7">
        <v>45290</v>
      </c>
      <c r="G353" s="6" t="s">
        <v>3478</v>
      </c>
      <c r="H353" s="8">
        <v>245</v>
      </c>
      <c r="I353" s="9">
        <v>272.83999999999997</v>
      </c>
      <c r="J353" s="9">
        <v>272.83999999999997</v>
      </c>
      <c r="K353" s="5" t="str">
        <f>VLOOKUP(D353,[1]Clientes!$A$1:$B$1370,2,0)</f>
        <v>INT0052</v>
      </c>
      <c r="L353" s="5" t="str">
        <f t="shared" si="10"/>
        <v>TGDR202569</v>
      </c>
      <c r="M353" s="5" t="str">
        <f t="shared" si="11"/>
        <v>I</v>
      </c>
      <c r="N353" s="5">
        <f>IF(G353=[1]Clientes!$C$3,[1]Clientes!$D$3,[1]Clientes!$D$2)</f>
        <v>13050101</v>
      </c>
    </row>
    <row r="354" spans="1:14">
      <c r="A354" s="6" t="s">
        <v>7</v>
      </c>
      <c r="B354" s="7">
        <v>45260</v>
      </c>
      <c r="C354" s="6" t="s">
        <v>3492</v>
      </c>
      <c r="D354" s="6" t="s">
        <v>3477</v>
      </c>
      <c r="E354" s="6" t="s">
        <v>16</v>
      </c>
      <c r="F354" s="7">
        <v>45290</v>
      </c>
      <c r="G354" s="6" t="s">
        <v>3478</v>
      </c>
      <c r="H354" s="8">
        <v>245</v>
      </c>
      <c r="I354" s="9">
        <v>2896.48</v>
      </c>
      <c r="J354" s="9">
        <v>2896.48</v>
      </c>
      <c r="K354" s="5" t="str">
        <f>VLOOKUP(D354,[1]Clientes!$A$1:$B$1370,2,0)</f>
        <v>INT0052</v>
      </c>
      <c r="L354" s="5" t="str">
        <f t="shared" si="10"/>
        <v>TGDR202572</v>
      </c>
      <c r="M354" s="5" t="str">
        <f t="shared" si="11"/>
        <v>I</v>
      </c>
      <c r="N354" s="5">
        <f>IF(G354=[1]Clientes!$C$3,[1]Clientes!$D$3,[1]Clientes!$D$2)</f>
        <v>13050101</v>
      </c>
    </row>
    <row r="355" spans="1:14">
      <c r="A355" s="6" t="s">
        <v>7</v>
      </c>
      <c r="B355" s="7">
        <v>45289</v>
      </c>
      <c r="C355" s="6" t="s">
        <v>3493</v>
      </c>
      <c r="D355" s="6" t="s">
        <v>3477</v>
      </c>
      <c r="E355" s="6" t="s">
        <v>16</v>
      </c>
      <c r="F355" s="7">
        <v>45319</v>
      </c>
      <c r="G355" s="6" t="s">
        <v>3478</v>
      </c>
      <c r="H355" s="8">
        <v>216</v>
      </c>
      <c r="I355" s="9">
        <v>181.13</v>
      </c>
      <c r="J355" s="9">
        <v>181.13</v>
      </c>
      <c r="K355" s="5" t="str">
        <f>VLOOKUP(D355,[1]Clientes!$A$1:$B$1370,2,0)</f>
        <v>INT0052</v>
      </c>
      <c r="L355" s="5" t="str">
        <f t="shared" si="10"/>
        <v>TGDR202582</v>
      </c>
      <c r="M355" s="5" t="str">
        <f t="shared" si="11"/>
        <v>I</v>
      </c>
      <c r="N355" s="5">
        <f>IF(G355=[1]Clientes!$C$3,[1]Clientes!$D$3,[1]Clientes!$D$2)</f>
        <v>13050101</v>
      </c>
    </row>
    <row r="356" spans="1:14">
      <c r="A356" s="6" t="s">
        <v>7</v>
      </c>
      <c r="B356" s="7">
        <v>45322</v>
      </c>
      <c r="C356" s="6" t="s">
        <v>3494</v>
      </c>
      <c r="D356" s="6" t="s">
        <v>3477</v>
      </c>
      <c r="E356" s="6" t="s">
        <v>16</v>
      </c>
      <c r="F356" s="7">
        <v>45352</v>
      </c>
      <c r="G356" s="6" t="s">
        <v>3478</v>
      </c>
      <c r="H356" s="8">
        <v>183</v>
      </c>
      <c r="I356" s="9">
        <v>132.68</v>
      </c>
      <c r="J356" s="9">
        <v>132.68</v>
      </c>
      <c r="K356" s="5" t="str">
        <f>VLOOKUP(D356,[1]Clientes!$A$1:$B$1370,2,0)</f>
        <v>INT0052</v>
      </c>
      <c r="L356" s="5" t="str">
        <f t="shared" si="10"/>
        <v>TGDR202604</v>
      </c>
      <c r="M356" s="5" t="str">
        <f t="shared" si="11"/>
        <v>I</v>
      </c>
      <c r="N356" s="5">
        <f>IF(G356=[1]Clientes!$C$3,[1]Clientes!$D$3,[1]Clientes!$D$2)</f>
        <v>13050101</v>
      </c>
    </row>
    <row r="357" spans="1:14">
      <c r="A357" s="6" t="s">
        <v>7</v>
      </c>
      <c r="B357" s="7">
        <v>45322</v>
      </c>
      <c r="C357" s="6" t="s">
        <v>3495</v>
      </c>
      <c r="D357" s="6" t="s">
        <v>3477</v>
      </c>
      <c r="E357" s="6" t="s">
        <v>16</v>
      </c>
      <c r="F357" s="7">
        <v>45352</v>
      </c>
      <c r="G357" s="6" t="s">
        <v>3478</v>
      </c>
      <c r="H357" s="8">
        <v>183</v>
      </c>
      <c r="I357" s="9">
        <v>3835.95</v>
      </c>
      <c r="J357" s="9">
        <v>3835.95</v>
      </c>
      <c r="K357" s="5" t="str">
        <f>VLOOKUP(D357,[1]Clientes!$A$1:$B$1370,2,0)</f>
        <v>INT0052</v>
      </c>
      <c r="L357" s="5" t="str">
        <f t="shared" si="10"/>
        <v>TGDR202613</v>
      </c>
      <c r="M357" s="5" t="str">
        <f t="shared" si="11"/>
        <v>I</v>
      </c>
      <c r="N357" s="5">
        <f>IF(G357=[1]Clientes!$C$3,[1]Clientes!$D$3,[1]Clientes!$D$2)</f>
        <v>13050101</v>
      </c>
    </row>
    <row r="358" spans="1:14">
      <c r="A358" s="6" t="s">
        <v>7</v>
      </c>
      <c r="B358" s="7">
        <v>45351</v>
      </c>
      <c r="C358" s="6" t="s">
        <v>3496</v>
      </c>
      <c r="D358" s="6" t="s">
        <v>3477</v>
      </c>
      <c r="E358" s="6" t="s">
        <v>16</v>
      </c>
      <c r="F358" s="7">
        <v>45381</v>
      </c>
      <c r="G358" s="6" t="s">
        <v>3478</v>
      </c>
      <c r="H358" s="8">
        <v>154</v>
      </c>
      <c r="I358" s="9">
        <v>162.51</v>
      </c>
      <c r="J358" s="9">
        <v>162.51</v>
      </c>
      <c r="K358" s="5" t="str">
        <f>VLOOKUP(D358,[1]Clientes!$A$1:$B$1370,2,0)</f>
        <v>INT0052</v>
      </c>
      <c r="L358" s="5" t="str">
        <f t="shared" si="10"/>
        <v>TGDR202617</v>
      </c>
      <c r="M358" s="5" t="str">
        <f t="shared" si="11"/>
        <v>I</v>
      </c>
      <c r="N358" s="5">
        <f>IF(G358=[1]Clientes!$C$3,[1]Clientes!$D$3,[1]Clientes!$D$2)</f>
        <v>13050101</v>
      </c>
    </row>
    <row r="359" spans="1:14">
      <c r="A359" s="6" t="s">
        <v>7</v>
      </c>
      <c r="B359" s="7">
        <v>45351</v>
      </c>
      <c r="C359" s="6" t="s">
        <v>3497</v>
      </c>
      <c r="D359" s="6" t="s">
        <v>3477</v>
      </c>
      <c r="E359" s="6" t="s">
        <v>16</v>
      </c>
      <c r="F359" s="7">
        <v>45381</v>
      </c>
      <c r="G359" s="6" t="s">
        <v>3478</v>
      </c>
      <c r="H359" s="8">
        <v>154</v>
      </c>
      <c r="I359" s="9">
        <v>6384.41</v>
      </c>
      <c r="J359" s="9">
        <v>6384.41</v>
      </c>
      <c r="K359" s="5" t="str">
        <f>VLOOKUP(D359,[1]Clientes!$A$1:$B$1370,2,0)</f>
        <v>INT0052</v>
      </c>
      <c r="L359" s="5" t="str">
        <f t="shared" si="10"/>
        <v>TGDR202628</v>
      </c>
      <c r="M359" s="5" t="str">
        <f t="shared" si="11"/>
        <v>I</v>
      </c>
      <c r="N359" s="5">
        <f>IF(G359=[1]Clientes!$C$3,[1]Clientes!$D$3,[1]Clientes!$D$2)</f>
        <v>13050101</v>
      </c>
    </row>
    <row r="360" spans="1:14">
      <c r="A360" s="6" t="s">
        <v>7</v>
      </c>
      <c r="B360" s="7">
        <v>45382</v>
      </c>
      <c r="C360" s="6" t="s">
        <v>3498</v>
      </c>
      <c r="D360" s="6" t="s">
        <v>3477</v>
      </c>
      <c r="E360" s="6" t="s">
        <v>16</v>
      </c>
      <c r="F360" s="7">
        <v>45412</v>
      </c>
      <c r="G360" s="6" t="s">
        <v>3478</v>
      </c>
      <c r="H360" s="8">
        <v>123</v>
      </c>
      <c r="I360" s="9">
        <v>41.05</v>
      </c>
      <c r="J360" s="9">
        <v>41.05</v>
      </c>
      <c r="K360" s="5" t="str">
        <f>VLOOKUP(D360,[1]Clientes!$A$1:$B$1370,2,0)</f>
        <v>INT0052</v>
      </c>
      <c r="L360" s="5" t="str">
        <f t="shared" si="10"/>
        <v>TGDR202638</v>
      </c>
      <c r="M360" s="5" t="str">
        <f t="shared" si="11"/>
        <v>I</v>
      </c>
      <c r="N360" s="5">
        <f>IF(G360=[1]Clientes!$C$3,[1]Clientes!$D$3,[1]Clientes!$D$2)</f>
        <v>13050101</v>
      </c>
    </row>
    <row r="361" spans="1:14">
      <c r="A361" s="6" t="s">
        <v>7</v>
      </c>
      <c r="B361" s="7">
        <v>45412</v>
      </c>
      <c r="C361" s="6" t="s">
        <v>3499</v>
      </c>
      <c r="D361" s="6" t="s">
        <v>3477</v>
      </c>
      <c r="E361" s="6" t="s">
        <v>16</v>
      </c>
      <c r="F361" s="7">
        <v>45442</v>
      </c>
      <c r="G361" s="6" t="s">
        <v>3478</v>
      </c>
      <c r="H361" s="8">
        <v>93</v>
      </c>
      <c r="I361" s="9">
        <v>77.900000000000006</v>
      </c>
      <c r="J361" s="9">
        <v>77.900000000000006</v>
      </c>
      <c r="K361" s="5" t="str">
        <f>VLOOKUP(D361,[1]Clientes!$A$1:$B$1370,2,0)</f>
        <v>INT0052</v>
      </c>
      <c r="L361" s="5" t="str">
        <f t="shared" si="10"/>
        <v>TGDR202665</v>
      </c>
      <c r="M361" s="5" t="str">
        <f t="shared" si="11"/>
        <v>I</v>
      </c>
      <c r="N361" s="5">
        <f>IF(G361=[1]Clientes!$C$3,[1]Clientes!$D$3,[1]Clientes!$D$2)</f>
        <v>13050101</v>
      </c>
    </row>
    <row r="362" spans="1:14">
      <c r="A362" s="6" t="s">
        <v>7</v>
      </c>
      <c r="B362" s="7">
        <v>45443</v>
      </c>
      <c r="C362" s="6" t="s">
        <v>3500</v>
      </c>
      <c r="D362" s="6" t="s">
        <v>3477</v>
      </c>
      <c r="E362" s="6" t="s">
        <v>16</v>
      </c>
      <c r="F362" s="7">
        <v>45473</v>
      </c>
      <c r="G362" s="6" t="s">
        <v>3478</v>
      </c>
      <c r="H362" s="8">
        <v>62</v>
      </c>
      <c r="I362" s="9">
        <v>79.45</v>
      </c>
      <c r="J362" s="9">
        <v>79.45</v>
      </c>
      <c r="K362" s="5" t="str">
        <f>VLOOKUP(D362,[1]Clientes!$A$1:$B$1370,2,0)</f>
        <v>INT0052</v>
      </c>
      <c r="L362" s="5" t="str">
        <f t="shared" si="10"/>
        <v>TGDR202679</v>
      </c>
      <c r="M362" s="5" t="str">
        <f t="shared" si="11"/>
        <v>I</v>
      </c>
      <c r="N362" s="5">
        <f>IF(G362=[1]Clientes!$C$3,[1]Clientes!$D$3,[1]Clientes!$D$2)</f>
        <v>13050101</v>
      </c>
    </row>
    <row r="363" spans="1:14">
      <c r="A363" s="6" t="s">
        <v>7</v>
      </c>
      <c r="B363" s="7">
        <v>45443</v>
      </c>
      <c r="C363" s="6" t="s">
        <v>3501</v>
      </c>
      <c r="D363" s="6" t="s">
        <v>3477</v>
      </c>
      <c r="E363" s="6" t="s">
        <v>16</v>
      </c>
      <c r="F363" s="7">
        <v>45473</v>
      </c>
      <c r="G363" s="6" t="s">
        <v>3478</v>
      </c>
      <c r="H363" s="8">
        <v>62</v>
      </c>
      <c r="I363" s="9">
        <v>52.52</v>
      </c>
      <c r="J363" s="9">
        <v>52.52</v>
      </c>
      <c r="K363" s="5" t="str">
        <f>VLOOKUP(D363,[1]Clientes!$A$1:$B$1370,2,0)</f>
        <v>INT0052</v>
      </c>
      <c r="L363" s="5" t="str">
        <f t="shared" si="10"/>
        <v>TGDR202681</v>
      </c>
      <c r="M363" s="5" t="str">
        <f t="shared" si="11"/>
        <v>I</v>
      </c>
      <c r="N363" s="5">
        <f>IF(G363=[1]Clientes!$C$3,[1]Clientes!$D$3,[1]Clientes!$D$2)</f>
        <v>13050101</v>
      </c>
    </row>
    <row r="364" spans="1:14">
      <c r="A364" s="6" t="s">
        <v>7</v>
      </c>
      <c r="B364" s="7">
        <v>45473</v>
      </c>
      <c r="C364" s="6" t="s">
        <v>3502</v>
      </c>
      <c r="D364" s="6" t="s">
        <v>3477</v>
      </c>
      <c r="E364" s="6" t="s">
        <v>16</v>
      </c>
      <c r="F364" s="7">
        <v>45503</v>
      </c>
      <c r="G364" s="6" t="s">
        <v>3478</v>
      </c>
      <c r="H364" s="8">
        <v>32</v>
      </c>
      <c r="I364" s="9">
        <v>31.66</v>
      </c>
      <c r="J364" s="9">
        <v>31.66</v>
      </c>
      <c r="K364" s="5" t="str">
        <f>VLOOKUP(D364,[1]Clientes!$A$1:$B$1370,2,0)</f>
        <v>INT0052</v>
      </c>
      <c r="L364" s="5" t="str">
        <f t="shared" si="10"/>
        <v>TGDR202696</v>
      </c>
      <c r="M364" s="5" t="str">
        <f t="shared" si="11"/>
        <v>I</v>
      </c>
      <c r="N364" s="5">
        <f>IF(G364=[1]Clientes!$C$3,[1]Clientes!$D$3,[1]Clientes!$D$2)</f>
        <v>13050101</v>
      </c>
    </row>
    <row r="365" spans="1:14">
      <c r="A365" s="6" t="s">
        <v>7</v>
      </c>
      <c r="B365" s="7">
        <v>45504</v>
      </c>
      <c r="C365" s="6" t="s">
        <v>3503</v>
      </c>
      <c r="D365" s="6" t="s">
        <v>3477</v>
      </c>
      <c r="E365" s="6" t="s">
        <v>16</v>
      </c>
      <c r="F365" s="7">
        <v>45534</v>
      </c>
      <c r="G365" s="6" t="s">
        <v>3478</v>
      </c>
      <c r="H365" s="8">
        <v>1</v>
      </c>
      <c r="I365" s="9">
        <v>6384.41</v>
      </c>
      <c r="J365" s="9">
        <v>6384.41</v>
      </c>
      <c r="K365" s="5" t="str">
        <f>VLOOKUP(D365,[1]Clientes!$A$1:$B$1370,2,0)</f>
        <v>INT0052</v>
      </c>
      <c r="L365" s="5" t="str">
        <f t="shared" si="10"/>
        <v>TGDR202717</v>
      </c>
      <c r="M365" s="5" t="str">
        <f t="shared" si="11"/>
        <v>I</v>
      </c>
      <c r="N365" s="5">
        <f>IF(G365=[1]Clientes!$C$3,[1]Clientes!$D$3,[1]Clientes!$D$2)</f>
        <v>13050101</v>
      </c>
    </row>
    <row r="366" spans="1:14">
      <c r="A366" s="6" t="s">
        <v>7</v>
      </c>
      <c r="B366" s="7">
        <v>45504</v>
      </c>
      <c r="C366" s="6" t="s">
        <v>3504</v>
      </c>
      <c r="D366" s="6" t="s">
        <v>3477</v>
      </c>
      <c r="E366" s="6" t="s">
        <v>16</v>
      </c>
      <c r="F366" s="7">
        <v>45534</v>
      </c>
      <c r="G366" s="6" t="s">
        <v>3478</v>
      </c>
      <c r="H366" s="8">
        <v>1</v>
      </c>
      <c r="I366" s="9">
        <v>41.32</v>
      </c>
      <c r="J366" s="9">
        <v>41.32</v>
      </c>
      <c r="K366" s="5" t="str">
        <f>VLOOKUP(D366,[1]Clientes!$A$1:$B$1370,2,0)</f>
        <v>INT0052</v>
      </c>
      <c r="L366" s="5" t="str">
        <f t="shared" si="10"/>
        <v>TGDR202720</v>
      </c>
      <c r="M366" s="5" t="str">
        <f t="shared" si="11"/>
        <v>I</v>
      </c>
      <c r="N366" s="5">
        <f>IF(G366=[1]Clientes!$C$3,[1]Clientes!$D$3,[1]Clientes!$D$2)</f>
        <v>13050101</v>
      </c>
    </row>
    <row r="367" spans="1:14">
      <c r="A367" s="6" t="s">
        <v>7</v>
      </c>
      <c r="B367" s="7">
        <v>45504</v>
      </c>
      <c r="C367" s="6" t="s">
        <v>3505</v>
      </c>
      <c r="D367" s="6" t="s">
        <v>3477</v>
      </c>
      <c r="E367" s="6" t="s">
        <v>16</v>
      </c>
      <c r="F367" s="7">
        <v>45534</v>
      </c>
      <c r="G367" s="6" t="s">
        <v>3478</v>
      </c>
      <c r="H367" s="8">
        <v>1</v>
      </c>
      <c r="I367" s="9">
        <v>6384.41</v>
      </c>
      <c r="J367" s="9">
        <v>6384.41</v>
      </c>
      <c r="K367" s="5" t="str">
        <f>VLOOKUP(D367,[1]Clientes!$A$1:$B$1370,2,0)</f>
        <v>INT0052</v>
      </c>
      <c r="L367" s="5" t="str">
        <f t="shared" si="10"/>
        <v>TGDR202727</v>
      </c>
      <c r="M367" s="5" t="str">
        <f t="shared" si="11"/>
        <v>I</v>
      </c>
      <c r="N367" s="5">
        <f>IF(G367=[1]Clientes!$C$3,[1]Clientes!$D$3,[1]Clientes!$D$2)</f>
        <v>13050101</v>
      </c>
    </row>
    <row r="368" spans="1:14">
      <c r="A368" s="6" t="s">
        <v>3265</v>
      </c>
      <c r="B368" s="7">
        <v>44592</v>
      </c>
      <c r="C368" s="6" t="s">
        <v>3506</v>
      </c>
      <c r="D368" s="6" t="s">
        <v>3507</v>
      </c>
      <c r="E368" s="6"/>
      <c r="F368" s="7"/>
      <c r="G368" s="6" t="s">
        <v>3478</v>
      </c>
      <c r="H368" s="8"/>
      <c r="I368" s="9">
        <v>112535.35</v>
      </c>
      <c r="J368" s="9">
        <v>169453.97</v>
      </c>
      <c r="K368" s="5" t="str">
        <f>VLOOKUP(D368,[1]Clientes!$A$1:$B$1370,2,0)</f>
        <v>INT0007</v>
      </c>
      <c r="L368" s="5" t="str">
        <f t="shared" si="10"/>
        <v>Revisar</v>
      </c>
      <c r="M368" s="5" t="str">
        <f t="shared" si="11"/>
        <v>GJ</v>
      </c>
      <c r="N368" s="5">
        <f>IF(G368=[1]Clientes!$C$3,[1]Clientes!$D$3,[1]Clientes!$D$2)</f>
        <v>13050101</v>
      </c>
    </row>
    <row r="369" spans="1:14">
      <c r="A369" s="6" t="s">
        <v>3139</v>
      </c>
      <c r="B369" s="7">
        <v>44743</v>
      </c>
      <c r="C369" s="6"/>
      <c r="D369" s="6" t="s">
        <v>3507</v>
      </c>
      <c r="E369" s="6"/>
      <c r="F369" s="7"/>
      <c r="G369" s="6" t="s">
        <v>3478</v>
      </c>
      <c r="H369" s="8"/>
      <c r="I369" s="9">
        <v>-440000</v>
      </c>
      <c r="J369" s="9">
        <v>-440000</v>
      </c>
      <c r="K369" s="5" t="str">
        <f>VLOOKUP(D369,[1]Clientes!$A$1:$B$1370,2,0)</f>
        <v>INT0007</v>
      </c>
      <c r="L369" s="5" t="str">
        <f t="shared" si="10"/>
        <v>Revisar</v>
      </c>
      <c r="M369" s="5" t="str">
        <f t="shared" si="11"/>
        <v>P</v>
      </c>
      <c r="N369" s="5">
        <f>IF(G369=[1]Clientes!$C$3,[1]Clientes!$D$3,[1]Clientes!$D$2)</f>
        <v>13050101</v>
      </c>
    </row>
    <row r="370" spans="1:14">
      <c r="A370" s="6" t="s">
        <v>3265</v>
      </c>
      <c r="B370" s="7">
        <v>44743</v>
      </c>
      <c r="C370" s="6" t="s">
        <v>3508</v>
      </c>
      <c r="D370" s="6" t="s">
        <v>3507</v>
      </c>
      <c r="E370" s="6"/>
      <c r="F370" s="7"/>
      <c r="G370" s="6" t="s">
        <v>3478</v>
      </c>
      <c r="H370" s="8"/>
      <c r="I370" s="9">
        <v>-166572.5</v>
      </c>
      <c r="J370" s="9">
        <v>-169453.97</v>
      </c>
      <c r="K370" s="5" t="str">
        <f>VLOOKUP(D370,[1]Clientes!$A$1:$B$1370,2,0)</f>
        <v>INT0007</v>
      </c>
      <c r="L370" s="5" t="str">
        <f t="shared" si="10"/>
        <v>Revisar</v>
      </c>
      <c r="M370" s="5" t="str">
        <f t="shared" si="11"/>
        <v>GJ</v>
      </c>
      <c r="N370" s="5">
        <f>IF(G370=[1]Clientes!$C$3,[1]Clientes!$D$3,[1]Clientes!$D$2)</f>
        <v>13050101</v>
      </c>
    </row>
    <row r="371" spans="1:14">
      <c r="A371" s="6" t="s">
        <v>7</v>
      </c>
      <c r="B371" s="7">
        <v>44726</v>
      </c>
      <c r="C371" s="6" t="s">
        <v>3509</v>
      </c>
      <c r="D371" s="6" t="s">
        <v>3507</v>
      </c>
      <c r="E371" s="6" t="s">
        <v>16</v>
      </c>
      <c r="F371" s="7">
        <v>44756</v>
      </c>
      <c r="G371" s="6" t="s">
        <v>3478</v>
      </c>
      <c r="H371" s="8">
        <v>779</v>
      </c>
      <c r="I371" s="9">
        <v>445800.05</v>
      </c>
      <c r="J371" s="9">
        <v>550040.96</v>
      </c>
      <c r="K371" s="5" t="str">
        <f>VLOOKUP(D371,[1]Clientes!$A$1:$B$1370,2,0)</f>
        <v>INT0007</v>
      </c>
      <c r="L371" s="5" t="str">
        <f t="shared" si="10"/>
        <v>HGI0102243</v>
      </c>
      <c r="M371" s="5" t="str">
        <f t="shared" si="11"/>
        <v>I</v>
      </c>
      <c r="N371" s="5">
        <f>IF(G371=[1]Clientes!$C$3,[1]Clientes!$D$3,[1]Clientes!$D$2)</f>
        <v>13050101</v>
      </c>
    </row>
    <row r="372" spans="1:14">
      <c r="A372" s="6" t="s">
        <v>3265</v>
      </c>
      <c r="B372" s="7">
        <v>44773</v>
      </c>
      <c r="C372" s="6" t="s">
        <v>3506</v>
      </c>
      <c r="D372" s="6" t="s">
        <v>3507</v>
      </c>
      <c r="E372" s="6"/>
      <c r="F372" s="7"/>
      <c r="G372" s="6" t="s">
        <v>3478</v>
      </c>
      <c r="H372" s="8"/>
      <c r="I372" s="9">
        <v>49360</v>
      </c>
      <c r="J372" s="9">
        <v>49360</v>
      </c>
      <c r="K372" s="5" t="str">
        <f>VLOOKUP(D372,[1]Clientes!$A$1:$B$1370,2,0)</f>
        <v>INT0007</v>
      </c>
      <c r="L372" s="5" t="str">
        <f t="shared" si="10"/>
        <v>Revisar</v>
      </c>
      <c r="M372" s="5" t="str">
        <f t="shared" si="11"/>
        <v>GJ</v>
      </c>
      <c r="N372" s="5">
        <f>IF(G372=[1]Clientes!$C$3,[1]Clientes!$D$3,[1]Clientes!$D$2)</f>
        <v>13050101</v>
      </c>
    </row>
    <row r="373" spans="1:14">
      <c r="A373" s="6" t="s">
        <v>7</v>
      </c>
      <c r="B373" s="7">
        <v>44771</v>
      </c>
      <c r="C373" s="6" t="s">
        <v>3510</v>
      </c>
      <c r="D373" s="6" t="s">
        <v>3507</v>
      </c>
      <c r="E373" s="6" t="s">
        <v>16</v>
      </c>
      <c r="F373" s="7">
        <v>44801</v>
      </c>
      <c r="G373" s="6" t="s">
        <v>3478</v>
      </c>
      <c r="H373" s="8">
        <v>734</v>
      </c>
      <c r="I373" s="9">
        <v>50545.440000000002</v>
      </c>
      <c r="J373" s="9">
        <v>50545.440000000002</v>
      </c>
      <c r="K373" s="5" t="str">
        <f>VLOOKUP(D373,[1]Clientes!$A$1:$B$1370,2,0)</f>
        <v>INT0007</v>
      </c>
      <c r="L373" s="5" t="str">
        <f t="shared" si="10"/>
        <v>HGI0102929</v>
      </c>
      <c r="M373" s="5" t="str">
        <f t="shared" si="11"/>
        <v>I</v>
      </c>
      <c r="N373" s="5">
        <f>IF(G373=[1]Clientes!$C$3,[1]Clientes!$D$3,[1]Clientes!$D$2)</f>
        <v>13050101</v>
      </c>
    </row>
    <row r="374" spans="1:14">
      <c r="A374" s="6" t="s">
        <v>3265</v>
      </c>
      <c r="B374" s="7">
        <v>44805</v>
      </c>
      <c r="C374" s="6" t="s">
        <v>3511</v>
      </c>
      <c r="D374" s="6" t="s">
        <v>3507</v>
      </c>
      <c r="E374" s="6"/>
      <c r="F374" s="7"/>
      <c r="G374" s="6" t="s">
        <v>3478</v>
      </c>
      <c r="H374" s="8"/>
      <c r="I374" s="9">
        <v>-1789.79</v>
      </c>
      <c r="J374" s="9">
        <v>-1789.79</v>
      </c>
      <c r="K374" s="5" t="str">
        <f>VLOOKUP(D374,[1]Clientes!$A$1:$B$1370,2,0)</f>
        <v>INT0007</v>
      </c>
      <c r="L374" s="5" t="str">
        <f t="shared" si="10"/>
        <v>Revisar</v>
      </c>
      <c r="M374" s="5" t="str">
        <f t="shared" si="11"/>
        <v>GJ</v>
      </c>
      <c r="N374" s="5">
        <f>IF(G374=[1]Clientes!$C$3,[1]Clientes!$D$3,[1]Clientes!$D$2)</f>
        <v>13050101</v>
      </c>
    </row>
    <row r="375" spans="1:14">
      <c r="A375" s="6" t="s">
        <v>3139</v>
      </c>
      <c r="B375" s="7">
        <v>44834</v>
      </c>
      <c r="C375" s="6"/>
      <c r="D375" s="6" t="s">
        <v>3507</v>
      </c>
      <c r="E375" s="6"/>
      <c r="F375" s="7"/>
      <c r="G375" s="6" t="s">
        <v>3478</v>
      </c>
      <c r="H375" s="8"/>
      <c r="I375" s="9">
        <v>-0.01</v>
      </c>
      <c r="J375" s="9">
        <v>-110000</v>
      </c>
      <c r="K375" s="5" t="str">
        <f>VLOOKUP(D375,[1]Clientes!$A$1:$B$1370,2,0)</f>
        <v>INT0007</v>
      </c>
      <c r="L375" s="5" t="str">
        <f t="shared" si="10"/>
        <v>Revisar</v>
      </c>
      <c r="M375" s="5" t="str">
        <f t="shared" si="11"/>
        <v>P</v>
      </c>
      <c r="N375" s="5">
        <f>IF(G375=[1]Clientes!$C$3,[1]Clientes!$D$3,[1]Clientes!$D$2)</f>
        <v>13050101</v>
      </c>
    </row>
    <row r="376" spans="1:14">
      <c r="A376" s="6" t="s">
        <v>7</v>
      </c>
      <c r="B376" s="7">
        <v>44804</v>
      </c>
      <c r="C376" s="6" t="s">
        <v>3512</v>
      </c>
      <c r="D376" s="6" t="s">
        <v>3507</v>
      </c>
      <c r="E376" s="6" t="s">
        <v>16</v>
      </c>
      <c r="F376" s="7">
        <v>44839</v>
      </c>
      <c r="G376" s="6" t="s">
        <v>3102</v>
      </c>
      <c r="H376" s="8">
        <v>696</v>
      </c>
      <c r="I376" s="9">
        <v>1789.79</v>
      </c>
      <c r="J376" s="9">
        <v>1789.79</v>
      </c>
      <c r="K376" s="5" t="str">
        <f>VLOOKUP(D376,[1]Clientes!$A$1:$B$1370,2,0)</f>
        <v>INT0007</v>
      </c>
      <c r="L376" s="5" t="str">
        <f t="shared" si="10"/>
        <v>HGI0103472</v>
      </c>
      <c r="M376" s="5" t="str">
        <f t="shared" si="11"/>
        <v>I</v>
      </c>
      <c r="N376" s="5">
        <f>IF(G376=[1]Clientes!$C$3,[1]Clientes!$D$3,[1]Clientes!$D$2)</f>
        <v>13050505</v>
      </c>
    </row>
    <row r="377" spans="1:14">
      <c r="A377" s="6" t="s">
        <v>7</v>
      </c>
      <c r="B377" s="7">
        <v>44832</v>
      </c>
      <c r="C377" s="6" t="s">
        <v>3513</v>
      </c>
      <c r="D377" s="6" t="s">
        <v>3507</v>
      </c>
      <c r="E377" s="6" t="s">
        <v>16</v>
      </c>
      <c r="F377" s="7">
        <v>44862</v>
      </c>
      <c r="G377" s="6" t="s">
        <v>3478</v>
      </c>
      <c r="H377" s="8">
        <v>673</v>
      </c>
      <c r="I377" s="9">
        <v>985.02</v>
      </c>
      <c r="J377" s="9">
        <v>8356</v>
      </c>
      <c r="K377" s="5" t="str">
        <f>VLOOKUP(D377,[1]Clientes!$A$1:$B$1370,2,0)</f>
        <v>INT0007</v>
      </c>
      <c r="L377" s="5" t="str">
        <f t="shared" si="10"/>
        <v>TGDR202272</v>
      </c>
      <c r="M377" s="5" t="str">
        <f t="shared" si="11"/>
        <v>I</v>
      </c>
      <c r="N377" s="5">
        <f>IF(G377=[1]Clientes!$C$3,[1]Clientes!$D$3,[1]Clientes!$D$2)</f>
        <v>13050101</v>
      </c>
    </row>
    <row r="378" spans="1:14">
      <c r="A378" s="6" t="s">
        <v>3139</v>
      </c>
      <c r="B378" s="7">
        <v>44880</v>
      </c>
      <c r="C378" s="6" t="s">
        <v>3476</v>
      </c>
      <c r="D378" s="6" t="s">
        <v>3507</v>
      </c>
      <c r="E378" s="6"/>
      <c r="F378" s="7"/>
      <c r="G378" s="6" t="s">
        <v>3102</v>
      </c>
      <c r="H378" s="8"/>
      <c r="I378" s="9">
        <v>-406.99</v>
      </c>
      <c r="J378" s="9">
        <v>-146102.51999999999</v>
      </c>
      <c r="K378" s="5" t="str">
        <f>VLOOKUP(D378,[1]Clientes!$A$1:$B$1370,2,0)</f>
        <v>INT0007</v>
      </c>
      <c r="L378" s="5" t="str">
        <f t="shared" si="10"/>
        <v>Revisar</v>
      </c>
      <c r="M378" s="5" t="str">
        <f t="shared" si="11"/>
        <v>P</v>
      </c>
      <c r="N378" s="5">
        <f>IF(G378=[1]Clientes!$C$3,[1]Clientes!$D$3,[1]Clientes!$D$2)</f>
        <v>13050505</v>
      </c>
    </row>
    <row r="379" spans="1:14">
      <c r="A379" s="6" t="s">
        <v>7</v>
      </c>
      <c r="B379" s="7">
        <v>44866</v>
      </c>
      <c r="C379" s="6" t="s">
        <v>3514</v>
      </c>
      <c r="D379" s="6" t="s">
        <v>3507</v>
      </c>
      <c r="E379" s="6" t="s">
        <v>16</v>
      </c>
      <c r="F379" s="7">
        <v>44896</v>
      </c>
      <c r="G379" s="6" t="s">
        <v>3102</v>
      </c>
      <c r="H379" s="8">
        <v>639</v>
      </c>
      <c r="I379" s="9">
        <v>48777.77</v>
      </c>
      <c r="J379" s="9">
        <v>48777.77</v>
      </c>
      <c r="K379" s="5" t="str">
        <f>VLOOKUP(D379,[1]Clientes!$A$1:$B$1370,2,0)</f>
        <v>INT0007</v>
      </c>
      <c r="L379" s="5" t="str">
        <f t="shared" si="10"/>
        <v>HGI0105027</v>
      </c>
      <c r="M379" s="5" t="str">
        <f t="shared" si="11"/>
        <v>I</v>
      </c>
      <c r="N379" s="5">
        <f>IF(G379=[1]Clientes!$C$3,[1]Clientes!$D$3,[1]Clientes!$D$2)</f>
        <v>13050505</v>
      </c>
    </row>
    <row r="380" spans="1:14">
      <c r="A380" s="6" t="s">
        <v>7</v>
      </c>
      <c r="B380" s="7">
        <v>44873</v>
      </c>
      <c r="C380" s="6" t="s">
        <v>3515</v>
      </c>
      <c r="D380" s="6" t="s">
        <v>3507</v>
      </c>
      <c r="E380" s="6" t="s">
        <v>16</v>
      </c>
      <c r="F380" s="7">
        <v>44903</v>
      </c>
      <c r="G380" s="6" t="s">
        <v>3102</v>
      </c>
      <c r="H380" s="8">
        <v>632</v>
      </c>
      <c r="I380" s="9">
        <v>247178.09</v>
      </c>
      <c r="J380" s="9">
        <v>247178.09</v>
      </c>
      <c r="K380" s="5" t="str">
        <f>VLOOKUP(D380,[1]Clientes!$A$1:$B$1370,2,0)</f>
        <v>INT0007</v>
      </c>
      <c r="L380" s="5" t="str">
        <f t="shared" si="10"/>
        <v>HGI0105225</v>
      </c>
      <c r="M380" s="5" t="str">
        <f t="shared" si="11"/>
        <v>I</v>
      </c>
      <c r="N380" s="5">
        <f>IF(G380=[1]Clientes!$C$3,[1]Clientes!$D$3,[1]Clientes!$D$2)</f>
        <v>13050505</v>
      </c>
    </row>
    <row r="381" spans="1:14">
      <c r="A381" s="6" t="s">
        <v>3265</v>
      </c>
      <c r="B381" s="7">
        <v>44909</v>
      </c>
      <c r="C381" s="6" t="s">
        <v>3516</v>
      </c>
      <c r="D381" s="6" t="s">
        <v>3507</v>
      </c>
      <c r="E381" s="6"/>
      <c r="F381" s="7"/>
      <c r="G381" s="6" t="s">
        <v>3478</v>
      </c>
      <c r="H381" s="8"/>
      <c r="I381" s="9">
        <v>-296083.45</v>
      </c>
      <c r="J381" s="9">
        <v>-570000</v>
      </c>
      <c r="K381" s="5" t="str">
        <f>VLOOKUP(D381,[1]Clientes!$A$1:$B$1370,2,0)</f>
        <v>INT0007</v>
      </c>
      <c r="L381" s="5" t="str">
        <f t="shared" si="10"/>
        <v>Revisar</v>
      </c>
      <c r="M381" s="5" t="str">
        <f t="shared" si="11"/>
        <v>GJ</v>
      </c>
      <c r="N381" s="5">
        <f>IF(G381=[1]Clientes!$C$3,[1]Clientes!$D$3,[1]Clientes!$D$2)</f>
        <v>13050101</v>
      </c>
    </row>
    <row r="382" spans="1:14">
      <c r="A382" s="6" t="s">
        <v>3139</v>
      </c>
      <c r="B382" s="7">
        <v>44910</v>
      </c>
      <c r="C382" s="6" t="s">
        <v>3476</v>
      </c>
      <c r="D382" s="6" t="s">
        <v>3507</v>
      </c>
      <c r="E382" s="6"/>
      <c r="F382" s="7"/>
      <c r="G382" s="6" t="s">
        <v>3478</v>
      </c>
      <c r="H382" s="8"/>
      <c r="I382" s="9">
        <v>-0.14000000000000001</v>
      </c>
      <c r="J382" s="9">
        <v>-160000</v>
      </c>
      <c r="K382" s="5" t="str">
        <f>VLOOKUP(D382,[1]Clientes!$A$1:$B$1370,2,0)</f>
        <v>INT0007</v>
      </c>
      <c r="L382" s="5" t="str">
        <f t="shared" si="10"/>
        <v>Revisar</v>
      </c>
      <c r="M382" s="5" t="str">
        <f t="shared" si="11"/>
        <v>P</v>
      </c>
      <c r="N382" s="5">
        <f>IF(G382=[1]Clientes!$C$3,[1]Clientes!$D$3,[1]Clientes!$D$2)</f>
        <v>13050101</v>
      </c>
    </row>
    <row r="383" spans="1:14">
      <c r="A383" s="6" t="s">
        <v>3265</v>
      </c>
      <c r="B383" s="7">
        <v>44926</v>
      </c>
      <c r="C383" s="6" t="s">
        <v>3517</v>
      </c>
      <c r="D383" s="6" t="s">
        <v>3507</v>
      </c>
      <c r="E383" s="6"/>
      <c r="F383" s="7"/>
      <c r="G383" s="6" t="s">
        <v>3478</v>
      </c>
      <c r="H383" s="8"/>
      <c r="I383" s="9">
        <v>-4.87</v>
      </c>
      <c r="J383" s="9">
        <v>-4.87</v>
      </c>
      <c r="K383" s="5" t="str">
        <f>VLOOKUP(D383,[1]Clientes!$A$1:$B$1370,2,0)</f>
        <v>INT0007</v>
      </c>
      <c r="L383" s="5" t="str">
        <f t="shared" si="10"/>
        <v>Revisar</v>
      </c>
      <c r="M383" s="5" t="str">
        <f t="shared" si="11"/>
        <v>GJ</v>
      </c>
      <c r="N383" s="5">
        <f>IF(G383=[1]Clientes!$C$3,[1]Clientes!$D$3,[1]Clientes!$D$2)</f>
        <v>13050101</v>
      </c>
    </row>
    <row r="384" spans="1:14">
      <c r="A384" s="6" t="s">
        <v>3265</v>
      </c>
      <c r="B384" s="7">
        <v>44926</v>
      </c>
      <c r="C384" s="6" t="s">
        <v>3508</v>
      </c>
      <c r="D384" s="6" t="s">
        <v>3507</v>
      </c>
      <c r="E384" s="6"/>
      <c r="F384" s="7"/>
      <c r="G384" s="6" t="s">
        <v>3478</v>
      </c>
      <c r="H384" s="8"/>
      <c r="I384" s="9">
        <v>-49360</v>
      </c>
      <c r="J384" s="9">
        <v>-49360</v>
      </c>
      <c r="K384" s="5" t="str">
        <f>VLOOKUP(D384,[1]Clientes!$A$1:$B$1370,2,0)</f>
        <v>INT0007</v>
      </c>
      <c r="L384" s="5" t="str">
        <f t="shared" si="10"/>
        <v>Revisar</v>
      </c>
      <c r="M384" s="5" t="str">
        <f t="shared" si="11"/>
        <v>GJ</v>
      </c>
      <c r="N384" s="5">
        <f>IF(G384=[1]Clientes!$C$3,[1]Clientes!$D$3,[1]Clientes!$D$2)</f>
        <v>13050101</v>
      </c>
    </row>
    <row r="385" spans="1:14">
      <c r="A385" s="6" t="s">
        <v>3265</v>
      </c>
      <c r="B385" s="7">
        <v>44926</v>
      </c>
      <c r="C385" s="6" t="s">
        <v>3508</v>
      </c>
      <c r="D385" s="6" t="s">
        <v>3507</v>
      </c>
      <c r="E385" s="6"/>
      <c r="F385" s="7"/>
      <c r="G385" s="6" t="s">
        <v>3102</v>
      </c>
      <c r="H385" s="8"/>
      <c r="I385" s="9">
        <v>-297466.26</v>
      </c>
      <c r="J385" s="9">
        <v>-297466.26</v>
      </c>
      <c r="K385" s="5" t="str">
        <f>VLOOKUP(D385,[1]Clientes!$A$1:$B$1370,2,0)</f>
        <v>INT0007</v>
      </c>
      <c r="L385" s="5" t="str">
        <f t="shared" si="10"/>
        <v>Revisar</v>
      </c>
      <c r="M385" s="5" t="str">
        <f t="shared" si="11"/>
        <v>GJ</v>
      </c>
      <c r="N385" s="5">
        <f>IF(G385=[1]Clientes!$C$3,[1]Clientes!$D$3,[1]Clientes!$D$2)</f>
        <v>13050505</v>
      </c>
    </row>
    <row r="386" spans="1:14">
      <c r="A386" s="6" t="s">
        <v>3265</v>
      </c>
      <c r="B386" s="7">
        <v>44926</v>
      </c>
      <c r="C386" s="6" t="s">
        <v>3508</v>
      </c>
      <c r="D386" s="6" t="s">
        <v>3507</v>
      </c>
      <c r="E386" s="6"/>
      <c r="F386" s="7"/>
      <c r="G386" s="6" t="s">
        <v>3478</v>
      </c>
      <c r="H386" s="8"/>
      <c r="I386" s="9">
        <v>297466.26</v>
      </c>
      <c r="J386" s="9">
        <v>297466.26</v>
      </c>
      <c r="K386" s="5" t="str">
        <f>VLOOKUP(D386,[1]Clientes!$A$1:$B$1370,2,0)</f>
        <v>INT0007</v>
      </c>
      <c r="L386" s="5" t="str">
        <f t="shared" si="10"/>
        <v>Revisar</v>
      </c>
      <c r="M386" s="5" t="str">
        <f t="shared" si="11"/>
        <v>GJ</v>
      </c>
      <c r="N386" s="5">
        <f>IF(G386=[1]Clientes!$C$3,[1]Clientes!$D$3,[1]Clientes!$D$2)</f>
        <v>13050101</v>
      </c>
    </row>
    <row r="387" spans="1:14">
      <c r="A387" s="6" t="s">
        <v>3139</v>
      </c>
      <c r="B387" s="7">
        <v>44939</v>
      </c>
      <c r="C387" s="6" t="s">
        <v>3476</v>
      </c>
      <c r="D387" s="6" t="s">
        <v>3507</v>
      </c>
      <c r="E387" s="6"/>
      <c r="F387" s="7"/>
      <c r="G387" s="6" t="s">
        <v>3478</v>
      </c>
      <c r="H387" s="8"/>
      <c r="I387" s="9">
        <v>-2881.47</v>
      </c>
      <c r="J387" s="9">
        <v>-250000</v>
      </c>
      <c r="K387" s="5" t="str">
        <f>VLOOKUP(D387,[1]Clientes!$A$1:$B$1370,2,0)</f>
        <v>INT0007</v>
      </c>
      <c r="L387" s="5" t="str">
        <f t="shared" ref="L387:L450" si="12">IF(A387="Invoice",
    IF(LEFT(C387,5)="TGDR-", "TGDR"&amp;RIGHT(C387,LEN(C387)-5), "HGI"&amp;C387),
    IF(A387="Credit Memo",
        IF(LEFT(C387,5)="TGDR-", "CRM"&amp;RIGHT(C387,LEN(C387)-5), "CRM"&amp;C387),
        "Revisar")
)</f>
        <v>Revisar</v>
      </c>
      <c r="M387" s="5" t="str">
        <f t="shared" ref="M387:M450" si="13">IF(A387="Invoice","I",IF(A387="Credit Memo","C",IF(A387="Payment","P","GJ")))</f>
        <v>P</v>
      </c>
      <c r="N387" s="5">
        <f>IF(G387=[1]Clientes!$C$3,[1]Clientes!$D$3,[1]Clientes!$D$2)</f>
        <v>13050101</v>
      </c>
    </row>
    <row r="388" spans="1:14">
      <c r="A388" s="6" t="s">
        <v>7</v>
      </c>
      <c r="B388" s="7">
        <v>44866</v>
      </c>
      <c r="C388" s="6" t="s">
        <v>3518</v>
      </c>
      <c r="D388" s="6" t="s">
        <v>3507</v>
      </c>
      <c r="E388" s="6" t="s">
        <v>1216</v>
      </c>
      <c r="F388" s="7">
        <v>44956</v>
      </c>
      <c r="G388" s="6" t="s">
        <v>3102</v>
      </c>
      <c r="H388" s="8">
        <v>579</v>
      </c>
      <c r="I388" s="9">
        <v>127.6</v>
      </c>
      <c r="J388" s="9">
        <v>127.6</v>
      </c>
      <c r="K388" s="5" t="str">
        <f>VLOOKUP(D388,[1]Clientes!$A$1:$B$1370,2,0)</f>
        <v>INT0007</v>
      </c>
      <c r="L388" s="5" t="str">
        <f t="shared" si="12"/>
        <v>HGI0105028</v>
      </c>
      <c r="M388" s="5" t="str">
        <f t="shared" si="13"/>
        <v>I</v>
      </c>
      <c r="N388" s="5">
        <f>IF(G388=[1]Clientes!$C$3,[1]Clientes!$D$3,[1]Clientes!$D$2)</f>
        <v>13050505</v>
      </c>
    </row>
    <row r="389" spans="1:14">
      <c r="A389" s="6" t="s">
        <v>3265</v>
      </c>
      <c r="B389" s="7">
        <v>44985</v>
      </c>
      <c r="C389" s="6" t="s">
        <v>3519</v>
      </c>
      <c r="D389" s="6" t="s">
        <v>3507</v>
      </c>
      <c r="E389" s="6"/>
      <c r="F389" s="7"/>
      <c r="G389" s="6" t="s">
        <v>3478</v>
      </c>
      <c r="H389" s="8"/>
      <c r="I389" s="9">
        <v>-4352.7700000000004</v>
      </c>
      <c r="J389" s="9">
        <v>-4352.7700000000004</v>
      </c>
      <c r="K389" s="5" t="str">
        <f>VLOOKUP(D389,[1]Clientes!$A$1:$B$1370,2,0)</f>
        <v>INT0007</v>
      </c>
      <c r="L389" s="5" t="str">
        <f t="shared" si="12"/>
        <v>Revisar</v>
      </c>
      <c r="M389" s="5" t="str">
        <f t="shared" si="13"/>
        <v>GJ</v>
      </c>
      <c r="N389" s="5">
        <f>IF(G389=[1]Clientes!$C$3,[1]Clientes!$D$3,[1]Clientes!$D$2)</f>
        <v>13050101</v>
      </c>
    </row>
    <row r="390" spans="1:14">
      <c r="A390" s="6" t="s">
        <v>7</v>
      </c>
      <c r="B390" s="7">
        <v>44985</v>
      </c>
      <c r="C390" s="6" t="s">
        <v>3520</v>
      </c>
      <c r="D390" s="6" t="s">
        <v>3507</v>
      </c>
      <c r="E390" s="6" t="s">
        <v>16</v>
      </c>
      <c r="F390" s="7">
        <v>45015</v>
      </c>
      <c r="G390" s="6" t="s">
        <v>3478</v>
      </c>
      <c r="H390" s="8">
        <v>520</v>
      </c>
      <c r="I390" s="9">
        <v>1376.92</v>
      </c>
      <c r="J390" s="9">
        <v>6884.6</v>
      </c>
      <c r="K390" s="5" t="str">
        <f>VLOOKUP(D390,[1]Clientes!$A$1:$B$1370,2,0)</f>
        <v>INT0007</v>
      </c>
      <c r="L390" s="5" t="str">
        <f t="shared" si="12"/>
        <v>TGDR202375</v>
      </c>
      <c r="M390" s="5" t="str">
        <f t="shared" si="13"/>
        <v>I</v>
      </c>
      <c r="N390" s="5">
        <f>IF(G390=[1]Clientes!$C$3,[1]Clientes!$D$3,[1]Clientes!$D$2)</f>
        <v>13050101</v>
      </c>
    </row>
    <row r="391" spans="1:14">
      <c r="A391" s="6" t="s">
        <v>7</v>
      </c>
      <c r="B391" s="7">
        <v>44985</v>
      </c>
      <c r="C391" s="6" t="s">
        <v>3521</v>
      </c>
      <c r="D391" s="6" t="s">
        <v>3507</v>
      </c>
      <c r="E391" s="6" t="s">
        <v>16</v>
      </c>
      <c r="F391" s="7">
        <v>45015</v>
      </c>
      <c r="G391" s="6" t="s">
        <v>3478</v>
      </c>
      <c r="H391" s="8">
        <v>520</v>
      </c>
      <c r="I391" s="9">
        <v>3019.85</v>
      </c>
      <c r="J391" s="9">
        <v>8546.42</v>
      </c>
      <c r="K391" s="5" t="str">
        <f>VLOOKUP(D391,[1]Clientes!$A$1:$B$1370,2,0)</f>
        <v>INT0007</v>
      </c>
      <c r="L391" s="5" t="str">
        <f t="shared" si="12"/>
        <v>TGDR202382</v>
      </c>
      <c r="M391" s="5" t="str">
        <f t="shared" si="13"/>
        <v>I</v>
      </c>
      <c r="N391" s="5">
        <f>IF(G391=[1]Clientes!$C$3,[1]Clientes!$D$3,[1]Clientes!$D$2)</f>
        <v>13050101</v>
      </c>
    </row>
    <row r="392" spans="1:14">
      <c r="A392" s="6" t="s">
        <v>7</v>
      </c>
      <c r="B392" s="7">
        <v>44985</v>
      </c>
      <c r="C392" s="6" t="s">
        <v>3522</v>
      </c>
      <c r="D392" s="6" t="s">
        <v>3507</v>
      </c>
      <c r="E392" s="6" t="s">
        <v>16</v>
      </c>
      <c r="F392" s="7">
        <v>45015</v>
      </c>
      <c r="G392" s="6" t="s">
        <v>3478</v>
      </c>
      <c r="H392" s="8">
        <v>520</v>
      </c>
      <c r="I392" s="9">
        <v>189578</v>
      </c>
      <c r="J392" s="9">
        <v>189578</v>
      </c>
      <c r="K392" s="5" t="str">
        <f>VLOOKUP(D392,[1]Clientes!$A$1:$B$1370,2,0)</f>
        <v>INT0007</v>
      </c>
      <c r="L392" s="5" t="str">
        <f t="shared" si="12"/>
        <v>TGDR202384</v>
      </c>
      <c r="M392" s="5" t="str">
        <f t="shared" si="13"/>
        <v>I</v>
      </c>
      <c r="N392" s="5">
        <f>IF(G392=[1]Clientes!$C$3,[1]Clientes!$D$3,[1]Clientes!$D$2)</f>
        <v>13050101</v>
      </c>
    </row>
    <row r="393" spans="1:14">
      <c r="A393" s="6" t="s">
        <v>3265</v>
      </c>
      <c r="B393" s="7">
        <v>45016</v>
      </c>
      <c r="C393" s="6" t="s">
        <v>3519</v>
      </c>
      <c r="D393" s="6" t="s">
        <v>3507</v>
      </c>
      <c r="E393" s="6"/>
      <c r="F393" s="7"/>
      <c r="G393" s="6" t="s">
        <v>3478</v>
      </c>
      <c r="H393" s="8"/>
      <c r="I393" s="9">
        <v>-4091.59</v>
      </c>
      <c r="J393" s="9">
        <v>-4091.59</v>
      </c>
      <c r="K393" s="5" t="str">
        <f>VLOOKUP(D393,[1]Clientes!$A$1:$B$1370,2,0)</f>
        <v>INT0007</v>
      </c>
      <c r="L393" s="5" t="str">
        <f t="shared" si="12"/>
        <v>Revisar</v>
      </c>
      <c r="M393" s="5" t="str">
        <f t="shared" si="13"/>
        <v>GJ</v>
      </c>
      <c r="N393" s="5">
        <f>IF(G393=[1]Clientes!$C$3,[1]Clientes!$D$3,[1]Clientes!$D$2)</f>
        <v>13050101</v>
      </c>
    </row>
    <row r="394" spans="1:14">
      <c r="A394" s="6" t="s">
        <v>7</v>
      </c>
      <c r="B394" s="7">
        <v>45013</v>
      </c>
      <c r="C394" s="6" t="s">
        <v>3523</v>
      </c>
      <c r="D394" s="6" t="s">
        <v>3507</v>
      </c>
      <c r="E394" s="6" t="s">
        <v>16</v>
      </c>
      <c r="F394" s="7">
        <v>45043</v>
      </c>
      <c r="G394" s="6" t="s">
        <v>3478</v>
      </c>
      <c r="H394" s="8">
        <v>492</v>
      </c>
      <c r="I394" s="9">
        <v>1100.96</v>
      </c>
      <c r="J394" s="9">
        <v>5504.8</v>
      </c>
      <c r="K394" s="5" t="str">
        <f>VLOOKUP(D394,[1]Clientes!$A$1:$B$1370,2,0)</f>
        <v>INT0007</v>
      </c>
      <c r="L394" s="5" t="str">
        <f t="shared" si="12"/>
        <v>TGDR202398</v>
      </c>
      <c r="M394" s="5" t="str">
        <f t="shared" si="13"/>
        <v>I</v>
      </c>
      <c r="N394" s="5">
        <f>IF(G394=[1]Clientes!$C$3,[1]Clientes!$D$3,[1]Clientes!$D$2)</f>
        <v>13050101</v>
      </c>
    </row>
    <row r="395" spans="1:14">
      <c r="A395" s="6" t="s">
        <v>7</v>
      </c>
      <c r="B395" s="7">
        <v>45016</v>
      </c>
      <c r="C395" s="6" t="s">
        <v>3524</v>
      </c>
      <c r="D395" s="6" t="s">
        <v>3507</v>
      </c>
      <c r="E395" s="6" t="s">
        <v>16</v>
      </c>
      <c r="F395" s="7">
        <v>45046</v>
      </c>
      <c r="G395" s="6" t="s">
        <v>3478</v>
      </c>
      <c r="H395" s="8">
        <v>489</v>
      </c>
      <c r="I395" s="9">
        <v>8546.42</v>
      </c>
      <c r="J395" s="9">
        <v>8546.42</v>
      </c>
      <c r="K395" s="5" t="str">
        <f>VLOOKUP(D395,[1]Clientes!$A$1:$B$1370,2,0)</f>
        <v>INT0007</v>
      </c>
      <c r="L395" s="5" t="str">
        <f t="shared" si="12"/>
        <v>TGDR202402</v>
      </c>
      <c r="M395" s="5" t="str">
        <f t="shared" si="13"/>
        <v>I</v>
      </c>
      <c r="N395" s="5">
        <f>IF(G395=[1]Clientes!$C$3,[1]Clientes!$D$3,[1]Clientes!$D$2)</f>
        <v>13050101</v>
      </c>
    </row>
    <row r="396" spans="1:14">
      <c r="A396" s="6" t="s">
        <v>7</v>
      </c>
      <c r="B396" s="7">
        <v>45016</v>
      </c>
      <c r="C396" s="6" t="s">
        <v>3525</v>
      </c>
      <c r="D396" s="6" t="s">
        <v>3507</v>
      </c>
      <c r="E396" s="6" t="s">
        <v>16</v>
      </c>
      <c r="F396" s="7">
        <v>45046</v>
      </c>
      <c r="G396" s="6" t="s">
        <v>3478</v>
      </c>
      <c r="H396" s="8">
        <v>489</v>
      </c>
      <c r="I396" s="9">
        <v>270665</v>
      </c>
      <c r="J396" s="9">
        <v>270665</v>
      </c>
      <c r="K396" s="5" t="str">
        <f>VLOOKUP(D396,[1]Clientes!$A$1:$B$1370,2,0)</f>
        <v>INT0007</v>
      </c>
      <c r="L396" s="5" t="str">
        <f t="shared" si="12"/>
        <v>TGDR202403</v>
      </c>
      <c r="M396" s="5" t="str">
        <f t="shared" si="13"/>
        <v>I</v>
      </c>
      <c r="N396" s="5">
        <f>IF(G396=[1]Clientes!$C$3,[1]Clientes!$D$3,[1]Clientes!$D$2)</f>
        <v>13050101</v>
      </c>
    </row>
    <row r="397" spans="1:14">
      <c r="A397" s="6" t="s">
        <v>3265</v>
      </c>
      <c r="B397" s="7">
        <v>45046</v>
      </c>
      <c r="C397" s="6" t="s">
        <v>3519</v>
      </c>
      <c r="D397" s="6" t="s">
        <v>3507</v>
      </c>
      <c r="E397" s="6"/>
      <c r="F397" s="7"/>
      <c r="G397" s="6" t="s">
        <v>3478</v>
      </c>
      <c r="H397" s="8"/>
      <c r="I397" s="9">
        <v>-4092.21</v>
      </c>
      <c r="J397" s="9">
        <v>-4092.21</v>
      </c>
      <c r="K397" s="5" t="str">
        <f>VLOOKUP(D397,[1]Clientes!$A$1:$B$1370,2,0)</f>
        <v>INT0007</v>
      </c>
      <c r="L397" s="5" t="str">
        <f t="shared" si="12"/>
        <v>Revisar</v>
      </c>
      <c r="M397" s="5" t="str">
        <f t="shared" si="13"/>
        <v>GJ</v>
      </c>
      <c r="N397" s="5">
        <f>IF(G397=[1]Clientes!$C$3,[1]Clientes!$D$3,[1]Clientes!$D$2)</f>
        <v>13050101</v>
      </c>
    </row>
    <row r="398" spans="1:14">
      <c r="A398" s="6" t="s">
        <v>7</v>
      </c>
      <c r="B398" s="7">
        <v>45041</v>
      </c>
      <c r="C398" s="6" t="s">
        <v>3526</v>
      </c>
      <c r="D398" s="6" t="s">
        <v>3507</v>
      </c>
      <c r="E398" s="6" t="s">
        <v>16</v>
      </c>
      <c r="F398" s="7">
        <v>45071</v>
      </c>
      <c r="G398" s="6" t="s">
        <v>3478</v>
      </c>
      <c r="H398" s="8">
        <v>464</v>
      </c>
      <c r="I398" s="9">
        <v>7153.58</v>
      </c>
      <c r="J398" s="9">
        <v>8546.42</v>
      </c>
      <c r="K398" s="5" t="str">
        <f>VLOOKUP(D398,[1]Clientes!$A$1:$B$1370,2,0)</f>
        <v>INT0007</v>
      </c>
      <c r="L398" s="5" t="str">
        <f t="shared" si="12"/>
        <v>TGDR202422</v>
      </c>
      <c r="M398" s="5" t="str">
        <f t="shared" si="13"/>
        <v>I</v>
      </c>
      <c r="N398" s="5">
        <f>IF(G398=[1]Clientes!$C$3,[1]Clientes!$D$3,[1]Clientes!$D$2)</f>
        <v>13050101</v>
      </c>
    </row>
    <row r="399" spans="1:14">
      <c r="A399" s="6" t="s">
        <v>3099</v>
      </c>
      <c r="B399" s="7">
        <v>44985</v>
      </c>
      <c r="C399" s="6" t="s">
        <v>3527</v>
      </c>
      <c r="D399" s="6" t="s">
        <v>3507</v>
      </c>
      <c r="E399" s="6" t="s">
        <v>1216</v>
      </c>
      <c r="F399" s="7">
        <v>45075</v>
      </c>
      <c r="G399" s="6" t="s">
        <v>3478</v>
      </c>
      <c r="H399" s="8">
        <v>460</v>
      </c>
      <c r="I399" s="9">
        <v>-44</v>
      </c>
      <c r="J399" s="9">
        <v>-44</v>
      </c>
      <c r="K399" s="5" t="str">
        <f>VLOOKUP(D399,[1]Clientes!$A$1:$B$1370,2,0)</f>
        <v>INT0007</v>
      </c>
      <c r="L399" s="5" t="str">
        <f t="shared" si="12"/>
        <v>CRM202379</v>
      </c>
      <c r="M399" s="5" t="str">
        <f t="shared" si="13"/>
        <v>C</v>
      </c>
      <c r="N399" s="5">
        <f>IF(G399=[1]Clientes!$C$3,[1]Clientes!$D$3,[1]Clientes!$D$2)</f>
        <v>13050101</v>
      </c>
    </row>
    <row r="400" spans="1:14">
      <c r="A400" s="6" t="s">
        <v>3099</v>
      </c>
      <c r="B400" s="7">
        <v>44985</v>
      </c>
      <c r="C400" s="6" t="s">
        <v>3528</v>
      </c>
      <c r="D400" s="6" t="s">
        <v>3507</v>
      </c>
      <c r="E400" s="6" t="s">
        <v>1216</v>
      </c>
      <c r="F400" s="7">
        <v>45075</v>
      </c>
      <c r="G400" s="6" t="s">
        <v>3478</v>
      </c>
      <c r="H400" s="8">
        <v>460</v>
      </c>
      <c r="I400" s="9">
        <v>-27.41</v>
      </c>
      <c r="J400" s="9">
        <v>-27.41</v>
      </c>
      <c r="K400" s="5" t="str">
        <f>VLOOKUP(D400,[1]Clientes!$A$1:$B$1370,2,0)</f>
        <v>INT0007</v>
      </c>
      <c r="L400" s="5" t="str">
        <f t="shared" si="12"/>
        <v>CRM202390</v>
      </c>
      <c r="M400" s="5" t="str">
        <f t="shared" si="13"/>
        <v>C</v>
      </c>
      <c r="N400" s="5">
        <f>IF(G400=[1]Clientes!$C$3,[1]Clientes!$D$3,[1]Clientes!$D$2)</f>
        <v>13050101</v>
      </c>
    </row>
    <row r="401" spans="1:14">
      <c r="A401" s="6" t="s">
        <v>3099</v>
      </c>
      <c r="B401" s="7">
        <v>45289</v>
      </c>
      <c r="C401" s="6" t="s">
        <v>3529</v>
      </c>
      <c r="D401" s="6" t="s">
        <v>3507</v>
      </c>
      <c r="E401" s="6" t="s">
        <v>1216</v>
      </c>
      <c r="F401" s="7">
        <v>45075</v>
      </c>
      <c r="G401" s="6" t="s">
        <v>3478</v>
      </c>
      <c r="H401" s="8">
        <v>460</v>
      </c>
      <c r="I401" s="9">
        <v>-14950</v>
      </c>
      <c r="J401" s="9">
        <v>-14950</v>
      </c>
      <c r="K401" s="5" t="str">
        <f>VLOOKUP(D401,[1]Clientes!$A$1:$B$1370,2,0)</f>
        <v>INT0007</v>
      </c>
      <c r="L401" s="5" t="str">
        <f t="shared" si="12"/>
        <v>CRM202580</v>
      </c>
      <c r="M401" s="5" t="str">
        <f t="shared" si="13"/>
        <v>C</v>
      </c>
      <c r="N401" s="5">
        <f>IF(G401=[1]Clientes!$C$3,[1]Clientes!$D$3,[1]Clientes!$D$2)</f>
        <v>13050101</v>
      </c>
    </row>
    <row r="402" spans="1:14">
      <c r="A402" s="6" t="s">
        <v>7</v>
      </c>
      <c r="B402" s="7">
        <v>45046</v>
      </c>
      <c r="C402" s="6" t="s">
        <v>3530</v>
      </c>
      <c r="D402" s="6" t="s">
        <v>3507</v>
      </c>
      <c r="E402" s="6" t="s">
        <v>16</v>
      </c>
      <c r="F402" s="7">
        <v>45076</v>
      </c>
      <c r="G402" s="6" t="s">
        <v>3478</v>
      </c>
      <c r="H402" s="8">
        <v>459</v>
      </c>
      <c r="I402" s="9">
        <v>156014</v>
      </c>
      <c r="J402" s="9">
        <v>310146</v>
      </c>
      <c r="K402" s="5" t="str">
        <f>VLOOKUP(D402,[1]Clientes!$A$1:$B$1370,2,0)</f>
        <v>INT0007</v>
      </c>
      <c r="L402" s="5" t="str">
        <f t="shared" si="12"/>
        <v>TGDR202424</v>
      </c>
      <c r="M402" s="5" t="str">
        <f t="shared" si="13"/>
        <v>I</v>
      </c>
      <c r="N402" s="5">
        <f>IF(G402=[1]Clientes!$C$3,[1]Clientes!$D$3,[1]Clientes!$D$2)</f>
        <v>13050101</v>
      </c>
    </row>
    <row r="403" spans="1:14">
      <c r="A403" s="6" t="s">
        <v>7</v>
      </c>
      <c r="B403" s="7">
        <v>45046</v>
      </c>
      <c r="C403" s="6" t="s">
        <v>3531</v>
      </c>
      <c r="D403" s="6" t="s">
        <v>3507</v>
      </c>
      <c r="E403" s="6" t="s">
        <v>16</v>
      </c>
      <c r="F403" s="7">
        <v>45076</v>
      </c>
      <c r="G403" s="6" t="s">
        <v>3478</v>
      </c>
      <c r="H403" s="8">
        <v>459</v>
      </c>
      <c r="I403" s="9">
        <v>1100.96</v>
      </c>
      <c r="J403" s="9">
        <v>5504.8</v>
      </c>
      <c r="K403" s="5" t="str">
        <f>VLOOKUP(D403,[1]Clientes!$A$1:$B$1370,2,0)</f>
        <v>INT0007</v>
      </c>
      <c r="L403" s="5" t="str">
        <f t="shared" si="12"/>
        <v>TGDR202425</v>
      </c>
      <c r="M403" s="5" t="str">
        <f t="shared" si="13"/>
        <v>I</v>
      </c>
      <c r="N403" s="5">
        <f>IF(G403=[1]Clientes!$C$3,[1]Clientes!$D$3,[1]Clientes!$D$2)</f>
        <v>13050101</v>
      </c>
    </row>
    <row r="404" spans="1:14">
      <c r="A404" s="6" t="s">
        <v>3265</v>
      </c>
      <c r="B404" s="7">
        <v>45077</v>
      </c>
      <c r="C404" s="6" t="s">
        <v>3519</v>
      </c>
      <c r="D404" s="6" t="s">
        <v>3507</v>
      </c>
      <c r="E404" s="6"/>
      <c r="F404" s="7"/>
      <c r="G404" s="6" t="s">
        <v>3478</v>
      </c>
      <c r="H404" s="8"/>
      <c r="I404" s="9">
        <v>-4092.2</v>
      </c>
      <c r="J404" s="9">
        <v>-4092.2</v>
      </c>
      <c r="K404" s="5" t="str">
        <f>VLOOKUP(D404,[1]Clientes!$A$1:$B$1370,2,0)</f>
        <v>INT0007</v>
      </c>
      <c r="L404" s="5" t="str">
        <f t="shared" si="12"/>
        <v>Revisar</v>
      </c>
      <c r="M404" s="5" t="str">
        <f t="shared" si="13"/>
        <v>GJ</v>
      </c>
      <c r="N404" s="5">
        <f>IF(G404=[1]Clientes!$C$3,[1]Clientes!$D$3,[1]Clientes!$D$2)</f>
        <v>13050101</v>
      </c>
    </row>
    <row r="405" spans="1:14">
      <c r="A405" s="6" t="s">
        <v>7</v>
      </c>
      <c r="B405" s="7">
        <v>45069</v>
      </c>
      <c r="C405" s="6" t="s">
        <v>3532</v>
      </c>
      <c r="D405" s="6" t="s">
        <v>3507</v>
      </c>
      <c r="E405" s="6" t="s">
        <v>16</v>
      </c>
      <c r="F405" s="7">
        <v>45099</v>
      </c>
      <c r="G405" s="6" t="s">
        <v>3478</v>
      </c>
      <c r="H405" s="8">
        <v>436</v>
      </c>
      <c r="I405" s="9">
        <v>1100.96</v>
      </c>
      <c r="J405" s="9">
        <v>5504.8</v>
      </c>
      <c r="K405" s="5" t="str">
        <f>VLOOKUP(D405,[1]Clientes!$A$1:$B$1370,2,0)</f>
        <v>INT0007</v>
      </c>
      <c r="L405" s="5" t="str">
        <f t="shared" si="12"/>
        <v>TGDR202436</v>
      </c>
      <c r="M405" s="5" t="str">
        <f t="shared" si="13"/>
        <v>I</v>
      </c>
      <c r="N405" s="5">
        <f>IF(G405=[1]Clientes!$C$3,[1]Clientes!$D$3,[1]Clientes!$D$2)</f>
        <v>13050101</v>
      </c>
    </row>
    <row r="406" spans="1:14">
      <c r="A406" s="6" t="s">
        <v>7</v>
      </c>
      <c r="B406" s="7">
        <v>45077</v>
      </c>
      <c r="C406" s="6" t="s">
        <v>3533</v>
      </c>
      <c r="D406" s="6" t="s">
        <v>3507</v>
      </c>
      <c r="E406" s="6" t="s">
        <v>16</v>
      </c>
      <c r="F406" s="7">
        <v>45107</v>
      </c>
      <c r="G406" s="6" t="s">
        <v>3478</v>
      </c>
      <c r="H406" s="8">
        <v>428</v>
      </c>
      <c r="I406" s="9">
        <v>2991.24</v>
      </c>
      <c r="J406" s="9">
        <v>8546.42</v>
      </c>
      <c r="K406" s="5" t="str">
        <f>VLOOKUP(D406,[1]Clientes!$A$1:$B$1370,2,0)</f>
        <v>INT0007</v>
      </c>
      <c r="L406" s="5" t="str">
        <f t="shared" si="12"/>
        <v>TGDR202441</v>
      </c>
      <c r="M406" s="5" t="str">
        <f t="shared" si="13"/>
        <v>I</v>
      </c>
      <c r="N406" s="5">
        <f>IF(G406=[1]Clientes!$C$3,[1]Clientes!$D$3,[1]Clientes!$D$2)</f>
        <v>13050101</v>
      </c>
    </row>
    <row r="407" spans="1:14">
      <c r="A407" s="6" t="s">
        <v>3265</v>
      </c>
      <c r="B407" s="7">
        <v>45107</v>
      </c>
      <c r="C407" s="6" t="s">
        <v>3519</v>
      </c>
      <c r="D407" s="6" t="s">
        <v>3507</v>
      </c>
      <c r="E407" s="6"/>
      <c r="F407" s="7"/>
      <c r="G407" s="6" t="s">
        <v>3478</v>
      </c>
      <c r="H407" s="8"/>
      <c r="I407" s="9">
        <v>-4092.2</v>
      </c>
      <c r="J407" s="9">
        <v>-4092.2</v>
      </c>
      <c r="K407" s="5" t="str">
        <f>VLOOKUP(D407,[1]Clientes!$A$1:$B$1370,2,0)</f>
        <v>INT0007</v>
      </c>
      <c r="L407" s="5" t="str">
        <f t="shared" si="12"/>
        <v>Revisar</v>
      </c>
      <c r="M407" s="5" t="str">
        <f t="shared" si="13"/>
        <v>GJ</v>
      </c>
      <c r="N407" s="5">
        <f>IF(G407=[1]Clientes!$C$3,[1]Clientes!$D$3,[1]Clientes!$D$2)</f>
        <v>13050101</v>
      </c>
    </row>
    <row r="408" spans="1:14">
      <c r="A408" s="6" t="s">
        <v>7</v>
      </c>
      <c r="B408" s="7">
        <v>45026</v>
      </c>
      <c r="C408" s="6" t="s">
        <v>3534</v>
      </c>
      <c r="D408" s="6" t="s">
        <v>3507</v>
      </c>
      <c r="E408" s="6" t="s">
        <v>1216</v>
      </c>
      <c r="F408" s="7">
        <v>45116</v>
      </c>
      <c r="G408" s="6" t="s">
        <v>3478</v>
      </c>
      <c r="H408" s="8">
        <v>419</v>
      </c>
      <c r="I408" s="9">
        <v>0.02</v>
      </c>
      <c r="J408" s="9">
        <v>180454.87</v>
      </c>
      <c r="K408" s="5" t="str">
        <f>VLOOKUP(D408,[1]Clientes!$A$1:$B$1370,2,0)</f>
        <v>INT0007</v>
      </c>
      <c r="L408" s="5" t="str">
        <f t="shared" si="12"/>
        <v>HGI0110623</v>
      </c>
      <c r="M408" s="5" t="str">
        <f t="shared" si="13"/>
        <v>I</v>
      </c>
      <c r="N408" s="5">
        <f>IF(G408=[1]Clientes!$C$3,[1]Clientes!$D$3,[1]Clientes!$D$2)</f>
        <v>13050101</v>
      </c>
    </row>
    <row r="409" spans="1:14">
      <c r="A409" s="6" t="s">
        <v>7</v>
      </c>
      <c r="B409" s="7">
        <v>45107</v>
      </c>
      <c r="C409" s="6" t="s">
        <v>3535</v>
      </c>
      <c r="D409" s="6" t="s">
        <v>3507</v>
      </c>
      <c r="E409" s="6" t="s">
        <v>16</v>
      </c>
      <c r="F409" s="7">
        <v>45137</v>
      </c>
      <c r="G409" s="6" t="s">
        <v>3478</v>
      </c>
      <c r="H409" s="8">
        <v>398</v>
      </c>
      <c r="I409" s="9">
        <v>1100.96</v>
      </c>
      <c r="J409" s="9">
        <v>5504.8</v>
      </c>
      <c r="K409" s="5" t="str">
        <f>VLOOKUP(D409,[1]Clientes!$A$1:$B$1370,2,0)</f>
        <v>INT0007</v>
      </c>
      <c r="L409" s="5" t="str">
        <f t="shared" si="12"/>
        <v>TGDR202468</v>
      </c>
      <c r="M409" s="5" t="str">
        <f t="shared" si="13"/>
        <v>I</v>
      </c>
      <c r="N409" s="5">
        <f>IF(G409=[1]Clientes!$C$3,[1]Clientes!$D$3,[1]Clientes!$D$2)</f>
        <v>13050101</v>
      </c>
    </row>
    <row r="410" spans="1:14">
      <c r="A410" s="6" t="s">
        <v>3265</v>
      </c>
      <c r="B410" s="7">
        <v>45138</v>
      </c>
      <c r="C410" s="6" t="s">
        <v>3519</v>
      </c>
      <c r="D410" s="6" t="s">
        <v>3507</v>
      </c>
      <c r="E410" s="6"/>
      <c r="F410" s="7"/>
      <c r="G410" s="6" t="s">
        <v>3478</v>
      </c>
      <c r="H410" s="8"/>
      <c r="I410" s="9">
        <v>-4092.2</v>
      </c>
      <c r="J410" s="9">
        <v>-4092.2</v>
      </c>
      <c r="K410" s="5" t="str">
        <f>VLOOKUP(D410,[1]Clientes!$A$1:$B$1370,2,0)</f>
        <v>INT0007</v>
      </c>
      <c r="L410" s="5" t="str">
        <f t="shared" si="12"/>
        <v>Revisar</v>
      </c>
      <c r="M410" s="5" t="str">
        <f t="shared" si="13"/>
        <v>GJ</v>
      </c>
      <c r="N410" s="5">
        <f>IF(G410=[1]Clientes!$C$3,[1]Clientes!$D$3,[1]Clientes!$D$2)</f>
        <v>13050101</v>
      </c>
    </row>
    <row r="411" spans="1:14">
      <c r="A411" s="6" t="s">
        <v>7</v>
      </c>
      <c r="B411" s="7">
        <v>45056</v>
      </c>
      <c r="C411" s="6" t="s">
        <v>3536</v>
      </c>
      <c r="D411" s="6" t="s">
        <v>3507</v>
      </c>
      <c r="E411" s="6" t="s">
        <v>1216</v>
      </c>
      <c r="F411" s="7">
        <v>45146</v>
      </c>
      <c r="G411" s="6" t="s">
        <v>3478</v>
      </c>
      <c r="H411" s="8">
        <v>389</v>
      </c>
      <c r="I411" s="9">
        <v>0.01</v>
      </c>
      <c r="J411" s="9">
        <v>181277.81</v>
      </c>
      <c r="K411" s="5" t="str">
        <f>VLOOKUP(D411,[1]Clientes!$A$1:$B$1370,2,0)</f>
        <v>INT0007</v>
      </c>
      <c r="L411" s="5" t="str">
        <f t="shared" si="12"/>
        <v>HGI0112263</v>
      </c>
      <c r="M411" s="5" t="str">
        <f t="shared" si="13"/>
        <v>I</v>
      </c>
      <c r="N411" s="5">
        <f>IF(G411=[1]Clientes!$C$3,[1]Clientes!$D$3,[1]Clientes!$D$2)</f>
        <v>13050101</v>
      </c>
    </row>
    <row r="412" spans="1:14">
      <c r="A412" s="6" t="s">
        <v>3099</v>
      </c>
      <c r="B412" s="7">
        <v>45077</v>
      </c>
      <c r="C412" s="6" t="s">
        <v>3537</v>
      </c>
      <c r="D412" s="6" t="s">
        <v>3507</v>
      </c>
      <c r="E412" s="6" t="s">
        <v>1216</v>
      </c>
      <c r="F412" s="7">
        <v>45167</v>
      </c>
      <c r="G412" s="6" t="s">
        <v>3478</v>
      </c>
      <c r="H412" s="8">
        <v>368</v>
      </c>
      <c r="I412" s="9">
        <v>-4.3600000000000003</v>
      </c>
      <c r="J412" s="9">
        <v>-25079.99</v>
      </c>
      <c r="K412" s="5" t="str">
        <f>VLOOKUP(D412,[1]Clientes!$A$1:$B$1370,2,0)</f>
        <v>INT0007</v>
      </c>
      <c r="L412" s="5" t="str">
        <f t="shared" si="12"/>
        <v>CRM202450</v>
      </c>
      <c r="M412" s="5" t="str">
        <f t="shared" si="13"/>
        <v>C</v>
      </c>
      <c r="N412" s="5">
        <f>IF(G412=[1]Clientes!$C$3,[1]Clientes!$D$3,[1]Clientes!$D$2)</f>
        <v>13050101</v>
      </c>
    </row>
    <row r="413" spans="1:14">
      <c r="A413" s="6" t="s">
        <v>7</v>
      </c>
      <c r="B413" s="7">
        <v>45138</v>
      </c>
      <c r="C413" s="6" t="s">
        <v>3538</v>
      </c>
      <c r="D413" s="6" t="s">
        <v>3507</v>
      </c>
      <c r="E413" s="6" t="s">
        <v>16</v>
      </c>
      <c r="F413" s="7">
        <v>45168</v>
      </c>
      <c r="G413" s="6" t="s">
        <v>3478</v>
      </c>
      <c r="H413" s="8">
        <v>367</v>
      </c>
      <c r="I413" s="9">
        <v>1100.96</v>
      </c>
      <c r="J413" s="9">
        <v>5504.8</v>
      </c>
      <c r="K413" s="5" t="str">
        <f>VLOOKUP(D413,[1]Clientes!$A$1:$B$1370,2,0)</f>
        <v>INT0007</v>
      </c>
      <c r="L413" s="5" t="str">
        <f t="shared" si="12"/>
        <v>TGDR202476</v>
      </c>
      <c r="M413" s="5" t="str">
        <f t="shared" si="13"/>
        <v>I</v>
      </c>
      <c r="N413" s="5">
        <f>IF(G413=[1]Clientes!$C$3,[1]Clientes!$D$3,[1]Clientes!$D$2)</f>
        <v>13050101</v>
      </c>
    </row>
    <row r="414" spans="1:14">
      <c r="A414" s="6" t="s">
        <v>3265</v>
      </c>
      <c r="B414" s="7">
        <v>45169</v>
      </c>
      <c r="C414" s="6" t="s">
        <v>3519</v>
      </c>
      <c r="D414" s="6" t="s">
        <v>3507</v>
      </c>
      <c r="E414" s="6"/>
      <c r="F414" s="7"/>
      <c r="G414" s="6" t="s">
        <v>3478</v>
      </c>
      <c r="H414" s="8"/>
      <c r="I414" s="9">
        <v>-4092.2</v>
      </c>
      <c r="J414" s="9">
        <v>-4092.2</v>
      </c>
      <c r="K414" s="5" t="str">
        <f>VLOOKUP(D414,[1]Clientes!$A$1:$B$1370,2,0)</f>
        <v>INT0007</v>
      </c>
      <c r="L414" s="5" t="str">
        <f t="shared" si="12"/>
        <v>Revisar</v>
      </c>
      <c r="M414" s="5" t="str">
        <f t="shared" si="13"/>
        <v>GJ</v>
      </c>
      <c r="N414" s="5">
        <f>IF(G414=[1]Clientes!$C$3,[1]Clientes!$D$3,[1]Clientes!$D$2)</f>
        <v>13050101</v>
      </c>
    </row>
    <row r="415" spans="1:14">
      <c r="A415" s="6" t="s">
        <v>3265</v>
      </c>
      <c r="B415" s="7">
        <v>45188</v>
      </c>
      <c r="C415" s="6" t="s">
        <v>3519</v>
      </c>
      <c r="D415" s="6" t="s">
        <v>3507</v>
      </c>
      <c r="E415" s="6"/>
      <c r="F415" s="7"/>
      <c r="G415" s="6" t="s">
        <v>3478</v>
      </c>
      <c r="H415" s="8"/>
      <c r="I415" s="9">
        <v>-4092.21</v>
      </c>
      <c r="J415" s="9">
        <v>-4092.21</v>
      </c>
      <c r="K415" s="5" t="str">
        <f>VLOOKUP(D415,[1]Clientes!$A$1:$B$1370,2,0)</f>
        <v>INT0007</v>
      </c>
      <c r="L415" s="5" t="str">
        <f t="shared" si="12"/>
        <v>Revisar</v>
      </c>
      <c r="M415" s="5" t="str">
        <f t="shared" si="13"/>
        <v>GJ</v>
      </c>
      <c r="N415" s="5">
        <f>IF(G415=[1]Clientes!$C$3,[1]Clientes!$D$3,[1]Clientes!$D$2)</f>
        <v>13050101</v>
      </c>
    </row>
    <row r="416" spans="1:14">
      <c r="A416" s="6" t="s">
        <v>7</v>
      </c>
      <c r="B416" s="7">
        <v>45104</v>
      </c>
      <c r="C416" s="6" t="s">
        <v>3539</v>
      </c>
      <c r="D416" s="6" t="s">
        <v>3507</v>
      </c>
      <c r="E416" s="6" t="s">
        <v>1216</v>
      </c>
      <c r="F416" s="7">
        <v>45194</v>
      </c>
      <c r="G416" s="6" t="s">
        <v>3478</v>
      </c>
      <c r="H416" s="8">
        <v>341</v>
      </c>
      <c r="I416" s="9">
        <v>2991.24</v>
      </c>
      <c r="J416" s="9">
        <v>8546.42</v>
      </c>
      <c r="K416" s="5" t="str">
        <f>VLOOKUP(D416,[1]Clientes!$A$1:$B$1370,2,0)</f>
        <v>INT0007</v>
      </c>
      <c r="L416" s="5" t="str">
        <f t="shared" si="12"/>
        <v>TGDR202454</v>
      </c>
      <c r="M416" s="5" t="str">
        <f t="shared" si="13"/>
        <v>I</v>
      </c>
      <c r="N416" s="5">
        <f>IF(G416=[1]Clientes!$C$3,[1]Clientes!$D$3,[1]Clientes!$D$2)</f>
        <v>13050101</v>
      </c>
    </row>
    <row r="417" spans="1:14">
      <c r="A417" s="6" t="s">
        <v>7</v>
      </c>
      <c r="B417" s="7">
        <v>45169</v>
      </c>
      <c r="C417" s="6" t="s">
        <v>3540</v>
      </c>
      <c r="D417" s="6" t="s">
        <v>3507</v>
      </c>
      <c r="E417" s="6" t="s">
        <v>16</v>
      </c>
      <c r="F417" s="7">
        <v>45199</v>
      </c>
      <c r="G417" s="6" t="s">
        <v>3478</v>
      </c>
      <c r="H417" s="8">
        <v>336</v>
      </c>
      <c r="I417" s="9">
        <v>1100.96</v>
      </c>
      <c r="J417" s="9">
        <v>5504.8</v>
      </c>
      <c r="K417" s="5" t="str">
        <f>VLOOKUP(D417,[1]Clientes!$A$1:$B$1370,2,0)</f>
        <v>INT0007</v>
      </c>
      <c r="L417" s="5" t="str">
        <f t="shared" si="12"/>
        <v>TGDR202491</v>
      </c>
      <c r="M417" s="5" t="str">
        <f t="shared" si="13"/>
        <v>I</v>
      </c>
      <c r="N417" s="5">
        <f>IF(G417=[1]Clientes!$C$3,[1]Clientes!$D$3,[1]Clientes!$D$2)</f>
        <v>13050101</v>
      </c>
    </row>
    <row r="418" spans="1:14">
      <c r="A418" s="6" t="s">
        <v>3265</v>
      </c>
      <c r="B418" s="7">
        <v>45199</v>
      </c>
      <c r="C418" s="6" t="s">
        <v>3541</v>
      </c>
      <c r="D418" s="6" t="s">
        <v>3507</v>
      </c>
      <c r="E418" s="6"/>
      <c r="F418" s="7"/>
      <c r="G418" s="6" t="s">
        <v>3478</v>
      </c>
      <c r="H418" s="8"/>
      <c r="I418" s="9">
        <v>64429</v>
      </c>
      <c r="J418" s="9">
        <v>64429</v>
      </c>
      <c r="K418" s="5" t="str">
        <f>VLOOKUP(D418,[1]Clientes!$A$1:$B$1370,2,0)</f>
        <v>INT0007</v>
      </c>
      <c r="L418" s="5" t="str">
        <f t="shared" si="12"/>
        <v>Revisar</v>
      </c>
      <c r="M418" s="5" t="str">
        <f t="shared" si="13"/>
        <v>GJ</v>
      </c>
      <c r="N418" s="5">
        <f>IF(G418=[1]Clientes!$C$3,[1]Clientes!$D$3,[1]Clientes!$D$2)</f>
        <v>13050101</v>
      </c>
    </row>
    <row r="419" spans="1:14">
      <c r="A419" s="6" t="s">
        <v>3265</v>
      </c>
      <c r="B419" s="7">
        <v>45200</v>
      </c>
      <c r="C419" s="6" t="s">
        <v>3542</v>
      </c>
      <c r="D419" s="6" t="s">
        <v>3507</v>
      </c>
      <c r="E419" s="6"/>
      <c r="F419" s="7"/>
      <c r="G419" s="6" t="s">
        <v>3478</v>
      </c>
      <c r="H419" s="8"/>
      <c r="I419" s="9">
        <v>-64429</v>
      </c>
      <c r="J419" s="9">
        <v>-64429</v>
      </c>
      <c r="K419" s="5" t="str">
        <f>VLOOKUP(D419,[1]Clientes!$A$1:$B$1370,2,0)</f>
        <v>INT0007</v>
      </c>
      <c r="L419" s="5" t="str">
        <f t="shared" si="12"/>
        <v>Revisar</v>
      </c>
      <c r="M419" s="5" t="str">
        <f t="shared" si="13"/>
        <v>GJ</v>
      </c>
      <c r="N419" s="5">
        <f>IF(G419=[1]Clientes!$C$3,[1]Clientes!$D$3,[1]Clientes!$D$2)</f>
        <v>13050101</v>
      </c>
    </row>
    <row r="420" spans="1:14">
      <c r="A420" s="6" t="s">
        <v>7</v>
      </c>
      <c r="B420" s="7">
        <v>45138</v>
      </c>
      <c r="C420" s="6" t="s">
        <v>3543</v>
      </c>
      <c r="D420" s="6" t="s">
        <v>3507</v>
      </c>
      <c r="E420" s="6" t="s">
        <v>1216</v>
      </c>
      <c r="F420" s="7">
        <v>45228</v>
      </c>
      <c r="G420" s="6" t="s">
        <v>3478</v>
      </c>
      <c r="H420" s="8">
        <v>307</v>
      </c>
      <c r="I420" s="9">
        <v>2991.24</v>
      </c>
      <c r="J420" s="9">
        <v>8546.42</v>
      </c>
      <c r="K420" s="5" t="str">
        <f>VLOOKUP(D420,[1]Clientes!$A$1:$B$1370,2,0)</f>
        <v>INT0007</v>
      </c>
      <c r="L420" s="5" t="str">
        <f t="shared" si="12"/>
        <v>TGDR202475</v>
      </c>
      <c r="M420" s="5" t="str">
        <f t="shared" si="13"/>
        <v>I</v>
      </c>
      <c r="N420" s="5">
        <f>IF(G420=[1]Clientes!$C$3,[1]Clientes!$D$3,[1]Clientes!$D$2)</f>
        <v>13050101</v>
      </c>
    </row>
    <row r="421" spans="1:14">
      <c r="A421" s="6" t="s">
        <v>7</v>
      </c>
      <c r="B421" s="7">
        <v>45198</v>
      </c>
      <c r="C421" s="6" t="s">
        <v>3544</v>
      </c>
      <c r="D421" s="6" t="s">
        <v>3507</v>
      </c>
      <c r="E421" s="6" t="s">
        <v>16</v>
      </c>
      <c r="F421" s="7">
        <v>45228</v>
      </c>
      <c r="G421" s="6" t="s">
        <v>3478</v>
      </c>
      <c r="H421" s="8">
        <v>307</v>
      </c>
      <c r="I421" s="9">
        <v>1100.96</v>
      </c>
      <c r="J421" s="9">
        <v>5504.8</v>
      </c>
      <c r="K421" s="5" t="str">
        <f>VLOOKUP(D421,[1]Clientes!$A$1:$B$1370,2,0)</f>
        <v>INT0007</v>
      </c>
      <c r="L421" s="5" t="str">
        <f t="shared" si="12"/>
        <v>TGDR202519</v>
      </c>
      <c r="M421" s="5" t="str">
        <f t="shared" si="13"/>
        <v>I</v>
      </c>
      <c r="N421" s="5">
        <f>IF(G421=[1]Clientes!$C$3,[1]Clientes!$D$3,[1]Clientes!$D$2)</f>
        <v>13050101</v>
      </c>
    </row>
    <row r="422" spans="1:14">
      <c r="A422" s="6" t="s">
        <v>7</v>
      </c>
      <c r="B422" s="7">
        <v>45198</v>
      </c>
      <c r="C422" s="6" t="s">
        <v>3545</v>
      </c>
      <c r="D422" s="6" t="s">
        <v>3507</v>
      </c>
      <c r="E422" s="6" t="s">
        <v>16</v>
      </c>
      <c r="F422" s="7">
        <v>45228</v>
      </c>
      <c r="G422" s="6" t="s">
        <v>3478</v>
      </c>
      <c r="H422" s="8">
        <v>307</v>
      </c>
      <c r="I422" s="9">
        <v>2594.29</v>
      </c>
      <c r="J422" s="9">
        <v>9355.8799999999992</v>
      </c>
      <c r="K422" s="5" t="str">
        <f>VLOOKUP(D422,[1]Clientes!$A$1:$B$1370,2,0)</f>
        <v>INT0007</v>
      </c>
      <c r="L422" s="5" t="str">
        <f t="shared" si="12"/>
        <v>TGDR202513</v>
      </c>
      <c r="M422" s="5" t="str">
        <f t="shared" si="13"/>
        <v>I</v>
      </c>
      <c r="N422" s="5">
        <f>IF(G422=[1]Clientes!$C$3,[1]Clientes!$D$3,[1]Clientes!$D$2)</f>
        <v>13050101</v>
      </c>
    </row>
    <row r="423" spans="1:14">
      <c r="A423" s="6" t="s">
        <v>3265</v>
      </c>
      <c r="B423" s="7">
        <v>45230</v>
      </c>
      <c r="C423" s="6" t="s">
        <v>3519</v>
      </c>
      <c r="D423" s="6" t="s">
        <v>3507</v>
      </c>
      <c r="E423" s="6"/>
      <c r="F423" s="7"/>
      <c r="G423" s="6" t="s">
        <v>3478</v>
      </c>
      <c r="H423" s="8"/>
      <c r="I423" s="9">
        <v>-4092.21</v>
      </c>
      <c r="J423" s="9">
        <v>-4092.21</v>
      </c>
      <c r="K423" s="5" t="str">
        <f>VLOOKUP(D423,[1]Clientes!$A$1:$B$1370,2,0)</f>
        <v>INT0007</v>
      </c>
      <c r="L423" s="5" t="str">
        <f t="shared" si="12"/>
        <v>Revisar</v>
      </c>
      <c r="M423" s="5" t="str">
        <f t="shared" si="13"/>
        <v>GJ</v>
      </c>
      <c r="N423" s="5">
        <f>IF(G423=[1]Clientes!$C$3,[1]Clientes!$D$3,[1]Clientes!$D$2)</f>
        <v>13050101</v>
      </c>
    </row>
    <row r="424" spans="1:14">
      <c r="A424" s="6" t="s">
        <v>7</v>
      </c>
      <c r="B424" s="7">
        <v>45145</v>
      </c>
      <c r="C424" s="6" t="s">
        <v>3546</v>
      </c>
      <c r="D424" s="6" t="s">
        <v>3507</v>
      </c>
      <c r="E424" s="6" t="s">
        <v>1216</v>
      </c>
      <c r="F424" s="7">
        <v>45235</v>
      </c>
      <c r="G424" s="6" t="s">
        <v>3478</v>
      </c>
      <c r="H424" s="8">
        <v>300</v>
      </c>
      <c r="I424" s="9">
        <v>0.02</v>
      </c>
      <c r="J424" s="9">
        <v>106243.08</v>
      </c>
      <c r="K424" s="5" t="str">
        <f>VLOOKUP(D424,[1]Clientes!$A$1:$B$1370,2,0)</f>
        <v>INT0007</v>
      </c>
      <c r="L424" s="5" t="str">
        <f t="shared" si="12"/>
        <v>HGI0113670</v>
      </c>
      <c r="M424" s="5" t="str">
        <f t="shared" si="13"/>
        <v>I</v>
      </c>
      <c r="N424" s="5">
        <f>IF(G424=[1]Clientes!$C$3,[1]Clientes!$D$3,[1]Clientes!$D$2)</f>
        <v>13050101</v>
      </c>
    </row>
    <row r="425" spans="1:14">
      <c r="A425" s="6" t="s">
        <v>7</v>
      </c>
      <c r="B425" s="7">
        <v>45149</v>
      </c>
      <c r="C425" s="6" t="s">
        <v>3547</v>
      </c>
      <c r="D425" s="6" t="s">
        <v>3507</v>
      </c>
      <c r="E425" s="6" t="s">
        <v>1216</v>
      </c>
      <c r="F425" s="7">
        <v>45239</v>
      </c>
      <c r="G425" s="6" t="s">
        <v>3478</v>
      </c>
      <c r="H425" s="8">
        <v>296</v>
      </c>
      <c r="I425" s="9">
        <v>552.72</v>
      </c>
      <c r="J425" s="9">
        <v>552.72</v>
      </c>
      <c r="K425" s="5" t="str">
        <f>VLOOKUP(D425,[1]Clientes!$A$1:$B$1370,2,0)</f>
        <v>INT0007</v>
      </c>
      <c r="L425" s="5" t="str">
        <f t="shared" si="12"/>
        <v>HGI0114236</v>
      </c>
      <c r="M425" s="5" t="str">
        <f t="shared" si="13"/>
        <v>I</v>
      </c>
      <c r="N425" s="5">
        <f>IF(G425=[1]Clientes!$C$3,[1]Clientes!$D$3,[1]Clientes!$D$2)</f>
        <v>13050101</v>
      </c>
    </row>
    <row r="426" spans="1:14">
      <c r="A426" s="6" t="s">
        <v>7</v>
      </c>
      <c r="B426" s="7">
        <v>45152</v>
      </c>
      <c r="C426" s="6" t="s">
        <v>3548</v>
      </c>
      <c r="D426" s="6" t="s">
        <v>3507</v>
      </c>
      <c r="E426" s="6" t="s">
        <v>1216</v>
      </c>
      <c r="F426" s="7">
        <v>45242</v>
      </c>
      <c r="G426" s="6" t="s">
        <v>3478</v>
      </c>
      <c r="H426" s="8">
        <v>293</v>
      </c>
      <c r="I426" s="9">
        <v>4560.6899999999996</v>
      </c>
      <c r="J426" s="9">
        <v>4560.6899999999996</v>
      </c>
      <c r="K426" s="5" t="str">
        <f>VLOOKUP(D426,[1]Clientes!$A$1:$B$1370,2,0)</f>
        <v>INT0007</v>
      </c>
      <c r="L426" s="5" t="str">
        <f t="shared" si="12"/>
        <v>HGI0114401</v>
      </c>
      <c r="M426" s="5" t="str">
        <f t="shared" si="13"/>
        <v>I</v>
      </c>
      <c r="N426" s="5">
        <f>IF(G426=[1]Clientes!$C$3,[1]Clientes!$D$3,[1]Clientes!$D$2)</f>
        <v>13050101</v>
      </c>
    </row>
    <row r="427" spans="1:14">
      <c r="A427" s="6" t="s">
        <v>3099</v>
      </c>
      <c r="B427" s="7">
        <v>45156</v>
      </c>
      <c r="C427" s="6" t="s">
        <v>3549</v>
      </c>
      <c r="D427" s="6" t="s">
        <v>3507</v>
      </c>
      <c r="E427" s="6" t="s">
        <v>1216</v>
      </c>
      <c r="F427" s="7">
        <v>45246</v>
      </c>
      <c r="G427" s="6" t="s">
        <v>3478</v>
      </c>
      <c r="H427" s="8">
        <v>289</v>
      </c>
      <c r="I427" s="9">
        <v>-4560.6899999999996</v>
      </c>
      <c r="J427" s="9">
        <v>-4560.6899999999996</v>
      </c>
      <c r="K427" s="5" t="str">
        <f>VLOOKUP(D427,[1]Clientes!$A$1:$B$1370,2,0)</f>
        <v>INT0007</v>
      </c>
      <c r="L427" s="5" t="str">
        <f t="shared" si="12"/>
        <v>CRM0114471</v>
      </c>
      <c r="M427" s="5" t="str">
        <f t="shared" si="13"/>
        <v>C</v>
      </c>
      <c r="N427" s="5">
        <f>IF(G427=[1]Clientes!$C$3,[1]Clientes!$D$3,[1]Clientes!$D$2)</f>
        <v>13050101</v>
      </c>
    </row>
    <row r="428" spans="1:14">
      <c r="A428" s="6" t="s">
        <v>7</v>
      </c>
      <c r="B428" s="7">
        <v>45161</v>
      </c>
      <c r="C428" s="6" t="s">
        <v>3550</v>
      </c>
      <c r="D428" s="6" t="s">
        <v>3507</v>
      </c>
      <c r="E428" s="6" t="s">
        <v>1216</v>
      </c>
      <c r="F428" s="7">
        <v>45251</v>
      </c>
      <c r="G428" s="6" t="s">
        <v>3478</v>
      </c>
      <c r="H428" s="8">
        <v>284</v>
      </c>
      <c r="I428" s="9">
        <v>0.03</v>
      </c>
      <c r="J428" s="9">
        <v>159006.53</v>
      </c>
      <c r="K428" s="5" t="str">
        <f>VLOOKUP(D428,[1]Clientes!$A$1:$B$1370,2,0)</f>
        <v>INT0007</v>
      </c>
      <c r="L428" s="5" t="str">
        <f t="shared" si="12"/>
        <v>HGI0114594</v>
      </c>
      <c r="M428" s="5" t="str">
        <f t="shared" si="13"/>
        <v>I</v>
      </c>
      <c r="N428" s="5">
        <f>IF(G428=[1]Clientes!$C$3,[1]Clientes!$D$3,[1]Clientes!$D$2)</f>
        <v>13050101</v>
      </c>
    </row>
    <row r="429" spans="1:14">
      <c r="A429" s="6" t="s">
        <v>7</v>
      </c>
      <c r="B429" s="7">
        <v>45169</v>
      </c>
      <c r="C429" s="6" t="s">
        <v>3551</v>
      </c>
      <c r="D429" s="6" t="s">
        <v>3507</v>
      </c>
      <c r="E429" s="6" t="s">
        <v>1216</v>
      </c>
      <c r="F429" s="7">
        <v>45259</v>
      </c>
      <c r="G429" s="6" t="s">
        <v>3478</v>
      </c>
      <c r="H429" s="8">
        <v>276</v>
      </c>
      <c r="I429" s="9">
        <v>2991.24</v>
      </c>
      <c r="J429" s="9">
        <v>8546.42</v>
      </c>
      <c r="K429" s="5" t="str">
        <f>VLOOKUP(D429,[1]Clientes!$A$1:$B$1370,2,0)</f>
        <v>INT0007</v>
      </c>
      <c r="L429" s="5" t="str">
        <f t="shared" si="12"/>
        <v>TGDR202495</v>
      </c>
      <c r="M429" s="5" t="str">
        <f t="shared" si="13"/>
        <v>I</v>
      </c>
      <c r="N429" s="5">
        <f>IF(G429=[1]Clientes!$C$3,[1]Clientes!$D$3,[1]Clientes!$D$2)</f>
        <v>13050101</v>
      </c>
    </row>
    <row r="430" spans="1:14">
      <c r="A430" s="6" t="s">
        <v>3099</v>
      </c>
      <c r="B430" s="7">
        <v>45170</v>
      </c>
      <c r="C430" s="6" t="s">
        <v>3552</v>
      </c>
      <c r="D430" s="6" t="s">
        <v>3507</v>
      </c>
      <c r="E430" s="6" t="s">
        <v>1216</v>
      </c>
      <c r="F430" s="7">
        <v>45260</v>
      </c>
      <c r="G430" s="6" t="s">
        <v>3478</v>
      </c>
      <c r="H430" s="8">
        <v>275</v>
      </c>
      <c r="I430" s="9">
        <v>-552.72</v>
      </c>
      <c r="J430" s="9">
        <v>-552.72</v>
      </c>
      <c r="K430" s="5" t="str">
        <f>VLOOKUP(D430,[1]Clientes!$A$1:$B$1370,2,0)</f>
        <v>INT0007</v>
      </c>
      <c r="L430" s="5" t="str">
        <f t="shared" si="12"/>
        <v>CRM0114792</v>
      </c>
      <c r="M430" s="5" t="str">
        <f t="shared" si="13"/>
        <v>C</v>
      </c>
      <c r="N430" s="5">
        <f>IF(G430=[1]Clientes!$C$3,[1]Clientes!$D$3,[1]Clientes!$D$2)</f>
        <v>13050101</v>
      </c>
    </row>
    <row r="431" spans="1:14">
      <c r="A431" s="6" t="s">
        <v>7</v>
      </c>
      <c r="B431" s="7">
        <v>45230</v>
      </c>
      <c r="C431" s="6" t="s">
        <v>3553</v>
      </c>
      <c r="D431" s="6" t="s">
        <v>3507</v>
      </c>
      <c r="E431" s="6" t="s">
        <v>16</v>
      </c>
      <c r="F431" s="7">
        <v>45260</v>
      </c>
      <c r="G431" s="6" t="s">
        <v>3478</v>
      </c>
      <c r="H431" s="8">
        <v>275</v>
      </c>
      <c r="I431" s="9">
        <v>1100.96</v>
      </c>
      <c r="J431" s="9">
        <v>5504.8</v>
      </c>
      <c r="K431" s="5" t="str">
        <f>VLOOKUP(D431,[1]Clientes!$A$1:$B$1370,2,0)</f>
        <v>INT0007</v>
      </c>
      <c r="L431" s="5" t="str">
        <f t="shared" si="12"/>
        <v>TGDR202536</v>
      </c>
      <c r="M431" s="5" t="str">
        <f t="shared" si="13"/>
        <v>I</v>
      </c>
      <c r="N431" s="5">
        <f>IF(G431=[1]Clientes!$C$3,[1]Clientes!$D$3,[1]Clientes!$D$2)</f>
        <v>13050101</v>
      </c>
    </row>
    <row r="432" spans="1:14">
      <c r="A432" s="6" t="s">
        <v>7</v>
      </c>
      <c r="B432" s="7">
        <v>45230</v>
      </c>
      <c r="C432" s="6" t="s">
        <v>3554</v>
      </c>
      <c r="D432" s="6" t="s">
        <v>3507</v>
      </c>
      <c r="E432" s="6" t="s">
        <v>16</v>
      </c>
      <c r="F432" s="7">
        <v>45260</v>
      </c>
      <c r="G432" s="6" t="s">
        <v>3478</v>
      </c>
      <c r="H432" s="8">
        <v>275</v>
      </c>
      <c r="I432" s="9">
        <v>7019.06</v>
      </c>
      <c r="J432" s="9">
        <v>7019.06</v>
      </c>
      <c r="K432" s="5" t="str">
        <f>VLOOKUP(D432,[1]Clientes!$A$1:$B$1370,2,0)</f>
        <v>INT0007</v>
      </c>
      <c r="L432" s="5" t="str">
        <f t="shared" si="12"/>
        <v>TGDR202547</v>
      </c>
      <c r="M432" s="5" t="str">
        <f t="shared" si="13"/>
        <v>I</v>
      </c>
      <c r="N432" s="5">
        <f>IF(G432=[1]Clientes!$C$3,[1]Clientes!$D$3,[1]Clientes!$D$2)</f>
        <v>13050101</v>
      </c>
    </row>
    <row r="433" spans="1:14">
      <c r="A433" s="6" t="s">
        <v>3265</v>
      </c>
      <c r="B433" s="7">
        <v>45260</v>
      </c>
      <c r="C433" s="6" t="s">
        <v>3519</v>
      </c>
      <c r="D433" s="6" t="s">
        <v>3507</v>
      </c>
      <c r="E433" s="6"/>
      <c r="F433" s="7"/>
      <c r="G433" s="6" t="s">
        <v>3478</v>
      </c>
      <c r="H433" s="8"/>
      <c r="I433" s="9">
        <v>-4092.21</v>
      </c>
      <c r="J433" s="9">
        <v>-4092.21</v>
      </c>
      <c r="K433" s="5" t="str">
        <f>VLOOKUP(D433,[1]Clientes!$A$1:$B$1370,2,0)</f>
        <v>INT0007</v>
      </c>
      <c r="L433" s="5" t="str">
        <f t="shared" si="12"/>
        <v>Revisar</v>
      </c>
      <c r="M433" s="5" t="str">
        <f t="shared" si="13"/>
        <v>GJ</v>
      </c>
      <c r="N433" s="5">
        <f>IF(G433=[1]Clientes!$C$3,[1]Clientes!$D$3,[1]Clientes!$D$2)</f>
        <v>13050101</v>
      </c>
    </row>
    <row r="434" spans="1:14">
      <c r="A434" s="6" t="s">
        <v>7</v>
      </c>
      <c r="B434" s="7">
        <v>45257</v>
      </c>
      <c r="C434" s="6" t="s">
        <v>3555</v>
      </c>
      <c r="D434" s="6" t="s">
        <v>3507</v>
      </c>
      <c r="E434" s="6" t="s">
        <v>16</v>
      </c>
      <c r="F434" s="7">
        <v>45287</v>
      </c>
      <c r="G434" s="6" t="s">
        <v>3478</v>
      </c>
      <c r="H434" s="8">
        <v>248</v>
      </c>
      <c r="I434" s="9">
        <v>1100.96</v>
      </c>
      <c r="J434" s="9">
        <v>5504.8</v>
      </c>
      <c r="K434" s="5" t="str">
        <f>VLOOKUP(D434,[1]Clientes!$A$1:$B$1370,2,0)</f>
        <v>INT0007</v>
      </c>
      <c r="L434" s="5" t="str">
        <f t="shared" si="12"/>
        <v>TGDR202554</v>
      </c>
      <c r="M434" s="5" t="str">
        <f t="shared" si="13"/>
        <v>I</v>
      </c>
      <c r="N434" s="5">
        <f>IF(G434=[1]Clientes!$C$3,[1]Clientes!$D$3,[1]Clientes!$D$2)</f>
        <v>13050101</v>
      </c>
    </row>
    <row r="435" spans="1:14">
      <c r="A435" s="6" t="s">
        <v>7</v>
      </c>
      <c r="B435" s="7">
        <v>45198</v>
      </c>
      <c r="C435" s="6" t="s">
        <v>3556</v>
      </c>
      <c r="D435" s="6" t="s">
        <v>3507</v>
      </c>
      <c r="E435" s="6" t="s">
        <v>1216</v>
      </c>
      <c r="F435" s="7">
        <v>45288</v>
      </c>
      <c r="G435" s="6" t="s">
        <v>3478</v>
      </c>
      <c r="H435" s="8">
        <v>247</v>
      </c>
      <c r="I435" s="9">
        <v>2991.24</v>
      </c>
      <c r="J435" s="9">
        <v>8546.42</v>
      </c>
      <c r="K435" s="5" t="str">
        <f>VLOOKUP(D435,[1]Clientes!$A$1:$B$1370,2,0)</f>
        <v>INT0007</v>
      </c>
      <c r="L435" s="5" t="str">
        <f t="shared" si="12"/>
        <v>TGDR202518</v>
      </c>
      <c r="M435" s="5" t="str">
        <f t="shared" si="13"/>
        <v>I</v>
      </c>
      <c r="N435" s="5">
        <f>IF(G435=[1]Clientes!$C$3,[1]Clientes!$D$3,[1]Clientes!$D$2)</f>
        <v>13050101</v>
      </c>
    </row>
    <row r="436" spans="1:14">
      <c r="A436" s="6" t="s">
        <v>3265</v>
      </c>
      <c r="B436" s="7">
        <v>45291</v>
      </c>
      <c r="C436" s="6" t="s">
        <v>3519</v>
      </c>
      <c r="D436" s="6" t="s">
        <v>3507</v>
      </c>
      <c r="E436" s="6"/>
      <c r="F436" s="7"/>
      <c r="G436" s="6" t="s">
        <v>3478</v>
      </c>
      <c r="H436" s="8"/>
      <c r="I436" s="9">
        <v>-9112.24</v>
      </c>
      <c r="J436" s="9">
        <v>-9112.24</v>
      </c>
      <c r="K436" s="5" t="str">
        <f>VLOOKUP(D436,[1]Clientes!$A$1:$B$1370,2,0)</f>
        <v>INT0007</v>
      </c>
      <c r="L436" s="5" t="str">
        <f t="shared" si="12"/>
        <v>Revisar</v>
      </c>
      <c r="M436" s="5" t="str">
        <f t="shared" si="13"/>
        <v>GJ</v>
      </c>
      <c r="N436" s="5">
        <f>IF(G436=[1]Clientes!$C$3,[1]Clientes!$D$3,[1]Clientes!$D$2)</f>
        <v>13050101</v>
      </c>
    </row>
    <row r="437" spans="1:14">
      <c r="A437" s="6" t="s">
        <v>3265</v>
      </c>
      <c r="B437" s="7">
        <v>45291</v>
      </c>
      <c r="C437" s="6" t="s">
        <v>3519</v>
      </c>
      <c r="D437" s="6" t="s">
        <v>3507</v>
      </c>
      <c r="E437" s="6"/>
      <c r="F437" s="7"/>
      <c r="G437" s="6" t="s">
        <v>3478</v>
      </c>
      <c r="H437" s="8"/>
      <c r="I437" s="9">
        <v>5232.5</v>
      </c>
      <c r="J437" s="9">
        <v>5232.5</v>
      </c>
      <c r="K437" s="5" t="str">
        <f>VLOOKUP(D437,[1]Clientes!$A$1:$B$1370,2,0)</f>
        <v>INT0007</v>
      </c>
      <c r="L437" s="5" t="str">
        <f t="shared" si="12"/>
        <v>Revisar</v>
      </c>
      <c r="M437" s="5" t="str">
        <f t="shared" si="13"/>
        <v>GJ</v>
      </c>
      <c r="N437" s="5">
        <f>IF(G437=[1]Clientes!$C$3,[1]Clientes!$D$3,[1]Clientes!$D$2)</f>
        <v>13050101</v>
      </c>
    </row>
    <row r="438" spans="1:14">
      <c r="A438" s="6" t="s">
        <v>3265</v>
      </c>
      <c r="B438" s="7">
        <v>45291</v>
      </c>
      <c r="C438" s="6" t="s">
        <v>3557</v>
      </c>
      <c r="D438" s="6" t="s">
        <v>3507</v>
      </c>
      <c r="E438" s="6"/>
      <c r="F438" s="7"/>
      <c r="G438" s="6" t="s">
        <v>3102</v>
      </c>
      <c r="H438" s="8"/>
      <c r="I438" s="9">
        <v>3171.04</v>
      </c>
      <c r="J438" s="9">
        <v>3171.04</v>
      </c>
      <c r="K438" s="5" t="str">
        <f>VLOOKUP(D438,[1]Clientes!$A$1:$B$1370,2,0)</f>
        <v>INT0007</v>
      </c>
      <c r="L438" s="5" t="str">
        <f t="shared" si="12"/>
        <v>Revisar</v>
      </c>
      <c r="M438" s="5" t="str">
        <f t="shared" si="13"/>
        <v>GJ</v>
      </c>
      <c r="N438" s="5">
        <f>IF(G438=[1]Clientes!$C$3,[1]Clientes!$D$3,[1]Clientes!$D$2)</f>
        <v>13050505</v>
      </c>
    </row>
    <row r="439" spans="1:14">
      <c r="A439" s="6" t="s">
        <v>3265</v>
      </c>
      <c r="B439" s="7">
        <v>45291</v>
      </c>
      <c r="C439" s="6" t="s">
        <v>3557</v>
      </c>
      <c r="D439" s="6" t="s">
        <v>3507</v>
      </c>
      <c r="E439" s="6"/>
      <c r="F439" s="7"/>
      <c r="G439" s="6" t="s">
        <v>3478</v>
      </c>
      <c r="H439" s="8"/>
      <c r="I439" s="9">
        <v>-3171.04</v>
      </c>
      <c r="J439" s="9">
        <v>-3171.04</v>
      </c>
      <c r="K439" s="5" t="str">
        <f>VLOOKUP(D439,[1]Clientes!$A$1:$B$1370,2,0)</f>
        <v>INT0007</v>
      </c>
      <c r="L439" s="5" t="str">
        <f t="shared" si="12"/>
        <v>Revisar</v>
      </c>
      <c r="M439" s="5" t="str">
        <f t="shared" si="13"/>
        <v>GJ</v>
      </c>
      <c r="N439" s="5">
        <f>IF(G439=[1]Clientes!$C$3,[1]Clientes!$D$3,[1]Clientes!$D$2)</f>
        <v>13050101</v>
      </c>
    </row>
    <row r="440" spans="1:14">
      <c r="A440" s="6" t="s">
        <v>7</v>
      </c>
      <c r="B440" s="7">
        <v>45203</v>
      </c>
      <c r="C440" s="6" t="s">
        <v>3558</v>
      </c>
      <c r="D440" s="6" t="s">
        <v>3507</v>
      </c>
      <c r="E440" s="6" t="s">
        <v>1216</v>
      </c>
      <c r="F440" s="7">
        <v>45293</v>
      </c>
      <c r="G440" s="6" t="s">
        <v>3478</v>
      </c>
      <c r="H440" s="8">
        <v>242</v>
      </c>
      <c r="I440" s="9">
        <v>0.04</v>
      </c>
      <c r="J440" s="9">
        <v>222526.48</v>
      </c>
      <c r="K440" s="5" t="str">
        <f>VLOOKUP(D440,[1]Clientes!$A$1:$B$1370,2,0)</f>
        <v>INT0007</v>
      </c>
      <c r="L440" s="5" t="str">
        <f t="shared" si="12"/>
        <v>HGI0115545</v>
      </c>
      <c r="M440" s="5" t="str">
        <f t="shared" si="13"/>
        <v>I</v>
      </c>
      <c r="N440" s="5">
        <f>IF(G440=[1]Clientes!$C$3,[1]Clientes!$D$3,[1]Clientes!$D$2)</f>
        <v>13050101</v>
      </c>
    </row>
    <row r="441" spans="1:14">
      <c r="A441" s="6" t="s">
        <v>7</v>
      </c>
      <c r="B441" s="7">
        <v>45288</v>
      </c>
      <c r="C441" s="6" t="s">
        <v>3559</v>
      </c>
      <c r="D441" s="6" t="s">
        <v>3507</v>
      </c>
      <c r="E441" s="6" t="s">
        <v>16</v>
      </c>
      <c r="F441" s="7">
        <v>45318</v>
      </c>
      <c r="G441" s="6" t="s">
        <v>3478</v>
      </c>
      <c r="H441" s="8">
        <v>217</v>
      </c>
      <c r="I441" s="9">
        <v>6596.63</v>
      </c>
      <c r="J441" s="9">
        <v>18847.560000000001</v>
      </c>
      <c r="K441" s="5" t="str">
        <f>VLOOKUP(D441,[1]Clientes!$A$1:$B$1370,2,0)</f>
        <v>INT0007</v>
      </c>
      <c r="L441" s="5" t="str">
        <f t="shared" si="12"/>
        <v>TGDR202573</v>
      </c>
      <c r="M441" s="5" t="str">
        <f t="shared" si="13"/>
        <v>I</v>
      </c>
      <c r="N441" s="5">
        <f>IF(G441=[1]Clientes!$C$3,[1]Clientes!$D$3,[1]Clientes!$D$2)</f>
        <v>13050101</v>
      </c>
    </row>
    <row r="442" spans="1:14">
      <c r="A442" s="6" t="s">
        <v>3099</v>
      </c>
      <c r="B442" s="7">
        <v>45289</v>
      </c>
      <c r="C442" s="6" t="s">
        <v>3560</v>
      </c>
      <c r="D442" s="6" t="s">
        <v>3507</v>
      </c>
      <c r="E442" s="6" t="s">
        <v>16</v>
      </c>
      <c r="F442" s="7">
        <v>45319</v>
      </c>
      <c r="G442" s="6" t="s">
        <v>3478</v>
      </c>
      <c r="H442" s="8">
        <v>216</v>
      </c>
      <c r="I442" s="9">
        <v>-616257</v>
      </c>
      <c r="J442" s="9">
        <v>-616257</v>
      </c>
      <c r="K442" s="5" t="str">
        <f>VLOOKUP(D442,[1]Clientes!$A$1:$B$1370,2,0)</f>
        <v>INT0007</v>
      </c>
      <c r="L442" s="5" t="str">
        <f t="shared" si="12"/>
        <v>CRM202581</v>
      </c>
      <c r="M442" s="5" t="str">
        <f t="shared" si="13"/>
        <v>C</v>
      </c>
      <c r="N442" s="5">
        <f>IF(G442=[1]Clientes!$C$3,[1]Clientes!$D$3,[1]Clientes!$D$2)</f>
        <v>13050101</v>
      </c>
    </row>
    <row r="443" spans="1:14">
      <c r="A443" s="6" t="s">
        <v>7</v>
      </c>
      <c r="B443" s="7">
        <v>45230</v>
      </c>
      <c r="C443" s="6" t="s">
        <v>3561</v>
      </c>
      <c r="D443" s="6" t="s">
        <v>3507</v>
      </c>
      <c r="E443" s="6" t="s">
        <v>1216</v>
      </c>
      <c r="F443" s="7">
        <v>45320</v>
      </c>
      <c r="G443" s="6" t="s">
        <v>3478</v>
      </c>
      <c r="H443" s="8">
        <v>215</v>
      </c>
      <c r="I443" s="9">
        <v>2991.24</v>
      </c>
      <c r="J443" s="9">
        <v>8546.42</v>
      </c>
      <c r="K443" s="5" t="str">
        <f>VLOOKUP(D443,[1]Clientes!$A$1:$B$1370,2,0)</f>
        <v>INT0007</v>
      </c>
      <c r="L443" s="5" t="str">
        <f t="shared" si="12"/>
        <v>TGDR202533</v>
      </c>
      <c r="M443" s="5" t="str">
        <f t="shared" si="13"/>
        <v>I</v>
      </c>
      <c r="N443" s="5">
        <f>IF(G443=[1]Clientes!$C$3,[1]Clientes!$D$3,[1]Clientes!$D$2)</f>
        <v>13050101</v>
      </c>
    </row>
    <row r="444" spans="1:14">
      <c r="A444" s="6" t="s">
        <v>3099</v>
      </c>
      <c r="B444" s="7">
        <v>45230</v>
      </c>
      <c r="C444" s="6" t="s">
        <v>3562</v>
      </c>
      <c r="D444" s="6" t="s">
        <v>3507</v>
      </c>
      <c r="E444" s="6" t="s">
        <v>1216</v>
      </c>
      <c r="F444" s="7">
        <v>45320</v>
      </c>
      <c r="G444" s="6" t="s">
        <v>3478</v>
      </c>
      <c r="H444" s="8">
        <v>215</v>
      </c>
      <c r="I444" s="9">
        <v>-2594.29</v>
      </c>
      <c r="J444" s="9">
        <v>-2594.29</v>
      </c>
      <c r="K444" s="5" t="str">
        <f>VLOOKUP(D444,[1]Clientes!$A$1:$B$1370,2,0)</f>
        <v>INT0007</v>
      </c>
      <c r="L444" s="5" t="str">
        <f t="shared" si="12"/>
        <v>CRM202548</v>
      </c>
      <c r="M444" s="5" t="str">
        <f t="shared" si="13"/>
        <v>C</v>
      </c>
      <c r="N444" s="5">
        <f>IF(G444=[1]Clientes!$C$3,[1]Clientes!$D$3,[1]Clientes!$D$2)</f>
        <v>13050101</v>
      </c>
    </row>
    <row r="445" spans="1:14">
      <c r="A445" s="6" t="s">
        <v>3265</v>
      </c>
      <c r="B445" s="7">
        <v>45322</v>
      </c>
      <c r="C445" s="6" t="s">
        <v>3519</v>
      </c>
      <c r="D445" s="6" t="s">
        <v>3507</v>
      </c>
      <c r="E445" s="6"/>
      <c r="F445" s="7"/>
      <c r="G445" s="6" t="s">
        <v>3478</v>
      </c>
      <c r="H445" s="8"/>
      <c r="I445" s="9">
        <v>-3838.99</v>
      </c>
      <c r="J445" s="9">
        <v>-3838.99</v>
      </c>
      <c r="K445" s="5" t="str">
        <f>VLOOKUP(D445,[1]Clientes!$A$1:$B$1370,2,0)</f>
        <v>INT0007</v>
      </c>
      <c r="L445" s="5" t="str">
        <f t="shared" si="12"/>
        <v>Revisar</v>
      </c>
      <c r="M445" s="5" t="str">
        <f t="shared" si="13"/>
        <v>GJ</v>
      </c>
      <c r="N445" s="5">
        <f>IF(G445=[1]Clientes!$C$3,[1]Clientes!$D$3,[1]Clientes!$D$2)</f>
        <v>13050101</v>
      </c>
    </row>
    <row r="446" spans="1:14">
      <c r="A446" s="6" t="s">
        <v>7</v>
      </c>
      <c r="B446" s="7">
        <v>45243</v>
      </c>
      <c r="C446" s="6" t="s">
        <v>3563</v>
      </c>
      <c r="D446" s="6" t="s">
        <v>3507</v>
      </c>
      <c r="E446" s="6" t="s">
        <v>1216</v>
      </c>
      <c r="F446" s="7">
        <v>45333</v>
      </c>
      <c r="G446" s="6" t="s">
        <v>3478</v>
      </c>
      <c r="H446" s="8">
        <v>202</v>
      </c>
      <c r="I446" s="9">
        <v>3171.04</v>
      </c>
      <c r="J446" s="9">
        <v>3171.04</v>
      </c>
      <c r="K446" s="5" t="str">
        <f>VLOOKUP(D446,[1]Clientes!$A$1:$B$1370,2,0)</f>
        <v>INT0007</v>
      </c>
      <c r="L446" s="5" t="str">
        <f t="shared" si="12"/>
        <v>HGI0117170</v>
      </c>
      <c r="M446" s="5" t="str">
        <f t="shared" si="13"/>
        <v>I</v>
      </c>
      <c r="N446" s="5">
        <f>IF(G446=[1]Clientes!$C$3,[1]Clientes!$D$3,[1]Clientes!$D$2)</f>
        <v>13050101</v>
      </c>
    </row>
    <row r="447" spans="1:14">
      <c r="A447" s="6" t="s">
        <v>7</v>
      </c>
      <c r="B447" s="7">
        <v>45243</v>
      </c>
      <c r="C447" s="6" t="s">
        <v>3564</v>
      </c>
      <c r="D447" s="6" t="s">
        <v>3507</v>
      </c>
      <c r="E447" s="6" t="s">
        <v>1216</v>
      </c>
      <c r="F447" s="7">
        <v>45333</v>
      </c>
      <c r="G447" s="6" t="s">
        <v>3478</v>
      </c>
      <c r="H447" s="8">
        <v>202</v>
      </c>
      <c r="I447" s="9">
        <v>0.01</v>
      </c>
      <c r="J447" s="9">
        <v>2298.2199999999998</v>
      </c>
      <c r="K447" s="5" t="str">
        <f>VLOOKUP(D447,[1]Clientes!$A$1:$B$1370,2,0)</f>
        <v>INT0007</v>
      </c>
      <c r="L447" s="5" t="str">
        <f t="shared" si="12"/>
        <v>HGI0117171</v>
      </c>
      <c r="M447" s="5" t="str">
        <f t="shared" si="13"/>
        <v>I</v>
      </c>
      <c r="N447" s="5">
        <f>IF(G447=[1]Clientes!$C$3,[1]Clientes!$D$3,[1]Clientes!$D$2)</f>
        <v>13050101</v>
      </c>
    </row>
    <row r="448" spans="1:14">
      <c r="A448" s="6" t="s">
        <v>7</v>
      </c>
      <c r="B448" s="7">
        <v>45309</v>
      </c>
      <c r="C448" s="6" t="s">
        <v>3565</v>
      </c>
      <c r="D448" s="6" t="s">
        <v>3507</v>
      </c>
      <c r="E448" s="6" t="s">
        <v>16</v>
      </c>
      <c r="F448" s="7">
        <v>45339</v>
      </c>
      <c r="G448" s="6" t="s">
        <v>3478</v>
      </c>
      <c r="H448" s="8">
        <v>196</v>
      </c>
      <c r="I448" s="9">
        <v>1085.27</v>
      </c>
      <c r="J448" s="9">
        <v>45009.3</v>
      </c>
      <c r="K448" s="5" t="str">
        <f>VLOOKUP(D448,[1]Clientes!$A$1:$B$1370,2,0)</f>
        <v>INT0007</v>
      </c>
      <c r="L448" s="5" t="str">
        <f t="shared" si="12"/>
        <v>HGI0119381</v>
      </c>
      <c r="M448" s="5" t="str">
        <f t="shared" si="13"/>
        <v>I</v>
      </c>
      <c r="N448" s="5">
        <f>IF(G448=[1]Clientes!$C$3,[1]Clientes!$D$3,[1]Clientes!$D$2)</f>
        <v>13050101</v>
      </c>
    </row>
    <row r="449" spans="1:14">
      <c r="A449" s="6" t="s">
        <v>7</v>
      </c>
      <c r="B449" s="7">
        <v>45257</v>
      </c>
      <c r="C449" s="6" t="s">
        <v>3566</v>
      </c>
      <c r="D449" s="6" t="s">
        <v>3507</v>
      </c>
      <c r="E449" s="6" t="s">
        <v>1216</v>
      </c>
      <c r="F449" s="7">
        <v>45347</v>
      </c>
      <c r="G449" s="6" t="s">
        <v>3478</v>
      </c>
      <c r="H449" s="8">
        <v>188</v>
      </c>
      <c r="I449" s="9">
        <v>2991.24</v>
      </c>
      <c r="J449" s="9">
        <v>8546.42</v>
      </c>
      <c r="K449" s="5" t="str">
        <f>VLOOKUP(D449,[1]Clientes!$A$1:$B$1370,2,0)</f>
        <v>INT0007</v>
      </c>
      <c r="L449" s="5" t="str">
        <f t="shared" si="12"/>
        <v>TGDR202558</v>
      </c>
      <c r="M449" s="5" t="str">
        <f t="shared" si="13"/>
        <v>I</v>
      </c>
      <c r="N449" s="5">
        <f>IF(G449=[1]Clientes!$C$3,[1]Clientes!$D$3,[1]Clientes!$D$2)</f>
        <v>13050101</v>
      </c>
    </row>
    <row r="450" spans="1:14">
      <c r="A450" s="6" t="s">
        <v>3099</v>
      </c>
      <c r="B450" s="7">
        <v>45260</v>
      </c>
      <c r="C450" s="6" t="s">
        <v>3567</v>
      </c>
      <c r="D450" s="6" t="s">
        <v>3507</v>
      </c>
      <c r="E450" s="6" t="s">
        <v>1216</v>
      </c>
      <c r="F450" s="7">
        <v>45350</v>
      </c>
      <c r="G450" s="6" t="s">
        <v>3102</v>
      </c>
      <c r="H450" s="8">
        <v>185</v>
      </c>
      <c r="I450" s="9">
        <v>-3171.04</v>
      </c>
      <c r="J450" s="9">
        <v>-3171.04</v>
      </c>
      <c r="K450" s="5" t="str">
        <f>VLOOKUP(D450,[1]Clientes!$A$1:$B$1370,2,0)</f>
        <v>INT0007</v>
      </c>
      <c r="L450" s="5" t="str">
        <f t="shared" si="12"/>
        <v>CRM0118106</v>
      </c>
      <c r="M450" s="5" t="str">
        <f t="shared" si="13"/>
        <v>C</v>
      </c>
      <c r="N450" s="5">
        <f>IF(G450=[1]Clientes!$C$3,[1]Clientes!$D$3,[1]Clientes!$D$2)</f>
        <v>13050505</v>
      </c>
    </row>
    <row r="451" spans="1:14">
      <c r="A451" s="6" t="s">
        <v>3265</v>
      </c>
      <c r="B451" s="7">
        <v>45351</v>
      </c>
      <c r="C451" s="6" t="s">
        <v>3519</v>
      </c>
      <c r="D451" s="6" t="s">
        <v>3507</v>
      </c>
      <c r="E451" s="6"/>
      <c r="F451" s="7"/>
      <c r="G451" s="6" t="s">
        <v>3478</v>
      </c>
      <c r="H451" s="8"/>
      <c r="I451" s="9">
        <v>-3695.24</v>
      </c>
      <c r="J451" s="9">
        <v>-3695.24</v>
      </c>
      <c r="K451" s="5" t="str">
        <f>VLOOKUP(D451,[1]Clientes!$A$1:$B$1370,2,0)</f>
        <v>INT0007</v>
      </c>
      <c r="L451" s="5" t="str">
        <f t="shared" ref="L451:L514" si="14">IF(A451="Invoice",
    IF(LEFT(C451,5)="TGDR-", "TGDR"&amp;RIGHT(C451,LEN(C451)-5), "HGI"&amp;C451),
    IF(A451="Credit Memo",
        IF(LEFT(C451,5)="TGDR-", "CRM"&amp;RIGHT(C451,LEN(C451)-5), "CRM"&amp;C451),
        "Revisar")
)</f>
        <v>Revisar</v>
      </c>
      <c r="M451" s="5" t="str">
        <f t="shared" ref="M451:M514" si="15">IF(A451="Invoice","I",IF(A451="Credit Memo","C",IF(A451="Payment","P","GJ")))</f>
        <v>GJ</v>
      </c>
      <c r="N451" s="5">
        <f>IF(G451=[1]Clientes!$C$3,[1]Clientes!$D$3,[1]Clientes!$D$2)</f>
        <v>13050101</v>
      </c>
    </row>
    <row r="452" spans="1:14">
      <c r="A452" s="6" t="s">
        <v>7</v>
      </c>
      <c r="B452" s="7">
        <v>45322</v>
      </c>
      <c r="C452" s="6" t="s">
        <v>3568</v>
      </c>
      <c r="D452" s="6" t="s">
        <v>3507</v>
      </c>
      <c r="E452" s="6" t="s">
        <v>16</v>
      </c>
      <c r="F452" s="7">
        <v>45352</v>
      </c>
      <c r="G452" s="6" t="s">
        <v>3478</v>
      </c>
      <c r="H452" s="8">
        <v>183</v>
      </c>
      <c r="I452" s="9">
        <v>1323.4</v>
      </c>
      <c r="J452" s="9">
        <v>6617</v>
      </c>
      <c r="K452" s="5" t="str">
        <f>VLOOKUP(D452,[1]Clientes!$A$1:$B$1370,2,0)</f>
        <v>INT0007</v>
      </c>
      <c r="L452" s="5" t="str">
        <f t="shared" si="14"/>
        <v>TGDR202595</v>
      </c>
      <c r="M452" s="5" t="str">
        <f t="shared" si="15"/>
        <v>I</v>
      </c>
      <c r="N452" s="5">
        <f>IF(G452=[1]Clientes!$C$3,[1]Clientes!$D$3,[1]Clientes!$D$2)</f>
        <v>13050101</v>
      </c>
    </row>
    <row r="453" spans="1:14">
      <c r="A453" s="6" t="s">
        <v>7</v>
      </c>
      <c r="B453" s="7">
        <v>45282</v>
      </c>
      <c r="C453" s="6" t="s">
        <v>3569</v>
      </c>
      <c r="D453" s="6" t="s">
        <v>3507</v>
      </c>
      <c r="E453" s="6" t="s">
        <v>1216</v>
      </c>
      <c r="F453" s="7">
        <v>45372</v>
      </c>
      <c r="G453" s="6" t="s">
        <v>3478</v>
      </c>
      <c r="H453" s="8">
        <v>163</v>
      </c>
      <c r="I453" s="9">
        <v>0.01</v>
      </c>
      <c r="J453" s="9">
        <v>133227.21</v>
      </c>
      <c r="K453" s="5" t="str">
        <f>VLOOKUP(D453,[1]Clientes!$A$1:$B$1370,2,0)</f>
        <v>INT0007</v>
      </c>
      <c r="L453" s="5" t="str">
        <f t="shared" si="14"/>
        <v>HGI0118536</v>
      </c>
      <c r="M453" s="5" t="str">
        <f t="shared" si="15"/>
        <v>I</v>
      </c>
      <c r="N453" s="5">
        <f>IF(G453=[1]Clientes!$C$3,[1]Clientes!$D$3,[1]Clientes!$D$2)</f>
        <v>13050101</v>
      </c>
    </row>
    <row r="454" spans="1:14">
      <c r="A454" s="6" t="s">
        <v>7</v>
      </c>
      <c r="B454" s="7">
        <v>45289</v>
      </c>
      <c r="C454" s="6" t="s">
        <v>3570</v>
      </c>
      <c r="D454" s="6" t="s">
        <v>3507</v>
      </c>
      <c r="E454" s="6" t="s">
        <v>1216</v>
      </c>
      <c r="F454" s="7">
        <v>45379</v>
      </c>
      <c r="G454" s="6" t="s">
        <v>3478</v>
      </c>
      <c r="H454" s="8">
        <v>156</v>
      </c>
      <c r="I454" s="9">
        <v>2515.58</v>
      </c>
      <c r="J454" s="9">
        <v>7187.39</v>
      </c>
      <c r="K454" s="5" t="str">
        <f>VLOOKUP(D454,[1]Clientes!$A$1:$B$1370,2,0)</f>
        <v>INT0007</v>
      </c>
      <c r="L454" s="5" t="str">
        <f t="shared" si="14"/>
        <v>TGDR202579</v>
      </c>
      <c r="M454" s="5" t="str">
        <f t="shared" si="15"/>
        <v>I</v>
      </c>
      <c r="N454" s="5">
        <f>IF(G454=[1]Clientes!$C$3,[1]Clientes!$D$3,[1]Clientes!$D$2)</f>
        <v>13050101</v>
      </c>
    </row>
    <row r="455" spans="1:14">
      <c r="A455" s="6" t="s">
        <v>7</v>
      </c>
      <c r="B455" s="7">
        <v>45289</v>
      </c>
      <c r="C455" s="6" t="s">
        <v>3571</v>
      </c>
      <c r="D455" s="6" t="s">
        <v>3507</v>
      </c>
      <c r="E455" s="6" t="s">
        <v>1216</v>
      </c>
      <c r="F455" s="7">
        <v>45379</v>
      </c>
      <c r="G455" s="6" t="s">
        <v>3478</v>
      </c>
      <c r="H455" s="8">
        <v>156</v>
      </c>
      <c r="I455" s="9">
        <v>0.01</v>
      </c>
      <c r="J455" s="9">
        <v>88961.02</v>
      </c>
      <c r="K455" s="5" t="str">
        <f>VLOOKUP(D455,[1]Clientes!$A$1:$B$1370,2,0)</f>
        <v>INT0007</v>
      </c>
      <c r="L455" s="5" t="str">
        <f t="shared" si="14"/>
        <v>HGI0118711</v>
      </c>
      <c r="M455" s="5" t="str">
        <f t="shared" si="15"/>
        <v>I</v>
      </c>
      <c r="N455" s="5">
        <f>IF(G455=[1]Clientes!$C$3,[1]Clientes!$D$3,[1]Clientes!$D$2)</f>
        <v>13050101</v>
      </c>
    </row>
    <row r="456" spans="1:14">
      <c r="A456" s="6" t="s">
        <v>3099</v>
      </c>
      <c r="B456" s="7">
        <v>45349</v>
      </c>
      <c r="C456" s="6" t="s">
        <v>3572</v>
      </c>
      <c r="D456" s="6" t="s">
        <v>3507</v>
      </c>
      <c r="E456" s="6" t="s">
        <v>16</v>
      </c>
      <c r="F456" s="7">
        <v>45379</v>
      </c>
      <c r="G456" s="6" t="s">
        <v>3478</v>
      </c>
      <c r="H456" s="8">
        <v>156</v>
      </c>
      <c r="I456" s="9">
        <v>-1085.27</v>
      </c>
      <c r="J456" s="9">
        <v>-1085.27</v>
      </c>
      <c r="K456" s="5" t="str">
        <f>VLOOKUP(D456,[1]Clientes!$A$1:$B$1370,2,0)</f>
        <v>INT0007</v>
      </c>
      <c r="L456" s="5" t="str">
        <f t="shared" si="14"/>
        <v>CRM0121245</v>
      </c>
      <c r="M456" s="5" t="str">
        <f t="shared" si="15"/>
        <v>C</v>
      </c>
      <c r="N456" s="5">
        <f>IF(G456=[1]Clientes!$C$3,[1]Clientes!$D$3,[1]Clientes!$D$2)</f>
        <v>13050101</v>
      </c>
    </row>
    <row r="457" spans="1:14">
      <c r="A457" s="6" t="s">
        <v>7</v>
      </c>
      <c r="B457" s="7">
        <v>45351</v>
      </c>
      <c r="C457" s="6" t="s">
        <v>3573</v>
      </c>
      <c r="D457" s="6" t="s">
        <v>3507</v>
      </c>
      <c r="E457" s="6" t="s">
        <v>16</v>
      </c>
      <c r="F457" s="7">
        <v>45381</v>
      </c>
      <c r="G457" s="6" t="s">
        <v>3478</v>
      </c>
      <c r="H457" s="8">
        <v>154</v>
      </c>
      <c r="I457" s="9">
        <v>1323.4</v>
      </c>
      <c r="J457" s="9">
        <v>6617</v>
      </c>
      <c r="K457" s="5" t="str">
        <f>VLOOKUP(D457,[1]Clientes!$A$1:$B$1370,2,0)</f>
        <v>INT0007</v>
      </c>
      <c r="L457" s="5" t="str">
        <f t="shared" si="14"/>
        <v>TGDR202633</v>
      </c>
      <c r="M457" s="5" t="str">
        <f t="shared" si="15"/>
        <v>I</v>
      </c>
      <c r="N457" s="5">
        <f>IF(G457=[1]Clientes!$C$3,[1]Clientes!$D$3,[1]Clientes!$D$2)</f>
        <v>13050101</v>
      </c>
    </row>
    <row r="458" spans="1:14">
      <c r="A458" s="6" t="s">
        <v>3265</v>
      </c>
      <c r="B458" s="7">
        <v>45382</v>
      </c>
      <c r="C458" s="6" t="s">
        <v>3519</v>
      </c>
      <c r="D458" s="6" t="s">
        <v>3507</v>
      </c>
      <c r="E458" s="6"/>
      <c r="F458" s="7"/>
      <c r="G458" s="6" t="s">
        <v>3478</v>
      </c>
      <c r="H458" s="8"/>
      <c r="I458" s="9">
        <v>-3695.24</v>
      </c>
      <c r="J458" s="9">
        <v>-3695.24</v>
      </c>
      <c r="K458" s="5" t="str">
        <f>VLOOKUP(D458,[1]Clientes!$A$1:$B$1370,2,0)</f>
        <v>INT0007</v>
      </c>
      <c r="L458" s="5" t="str">
        <f t="shared" si="14"/>
        <v>Revisar</v>
      </c>
      <c r="M458" s="5" t="str">
        <f t="shared" si="15"/>
        <v>GJ</v>
      </c>
      <c r="N458" s="5">
        <f>IF(G458=[1]Clientes!$C$3,[1]Clientes!$D$3,[1]Clientes!$D$2)</f>
        <v>13050101</v>
      </c>
    </row>
    <row r="459" spans="1:14">
      <c r="A459" s="6" t="s">
        <v>7</v>
      </c>
      <c r="B459" s="7">
        <v>45362</v>
      </c>
      <c r="C459" s="6" t="s">
        <v>3574</v>
      </c>
      <c r="D459" s="6" t="s">
        <v>3507</v>
      </c>
      <c r="E459" s="6" t="s">
        <v>16</v>
      </c>
      <c r="F459" s="7">
        <v>45392</v>
      </c>
      <c r="G459" s="6" t="s">
        <v>3478</v>
      </c>
      <c r="H459" s="8">
        <v>143</v>
      </c>
      <c r="I459" s="9">
        <v>62614.93</v>
      </c>
      <c r="J459" s="9">
        <v>233288.35</v>
      </c>
      <c r="K459" s="5" t="str">
        <f>VLOOKUP(D459,[1]Clientes!$A$1:$B$1370,2,0)</f>
        <v>INT0007</v>
      </c>
      <c r="L459" s="5" t="str">
        <f t="shared" si="14"/>
        <v>HGI0121776</v>
      </c>
      <c r="M459" s="5" t="str">
        <f t="shared" si="15"/>
        <v>I</v>
      </c>
      <c r="N459" s="5">
        <f>IF(G459=[1]Clientes!$C$3,[1]Clientes!$D$3,[1]Clientes!$D$2)</f>
        <v>13050101</v>
      </c>
    </row>
    <row r="460" spans="1:14">
      <c r="A460" s="6" t="s">
        <v>7</v>
      </c>
      <c r="B460" s="7">
        <v>45371</v>
      </c>
      <c r="C460" s="6" t="s">
        <v>3575</v>
      </c>
      <c r="D460" s="6" t="s">
        <v>3507</v>
      </c>
      <c r="E460" s="6" t="s">
        <v>16</v>
      </c>
      <c r="F460" s="7">
        <v>45401</v>
      </c>
      <c r="G460" s="6" t="s">
        <v>3478</v>
      </c>
      <c r="H460" s="8">
        <v>134</v>
      </c>
      <c r="I460" s="9">
        <v>44543.67</v>
      </c>
      <c r="J460" s="9">
        <v>44543.67</v>
      </c>
      <c r="K460" s="5" t="str">
        <f>VLOOKUP(D460,[1]Clientes!$A$1:$B$1370,2,0)</f>
        <v>INT0007</v>
      </c>
      <c r="L460" s="5" t="str">
        <f t="shared" si="14"/>
        <v>HGI0122132</v>
      </c>
      <c r="M460" s="5" t="str">
        <f t="shared" si="15"/>
        <v>I</v>
      </c>
      <c r="N460" s="5">
        <f>IF(G460=[1]Clientes!$C$3,[1]Clientes!$D$3,[1]Clientes!$D$2)</f>
        <v>13050101</v>
      </c>
    </row>
    <row r="461" spans="1:14">
      <c r="A461" s="6" t="s">
        <v>7</v>
      </c>
      <c r="B461" s="7">
        <v>45380</v>
      </c>
      <c r="C461" s="6" t="s">
        <v>3576</v>
      </c>
      <c r="D461" s="6" t="s">
        <v>3507</v>
      </c>
      <c r="E461" s="6" t="s">
        <v>16</v>
      </c>
      <c r="F461" s="7">
        <v>45410</v>
      </c>
      <c r="G461" s="6" t="s">
        <v>3478</v>
      </c>
      <c r="H461" s="8">
        <v>125</v>
      </c>
      <c r="I461" s="9">
        <v>0.53</v>
      </c>
      <c r="J461" s="9">
        <v>169642.04</v>
      </c>
      <c r="K461" s="5" t="str">
        <f>VLOOKUP(D461,[1]Clientes!$A$1:$B$1370,2,0)</f>
        <v>INT0007</v>
      </c>
      <c r="L461" s="5" t="str">
        <f t="shared" si="14"/>
        <v>HGI0122426</v>
      </c>
      <c r="M461" s="5" t="str">
        <f t="shared" si="15"/>
        <v>I</v>
      </c>
      <c r="N461" s="5">
        <f>IF(G461=[1]Clientes!$C$3,[1]Clientes!$D$3,[1]Clientes!$D$2)</f>
        <v>13050101</v>
      </c>
    </row>
    <row r="462" spans="1:14">
      <c r="A462" s="6" t="s">
        <v>7</v>
      </c>
      <c r="B462" s="7">
        <v>45322</v>
      </c>
      <c r="C462" s="6" t="s">
        <v>3577</v>
      </c>
      <c r="D462" s="6" t="s">
        <v>3507</v>
      </c>
      <c r="E462" s="6" t="s">
        <v>1216</v>
      </c>
      <c r="F462" s="7">
        <v>45412</v>
      </c>
      <c r="G462" s="6" t="s">
        <v>3478</v>
      </c>
      <c r="H462" s="8">
        <v>123</v>
      </c>
      <c r="I462" s="9">
        <v>2515.58</v>
      </c>
      <c r="J462" s="9">
        <v>7187.39</v>
      </c>
      <c r="K462" s="5" t="str">
        <f>VLOOKUP(D462,[1]Clientes!$A$1:$B$1370,2,0)</f>
        <v>INT0007</v>
      </c>
      <c r="L462" s="5" t="str">
        <f t="shared" si="14"/>
        <v>TGDR202599</v>
      </c>
      <c r="M462" s="5" t="str">
        <f t="shared" si="15"/>
        <v>I</v>
      </c>
      <c r="N462" s="5">
        <f>IF(G462=[1]Clientes!$C$3,[1]Clientes!$D$3,[1]Clientes!$D$2)</f>
        <v>13050101</v>
      </c>
    </row>
    <row r="463" spans="1:14">
      <c r="A463" s="6" t="s">
        <v>7</v>
      </c>
      <c r="B463" s="7">
        <v>45382</v>
      </c>
      <c r="C463" s="6" t="s">
        <v>3578</v>
      </c>
      <c r="D463" s="6" t="s">
        <v>3507</v>
      </c>
      <c r="E463" s="6" t="s">
        <v>16</v>
      </c>
      <c r="F463" s="7">
        <v>45412</v>
      </c>
      <c r="G463" s="6" t="s">
        <v>3478</v>
      </c>
      <c r="H463" s="8">
        <v>123</v>
      </c>
      <c r="I463" s="9">
        <v>1323.4</v>
      </c>
      <c r="J463" s="9">
        <v>6617</v>
      </c>
      <c r="K463" s="5" t="str">
        <f>VLOOKUP(D463,[1]Clientes!$A$1:$B$1370,2,0)</f>
        <v>INT0007</v>
      </c>
      <c r="L463" s="5" t="str">
        <f t="shared" si="14"/>
        <v>TGDR202635</v>
      </c>
      <c r="M463" s="5" t="str">
        <f t="shared" si="15"/>
        <v>I</v>
      </c>
      <c r="N463" s="5">
        <f>IF(G463=[1]Clientes!$C$3,[1]Clientes!$D$3,[1]Clientes!$D$2)</f>
        <v>13050101</v>
      </c>
    </row>
    <row r="464" spans="1:14">
      <c r="A464" s="6" t="s">
        <v>3265</v>
      </c>
      <c r="B464" s="7">
        <v>45412</v>
      </c>
      <c r="C464" s="6" t="s">
        <v>3519</v>
      </c>
      <c r="D464" s="6" t="s">
        <v>3507</v>
      </c>
      <c r="E464" s="6"/>
      <c r="F464" s="7"/>
      <c r="G464" s="6" t="s">
        <v>3478</v>
      </c>
      <c r="H464" s="8"/>
      <c r="I464" s="9">
        <v>-3695.24</v>
      </c>
      <c r="J464" s="9">
        <v>-3695.24</v>
      </c>
      <c r="K464" s="5" t="str">
        <f>VLOOKUP(D464,[1]Clientes!$A$1:$B$1370,2,0)</f>
        <v>INT0007</v>
      </c>
      <c r="L464" s="5" t="str">
        <f t="shared" si="14"/>
        <v>Revisar</v>
      </c>
      <c r="M464" s="5" t="str">
        <f t="shared" si="15"/>
        <v>GJ</v>
      </c>
      <c r="N464" s="5">
        <f>IF(G464=[1]Clientes!$C$3,[1]Clientes!$D$3,[1]Clientes!$D$2)</f>
        <v>13050101</v>
      </c>
    </row>
    <row r="465" spans="1:14">
      <c r="A465" s="6" t="s">
        <v>3139</v>
      </c>
      <c r="B465" s="7">
        <v>45414</v>
      </c>
      <c r="C465" s="6"/>
      <c r="D465" s="6" t="s">
        <v>3507</v>
      </c>
      <c r="E465" s="6"/>
      <c r="F465" s="7"/>
      <c r="G465" s="6" t="s">
        <v>3478</v>
      </c>
      <c r="H465" s="8"/>
      <c r="I465" s="9">
        <v>-7019.06</v>
      </c>
      <c r="J465" s="9">
        <v>-1000000</v>
      </c>
      <c r="K465" s="5" t="str">
        <f>VLOOKUP(D465,[1]Clientes!$A$1:$B$1370,2,0)</f>
        <v>INT0007</v>
      </c>
      <c r="L465" s="5" t="str">
        <f t="shared" si="14"/>
        <v>Revisar</v>
      </c>
      <c r="M465" s="5" t="str">
        <f t="shared" si="15"/>
        <v>P</v>
      </c>
      <c r="N465" s="5">
        <f>IF(G465=[1]Clientes!$C$3,[1]Clientes!$D$3,[1]Clientes!$D$2)</f>
        <v>13050101</v>
      </c>
    </row>
    <row r="466" spans="1:14">
      <c r="A466" s="6" t="s">
        <v>7</v>
      </c>
      <c r="B466" s="7">
        <v>45399</v>
      </c>
      <c r="C466" s="6" t="s">
        <v>3579</v>
      </c>
      <c r="D466" s="6" t="s">
        <v>3507</v>
      </c>
      <c r="E466" s="6" t="s">
        <v>16</v>
      </c>
      <c r="F466" s="7">
        <v>45429</v>
      </c>
      <c r="G466" s="6" t="s">
        <v>3478</v>
      </c>
      <c r="H466" s="8">
        <v>106</v>
      </c>
      <c r="I466" s="9">
        <v>757.5</v>
      </c>
      <c r="J466" s="9">
        <v>757.5</v>
      </c>
      <c r="K466" s="5" t="str">
        <f>VLOOKUP(D466,[1]Clientes!$A$1:$B$1370,2,0)</f>
        <v>INT0007</v>
      </c>
      <c r="L466" s="5" t="str">
        <f t="shared" si="14"/>
        <v>HGI0123168</v>
      </c>
      <c r="M466" s="5" t="str">
        <f t="shared" si="15"/>
        <v>I</v>
      </c>
      <c r="N466" s="5">
        <f>IF(G466=[1]Clientes!$C$3,[1]Clientes!$D$3,[1]Clientes!$D$2)</f>
        <v>13050101</v>
      </c>
    </row>
    <row r="467" spans="1:14">
      <c r="A467" s="6" t="s">
        <v>3139</v>
      </c>
      <c r="B467" s="7">
        <v>45433</v>
      </c>
      <c r="C467" s="6"/>
      <c r="D467" s="6" t="s">
        <v>3507</v>
      </c>
      <c r="E467" s="6"/>
      <c r="F467" s="7"/>
      <c r="G467" s="6" t="s">
        <v>3478</v>
      </c>
      <c r="H467" s="8"/>
      <c r="I467" s="9">
        <v>-0.15</v>
      </c>
      <c r="J467" s="9">
        <v>-500000</v>
      </c>
      <c r="K467" s="5" t="str">
        <f>VLOOKUP(D467,[1]Clientes!$A$1:$B$1370,2,0)</f>
        <v>INT0007</v>
      </c>
      <c r="L467" s="5" t="str">
        <f t="shared" si="14"/>
        <v>Revisar</v>
      </c>
      <c r="M467" s="5" t="str">
        <f t="shared" si="15"/>
        <v>P</v>
      </c>
      <c r="N467" s="5">
        <f>IF(G467=[1]Clientes!$C$3,[1]Clientes!$D$3,[1]Clientes!$D$2)</f>
        <v>13050101</v>
      </c>
    </row>
    <row r="468" spans="1:14">
      <c r="A468" s="6" t="s">
        <v>7</v>
      </c>
      <c r="B468" s="7">
        <v>45351</v>
      </c>
      <c r="C468" s="6" t="s">
        <v>3580</v>
      </c>
      <c r="D468" s="6" t="s">
        <v>3507</v>
      </c>
      <c r="E468" s="6" t="s">
        <v>1216</v>
      </c>
      <c r="F468" s="7">
        <v>45441</v>
      </c>
      <c r="G468" s="6" t="s">
        <v>3478</v>
      </c>
      <c r="H468" s="8">
        <v>94</v>
      </c>
      <c r="I468" s="9">
        <v>2371.84</v>
      </c>
      <c r="J468" s="9">
        <v>7187.39</v>
      </c>
      <c r="K468" s="5" t="str">
        <f>VLOOKUP(D468,[1]Clientes!$A$1:$B$1370,2,0)</f>
        <v>INT0007</v>
      </c>
      <c r="L468" s="5" t="str">
        <f t="shared" si="14"/>
        <v>TGDR202631</v>
      </c>
      <c r="M468" s="5" t="str">
        <f t="shared" si="15"/>
        <v>I</v>
      </c>
      <c r="N468" s="5">
        <f>IF(G468=[1]Clientes!$C$3,[1]Clientes!$D$3,[1]Clientes!$D$2)</f>
        <v>13050101</v>
      </c>
    </row>
    <row r="469" spans="1:14">
      <c r="A469" s="6" t="s">
        <v>7</v>
      </c>
      <c r="B469" s="7">
        <v>45412</v>
      </c>
      <c r="C469" s="6" t="s">
        <v>3581</v>
      </c>
      <c r="D469" s="6" t="s">
        <v>3507</v>
      </c>
      <c r="E469" s="6" t="s">
        <v>16</v>
      </c>
      <c r="F469" s="7">
        <v>45442</v>
      </c>
      <c r="G469" s="6" t="s">
        <v>3478</v>
      </c>
      <c r="H469" s="8">
        <v>93</v>
      </c>
      <c r="I469" s="9">
        <v>137634</v>
      </c>
      <c r="J469" s="9">
        <v>280634</v>
      </c>
      <c r="K469" s="5" t="str">
        <f>VLOOKUP(D469,[1]Clientes!$A$1:$B$1370,2,0)</f>
        <v>INT0007</v>
      </c>
      <c r="L469" s="5" t="str">
        <f t="shared" si="14"/>
        <v>TGDR202654</v>
      </c>
      <c r="M469" s="5" t="str">
        <f t="shared" si="15"/>
        <v>I</v>
      </c>
      <c r="N469" s="5">
        <f>IF(G469=[1]Clientes!$C$3,[1]Clientes!$D$3,[1]Clientes!$D$2)</f>
        <v>13050101</v>
      </c>
    </row>
    <row r="470" spans="1:14">
      <c r="A470" s="6" t="s">
        <v>7</v>
      </c>
      <c r="B470" s="7">
        <v>45412</v>
      </c>
      <c r="C470" s="6" t="s">
        <v>3582</v>
      </c>
      <c r="D470" s="6" t="s">
        <v>3507</v>
      </c>
      <c r="E470" s="6" t="s">
        <v>16</v>
      </c>
      <c r="F470" s="7">
        <v>45442</v>
      </c>
      <c r="G470" s="6" t="s">
        <v>3478</v>
      </c>
      <c r="H470" s="8">
        <v>93</v>
      </c>
      <c r="I470" s="9">
        <v>1801.45</v>
      </c>
      <c r="J470" s="9">
        <v>6617</v>
      </c>
      <c r="K470" s="5" t="str">
        <f>VLOOKUP(D470,[1]Clientes!$A$1:$B$1370,2,0)</f>
        <v>INT0007</v>
      </c>
      <c r="L470" s="5" t="str">
        <f t="shared" si="14"/>
        <v>TGDR202655</v>
      </c>
      <c r="M470" s="5" t="str">
        <f t="shared" si="15"/>
        <v>I</v>
      </c>
      <c r="N470" s="5">
        <f>IF(G470=[1]Clientes!$C$3,[1]Clientes!$D$3,[1]Clientes!$D$2)</f>
        <v>13050101</v>
      </c>
    </row>
    <row r="471" spans="1:14">
      <c r="A471" s="6" t="s">
        <v>7</v>
      </c>
      <c r="B471" s="7">
        <v>45412</v>
      </c>
      <c r="C471" s="6" t="s">
        <v>3583</v>
      </c>
      <c r="D471" s="6" t="s">
        <v>3507</v>
      </c>
      <c r="E471" s="6" t="s">
        <v>16</v>
      </c>
      <c r="F471" s="7">
        <v>45442</v>
      </c>
      <c r="G471" s="6" t="s">
        <v>3478</v>
      </c>
      <c r="H471" s="8">
        <v>93</v>
      </c>
      <c r="I471" s="9">
        <v>399.28</v>
      </c>
      <c r="J471" s="9">
        <v>399.28</v>
      </c>
      <c r="K471" s="5" t="str">
        <f>VLOOKUP(D471,[1]Clientes!$A$1:$B$1370,2,0)</f>
        <v>INT0007</v>
      </c>
      <c r="L471" s="5" t="str">
        <f t="shared" si="14"/>
        <v>TGDR202666</v>
      </c>
      <c r="M471" s="5" t="str">
        <f t="shared" si="15"/>
        <v>I</v>
      </c>
      <c r="N471" s="5">
        <f>IF(G471=[1]Clientes!$C$3,[1]Clientes!$D$3,[1]Clientes!$D$2)</f>
        <v>13050101</v>
      </c>
    </row>
    <row r="472" spans="1:14">
      <c r="A472" s="6" t="s">
        <v>7</v>
      </c>
      <c r="B472" s="7">
        <v>45413</v>
      </c>
      <c r="C472" s="6" t="s">
        <v>3584</v>
      </c>
      <c r="D472" s="6" t="s">
        <v>3507</v>
      </c>
      <c r="E472" s="6" t="s">
        <v>16</v>
      </c>
      <c r="F472" s="7">
        <v>45443</v>
      </c>
      <c r="G472" s="6" t="s">
        <v>3478</v>
      </c>
      <c r="H472" s="8">
        <v>92</v>
      </c>
      <c r="I472" s="9">
        <v>100067.77</v>
      </c>
      <c r="J472" s="9">
        <v>100067.77</v>
      </c>
      <c r="K472" s="5" t="str">
        <f>VLOOKUP(D472,[1]Clientes!$A$1:$B$1370,2,0)</f>
        <v>INT0007</v>
      </c>
      <c r="L472" s="5" t="str">
        <f t="shared" si="14"/>
        <v>HGI0123814</v>
      </c>
      <c r="M472" s="5" t="str">
        <f t="shared" si="15"/>
        <v>I</v>
      </c>
      <c r="N472" s="5">
        <f>IF(G472=[1]Clientes!$C$3,[1]Clientes!$D$3,[1]Clientes!$D$2)</f>
        <v>13050101</v>
      </c>
    </row>
    <row r="473" spans="1:14">
      <c r="A473" s="6" t="s">
        <v>7</v>
      </c>
      <c r="B473" s="7">
        <v>45413</v>
      </c>
      <c r="C473" s="6" t="s">
        <v>3585</v>
      </c>
      <c r="D473" s="6" t="s">
        <v>3507</v>
      </c>
      <c r="E473" s="6" t="s">
        <v>16</v>
      </c>
      <c r="F473" s="7">
        <v>45443</v>
      </c>
      <c r="G473" s="6" t="s">
        <v>3478</v>
      </c>
      <c r="H473" s="8">
        <v>92</v>
      </c>
      <c r="I473" s="9">
        <v>2735.26</v>
      </c>
      <c r="J473" s="9">
        <v>2735.26</v>
      </c>
      <c r="K473" s="5" t="str">
        <f>VLOOKUP(D473,[1]Clientes!$A$1:$B$1370,2,0)</f>
        <v>INT0007</v>
      </c>
      <c r="L473" s="5" t="str">
        <f t="shared" si="14"/>
        <v>HGI0123815</v>
      </c>
      <c r="M473" s="5" t="str">
        <f t="shared" si="15"/>
        <v>I</v>
      </c>
      <c r="N473" s="5">
        <f>IF(G473=[1]Clientes!$C$3,[1]Clientes!$D$3,[1]Clientes!$D$2)</f>
        <v>13050101</v>
      </c>
    </row>
    <row r="474" spans="1:14">
      <c r="A474" s="6" t="s">
        <v>3265</v>
      </c>
      <c r="B474" s="7">
        <v>45443</v>
      </c>
      <c r="C474" s="6" t="s">
        <v>3519</v>
      </c>
      <c r="D474" s="6" t="s">
        <v>3507</v>
      </c>
      <c r="E474" s="6"/>
      <c r="F474" s="7"/>
      <c r="G474" s="6" t="s">
        <v>3478</v>
      </c>
      <c r="H474" s="8"/>
      <c r="I474" s="9">
        <v>-3695.24</v>
      </c>
      <c r="J474" s="9">
        <v>-3695.24</v>
      </c>
      <c r="K474" s="5" t="str">
        <f>VLOOKUP(D474,[1]Clientes!$A$1:$B$1370,2,0)</f>
        <v>INT0007</v>
      </c>
      <c r="L474" s="5" t="str">
        <f t="shared" si="14"/>
        <v>Revisar</v>
      </c>
      <c r="M474" s="5" t="str">
        <f t="shared" si="15"/>
        <v>GJ</v>
      </c>
      <c r="N474" s="5">
        <f>IF(G474=[1]Clientes!$C$3,[1]Clientes!$D$3,[1]Clientes!$D$2)</f>
        <v>13050101</v>
      </c>
    </row>
    <row r="475" spans="1:14">
      <c r="A475" s="6" t="s">
        <v>7</v>
      </c>
      <c r="B475" s="7">
        <v>45420</v>
      </c>
      <c r="C475" s="6" t="s">
        <v>3586</v>
      </c>
      <c r="D475" s="6" t="s">
        <v>3507</v>
      </c>
      <c r="E475" s="6" t="s">
        <v>16</v>
      </c>
      <c r="F475" s="7">
        <v>45450</v>
      </c>
      <c r="G475" s="6" t="s">
        <v>3478</v>
      </c>
      <c r="H475" s="8">
        <v>85</v>
      </c>
      <c r="I475" s="9">
        <v>11945.49</v>
      </c>
      <c r="J475" s="9">
        <v>11945.49</v>
      </c>
      <c r="K475" s="5" t="str">
        <f>VLOOKUP(D475,[1]Clientes!$A$1:$B$1370,2,0)</f>
        <v>INT0007</v>
      </c>
      <c r="L475" s="5" t="str">
        <f t="shared" si="14"/>
        <v>HGI0124154</v>
      </c>
      <c r="M475" s="5" t="str">
        <f t="shared" si="15"/>
        <v>I</v>
      </c>
      <c r="N475" s="5">
        <f>IF(G475=[1]Clientes!$C$3,[1]Clientes!$D$3,[1]Clientes!$D$2)</f>
        <v>13050101</v>
      </c>
    </row>
    <row r="476" spans="1:14">
      <c r="A476" s="6" t="s">
        <v>7</v>
      </c>
      <c r="B476" s="7">
        <v>45420</v>
      </c>
      <c r="C476" s="6" t="s">
        <v>3587</v>
      </c>
      <c r="D476" s="6" t="s">
        <v>3507</v>
      </c>
      <c r="E476" s="6" t="s">
        <v>16</v>
      </c>
      <c r="F476" s="7">
        <v>45450</v>
      </c>
      <c r="G476" s="6" t="s">
        <v>3478</v>
      </c>
      <c r="H476" s="8">
        <v>85</v>
      </c>
      <c r="I476" s="9">
        <v>2865.1</v>
      </c>
      <c r="J476" s="9">
        <v>2865.1</v>
      </c>
      <c r="K476" s="5" t="str">
        <f>VLOOKUP(D476,[1]Clientes!$A$1:$B$1370,2,0)</f>
        <v>INT0007</v>
      </c>
      <c r="L476" s="5" t="str">
        <f t="shared" si="14"/>
        <v>HGI0124155</v>
      </c>
      <c r="M476" s="5" t="str">
        <f t="shared" si="15"/>
        <v>I</v>
      </c>
      <c r="N476" s="5">
        <f>IF(G476=[1]Clientes!$C$3,[1]Clientes!$D$3,[1]Clientes!$D$2)</f>
        <v>13050101</v>
      </c>
    </row>
    <row r="477" spans="1:14">
      <c r="A477" s="6" t="s">
        <v>7</v>
      </c>
      <c r="B477" s="7">
        <v>45420</v>
      </c>
      <c r="C477" s="6" t="s">
        <v>3588</v>
      </c>
      <c r="D477" s="6" t="s">
        <v>3507</v>
      </c>
      <c r="E477" s="6" t="s">
        <v>16</v>
      </c>
      <c r="F477" s="7">
        <v>45450</v>
      </c>
      <c r="G477" s="6" t="s">
        <v>3478</v>
      </c>
      <c r="H477" s="8">
        <v>85</v>
      </c>
      <c r="I477" s="9">
        <v>51551.199999999997</v>
      </c>
      <c r="J477" s="9">
        <v>51551.199999999997</v>
      </c>
      <c r="K477" s="5" t="str">
        <f>VLOOKUP(D477,[1]Clientes!$A$1:$B$1370,2,0)</f>
        <v>INT0007</v>
      </c>
      <c r="L477" s="5" t="str">
        <f t="shared" si="14"/>
        <v>HGI0124156</v>
      </c>
      <c r="M477" s="5" t="str">
        <f t="shared" si="15"/>
        <v>I</v>
      </c>
      <c r="N477" s="5">
        <f>IF(G477=[1]Clientes!$C$3,[1]Clientes!$D$3,[1]Clientes!$D$2)</f>
        <v>13050101</v>
      </c>
    </row>
    <row r="478" spans="1:14">
      <c r="A478" s="6" t="s">
        <v>7</v>
      </c>
      <c r="B478" s="7">
        <v>45422</v>
      </c>
      <c r="C478" s="6" t="s">
        <v>3589</v>
      </c>
      <c r="D478" s="6" t="s">
        <v>3507</v>
      </c>
      <c r="E478" s="6" t="s">
        <v>16</v>
      </c>
      <c r="F478" s="7">
        <v>45452</v>
      </c>
      <c r="G478" s="6" t="s">
        <v>3478</v>
      </c>
      <c r="H478" s="8">
        <v>83</v>
      </c>
      <c r="I478" s="9">
        <v>167483.71</v>
      </c>
      <c r="J478" s="9">
        <v>167483.71</v>
      </c>
      <c r="K478" s="5" t="str">
        <f>VLOOKUP(D478,[1]Clientes!$A$1:$B$1370,2,0)</f>
        <v>INT0007</v>
      </c>
      <c r="L478" s="5" t="str">
        <f t="shared" si="14"/>
        <v>HGI0124218</v>
      </c>
      <c r="M478" s="5" t="str">
        <f t="shared" si="15"/>
        <v>I</v>
      </c>
      <c r="N478" s="5">
        <f>IF(G478=[1]Clientes!$C$3,[1]Clientes!$D$3,[1]Clientes!$D$2)</f>
        <v>13050101</v>
      </c>
    </row>
    <row r="479" spans="1:14">
      <c r="A479" s="6" t="s">
        <v>3139</v>
      </c>
      <c r="B479" s="7">
        <v>45461</v>
      </c>
      <c r="C479" s="6"/>
      <c r="D479" s="6" t="s">
        <v>3507</v>
      </c>
      <c r="E479" s="6"/>
      <c r="F479" s="7"/>
      <c r="G479" s="6" t="s">
        <v>3478</v>
      </c>
      <c r="H479" s="8"/>
      <c r="I479" s="9">
        <v>-4.3600000000000003</v>
      </c>
      <c r="J479" s="9">
        <v>-296000</v>
      </c>
      <c r="K479" s="5" t="str">
        <f>VLOOKUP(D479,[1]Clientes!$A$1:$B$1370,2,0)</f>
        <v>INT0007</v>
      </c>
      <c r="L479" s="5" t="str">
        <f t="shared" si="14"/>
        <v>Revisar</v>
      </c>
      <c r="M479" s="5" t="str">
        <f t="shared" si="15"/>
        <v>P</v>
      </c>
      <c r="N479" s="5">
        <f>IF(G479=[1]Clientes!$C$3,[1]Clientes!$D$3,[1]Clientes!$D$2)</f>
        <v>13050101</v>
      </c>
    </row>
    <row r="480" spans="1:14">
      <c r="A480" s="6" t="s">
        <v>7</v>
      </c>
      <c r="B480" s="7">
        <v>45432</v>
      </c>
      <c r="C480" s="6" t="s">
        <v>3590</v>
      </c>
      <c r="D480" s="6" t="s">
        <v>3507</v>
      </c>
      <c r="E480" s="6" t="s">
        <v>16</v>
      </c>
      <c r="F480" s="7">
        <v>45462</v>
      </c>
      <c r="G480" s="6" t="s">
        <v>3478</v>
      </c>
      <c r="H480" s="8">
        <v>73</v>
      </c>
      <c r="I480" s="9">
        <v>97.5</v>
      </c>
      <c r="J480" s="9">
        <v>97.5</v>
      </c>
      <c r="K480" s="5" t="str">
        <f>VLOOKUP(D480,[1]Clientes!$A$1:$B$1370,2,0)</f>
        <v>INT0007</v>
      </c>
      <c r="L480" s="5" t="str">
        <f t="shared" si="14"/>
        <v>HGI0124471</v>
      </c>
      <c r="M480" s="5" t="str">
        <f t="shared" si="15"/>
        <v>I</v>
      </c>
      <c r="N480" s="5">
        <f>IF(G480=[1]Clientes!$C$3,[1]Clientes!$D$3,[1]Clientes!$D$2)</f>
        <v>13050101</v>
      </c>
    </row>
    <row r="481" spans="1:14">
      <c r="A481" s="6" t="s">
        <v>7</v>
      </c>
      <c r="B481" s="7">
        <v>45432</v>
      </c>
      <c r="C481" s="6" t="s">
        <v>3591</v>
      </c>
      <c r="D481" s="6" t="s">
        <v>3507</v>
      </c>
      <c r="E481" s="6" t="s">
        <v>16</v>
      </c>
      <c r="F481" s="7">
        <v>45462</v>
      </c>
      <c r="G481" s="6" t="s">
        <v>3478</v>
      </c>
      <c r="H481" s="8">
        <v>73</v>
      </c>
      <c r="I481" s="9">
        <v>399.52</v>
      </c>
      <c r="J481" s="9">
        <v>399.52</v>
      </c>
      <c r="K481" s="5" t="str">
        <f>VLOOKUP(D481,[1]Clientes!$A$1:$B$1370,2,0)</f>
        <v>INT0007</v>
      </c>
      <c r="L481" s="5" t="str">
        <f t="shared" si="14"/>
        <v>HGI0124482</v>
      </c>
      <c r="M481" s="5" t="str">
        <f t="shared" si="15"/>
        <v>I</v>
      </c>
      <c r="N481" s="5">
        <f>IF(G481=[1]Clientes!$C$3,[1]Clientes!$D$3,[1]Clientes!$D$2)</f>
        <v>13050101</v>
      </c>
    </row>
    <row r="482" spans="1:14">
      <c r="A482" s="6" t="s">
        <v>7</v>
      </c>
      <c r="B482" s="7">
        <v>45432</v>
      </c>
      <c r="C482" s="6" t="s">
        <v>3592</v>
      </c>
      <c r="D482" s="6" t="s">
        <v>3507</v>
      </c>
      <c r="E482" s="6" t="s">
        <v>16</v>
      </c>
      <c r="F482" s="7">
        <v>45462</v>
      </c>
      <c r="G482" s="6" t="s">
        <v>3478</v>
      </c>
      <c r="H482" s="8">
        <v>73</v>
      </c>
      <c r="I482" s="9">
        <v>51450.14</v>
      </c>
      <c r="J482" s="9">
        <v>51450.14</v>
      </c>
      <c r="K482" s="5" t="str">
        <f>VLOOKUP(D482,[1]Clientes!$A$1:$B$1370,2,0)</f>
        <v>INT0007</v>
      </c>
      <c r="L482" s="5" t="str">
        <f t="shared" si="14"/>
        <v>HGI0124483</v>
      </c>
      <c r="M482" s="5" t="str">
        <f t="shared" si="15"/>
        <v>I</v>
      </c>
      <c r="N482" s="5">
        <f>IF(G482=[1]Clientes!$C$3,[1]Clientes!$D$3,[1]Clientes!$D$2)</f>
        <v>13050101</v>
      </c>
    </row>
    <row r="483" spans="1:14">
      <c r="A483" s="6" t="s">
        <v>7</v>
      </c>
      <c r="B483" s="7">
        <v>45433</v>
      </c>
      <c r="C483" s="6" t="s">
        <v>3593</v>
      </c>
      <c r="D483" s="6" t="s">
        <v>3507</v>
      </c>
      <c r="E483" s="6" t="s">
        <v>16</v>
      </c>
      <c r="F483" s="7">
        <v>45463</v>
      </c>
      <c r="G483" s="6" t="s">
        <v>3478</v>
      </c>
      <c r="H483" s="8">
        <v>72</v>
      </c>
      <c r="I483" s="9">
        <v>647.41</v>
      </c>
      <c r="J483" s="9">
        <v>647.41</v>
      </c>
      <c r="K483" s="5" t="str">
        <f>VLOOKUP(D483,[1]Clientes!$A$1:$B$1370,2,0)</f>
        <v>INT0007</v>
      </c>
      <c r="L483" s="5" t="str">
        <f t="shared" si="14"/>
        <v>HGI0124503</v>
      </c>
      <c r="M483" s="5" t="str">
        <f t="shared" si="15"/>
        <v>I</v>
      </c>
      <c r="N483" s="5">
        <f>IF(G483=[1]Clientes!$C$3,[1]Clientes!$D$3,[1]Clientes!$D$2)</f>
        <v>13050101</v>
      </c>
    </row>
    <row r="484" spans="1:14">
      <c r="A484" s="6" t="s">
        <v>7</v>
      </c>
      <c r="B484" s="7">
        <v>45433</v>
      </c>
      <c r="C484" s="6" t="s">
        <v>3594</v>
      </c>
      <c r="D484" s="6" t="s">
        <v>3507</v>
      </c>
      <c r="E484" s="6" t="s">
        <v>16</v>
      </c>
      <c r="F484" s="7">
        <v>45463</v>
      </c>
      <c r="G484" s="6" t="s">
        <v>3478</v>
      </c>
      <c r="H484" s="8">
        <v>72</v>
      </c>
      <c r="I484" s="9">
        <v>52352.639999999999</v>
      </c>
      <c r="J484" s="9">
        <v>52352.639999999999</v>
      </c>
      <c r="K484" s="5" t="str">
        <f>VLOOKUP(D484,[1]Clientes!$A$1:$B$1370,2,0)</f>
        <v>INT0007</v>
      </c>
      <c r="L484" s="5" t="str">
        <f t="shared" si="14"/>
        <v>HGI0124563</v>
      </c>
      <c r="M484" s="5" t="str">
        <f t="shared" si="15"/>
        <v>I</v>
      </c>
      <c r="N484" s="5">
        <f>IF(G484=[1]Clientes!$C$3,[1]Clientes!$D$3,[1]Clientes!$D$2)</f>
        <v>13050101</v>
      </c>
    </row>
    <row r="485" spans="1:14">
      <c r="A485" s="6" t="s">
        <v>7</v>
      </c>
      <c r="B485" s="7">
        <v>45440</v>
      </c>
      <c r="C485" s="6" t="s">
        <v>3595</v>
      </c>
      <c r="D485" s="6" t="s">
        <v>3507</v>
      </c>
      <c r="E485" s="6" t="s">
        <v>16</v>
      </c>
      <c r="F485" s="7">
        <v>45470</v>
      </c>
      <c r="G485" s="6" t="s">
        <v>3478</v>
      </c>
      <c r="H485" s="8">
        <v>65</v>
      </c>
      <c r="I485" s="9">
        <v>18414.150000000001</v>
      </c>
      <c r="J485" s="9">
        <v>18414.150000000001</v>
      </c>
      <c r="K485" s="5" t="str">
        <f>VLOOKUP(D485,[1]Clientes!$A$1:$B$1370,2,0)</f>
        <v>INT0007</v>
      </c>
      <c r="L485" s="5" t="str">
        <f t="shared" si="14"/>
        <v>HGI0124592</v>
      </c>
      <c r="M485" s="5" t="str">
        <f t="shared" si="15"/>
        <v>I</v>
      </c>
      <c r="N485" s="5">
        <f>IF(G485=[1]Clientes!$C$3,[1]Clientes!$D$3,[1]Clientes!$D$2)</f>
        <v>13050101</v>
      </c>
    </row>
    <row r="486" spans="1:14">
      <c r="A486" s="6" t="s">
        <v>7</v>
      </c>
      <c r="B486" s="7">
        <v>45382</v>
      </c>
      <c r="C486" s="6" t="s">
        <v>3596</v>
      </c>
      <c r="D486" s="6" t="s">
        <v>3507</v>
      </c>
      <c r="E486" s="6" t="s">
        <v>1216</v>
      </c>
      <c r="F486" s="7">
        <v>45472</v>
      </c>
      <c r="G486" s="6" t="s">
        <v>3478</v>
      </c>
      <c r="H486" s="8">
        <v>63</v>
      </c>
      <c r="I486" s="9">
        <v>7187.39</v>
      </c>
      <c r="J486" s="9">
        <v>7187.39</v>
      </c>
      <c r="K486" s="5" t="str">
        <f>VLOOKUP(D486,[1]Clientes!$A$1:$B$1370,2,0)</f>
        <v>INT0007</v>
      </c>
      <c r="L486" s="5" t="str">
        <f t="shared" si="14"/>
        <v>TGDR202645</v>
      </c>
      <c r="M486" s="5" t="str">
        <f t="shared" si="15"/>
        <v>I</v>
      </c>
      <c r="N486" s="5">
        <f>IF(G486=[1]Clientes!$C$3,[1]Clientes!$D$3,[1]Clientes!$D$2)</f>
        <v>13050101</v>
      </c>
    </row>
    <row r="487" spans="1:14">
      <c r="A487" s="6" t="s">
        <v>7</v>
      </c>
      <c r="B487" s="7">
        <v>45443</v>
      </c>
      <c r="C487" s="6" t="s">
        <v>3597</v>
      </c>
      <c r="D487" s="6" t="s">
        <v>3507</v>
      </c>
      <c r="E487" s="6" t="s">
        <v>16</v>
      </c>
      <c r="F487" s="7">
        <v>45473</v>
      </c>
      <c r="G487" s="6" t="s">
        <v>3478</v>
      </c>
      <c r="H487" s="8">
        <v>62</v>
      </c>
      <c r="I487" s="9">
        <v>155381</v>
      </c>
      <c r="J487" s="9">
        <v>155381</v>
      </c>
      <c r="K487" s="5" t="str">
        <f>VLOOKUP(D487,[1]Clientes!$A$1:$B$1370,2,0)</f>
        <v>INT0007</v>
      </c>
      <c r="L487" s="5" t="str">
        <f t="shared" si="14"/>
        <v>TGDR202673</v>
      </c>
      <c r="M487" s="5" t="str">
        <f t="shared" si="15"/>
        <v>I</v>
      </c>
      <c r="N487" s="5">
        <f>IF(G487=[1]Clientes!$C$3,[1]Clientes!$D$3,[1]Clientes!$D$2)</f>
        <v>13050101</v>
      </c>
    </row>
    <row r="488" spans="1:14">
      <c r="A488" s="6" t="s">
        <v>7</v>
      </c>
      <c r="B488" s="7">
        <v>45443</v>
      </c>
      <c r="C488" s="6" t="s">
        <v>3598</v>
      </c>
      <c r="D488" s="6" t="s">
        <v>3507</v>
      </c>
      <c r="E488" s="6" t="s">
        <v>16</v>
      </c>
      <c r="F488" s="7">
        <v>45473</v>
      </c>
      <c r="G488" s="6" t="s">
        <v>3478</v>
      </c>
      <c r="H488" s="8">
        <v>62</v>
      </c>
      <c r="I488" s="9">
        <v>5034</v>
      </c>
      <c r="J488" s="9">
        <v>5034</v>
      </c>
      <c r="K488" s="5" t="str">
        <f>VLOOKUP(D488,[1]Clientes!$A$1:$B$1370,2,0)</f>
        <v>INT0007</v>
      </c>
      <c r="L488" s="5" t="str">
        <f t="shared" si="14"/>
        <v>TGDR202674</v>
      </c>
      <c r="M488" s="5" t="str">
        <f t="shared" si="15"/>
        <v>I</v>
      </c>
      <c r="N488" s="5">
        <f>IF(G488=[1]Clientes!$C$3,[1]Clientes!$D$3,[1]Clientes!$D$2)</f>
        <v>13050101</v>
      </c>
    </row>
    <row r="489" spans="1:14">
      <c r="A489" s="6" t="s">
        <v>7</v>
      </c>
      <c r="B489" s="7">
        <v>45443</v>
      </c>
      <c r="C489" s="6" t="s">
        <v>3599</v>
      </c>
      <c r="D489" s="6" t="s">
        <v>3507</v>
      </c>
      <c r="E489" s="6" t="s">
        <v>16</v>
      </c>
      <c r="F489" s="7">
        <v>45473</v>
      </c>
      <c r="G489" s="6" t="s">
        <v>3478</v>
      </c>
      <c r="H489" s="8">
        <v>62</v>
      </c>
      <c r="I489" s="9">
        <v>19388.740000000002</v>
      </c>
      <c r="J489" s="9">
        <v>19388.740000000002</v>
      </c>
      <c r="K489" s="5" t="str">
        <f>VLOOKUP(D489,[1]Clientes!$A$1:$B$1370,2,0)</f>
        <v>INT0007</v>
      </c>
      <c r="L489" s="5" t="str">
        <f t="shared" si="14"/>
        <v>TGDR202675</v>
      </c>
      <c r="M489" s="5" t="str">
        <f t="shared" si="15"/>
        <v>I</v>
      </c>
      <c r="N489" s="5">
        <f>IF(G489=[1]Clientes!$C$3,[1]Clientes!$D$3,[1]Clientes!$D$2)</f>
        <v>13050101</v>
      </c>
    </row>
    <row r="490" spans="1:14">
      <c r="A490" s="6" t="s">
        <v>7</v>
      </c>
      <c r="B490" s="7">
        <v>45443</v>
      </c>
      <c r="C490" s="6" t="s">
        <v>3600</v>
      </c>
      <c r="D490" s="6" t="s">
        <v>3507</v>
      </c>
      <c r="E490" s="6" t="s">
        <v>16</v>
      </c>
      <c r="F490" s="7">
        <v>45473</v>
      </c>
      <c r="G490" s="6" t="s">
        <v>3478</v>
      </c>
      <c r="H490" s="8">
        <v>62</v>
      </c>
      <c r="I490" s="9">
        <v>442.51</v>
      </c>
      <c r="J490" s="9">
        <v>442.51</v>
      </c>
      <c r="K490" s="5" t="str">
        <f>VLOOKUP(D490,[1]Clientes!$A$1:$B$1370,2,0)</f>
        <v>INT0007</v>
      </c>
      <c r="L490" s="5" t="str">
        <f t="shared" si="14"/>
        <v>TGDR202682</v>
      </c>
      <c r="M490" s="5" t="str">
        <f t="shared" si="15"/>
        <v>I</v>
      </c>
      <c r="N490" s="5">
        <f>IF(G490=[1]Clientes!$C$3,[1]Clientes!$D$3,[1]Clientes!$D$2)</f>
        <v>13050101</v>
      </c>
    </row>
    <row r="491" spans="1:14">
      <c r="A491" s="6" t="s">
        <v>7</v>
      </c>
      <c r="B491" s="7">
        <v>45443</v>
      </c>
      <c r="C491" s="6" t="s">
        <v>3601</v>
      </c>
      <c r="D491" s="6" t="s">
        <v>3507</v>
      </c>
      <c r="E491" s="6" t="s">
        <v>16</v>
      </c>
      <c r="F491" s="7">
        <v>45473</v>
      </c>
      <c r="G491" s="6" t="s">
        <v>3478</v>
      </c>
      <c r="H491" s="8">
        <v>62</v>
      </c>
      <c r="I491" s="9">
        <v>6617</v>
      </c>
      <c r="J491" s="9">
        <v>6617</v>
      </c>
      <c r="K491" s="5" t="str">
        <f>VLOOKUP(D491,[1]Clientes!$A$1:$B$1370,2,0)</f>
        <v>INT0007</v>
      </c>
      <c r="L491" s="5" t="str">
        <f t="shared" si="14"/>
        <v>TGDR202686</v>
      </c>
      <c r="M491" s="5" t="str">
        <f t="shared" si="15"/>
        <v>I</v>
      </c>
      <c r="N491" s="5">
        <f>IF(G491=[1]Clientes!$C$3,[1]Clientes!$D$3,[1]Clientes!$D$2)</f>
        <v>13050101</v>
      </c>
    </row>
    <row r="492" spans="1:14">
      <c r="A492" s="6" t="s">
        <v>3265</v>
      </c>
      <c r="B492" s="7">
        <v>45473</v>
      </c>
      <c r="C492" s="6" t="s">
        <v>3519</v>
      </c>
      <c r="D492" s="6" t="s">
        <v>3507</v>
      </c>
      <c r="E492" s="6"/>
      <c r="F492" s="7"/>
      <c r="G492" s="6" t="s">
        <v>3478</v>
      </c>
      <c r="H492" s="8"/>
      <c r="I492" s="9">
        <v>-3695.24</v>
      </c>
      <c r="J492" s="9">
        <v>-3695.24</v>
      </c>
      <c r="K492" s="5" t="str">
        <f>VLOOKUP(D492,[1]Clientes!$A$1:$B$1370,2,0)</f>
        <v>INT0007</v>
      </c>
      <c r="L492" s="5" t="str">
        <f t="shared" si="14"/>
        <v>Revisar</v>
      </c>
      <c r="M492" s="5" t="str">
        <f t="shared" si="15"/>
        <v>GJ</v>
      </c>
      <c r="N492" s="5">
        <f>IF(G492=[1]Clientes!$C$3,[1]Clientes!$D$3,[1]Clientes!$D$2)</f>
        <v>13050101</v>
      </c>
    </row>
    <row r="493" spans="1:14">
      <c r="A493" s="6" t="s">
        <v>7</v>
      </c>
      <c r="B493" s="7">
        <v>45456</v>
      </c>
      <c r="C493" s="6" t="s">
        <v>3602</v>
      </c>
      <c r="D493" s="6" t="s">
        <v>3507</v>
      </c>
      <c r="E493" s="6" t="s">
        <v>16</v>
      </c>
      <c r="F493" s="7">
        <v>45486</v>
      </c>
      <c r="G493" s="6" t="s">
        <v>3478</v>
      </c>
      <c r="H493" s="8">
        <v>49</v>
      </c>
      <c r="I493" s="9">
        <v>32627.1</v>
      </c>
      <c r="J493" s="9">
        <v>32627.1</v>
      </c>
      <c r="K493" s="5" t="str">
        <f>VLOOKUP(D493,[1]Clientes!$A$1:$B$1370,2,0)</f>
        <v>INT0007</v>
      </c>
      <c r="L493" s="5" t="str">
        <f t="shared" si="14"/>
        <v>HGI0125070</v>
      </c>
      <c r="M493" s="5" t="str">
        <f t="shared" si="15"/>
        <v>I</v>
      </c>
      <c r="N493" s="5">
        <f>IF(G493=[1]Clientes!$C$3,[1]Clientes!$D$3,[1]Clientes!$D$2)</f>
        <v>13050101</v>
      </c>
    </row>
    <row r="494" spans="1:14">
      <c r="A494" s="6" t="s">
        <v>7</v>
      </c>
      <c r="B494" s="7">
        <v>45456</v>
      </c>
      <c r="C494" s="6" t="s">
        <v>3603</v>
      </c>
      <c r="D494" s="6" t="s">
        <v>3507</v>
      </c>
      <c r="E494" s="6" t="s">
        <v>16</v>
      </c>
      <c r="F494" s="7">
        <v>45486</v>
      </c>
      <c r="G494" s="6" t="s">
        <v>3478</v>
      </c>
      <c r="H494" s="8">
        <v>49</v>
      </c>
      <c r="I494" s="9">
        <v>33345.58</v>
      </c>
      <c r="J494" s="9">
        <v>33345.58</v>
      </c>
      <c r="K494" s="5" t="str">
        <f>VLOOKUP(D494,[1]Clientes!$A$1:$B$1370,2,0)</f>
        <v>INT0007</v>
      </c>
      <c r="L494" s="5" t="str">
        <f t="shared" si="14"/>
        <v>HGI0125071</v>
      </c>
      <c r="M494" s="5" t="str">
        <f t="shared" si="15"/>
        <v>I</v>
      </c>
      <c r="N494" s="5">
        <f>IF(G494=[1]Clientes!$C$3,[1]Clientes!$D$3,[1]Clientes!$D$2)</f>
        <v>13050101</v>
      </c>
    </row>
    <row r="495" spans="1:14">
      <c r="A495" s="6" t="s">
        <v>3099</v>
      </c>
      <c r="B495" s="7">
        <v>45461</v>
      </c>
      <c r="C495" s="6" t="s">
        <v>3604</v>
      </c>
      <c r="D495" s="6" t="s">
        <v>3507</v>
      </c>
      <c r="E495" s="6" t="s">
        <v>16</v>
      </c>
      <c r="F495" s="7">
        <v>45491</v>
      </c>
      <c r="G495" s="6" t="s">
        <v>3478</v>
      </c>
      <c r="H495" s="8">
        <v>44</v>
      </c>
      <c r="I495" s="9">
        <v>-757.5</v>
      </c>
      <c r="J495" s="9">
        <v>-757.5</v>
      </c>
      <c r="K495" s="5" t="str">
        <f>VLOOKUP(D495,[1]Clientes!$A$1:$B$1370,2,0)</f>
        <v>INT0007</v>
      </c>
      <c r="L495" s="5" t="str">
        <f t="shared" si="14"/>
        <v>CRM0125135</v>
      </c>
      <c r="M495" s="5" t="str">
        <f t="shared" si="15"/>
        <v>C</v>
      </c>
      <c r="N495" s="5">
        <f>IF(G495=[1]Clientes!$C$3,[1]Clientes!$D$3,[1]Clientes!$D$2)</f>
        <v>13050101</v>
      </c>
    </row>
    <row r="496" spans="1:14">
      <c r="A496" s="6" t="s">
        <v>7</v>
      </c>
      <c r="B496" s="7">
        <v>45463</v>
      </c>
      <c r="C496" s="6" t="s">
        <v>3605</v>
      </c>
      <c r="D496" s="6" t="s">
        <v>3507</v>
      </c>
      <c r="E496" s="6" t="s">
        <v>16</v>
      </c>
      <c r="F496" s="7">
        <v>45493</v>
      </c>
      <c r="G496" s="6" t="s">
        <v>3478</v>
      </c>
      <c r="H496" s="8">
        <v>42</v>
      </c>
      <c r="I496" s="9">
        <v>921.16</v>
      </c>
      <c r="J496" s="9">
        <v>921.16</v>
      </c>
      <c r="K496" s="5" t="str">
        <f>VLOOKUP(D496,[1]Clientes!$A$1:$B$1370,2,0)</f>
        <v>INT0007</v>
      </c>
      <c r="L496" s="5" t="str">
        <f t="shared" si="14"/>
        <v>HGI0125221</v>
      </c>
      <c r="M496" s="5" t="str">
        <f t="shared" si="15"/>
        <v>I</v>
      </c>
      <c r="N496" s="5">
        <f>IF(G496=[1]Clientes!$C$3,[1]Clientes!$D$3,[1]Clientes!$D$2)</f>
        <v>13050101</v>
      </c>
    </row>
    <row r="497" spans="1:14">
      <c r="A497" s="6" t="s">
        <v>7</v>
      </c>
      <c r="B497" s="7">
        <v>45467</v>
      </c>
      <c r="C497" s="6" t="s">
        <v>3606</v>
      </c>
      <c r="D497" s="6" t="s">
        <v>3507</v>
      </c>
      <c r="E497" s="6" t="s">
        <v>16</v>
      </c>
      <c r="F497" s="7">
        <v>45497</v>
      </c>
      <c r="G497" s="6" t="s">
        <v>3478</v>
      </c>
      <c r="H497" s="8">
        <v>38</v>
      </c>
      <c r="I497" s="9">
        <v>33142.69</v>
      </c>
      <c r="J497" s="9">
        <v>33142.69</v>
      </c>
      <c r="K497" s="5" t="str">
        <f>VLOOKUP(D497,[1]Clientes!$A$1:$B$1370,2,0)</f>
        <v>INT0007</v>
      </c>
      <c r="L497" s="5" t="str">
        <f t="shared" si="14"/>
        <v>HGI0125243</v>
      </c>
      <c r="M497" s="5" t="str">
        <f t="shared" si="15"/>
        <v>I</v>
      </c>
      <c r="N497" s="5">
        <f>IF(G497=[1]Clientes!$C$3,[1]Clientes!$D$3,[1]Clientes!$D$2)</f>
        <v>13050101</v>
      </c>
    </row>
    <row r="498" spans="1:14">
      <c r="A498" s="6" t="s">
        <v>7</v>
      </c>
      <c r="B498" s="7">
        <v>45469</v>
      </c>
      <c r="C498" s="6" t="s">
        <v>3607</v>
      </c>
      <c r="D498" s="6" t="s">
        <v>3507</v>
      </c>
      <c r="E498" s="6" t="s">
        <v>16</v>
      </c>
      <c r="F498" s="7">
        <v>45499</v>
      </c>
      <c r="G498" s="6" t="s">
        <v>3478</v>
      </c>
      <c r="H498" s="8">
        <v>36</v>
      </c>
      <c r="I498" s="9">
        <v>6617</v>
      </c>
      <c r="J498" s="9">
        <v>6617</v>
      </c>
      <c r="K498" s="5" t="str">
        <f>VLOOKUP(D498,[1]Clientes!$A$1:$B$1370,2,0)</f>
        <v>INT0007</v>
      </c>
      <c r="L498" s="5" t="str">
        <f t="shared" si="14"/>
        <v>TGDR202692</v>
      </c>
      <c r="M498" s="5" t="str">
        <f t="shared" si="15"/>
        <v>I</v>
      </c>
      <c r="N498" s="5">
        <f>IF(G498=[1]Clientes!$C$3,[1]Clientes!$D$3,[1]Clientes!$D$2)</f>
        <v>13050101</v>
      </c>
    </row>
    <row r="499" spans="1:14">
      <c r="A499" s="6" t="s">
        <v>7</v>
      </c>
      <c r="B499" s="7">
        <v>45411</v>
      </c>
      <c r="C499" s="6" t="s">
        <v>3608</v>
      </c>
      <c r="D499" s="6" t="s">
        <v>3507</v>
      </c>
      <c r="E499" s="6" t="s">
        <v>1216</v>
      </c>
      <c r="F499" s="7">
        <v>45501</v>
      </c>
      <c r="G499" s="6" t="s">
        <v>3478</v>
      </c>
      <c r="H499" s="8">
        <v>34</v>
      </c>
      <c r="I499" s="9">
        <v>7187.39</v>
      </c>
      <c r="J499" s="9">
        <v>7187.39</v>
      </c>
      <c r="K499" s="5" t="str">
        <f>VLOOKUP(D499,[1]Clientes!$A$1:$B$1370,2,0)</f>
        <v>INT0007</v>
      </c>
      <c r="L499" s="5" t="str">
        <f t="shared" si="14"/>
        <v>TGDR202653</v>
      </c>
      <c r="M499" s="5" t="str">
        <f t="shared" si="15"/>
        <v>I</v>
      </c>
      <c r="N499" s="5">
        <f>IF(G499=[1]Clientes!$C$3,[1]Clientes!$D$3,[1]Clientes!$D$2)</f>
        <v>13050101</v>
      </c>
    </row>
    <row r="500" spans="1:14">
      <c r="A500" s="6" t="s">
        <v>7</v>
      </c>
      <c r="B500" s="7">
        <v>45473</v>
      </c>
      <c r="C500" s="6" t="s">
        <v>3609</v>
      </c>
      <c r="D500" s="6" t="s">
        <v>3507</v>
      </c>
      <c r="E500" s="6" t="s">
        <v>16</v>
      </c>
      <c r="F500" s="7">
        <v>45503</v>
      </c>
      <c r="G500" s="6" t="s">
        <v>3478</v>
      </c>
      <c r="H500" s="8">
        <v>32</v>
      </c>
      <c r="I500" s="9">
        <v>472.32</v>
      </c>
      <c r="J500" s="9">
        <v>472.32</v>
      </c>
      <c r="K500" s="5" t="str">
        <f>VLOOKUP(D500,[1]Clientes!$A$1:$B$1370,2,0)</f>
        <v>INT0007</v>
      </c>
      <c r="L500" s="5" t="str">
        <f t="shared" si="14"/>
        <v>TGDR202697</v>
      </c>
      <c r="M500" s="5" t="str">
        <f t="shared" si="15"/>
        <v>I</v>
      </c>
      <c r="N500" s="5">
        <f>IF(G500=[1]Clientes!$C$3,[1]Clientes!$D$3,[1]Clientes!$D$2)</f>
        <v>13050101</v>
      </c>
    </row>
    <row r="501" spans="1:14">
      <c r="A501" s="6" t="s">
        <v>7</v>
      </c>
      <c r="B501" s="7">
        <v>45473</v>
      </c>
      <c r="C501" s="6" t="s">
        <v>3610</v>
      </c>
      <c r="D501" s="6" t="s">
        <v>3507</v>
      </c>
      <c r="E501" s="6" t="s">
        <v>16</v>
      </c>
      <c r="F501" s="7">
        <v>45503</v>
      </c>
      <c r="G501" s="6" t="s">
        <v>3478</v>
      </c>
      <c r="H501" s="8">
        <v>32</v>
      </c>
      <c r="I501" s="9">
        <v>8997.74</v>
      </c>
      <c r="J501" s="9">
        <v>8997.74</v>
      </c>
      <c r="K501" s="5" t="str">
        <f>VLOOKUP(D501,[1]Clientes!$A$1:$B$1370,2,0)</f>
        <v>INT0007</v>
      </c>
      <c r="L501" s="5" t="str">
        <f t="shared" si="14"/>
        <v>TGDR202701</v>
      </c>
      <c r="M501" s="5" t="str">
        <f t="shared" si="15"/>
        <v>I</v>
      </c>
      <c r="N501" s="5">
        <f>IF(G501=[1]Clientes!$C$3,[1]Clientes!$D$3,[1]Clientes!$D$2)</f>
        <v>13050101</v>
      </c>
    </row>
    <row r="502" spans="1:14">
      <c r="A502" s="6" t="s">
        <v>7</v>
      </c>
      <c r="B502" s="7">
        <v>45473</v>
      </c>
      <c r="C502" s="6" t="s">
        <v>3611</v>
      </c>
      <c r="D502" s="6" t="s">
        <v>3507</v>
      </c>
      <c r="E502" s="6" t="s">
        <v>16</v>
      </c>
      <c r="F502" s="7">
        <v>45503</v>
      </c>
      <c r="G502" s="6" t="s">
        <v>3478</v>
      </c>
      <c r="H502" s="8">
        <v>32</v>
      </c>
      <c r="I502" s="9">
        <v>52425</v>
      </c>
      <c r="J502" s="9">
        <v>52425</v>
      </c>
      <c r="K502" s="5" t="str">
        <f>VLOOKUP(D502,[1]Clientes!$A$1:$B$1370,2,0)</f>
        <v>INT0007</v>
      </c>
      <c r="L502" s="5" t="str">
        <f t="shared" si="14"/>
        <v>TGDR202704</v>
      </c>
      <c r="M502" s="5" t="str">
        <f t="shared" si="15"/>
        <v>I</v>
      </c>
      <c r="N502" s="5">
        <f>IF(G502=[1]Clientes!$C$3,[1]Clientes!$D$3,[1]Clientes!$D$2)</f>
        <v>13050101</v>
      </c>
    </row>
    <row r="503" spans="1:14">
      <c r="A503" s="6" t="s">
        <v>3265</v>
      </c>
      <c r="B503" s="7">
        <v>45504</v>
      </c>
      <c r="C503" s="6" t="s">
        <v>3519</v>
      </c>
      <c r="D503" s="6" t="s">
        <v>3507</v>
      </c>
      <c r="E503" s="6"/>
      <c r="F503" s="7"/>
      <c r="G503" s="6" t="s">
        <v>3478</v>
      </c>
      <c r="H503" s="8"/>
      <c r="I503" s="9">
        <v>-3695.24</v>
      </c>
      <c r="J503" s="9">
        <v>-3695.24</v>
      </c>
      <c r="K503" s="5" t="str">
        <f>VLOOKUP(D503,[1]Clientes!$A$1:$B$1370,2,0)</f>
        <v>INT0007</v>
      </c>
      <c r="L503" s="5" t="str">
        <f t="shared" si="14"/>
        <v>Revisar</v>
      </c>
      <c r="M503" s="5" t="str">
        <f t="shared" si="15"/>
        <v>GJ</v>
      </c>
      <c r="N503" s="5">
        <f>IF(G503=[1]Clientes!$C$3,[1]Clientes!$D$3,[1]Clientes!$D$2)</f>
        <v>13050101</v>
      </c>
    </row>
    <row r="504" spans="1:14">
      <c r="A504" s="6" t="s">
        <v>7</v>
      </c>
      <c r="B504" s="7">
        <v>45477</v>
      </c>
      <c r="C504" s="6" t="s">
        <v>3612</v>
      </c>
      <c r="D504" s="6" t="s">
        <v>3507</v>
      </c>
      <c r="E504" s="6" t="s">
        <v>16</v>
      </c>
      <c r="F504" s="7">
        <v>45507</v>
      </c>
      <c r="G504" s="6" t="s">
        <v>3478</v>
      </c>
      <c r="H504" s="8">
        <v>28</v>
      </c>
      <c r="I504" s="9">
        <v>51790.47</v>
      </c>
      <c r="J504" s="9">
        <v>51790.47</v>
      </c>
      <c r="K504" s="5" t="str">
        <f>VLOOKUP(D504,[1]Clientes!$A$1:$B$1370,2,0)</f>
        <v>INT0007</v>
      </c>
      <c r="L504" s="5" t="str">
        <f t="shared" si="14"/>
        <v>HGI0125509</v>
      </c>
      <c r="M504" s="5" t="str">
        <f t="shared" si="15"/>
        <v>I</v>
      </c>
      <c r="N504" s="5">
        <f>IF(G504=[1]Clientes!$C$3,[1]Clientes!$D$3,[1]Clientes!$D$2)</f>
        <v>13050101</v>
      </c>
    </row>
    <row r="505" spans="1:14">
      <c r="A505" s="6" t="s">
        <v>7</v>
      </c>
      <c r="B505" s="7">
        <v>45477</v>
      </c>
      <c r="C505" s="6" t="s">
        <v>3613</v>
      </c>
      <c r="D505" s="6" t="s">
        <v>3507</v>
      </c>
      <c r="E505" s="6" t="s">
        <v>16</v>
      </c>
      <c r="F505" s="7">
        <v>45507</v>
      </c>
      <c r="G505" s="6" t="s">
        <v>3478</v>
      </c>
      <c r="H505" s="8">
        <v>28</v>
      </c>
      <c r="I505" s="9">
        <v>46086.12</v>
      </c>
      <c r="J505" s="9">
        <v>46086.12</v>
      </c>
      <c r="K505" s="5" t="str">
        <f>VLOOKUP(D505,[1]Clientes!$A$1:$B$1370,2,0)</f>
        <v>INT0007</v>
      </c>
      <c r="L505" s="5" t="str">
        <f t="shared" si="14"/>
        <v>HGI0125510</v>
      </c>
      <c r="M505" s="5" t="str">
        <f t="shared" si="15"/>
        <v>I</v>
      </c>
      <c r="N505" s="5">
        <f>IF(G505=[1]Clientes!$C$3,[1]Clientes!$D$3,[1]Clientes!$D$2)</f>
        <v>13050101</v>
      </c>
    </row>
    <row r="506" spans="1:14">
      <c r="A506" s="6" t="s">
        <v>7</v>
      </c>
      <c r="B506" s="7">
        <v>45477</v>
      </c>
      <c r="C506" s="6" t="s">
        <v>3614</v>
      </c>
      <c r="D506" s="6" t="s">
        <v>3507</v>
      </c>
      <c r="E506" s="6" t="s">
        <v>16</v>
      </c>
      <c r="F506" s="7">
        <v>45507</v>
      </c>
      <c r="G506" s="6" t="s">
        <v>3478</v>
      </c>
      <c r="H506" s="8">
        <v>28</v>
      </c>
      <c r="I506" s="9">
        <v>4026.31</v>
      </c>
      <c r="J506" s="9">
        <v>4026.31</v>
      </c>
      <c r="K506" s="5" t="str">
        <f>VLOOKUP(D506,[1]Clientes!$A$1:$B$1370,2,0)</f>
        <v>INT0007</v>
      </c>
      <c r="L506" s="5" t="str">
        <f t="shared" si="14"/>
        <v>HGI0125511</v>
      </c>
      <c r="M506" s="5" t="str">
        <f t="shared" si="15"/>
        <v>I</v>
      </c>
      <c r="N506" s="5">
        <f>IF(G506=[1]Clientes!$C$3,[1]Clientes!$D$3,[1]Clientes!$D$2)</f>
        <v>13050101</v>
      </c>
    </row>
    <row r="507" spans="1:14">
      <c r="A507" s="6" t="s">
        <v>7</v>
      </c>
      <c r="B507" s="7">
        <v>45477</v>
      </c>
      <c r="C507" s="6" t="s">
        <v>3615</v>
      </c>
      <c r="D507" s="6" t="s">
        <v>3507</v>
      </c>
      <c r="E507" s="6" t="s">
        <v>16</v>
      </c>
      <c r="F507" s="7">
        <v>45507</v>
      </c>
      <c r="G507" s="6" t="s">
        <v>3478</v>
      </c>
      <c r="H507" s="8">
        <v>28</v>
      </c>
      <c r="I507" s="9">
        <v>10218.69</v>
      </c>
      <c r="J507" s="9">
        <v>10218.69</v>
      </c>
      <c r="K507" s="5" t="str">
        <f>VLOOKUP(D507,[1]Clientes!$A$1:$B$1370,2,0)</f>
        <v>INT0007</v>
      </c>
      <c r="L507" s="5" t="str">
        <f t="shared" si="14"/>
        <v>HGI0125512</v>
      </c>
      <c r="M507" s="5" t="str">
        <f t="shared" si="15"/>
        <v>I</v>
      </c>
      <c r="N507" s="5">
        <f>IF(G507=[1]Clientes!$C$3,[1]Clientes!$D$3,[1]Clientes!$D$2)</f>
        <v>13050101</v>
      </c>
    </row>
    <row r="508" spans="1:14">
      <c r="A508" s="6" t="s">
        <v>7</v>
      </c>
      <c r="B508" s="7">
        <v>45477</v>
      </c>
      <c r="C508" s="6" t="s">
        <v>3616</v>
      </c>
      <c r="D508" s="6" t="s">
        <v>3507</v>
      </c>
      <c r="E508" s="6" t="s">
        <v>16</v>
      </c>
      <c r="F508" s="7">
        <v>45507</v>
      </c>
      <c r="G508" s="6" t="s">
        <v>3478</v>
      </c>
      <c r="H508" s="8">
        <v>28</v>
      </c>
      <c r="I508" s="9">
        <v>3159</v>
      </c>
      <c r="J508" s="9">
        <v>3159</v>
      </c>
      <c r="K508" s="5" t="str">
        <f>VLOOKUP(D508,[1]Clientes!$A$1:$B$1370,2,0)</f>
        <v>INT0007</v>
      </c>
      <c r="L508" s="5" t="str">
        <f t="shared" si="14"/>
        <v>HGI0125513</v>
      </c>
      <c r="M508" s="5" t="str">
        <f t="shared" si="15"/>
        <v>I</v>
      </c>
      <c r="N508" s="5">
        <f>IF(G508=[1]Clientes!$C$3,[1]Clientes!$D$3,[1]Clientes!$D$2)</f>
        <v>13050101</v>
      </c>
    </row>
    <row r="509" spans="1:14">
      <c r="A509" s="6" t="s">
        <v>7</v>
      </c>
      <c r="B509" s="7">
        <v>45482</v>
      </c>
      <c r="C509" s="6" t="s">
        <v>3617</v>
      </c>
      <c r="D509" s="6" t="s">
        <v>3507</v>
      </c>
      <c r="E509" s="6" t="s">
        <v>16</v>
      </c>
      <c r="F509" s="7">
        <v>45512</v>
      </c>
      <c r="G509" s="6" t="s">
        <v>3102</v>
      </c>
      <c r="H509" s="8">
        <v>23</v>
      </c>
      <c r="I509" s="9">
        <v>900.64</v>
      </c>
      <c r="J509" s="9">
        <v>900.64</v>
      </c>
      <c r="K509" s="5" t="str">
        <f>VLOOKUP(D509,[1]Clientes!$A$1:$B$1370,2,0)</f>
        <v>INT0007</v>
      </c>
      <c r="L509" s="5" t="str">
        <f t="shared" si="14"/>
        <v>HGI0125594</v>
      </c>
      <c r="M509" s="5" t="str">
        <f t="shared" si="15"/>
        <v>I</v>
      </c>
      <c r="N509" s="5">
        <f>IF(G509=[1]Clientes!$C$3,[1]Clientes!$D$3,[1]Clientes!$D$2)</f>
        <v>13050505</v>
      </c>
    </row>
    <row r="510" spans="1:14">
      <c r="A510" s="6" t="s">
        <v>7</v>
      </c>
      <c r="B510" s="7">
        <v>45482</v>
      </c>
      <c r="C510" s="6" t="s">
        <v>3618</v>
      </c>
      <c r="D510" s="6" t="s">
        <v>3507</v>
      </c>
      <c r="E510" s="6" t="s">
        <v>16</v>
      </c>
      <c r="F510" s="7">
        <v>45512</v>
      </c>
      <c r="G510" s="6" t="s">
        <v>3102</v>
      </c>
      <c r="H510" s="8">
        <v>23</v>
      </c>
      <c r="I510" s="9">
        <v>26458.21</v>
      </c>
      <c r="J510" s="9">
        <v>26458.21</v>
      </c>
      <c r="K510" s="5" t="str">
        <f>VLOOKUP(D510,[1]Clientes!$A$1:$B$1370,2,0)</f>
        <v>INT0007</v>
      </c>
      <c r="L510" s="5" t="str">
        <f t="shared" si="14"/>
        <v>HGI0125602</v>
      </c>
      <c r="M510" s="5" t="str">
        <f t="shared" si="15"/>
        <v>I</v>
      </c>
      <c r="N510" s="5">
        <f>IF(G510=[1]Clientes!$C$3,[1]Clientes!$D$3,[1]Clientes!$D$2)</f>
        <v>13050505</v>
      </c>
    </row>
    <row r="511" spans="1:14">
      <c r="A511" s="6" t="s">
        <v>7</v>
      </c>
      <c r="B511" s="7">
        <v>45482</v>
      </c>
      <c r="C511" s="6" t="s">
        <v>3619</v>
      </c>
      <c r="D511" s="6" t="s">
        <v>3507</v>
      </c>
      <c r="E511" s="6" t="s">
        <v>16</v>
      </c>
      <c r="F511" s="7">
        <v>45512</v>
      </c>
      <c r="G511" s="6" t="s">
        <v>3102</v>
      </c>
      <c r="H511" s="8">
        <v>23</v>
      </c>
      <c r="I511" s="9">
        <v>50468.12</v>
      </c>
      <c r="J511" s="9">
        <v>50468.12</v>
      </c>
      <c r="K511" s="5" t="str">
        <f>VLOOKUP(D511,[1]Clientes!$A$1:$B$1370,2,0)</f>
        <v>INT0007</v>
      </c>
      <c r="L511" s="5" t="str">
        <f t="shared" si="14"/>
        <v>HGI0125606</v>
      </c>
      <c r="M511" s="5" t="str">
        <f t="shared" si="15"/>
        <v>I</v>
      </c>
      <c r="N511" s="5">
        <f>IF(G511=[1]Clientes!$C$3,[1]Clientes!$D$3,[1]Clientes!$D$2)</f>
        <v>13050505</v>
      </c>
    </row>
    <row r="512" spans="1:14">
      <c r="A512" s="6" t="s">
        <v>7</v>
      </c>
      <c r="B512" s="7">
        <v>45482</v>
      </c>
      <c r="C512" s="6" t="s">
        <v>3620</v>
      </c>
      <c r="D512" s="6" t="s">
        <v>3507</v>
      </c>
      <c r="E512" s="6" t="s">
        <v>16</v>
      </c>
      <c r="F512" s="7">
        <v>45512</v>
      </c>
      <c r="G512" s="6" t="s">
        <v>3102</v>
      </c>
      <c r="H512" s="8">
        <v>23</v>
      </c>
      <c r="I512" s="9">
        <v>53942</v>
      </c>
      <c r="J512" s="9">
        <v>53942</v>
      </c>
      <c r="K512" s="5" t="str">
        <f>VLOOKUP(D512,[1]Clientes!$A$1:$B$1370,2,0)</f>
        <v>INT0007</v>
      </c>
      <c r="L512" s="5" t="str">
        <f t="shared" si="14"/>
        <v>HGI0125636</v>
      </c>
      <c r="M512" s="5" t="str">
        <f t="shared" si="15"/>
        <v>I</v>
      </c>
      <c r="N512" s="5">
        <f>IF(G512=[1]Clientes!$C$3,[1]Clientes!$D$3,[1]Clientes!$D$2)</f>
        <v>13050505</v>
      </c>
    </row>
    <row r="513" spans="1:14">
      <c r="A513" s="6" t="s">
        <v>7</v>
      </c>
      <c r="B513" s="7">
        <v>45490</v>
      </c>
      <c r="C513" s="6" t="s">
        <v>3621</v>
      </c>
      <c r="D513" s="6" t="s">
        <v>3507</v>
      </c>
      <c r="E513" s="6" t="s">
        <v>16</v>
      </c>
      <c r="F513" s="7">
        <v>45520</v>
      </c>
      <c r="G513" s="6" t="s">
        <v>3102</v>
      </c>
      <c r="H513" s="8">
        <v>15</v>
      </c>
      <c r="I513" s="9">
        <v>20090.27</v>
      </c>
      <c r="J513" s="9">
        <v>20090.27</v>
      </c>
      <c r="K513" s="5" t="str">
        <f>VLOOKUP(D513,[1]Clientes!$A$1:$B$1370,2,0)</f>
        <v>INT0007</v>
      </c>
      <c r="L513" s="5" t="str">
        <f t="shared" si="14"/>
        <v>HGI0125757</v>
      </c>
      <c r="M513" s="5" t="str">
        <f t="shared" si="15"/>
        <v>I</v>
      </c>
      <c r="N513" s="5">
        <f>IF(G513=[1]Clientes!$C$3,[1]Clientes!$D$3,[1]Clientes!$D$2)</f>
        <v>13050505</v>
      </c>
    </row>
    <row r="514" spans="1:14">
      <c r="A514" s="6" t="s">
        <v>7</v>
      </c>
      <c r="B514" s="7">
        <v>45490</v>
      </c>
      <c r="C514" s="6" t="s">
        <v>3622</v>
      </c>
      <c r="D514" s="6" t="s">
        <v>3507</v>
      </c>
      <c r="E514" s="6" t="s">
        <v>16</v>
      </c>
      <c r="F514" s="7">
        <v>45520</v>
      </c>
      <c r="G514" s="6" t="s">
        <v>3102</v>
      </c>
      <c r="H514" s="8">
        <v>15</v>
      </c>
      <c r="I514" s="9">
        <v>21200.880000000001</v>
      </c>
      <c r="J514" s="9">
        <v>21200.880000000001</v>
      </c>
      <c r="K514" s="5" t="str">
        <f>VLOOKUP(D514,[1]Clientes!$A$1:$B$1370,2,0)</f>
        <v>INT0007</v>
      </c>
      <c r="L514" s="5" t="str">
        <f t="shared" si="14"/>
        <v>HGI0125758</v>
      </c>
      <c r="M514" s="5" t="str">
        <f t="shared" si="15"/>
        <v>I</v>
      </c>
      <c r="N514" s="5">
        <f>IF(G514=[1]Clientes!$C$3,[1]Clientes!$D$3,[1]Clientes!$D$2)</f>
        <v>13050505</v>
      </c>
    </row>
    <row r="515" spans="1:14">
      <c r="A515" s="6" t="s">
        <v>7</v>
      </c>
      <c r="B515" s="7">
        <v>45490</v>
      </c>
      <c r="C515" s="6" t="s">
        <v>3623</v>
      </c>
      <c r="D515" s="6" t="s">
        <v>3507</v>
      </c>
      <c r="E515" s="6" t="s">
        <v>16</v>
      </c>
      <c r="F515" s="7">
        <v>45520</v>
      </c>
      <c r="G515" s="6" t="s">
        <v>3102</v>
      </c>
      <c r="H515" s="8">
        <v>15</v>
      </c>
      <c r="I515" s="9">
        <v>20220.16</v>
      </c>
      <c r="J515" s="9">
        <v>20220.16</v>
      </c>
      <c r="K515" s="5" t="str">
        <f>VLOOKUP(D515,[1]Clientes!$A$1:$B$1370,2,0)</f>
        <v>INT0007</v>
      </c>
      <c r="L515" s="5" t="str">
        <f t="shared" ref="L515:L578" si="16">IF(A515="Invoice",
    IF(LEFT(C515,5)="TGDR-", "TGDR"&amp;RIGHT(C515,LEN(C515)-5), "HGI"&amp;C515),
    IF(A515="Credit Memo",
        IF(LEFT(C515,5)="TGDR-", "CRM"&amp;RIGHT(C515,LEN(C515)-5), "CRM"&amp;C515),
        "Revisar")
)</f>
        <v>HGI0125759</v>
      </c>
      <c r="M515" s="5" t="str">
        <f t="shared" ref="M515:M578" si="17">IF(A515="Invoice","I",IF(A515="Credit Memo","C",IF(A515="Payment","P","GJ")))</f>
        <v>I</v>
      </c>
      <c r="N515" s="5">
        <f>IF(G515=[1]Clientes!$C$3,[1]Clientes!$D$3,[1]Clientes!$D$2)</f>
        <v>13050505</v>
      </c>
    </row>
    <row r="516" spans="1:14">
      <c r="A516" s="6" t="s">
        <v>7</v>
      </c>
      <c r="B516" s="7">
        <v>45495</v>
      </c>
      <c r="C516" s="6" t="s">
        <v>3624</v>
      </c>
      <c r="D516" s="6" t="s">
        <v>3507</v>
      </c>
      <c r="E516" s="6" t="s">
        <v>16</v>
      </c>
      <c r="F516" s="7">
        <v>45525</v>
      </c>
      <c r="G516" s="6" t="s">
        <v>3102</v>
      </c>
      <c r="H516" s="8">
        <v>10</v>
      </c>
      <c r="I516" s="9">
        <v>1604.51</v>
      </c>
      <c r="J516" s="9">
        <v>1604.51</v>
      </c>
      <c r="K516" s="5" t="str">
        <f>VLOOKUP(D516,[1]Clientes!$A$1:$B$1370,2,0)</f>
        <v>INT0007</v>
      </c>
      <c r="L516" s="5" t="str">
        <f t="shared" si="16"/>
        <v>HGI0125874</v>
      </c>
      <c r="M516" s="5" t="str">
        <f t="shared" si="17"/>
        <v>I</v>
      </c>
      <c r="N516" s="5">
        <f>IF(G516=[1]Clientes!$C$3,[1]Clientes!$D$3,[1]Clientes!$D$2)</f>
        <v>13050505</v>
      </c>
    </row>
    <row r="517" spans="1:14">
      <c r="A517" s="6" t="s">
        <v>7</v>
      </c>
      <c r="B517" s="7">
        <v>45496</v>
      </c>
      <c r="C517" s="6" t="s">
        <v>3625</v>
      </c>
      <c r="D517" s="6" t="s">
        <v>3507</v>
      </c>
      <c r="E517" s="6" t="s">
        <v>16</v>
      </c>
      <c r="F517" s="7">
        <v>45526</v>
      </c>
      <c r="G517" s="6" t="s">
        <v>3478</v>
      </c>
      <c r="H517" s="8">
        <v>9</v>
      </c>
      <c r="I517" s="9">
        <v>6617</v>
      </c>
      <c r="J517" s="9">
        <v>6617</v>
      </c>
      <c r="K517" s="5" t="str">
        <f>VLOOKUP(D517,[1]Clientes!$A$1:$B$1370,2,0)</f>
        <v>INT0007</v>
      </c>
      <c r="L517" s="5" t="str">
        <f t="shared" si="16"/>
        <v>TGDR202705</v>
      </c>
      <c r="M517" s="5" t="str">
        <f t="shared" si="17"/>
        <v>I</v>
      </c>
      <c r="N517" s="5">
        <f>IF(G517=[1]Clientes!$C$3,[1]Clientes!$D$3,[1]Clientes!$D$2)</f>
        <v>13050101</v>
      </c>
    </row>
    <row r="518" spans="1:14">
      <c r="A518" s="6" t="s">
        <v>7</v>
      </c>
      <c r="B518" s="7">
        <v>45497</v>
      </c>
      <c r="C518" s="6" t="s">
        <v>3626</v>
      </c>
      <c r="D518" s="6" t="s">
        <v>3507</v>
      </c>
      <c r="E518" s="6" t="s">
        <v>16</v>
      </c>
      <c r="F518" s="7">
        <v>45527</v>
      </c>
      <c r="G518" s="6" t="s">
        <v>3102</v>
      </c>
      <c r="H518" s="8">
        <v>8</v>
      </c>
      <c r="I518" s="9">
        <v>96186.240000000005</v>
      </c>
      <c r="J518" s="9">
        <v>96186.240000000005</v>
      </c>
      <c r="K518" s="5" t="str">
        <f>VLOOKUP(D518,[1]Clientes!$A$1:$B$1370,2,0)</f>
        <v>INT0007</v>
      </c>
      <c r="L518" s="5" t="str">
        <f t="shared" si="16"/>
        <v>HGI0125899</v>
      </c>
      <c r="M518" s="5" t="str">
        <f t="shared" si="17"/>
        <v>I</v>
      </c>
      <c r="N518" s="5">
        <f>IF(G518=[1]Clientes!$C$3,[1]Clientes!$D$3,[1]Clientes!$D$2)</f>
        <v>13050505</v>
      </c>
    </row>
    <row r="519" spans="1:14">
      <c r="A519" s="6" t="s">
        <v>7</v>
      </c>
      <c r="B519" s="7">
        <v>45499</v>
      </c>
      <c r="C519" s="6" t="s">
        <v>3627</v>
      </c>
      <c r="D519" s="6" t="s">
        <v>3507</v>
      </c>
      <c r="E519" s="6" t="s">
        <v>16</v>
      </c>
      <c r="F519" s="7">
        <v>45529</v>
      </c>
      <c r="G519" s="6" t="s">
        <v>3102</v>
      </c>
      <c r="H519" s="8">
        <v>6</v>
      </c>
      <c r="I519" s="9">
        <v>29876.82</v>
      </c>
      <c r="J519" s="9">
        <v>29876.82</v>
      </c>
      <c r="K519" s="5" t="str">
        <f>VLOOKUP(D519,[1]Clientes!$A$1:$B$1370,2,0)</f>
        <v>INT0007</v>
      </c>
      <c r="L519" s="5" t="str">
        <f t="shared" si="16"/>
        <v>HGI0125981</v>
      </c>
      <c r="M519" s="5" t="str">
        <f t="shared" si="17"/>
        <v>I</v>
      </c>
      <c r="N519" s="5">
        <f>IF(G519=[1]Clientes!$C$3,[1]Clientes!$D$3,[1]Clientes!$D$2)</f>
        <v>13050505</v>
      </c>
    </row>
    <row r="520" spans="1:14">
      <c r="A520" s="6" t="s">
        <v>7</v>
      </c>
      <c r="B520" s="7">
        <v>45440</v>
      </c>
      <c r="C520" s="6" t="s">
        <v>3628</v>
      </c>
      <c r="D520" s="6" t="s">
        <v>3507</v>
      </c>
      <c r="E520" s="6" t="s">
        <v>1216</v>
      </c>
      <c r="F520" s="7">
        <v>45530</v>
      </c>
      <c r="G520" s="6" t="s">
        <v>3478</v>
      </c>
      <c r="H520" s="8">
        <v>5</v>
      </c>
      <c r="I520" s="9">
        <v>7187.39</v>
      </c>
      <c r="J520" s="9">
        <v>7187.39</v>
      </c>
      <c r="K520" s="5" t="str">
        <f>VLOOKUP(D520,[1]Clientes!$A$1:$B$1370,2,0)</f>
        <v>INT0007</v>
      </c>
      <c r="L520" s="5" t="str">
        <f t="shared" si="16"/>
        <v>TGDR202672</v>
      </c>
      <c r="M520" s="5" t="str">
        <f t="shared" si="17"/>
        <v>I</v>
      </c>
      <c r="N520" s="5">
        <f>IF(G520=[1]Clientes!$C$3,[1]Clientes!$D$3,[1]Clientes!$D$2)</f>
        <v>13050101</v>
      </c>
    </row>
    <row r="521" spans="1:14">
      <c r="A521" s="6" t="s">
        <v>7</v>
      </c>
      <c r="B521" s="7">
        <v>45502</v>
      </c>
      <c r="C521" s="6" t="s">
        <v>3629</v>
      </c>
      <c r="D521" s="6" t="s">
        <v>3507</v>
      </c>
      <c r="E521" s="6" t="s">
        <v>16</v>
      </c>
      <c r="F521" s="7">
        <v>45532</v>
      </c>
      <c r="G521" s="6" t="s">
        <v>3102</v>
      </c>
      <c r="H521" s="8">
        <v>3</v>
      </c>
      <c r="I521" s="9">
        <v>169.77</v>
      </c>
      <c r="J521" s="9">
        <v>169.77</v>
      </c>
      <c r="K521" s="5" t="str">
        <f>VLOOKUP(D521,[1]Clientes!$A$1:$B$1370,2,0)</f>
        <v>INT0007</v>
      </c>
      <c r="L521" s="5" t="str">
        <f t="shared" si="16"/>
        <v>HGI0125988</v>
      </c>
      <c r="M521" s="5" t="str">
        <f t="shared" si="17"/>
        <v>I</v>
      </c>
      <c r="N521" s="5">
        <f>IF(G521=[1]Clientes!$C$3,[1]Clientes!$D$3,[1]Clientes!$D$2)</f>
        <v>13050505</v>
      </c>
    </row>
    <row r="522" spans="1:14">
      <c r="A522" s="6" t="s">
        <v>7</v>
      </c>
      <c r="B522" s="7">
        <v>45504</v>
      </c>
      <c r="C522" s="6" t="s">
        <v>3630</v>
      </c>
      <c r="D522" s="6" t="s">
        <v>3507</v>
      </c>
      <c r="E522" s="6" t="s">
        <v>16</v>
      </c>
      <c r="F522" s="7">
        <v>45534</v>
      </c>
      <c r="G522" s="6" t="s">
        <v>3478</v>
      </c>
      <c r="H522" s="8">
        <v>1</v>
      </c>
      <c r="I522" s="9">
        <v>9024.49</v>
      </c>
      <c r="J522" s="9">
        <v>9024.49</v>
      </c>
      <c r="K522" s="5" t="str">
        <f>VLOOKUP(D522,[1]Clientes!$A$1:$B$1370,2,0)</f>
        <v>INT0007</v>
      </c>
      <c r="L522" s="5" t="str">
        <f t="shared" si="16"/>
        <v>TGDR202712</v>
      </c>
      <c r="M522" s="5" t="str">
        <f t="shared" si="17"/>
        <v>I</v>
      </c>
      <c r="N522" s="5">
        <f>IF(G522=[1]Clientes!$C$3,[1]Clientes!$D$3,[1]Clientes!$D$2)</f>
        <v>13050101</v>
      </c>
    </row>
    <row r="523" spans="1:14">
      <c r="A523" s="6" t="s">
        <v>7</v>
      </c>
      <c r="B523" s="7">
        <v>45504</v>
      </c>
      <c r="C523" s="6" t="s">
        <v>3631</v>
      </c>
      <c r="D523" s="6" t="s">
        <v>3507</v>
      </c>
      <c r="E523" s="6" t="s">
        <v>16</v>
      </c>
      <c r="F523" s="7">
        <v>45534</v>
      </c>
      <c r="G523" s="6" t="s">
        <v>3478</v>
      </c>
      <c r="H523" s="8">
        <v>1</v>
      </c>
      <c r="I523" s="9">
        <v>3000</v>
      </c>
      <c r="J523" s="9">
        <v>3000</v>
      </c>
      <c r="K523" s="5" t="str">
        <f>VLOOKUP(D523,[1]Clientes!$A$1:$B$1370,2,0)</f>
        <v>INT0007</v>
      </c>
      <c r="L523" s="5" t="str">
        <f t="shared" si="16"/>
        <v>TGDR202713</v>
      </c>
      <c r="M523" s="5" t="str">
        <f t="shared" si="17"/>
        <v>I</v>
      </c>
      <c r="N523" s="5">
        <f>IF(G523=[1]Clientes!$C$3,[1]Clientes!$D$3,[1]Clientes!$D$2)</f>
        <v>13050101</v>
      </c>
    </row>
    <row r="524" spans="1:14">
      <c r="A524" s="6" t="s">
        <v>7</v>
      </c>
      <c r="B524" s="7">
        <v>45504</v>
      </c>
      <c r="C524" s="6" t="s">
        <v>3632</v>
      </c>
      <c r="D524" s="6" t="s">
        <v>3507</v>
      </c>
      <c r="E524" s="6" t="s">
        <v>16</v>
      </c>
      <c r="F524" s="7">
        <v>45534</v>
      </c>
      <c r="G524" s="6" t="s">
        <v>3478</v>
      </c>
      <c r="H524" s="8">
        <v>1</v>
      </c>
      <c r="I524" s="9">
        <v>443.22</v>
      </c>
      <c r="J524" s="9">
        <v>443.22</v>
      </c>
      <c r="K524" s="5" t="str">
        <f>VLOOKUP(D524,[1]Clientes!$A$1:$B$1370,2,0)</f>
        <v>INT0007</v>
      </c>
      <c r="L524" s="5" t="str">
        <f t="shared" si="16"/>
        <v>TGDR202721</v>
      </c>
      <c r="M524" s="5" t="str">
        <f t="shared" si="17"/>
        <v>I</v>
      </c>
      <c r="N524" s="5">
        <f>IF(G524=[1]Clientes!$C$3,[1]Clientes!$D$3,[1]Clientes!$D$2)</f>
        <v>13050101</v>
      </c>
    </row>
    <row r="525" spans="1:14">
      <c r="A525" s="6" t="s">
        <v>7</v>
      </c>
      <c r="B525" s="7">
        <v>45504</v>
      </c>
      <c r="C525" s="6" t="s">
        <v>3633</v>
      </c>
      <c r="D525" s="6" t="s">
        <v>3507</v>
      </c>
      <c r="E525" s="6" t="s">
        <v>16</v>
      </c>
      <c r="F525" s="7">
        <v>45534</v>
      </c>
      <c r="G525" s="6" t="s">
        <v>3478</v>
      </c>
      <c r="H525" s="8">
        <v>1</v>
      </c>
      <c r="I525" s="9">
        <v>138695</v>
      </c>
      <c r="J525" s="9">
        <v>138695</v>
      </c>
      <c r="K525" s="5" t="str">
        <f>VLOOKUP(D525,[1]Clientes!$A$1:$B$1370,2,0)</f>
        <v>INT0007</v>
      </c>
      <c r="L525" s="5" t="str">
        <f t="shared" si="16"/>
        <v>TGDR202725</v>
      </c>
      <c r="M525" s="5" t="str">
        <f t="shared" si="17"/>
        <v>I</v>
      </c>
      <c r="N525" s="5">
        <f>IF(G525=[1]Clientes!$C$3,[1]Clientes!$D$3,[1]Clientes!$D$2)</f>
        <v>13050101</v>
      </c>
    </row>
    <row r="526" spans="1:14">
      <c r="A526" s="6" t="s">
        <v>7</v>
      </c>
      <c r="B526" s="7">
        <v>45504</v>
      </c>
      <c r="C526" s="6" t="s">
        <v>3634</v>
      </c>
      <c r="D526" s="6" t="s">
        <v>3507</v>
      </c>
      <c r="E526" s="6" t="s">
        <v>16</v>
      </c>
      <c r="F526" s="7">
        <v>45534</v>
      </c>
      <c r="G526" s="6" t="s">
        <v>3478</v>
      </c>
      <c r="H526" s="8">
        <v>1</v>
      </c>
      <c r="I526" s="9">
        <v>346.67</v>
      </c>
      <c r="J526" s="9">
        <v>346.67</v>
      </c>
      <c r="K526" s="5" t="str">
        <f>VLOOKUP(D526,[1]Clientes!$A$1:$B$1370,2,0)</f>
        <v>INT0007</v>
      </c>
      <c r="L526" s="5" t="str">
        <f t="shared" si="16"/>
        <v>TGDR202726</v>
      </c>
      <c r="M526" s="5" t="str">
        <f t="shared" si="17"/>
        <v>I</v>
      </c>
      <c r="N526" s="5">
        <f>IF(G526=[1]Clientes!$C$3,[1]Clientes!$D$3,[1]Clientes!$D$2)</f>
        <v>13050101</v>
      </c>
    </row>
    <row r="527" spans="1:14">
      <c r="A527" s="6" t="s">
        <v>7</v>
      </c>
      <c r="B527" s="7">
        <v>45505</v>
      </c>
      <c r="C527" s="6" t="s">
        <v>3635</v>
      </c>
      <c r="D527" s="6" t="s">
        <v>3507</v>
      </c>
      <c r="E527" s="6" t="s">
        <v>16</v>
      </c>
      <c r="F527" s="7">
        <v>45535</v>
      </c>
      <c r="G527" s="6" t="s">
        <v>3102</v>
      </c>
      <c r="H527" s="8"/>
      <c r="I527" s="9">
        <v>29543.65</v>
      </c>
      <c r="J527" s="9">
        <v>29543.65</v>
      </c>
      <c r="K527" s="5" t="str">
        <f>VLOOKUP(D527,[1]Clientes!$A$1:$B$1370,2,0)</f>
        <v>INT0007</v>
      </c>
      <c r="L527" s="5" t="str">
        <f t="shared" si="16"/>
        <v>HGI0126145</v>
      </c>
      <c r="M527" s="5" t="str">
        <f t="shared" si="17"/>
        <v>I</v>
      </c>
      <c r="N527" s="5">
        <f>IF(G527=[1]Clientes!$C$3,[1]Clientes!$D$3,[1]Clientes!$D$2)</f>
        <v>13050505</v>
      </c>
    </row>
    <row r="528" spans="1:14">
      <c r="A528" s="6" t="s">
        <v>7</v>
      </c>
      <c r="B528" s="7">
        <v>45505</v>
      </c>
      <c r="C528" s="6" t="s">
        <v>3636</v>
      </c>
      <c r="D528" s="6" t="s">
        <v>3507</v>
      </c>
      <c r="E528" s="6" t="s">
        <v>16</v>
      </c>
      <c r="F528" s="7">
        <v>45535</v>
      </c>
      <c r="G528" s="6" t="s">
        <v>3102</v>
      </c>
      <c r="H528" s="8"/>
      <c r="I528" s="9">
        <v>29626.63</v>
      </c>
      <c r="J528" s="9">
        <v>29626.63</v>
      </c>
      <c r="K528" s="5" t="str">
        <f>VLOOKUP(D528,[1]Clientes!$A$1:$B$1370,2,0)</f>
        <v>INT0007</v>
      </c>
      <c r="L528" s="5" t="str">
        <f t="shared" si="16"/>
        <v>HGI0126146</v>
      </c>
      <c r="M528" s="5" t="str">
        <f t="shared" si="17"/>
        <v>I</v>
      </c>
      <c r="N528" s="5">
        <f>IF(G528=[1]Clientes!$C$3,[1]Clientes!$D$3,[1]Clientes!$D$2)</f>
        <v>13050505</v>
      </c>
    </row>
    <row r="529" spans="1:14">
      <c r="A529" s="6" t="s">
        <v>7</v>
      </c>
      <c r="B529" s="7">
        <v>45516</v>
      </c>
      <c r="C529" s="6" t="s">
        <v>3637</v>
      </c>
      <c r="D529" s="6" t="s">
        <v>3507</v>
      </c>
      <c r="E529" s="6" t="s">
        <v>16</v>
      </c>
      <c r="F529" s="7">
        <v>45546</v>
      </c>
      <c r="G529" s="6" t="s">
        <v>3478</v>
      </c>
      <c r="H529" s="8"/>
      <c r="I529" s="9">
        <v>6617</v>
      </c>
      <c r="J529" s="9">
        <v>6617</v>
      </c>
      <c r="K529" s="5" t="str">
        <f>VLOOKUP(D529,[1]Clientes!$A$1:$B$1370,2,0)</f>
        <v>INT0007</v>
      </c>
      <c r="L529" s="5" t="str">
        <f t="shared" si="16"/>
        <v>TGDR202728</v>
      </c>
      <c r="M529" s="5" t="str">
        <f t="shared" si="17"/>
        <v>I</v>
      </c>
      <c r="N529" s="5">
        <f>IF(G529=[1]Clientes!$C$3,[1]Clientes!$D$3,[1]Clientes!$D$2)</f>
        <v>13050101</v>
      </c>
    </row>
    <row r="530" spans="1:14">
      <c r="A530" s="6" t="s">
        <v>7</v>
      </c>
      <c r="B530" s="7">
        <v>45516</v>
      </c>
      <c r="C530" s="6" t="s">
        <v>3638</v>
      </c>
      <c r="D530" s="6" t="s">
        <v>3507</v>
      </c>
      <c r="E530" s="6" t="s">
        <v>16</v>
      </c>
      <c r="F530" s="7">
        <v>45546</v>
      </c>
      <c r="G530" s="6" t="s">
        <v>3102</v>
      </c>
      <c r="H530" s="8"/>
      <c r="I530" s="9">
        <v>2300</v>
      </c>
      <c r="J530" s="9">
        <v>2300</v>
      </c>
      <c r="K530" s="5" t="str">
        <f>VLOOKUP(D530,[1]Clientes!$A$1:$B$1370,2,0)</f>
        <v>INT0007</v>
      </c>
      <c r="L530" s="5" t="str">
        <f t="shared" si="16"/>
        <v>HGI0126366</v>
      </c>
      <c r="M530" s="5" t="str">
        <f t="shared" si="17"/>
        <v>I</v>
      </c>
      <c r="N530" s="5">
        <f>IF(G530=[1]Clientes!$C$3,[1]Clientes!$D$3,[1]Clientes!$D$2)</f>
        <v>13050505</v>
      </c>
    </row>
    <row r="531" spans="1:14">
      <c r="A531" s="6" t="s">
        <v>7</v>
      </c>
      <c r="B531" s="7">
        <v>45516</v>
      </c>
      <c r="C531" s="6" t="s">
        <v>3639</v>
      </c>
      <c r="D531" s="6" t="s">
        <v>3507</v>
      </c>
      <c r="E531" s="6" t="s">
        <v>16</v>
      </c>
      <c r="F531" s="7">
        <v>45546</v>
      </c>
      <c r="G531" s="6" t="s">
        <v>3102</v>
      </c>
      <c r="H531" s="8"/>
      <c r="I531" s="9">
        <v>42991.83</v>
      </c>
      <c r="J531" s="9">
        <v>42991.83</v>
      </c>
      <c r="K531" s="5" t="str">
        <f>VLOOKUP(D531,[1]Clientes!$A$1:$B$1370,2,0)</f>
        <v>INT0007</v>
      </c>
      <c r="L531" s="5" t="str">
        <f t="shared" si="16"/>
        <v>HGI0126367</v>
      </c>
      <c r="M531" s="5" t="str">
        <f t="shared" si="17"/>
        <v>I</v>
      </c>
      <c r="N531" s="5">
        <f>IF(G531=[1]Clientes!$C$3,[1]Clientes!$D$3,[1]Clientes!$D$2)</f>
        <v>13050505</v>
      </c>
    </row>
    <row r="532" spans="1:14">
      <c r="A532" s="6" t="s">
        <v>7</v>
      </c>
      <c r="B532" s="7">
        <v>45516</v>
      </c>
      <c r="C532" s="6" t="s">
        <v>3640</v>
      </c>
      <c r="D532" s="6" t="s">
        <v>3507</v>
      </c>
      <c r="E532" s="6" t="s">
        <v>16</v>
      </c>
      <c r="F532" s="7">
        <v>45546</v>
      </c>
      <c r="G532" s="6" t="s">
        <v>3102</v>
      </c>
      <c r="H532" s="8"/>
      <c r="I532" s="9">
        <v>5589</v>
      </c>
      <c r="J532" s="9">
        <v>5589</v>
      </c>
      <c r="K532" s="5" t="str">
        <f>VLOOKUP(D532,[1]Clientes!$A$1:$B$1370,2,0)</f>
        <v>INT0007</v>
      </c>
      <c r="L532" s="5" t="str">
        <f t="shared" si="16"/>
        <v>HGI0126368</v>
      </c>
      <c r="M532" s="5" t="str">
        <f t="shared" si="17"/>
        <v>I</v>
      </c>
      <c r="N532" s="5">
        <f>IF(G532=[1]Clientes!$C$3,[1]Clientes!$D$3,[1]Clientes!$D$2)</f>
        <v>13050505</v>
      </c>
    </row>
    <row r="533" spans="1:14">
      <c r="A533" s="6" t="s">
        <v>7</v>
      </c>
      <c r="B533" s="7">
        <v>45516</v>
      </c>
      <c r="C533" s="6" t="s">
        <v>3641</v>
      </c>
      <c r="D533" s="6" t="s">
        <v>3507</v>
      </c>
      <c r="E533" s="6" t="s">
        <v>16</v>
      </c>
      <c r="F533" s="7">
        <v>45546</v>
      </c>
      <c r="G533" s="6" t="s">
        <v>3102</v>
      </c>
      <c r="H533" s="8"/>
      <c r="I533" s="9">
        <v>2479.02</v>
      </c>
      <c r="J533" s="9">
        <v>2479.02</v>
      </c>
      <c r="K533" s="5" t="str">
        <f>VLOOKUP(D533,[1]Clientes!$A$1:$B$1370,2,0)</f>
        <v>INT0007</v>
      </c>
      <c r="L533" s="5" t="str">
        <f t="shared" si="16"/>
        <v>HGI0126369</v>
      </c>
      <c r="M533" s="5" t="str">
        <f t="shared" si="17"/>
        <v>I</v>
      </c>
      <c r="N533" s="5">
        <f>IF(G533=[1]Clientes!$C$3,[1]Clientes!$D$3,[1]Clientes!$D$2)</f>
        <v>13050505</v>
      </c>
    </row>
    <row r="534" spans="1:14">
      <c r="A534" s="6" t="s">
        <v>7</v>
      </c>
      <c r="B534" s="7">
        <v>45518</v>
      </c>
      <c r="C534" s="6" t="s">
        <v>3642</v>
      </c>
      <c r="D534" s="6" t="s">
        <v>3507</v>
      </c>
      <c r="E534" s="6" t="s">
        <v>16</v>
      </c>
      <c r="F534" s="7">
        <v>45548</v>
      </c>
      <c r="G534" s="6" t="s">
        <v>3102</v>
      </c>
      <c r="H534" s="8"/>
      <c r="I534" s="9">
        <v>30887.63</v>
      </c>
      <c r="J534" s="9">
        <v>30887.63</v>
      </c>
      <c r="K534" s="5" t="str">
        <f>VLOOKUP(D534,[1]Clientes!$A$1:$B$1370,2,0)</f>
        <v>INT0007</v>
      </c>
      <c r="L534" s="5" t="str">
        <f t="shared" si="16"/>
        <v>HGI0126459</v>
      </c>
      <c r="M534" s="5" t="str">
        <f t="shared" si="17"/>
        <v>I</v>
      </c>
      <c r="N534" s="5">
        <f>IF(G534=[1]Clientes!$C$3,[1]Clientes!$D$3,[1]Clientes!$D$2)</f>
        <v>13050505</v>
      </c>
    </row>
    <row r="535" spans="1:14">
      <c r="A535" s="6" t="s">
        <v>7</v>
      </c>
      <c r="B535" s="7">
        <v>45518</v>
      </c>
      <c r="C535" s="6" t="s">
        <v>3643</v>
      </c>
      <c r="D535" s="6" t="s">
        <v>3507</v>
      </c>
      <c r="E535" s="6" t="s">
        <v>16</v>
      </c>
      <c r="F535" s="7">
        <v>45548</v>
      </c>
      <c r="G535" s="6" t="s">
        <v>3102</v>
      </c>
      <c r="H535" s="8"/>
      <c r="I535" s="9">
        <v>21550.5</v>
      </c>
      <c r="J535" s="9">
        <v>21550.5</v>
      </c>
      <c r="K535" s="5" t="str">
        <f>VLOOKUP(D535,[1]Clientes!$A$1:$B$1370,2,0)</f>
        <v>INT0007</v>
      </c>
      <c r="L535" s="5" t="str">
        <f t="shared" si="16"/>
        <v>HGI0126460</v>
      </c>
      <c r="M535" s="5" t="str">
        <f t="shared" si="17"/>
        <v>I</v>
      </c>
      <c r="N535" s="5">
        <f>IF(G535=[1]Clientes!$C$3,[1]Clientes!$D$3,[1]Clientes!$D$2)</f>
        <v>13050505</v>
      </c>
    </row>
    <row r="536" spans="1:14">
      <c r="A536" s="6" t="s">
        <v>7</v>
      </c>
      <c r="B536" s="7">
        <v>45518</v>
      </c>
      <c r="C536" s="6" t="s">
        <v>3644</v>
      </c>
      <c r="D536" s="6" t="s">
        <v>3507</v>
      </c>
      <c r="E536" s="6" t="s">
        <v>16</v>
      </c>
      <c r="F536" s="7">
        <v>45548</v>
      </c>
      <c r="G536" s="6" t="s">
        <v>3102</v>
      </c>
      <c r="H536" s="8"/>
      <c r="I536" s="9">
        <v>9091.15</v>
      </c>
      <c r="J536" s="9">
        <v>9091.15</v>
      </c>
      <c r="K536" s="5" t="str">
        <f>VLOOKUP(D536,[1]Clientes!$A$1:$B$1370,2,0)</f>
        <v>INT0007</v>
      </c>
      <c r="L536" s="5" t="str">
        <f t="shared" si="16"/>
        <v>HGI0126488</v>
      </c>
      <c r="M536" s="5" t="str">
        <f t="shared" si="17"/>
        <v>I</v>
      </c>
      <c r="N536" s="5">
        <f>IF(G536=[1]Clientes!$C$3,[1]Clientes!$D$3,[1]Clientes!$D$2)</f>
        <v>13050505</v>
      </c>
    </row>
    <row r="537" spans="1:14">
      <c r="A537" s="6" t="s">
        <v>7</v>
      </c>
      <c r="B537" s="7">
        <v>45518</v>
      </c>
      <c r="C537" s="6" t="s">
        <v>3645</v>
      </c>
      <c r="D537" s="6" t="s">
        <v>3507</v>
      </c>
      <c r="E537" s="6" t="s">
        <v>16</v>
      </c>
      <c r="F537" s="7">
        <v>45548</v>
      </c>
      <c r="G537" s="6" t="s">
        <v>3102</v>
      </c>
      <c r="H537" s="8"/>
      <c r="I537" s="9">
        <v>32078.34</v>
      </c>
      <c r="J537" s="9">
        <v>32078.34</v>
      </c>
      <c r="K537" s="5" t="str">
        <f>VLOOKUP(D537,[1]Clientes!$A$1:$B$1370,2,0)</f>
        <v>INT0007</v>
      </c>
      <c r="L537" s="5" t="str">
        <f t="shared" si="16"/>
        <v>HGI0126561</v>
      </c>
      <c r="M537" s="5" t="str">
        <f t="shared" si="17"/>
        <v>I</v>
      </c>
      <c r="N537" s="5">
        <f>IF(G537=[1]Clientes!$C$3,[1]Clientes!$D$3,[1]Clientes!$D$2)</f>
        <v>13050505</v>
      </c>
    </row>
    <row r="538" spans="1:14">
      <c r="A538" s="6" t="s">
        <v>7</v>
      </c>
      <c r="B538" s="7">
        <v>45519</v>
      </c>
      <c r="C538" s="6" t="s">
        <v>3646</v>
      </c>
      <c r="D538" s="6" t="s">
        <v>3507</v>
      </c>
      <c r="E538" s="6" t="s">
        <v>16</v>
      </c>
      <c r="F538" s="7">
        <v>45549</v>
      </c>
      <c r="G538" s="6" t="s">
        <v>3102</v>
      </c>
      <c r="H538" s="8"/>
      <c r="I538" s="9">
        <v>65123.78</v>
      </c>
      <c r="J538" s="9">
        <v>65123.78</v>
      </c>
      <c r="K538" s="5" t="str">
        <f>VLOOKUP(D538,[1]Clientes!$A$1:$B$1370,2,0)</f>
        <v>INT0007</v>
      </c>
      <c r="L538" s="5" t="str">
        <f t="shared" si="16"/>
        <v>HGI0126548</v>
      </c>
      <c r="M538" s="5" t="str">
        <f t="shared" si="17"/>
        <v>I</v>
      </c>
      <c r="N538" s="5">
        <f>IF(G538=[1]Clientes!$C$3,[1]Clientes!$D$3,[1]Clientes!$D$2)</f>
        <v>13050505</v>
      </c>
    </row>
    <row r="539" spans="1:14">
      <c r="A539" s="6" t="s">
        <v>7</v>
      </c>
      <c r="B539" s="7">
        <v>45520</v>
      </c>
      <c r="C539" s="6" t="s">
        <v>3647</v>
      </c>
      <c r="D539" s="6" t="s">
        <v>3507</v>
      </c>
      <c r="E539" s="6" t="s">
        <v>16</v>
      </c>
      <c r="F539" s="7">
        <v>45550</v>
      </c>
      <c r="G539" s="6" t="s">
        <v>3102</v>
      </c>
      <c r="H539" s="8"/>
      <c r="I539" s="9">
        <v>13600.48</v>
      </c>
      <c r="J539" s="9">
        <v>13600.48</v>
      </c>
      <c r="K539" s="5" t="str">
        <f>VLOOKUP(D539,[1]Clientes!$A$1:$B$1370,2,0)</f>
        <v>INT0007</v>
      </c>
      <c r="L539" s="5" t="str">
        <f t="shared" si="16"/>
        <v>HGI0126571</v>
      </c>
      <c r="M539" s="5" t="str">
        <f t="shared" si="17"/>
        <v>I</v>
      </c>
      <c r="N539" s="5">
        <f>IF(G539=[1]Clientes!$C$3,[1]Clientes!$D$3,[1]Clientes!$D$2)</f>
        <v>13050505</v>
      </c>
    </row>
    <row r="540" spans="1:14">
      <c r="A540" s="6" t="s">
        <v>7</v>
      </c>
      <c r="B540" s="7">
        <v>45520</v>
      </c>
      <c r="C540" s="6" t="s">
        <v>3648</v>
      </c>
      <c r="D540" s="6" t="s">
        <v>3507</v>
      </c>
      <c r="E540" s="6" t="s">
        <v>16</v>
      </c>
      <c r="F540" s="7">
        <v>45550</v>
      </c>
      <c r="G540" s="6" t="s">
        <v>3102</v>
      </c>
      <c r="H540" s="8"/>
      <c r="I540" s="9">
        <v>19135.48</v>
      </c>
      <c r="J540" s="9">
        <v>19135.48</v>
      </c>
      <c r="K540" s="5" t="str">
        <f>VLOOKUP(D540,[1]Clientes!$A$1:$B$1370,2,0)</f>
        <v>INT0007</v>
      </c>
      <c r="L540" s="5" t="str">
        <f t="shared" si="16"/>
        <v>HGI0126572</v>
      </c>
      <c r="M540" s="5" t="str">
        <f t="shared" si="17"/>
        <v>I</v>
      </c>
      <c r="N540" s="5">
        <f>IF(G540=[1]Clientes!$C$3,[1]Clientes!$D$3,[1]Clientes!$D$2)</f>
        <v>13050505</v>
      </c>
    </row>
    <row r="541" spans="1:14">
      <c r="A541" s="6" t="s">
        <v>7</v>
      </c>
      <c r="B541" s="7">
        <v>45524</v>
      </c>
      <c r="C541" s="6" t="s">
        <v>3649</v>
      </c>
      <c r="D541" s="6" t="s">
        <v>3507</v>
      </c>
      <c r="E541" s="6" t="s">
        <v>16</v>
      </c>
      <c r="F541" s="7">
        <v>45554</v>
      </c>
      <c r="G541" s="6" t="s">
        <v>3102</v>
      </c>
      <c r="H541" s="8"/>
      <c r="I541" s="9">
        <v>470</v>
      </c>
      <c r="J541" s="9">
        <v>470</v>
      </c>
      <c r="K541" s="5" t="str">
        <f>VLOOKUP(D541,[1]Clientes!$A$1:$B$1370,2,0)</f>
        <v>INT0007</v>
      </c>
      <c r="L541" s="5" t="str">
        <f t="shared" si="16"/>
        <v>HGI0126709</v>
      </c>
      <c r="M541" s="5" t="str">
        <f t="shared" si="17"/>
        <v>I</v>
      </c>
      <c r="N541" s="5">
        <f>IF(G541=[1]Clientes!$C$3,[1]Clientes!$D$3,[1]Clientes!$D$2)</f>
        <v>13050505</v>
      </c>
    </row>
    <row r="542" spans="1:14">
      <c r="A542" s="6" t="s">
        <v>7</v>
      </c>
      <c r="B542" s="7">
        <v>45525</v>
      </c>
      <c r="C542" s="6" t="s">
        <v>3650</v>
      </c>
      <c r="D542" s="6" t="s">
        <v>3507</v>
      </c>
      <c r="E542" s="6" t="s">
        <v>16</v>
      </c>
      <c r="F542" s="7">
        <v>45555</v>
      </c>
      <c r="G542" s="6" t="s">
        <v>3102</v>
      </c>
      <c r="H542" s="8"/>
      <c r="I542" s="9">
        <v>2447.42</v>
      </c>
      <c r="J542" s="9">
        <v>2447.42</v>
      </c>
      <c r="K542" s="5" t="str">
        <f>VLOOKUP(D542,[1]Clientes!$A$1:$B$1370,2,0)</f>
        <v>INT0007</v>
      </c>
      <c r="L542" s="5" t="str">
        <f t="shared" si="16"/>
        <v>HGI0126710</v>
      </c>
      <c r="M542" s="5" t="str">
        <f t="shared" si="17"/>
        <v>I</v>
      </c>
      <c r="N542" s="5">
        <f>IF(G542=[1]Clientes!$C$3,[1]Clientes!$D$3,[1]Clientes!$D$2)</f>
        <v>13050505</v>
      </c>
    </row>
    <row r="543" spans="1:14">
      <c r="A543" s="6" t="s">
        <v>7</v>
      </c>
      <c r="B543" s="7">
        <v>45526</v>
      </c>
      <c r="C543" s="6" t="s">
        <v>3651</v>
      </c>
      <c r="D543" s="6" t="s">
        <v>3507</v>
      </c>
      <c r="E543" s="6" t="s">
        <v>16</v>
      </c>
      <c r="F543" s="7">
        <v>45556</v>
      </c>
      <c r="G543" s="6" t="s">
        <v>3102</v>
      </c>
      <c r="H543" s="8"/>
      <c r="I543" s="9">
        <v>5066.79</v>
      </c>
      <c r="J543" s="9">
        <v>5066.79</v>
      </c>
      <c r="K543" s="5" t="str">
        <f>VLOOKUP(D543,[1]Clientes!$A$1:$B$1370,2,0)</f>
        <v>INT0007</v>
      </c>
      <c r="L543" s="5" t="str">
        <f t="shared" si="16"/>
        <v>HGI0126779</v>
      </c>
      <c r="M543" s="5" t="str">
        <f t="shared" si="17"/>
        <v>I</v>
      </c>
      <c r="N543" s="5">
        <f>IF(G543=[1]Clientes!$C$3,[1]Clientes!$D$3,[1]Clientes!$D$2)</f>
        <v>13050505</v>
      </c>
    </row>
    <row r="544" spans="1:14">
      <c r="A544" s="6" t="s">
        <v>7</v>
      </c>
      <c r="B544" s="7">
        <v>45526</v>
      </c>
      <c r="C544" s="6" t="s">
        <v>3652</v>
      </c>
      <c r="D544" s="6" t="s">
        <v>3507</v>
      </c>
      <c r="E544" s="6" t="s">
        <v>16</v>
      </c>
      <c r="F544" s="7">
        <v>45556</v>
      </c>
      <c r="G544" s="6" t="s">
        <v>3102</v>
      </c>
      <c r="H544" s="8"/>
      <c r="I544" s="9">
        <v>6481.01</v>
      </c>
      <c r="J544" s="9">
        <v>6481.01</v>
      </c>
      <c r="K544" s="5" t="str">
        <f>VLOOKUP(D544,[1]Clientes!$A$1:$B$1370,2,0)</f>
        <v>INT0007</v>
      </c>
      <c r="L544" s="5" t="str">
        <f t="shared" si="16"/>
        <v>HGI0126781</v>
      </c>
      <c r="M544" s="5" t="str">
        <f t="shared" si="17"/>
        <v>I</v>
      </c>
      <c r="N544" s="5">
        <f>IF(G544=[1]Clientes!$C$3,[1]Clientes!$D$3,[1]Clientes!$D$2)</f>
        <v>13050505</v>
      </c>
    </row>
    <row r="545" spans="1:14">
      <c r="A545" s="6" t="s">
        <v>7</v>
      </c>
      <c r="B545" s="7">
        <v>45526</v>
      </c>
      <c r="C545" s="6" t="s">
        <v>3653</v>
      </c>
      <c r="D545" s="6" t="s">
        <v>3507</v>
      </c>
      <c r="E545" s="6" t="s">
        <v>16</v>
      </c>
      <c r="F545" s="7">
        <v>45556</v>
      </c>
      <c r="G545" s="6" t="s">
        <v>3102</v>
      </c>
      <c r="H545" s="8"/>
      <c r="I545" s="9">
        <v>5990.68</v>
      </c>
      <c r="J545" s="9">
        <v>5990.68</v>
      </c>
      <c r="K545" s="5" t="str">
        <f>VLOOKUP(D545,[1]Clientes!$A$1:$B$1370,2,0)</f>
        <v>INT0007</v>
      </c>
      <c r="L545" s="5" t="str">
        <f t="shared" si="16"/>
        <v>HGI0126782</v>
      </c>
      <c r="M545" s="5" t="str">
        <f t="shared" si="17"/>
        <v>I</v>
      </c>
      <c r="N545" s="5">
        <f>IF(G545=[1]Clientes!$C$3,[1]Clientes!$D$3,[1]Clientes!$D$2)</f>
        <v>13050505</v>
      </c>
    </row>
    <row r="546" spans="1:14">
      <c r="A546" s="6" t="s">
        <v>3099</v>
      </c>
      <c r="B546" s="7">
        <v>45527</v>
      </c>
      <c r="C546" s="6" t="s">
        <v>3654</v>
      </c>
      <c r="D546" s="6" t="s">
        <v>3507</v>
      </c>
      <c r="E546" s="6" t="s">
        <v>16</v>
      </c>
      <c r="F546" s="7">
        <v>45557</v>
      </c>
      <c r="G546" s="6" t="s">
        <v>3102</v>
      </c>
      <c r="H546" s="8"/>
      <c r="I546" s="9">
        <v>-42991.83</v>
      </c>
      <c r="J546" s="9">
        <v>-42991.83</v>
      </c>
      <c r="K546" s="5" t="str">
        <f>VLOOKUP(D546,[1]Clientes!$A$1:$B$1370,2,0)</f>
        <v>INT0007</v>
      </c>
      <c r="L546" s="5" t="str">
        <f t="shared" si="16"/>
        <v>CRM0126789</v>
      </c>
      <c r="M546" s="5" t="str">
        <f t="shared" si="17"/>
        <v>C</v>
      </c>
      <c r="N546" s="5">
        <f>IF(G546=[1]Clientes!$C$3,[1]Clientes!$D$3,[1]Clientes!$D$2)</f>
        <v>13050505</v>
      </c>
    </row>
    <row r="547" spans="1:14">
      <c r="A547" s="6" t="s">
        <v>3099</v>
      </c>
      <c r="B547" s="7">
        <v>45528</v>
      </c>
      <c r="C547" s="6" t="s">
        <v>3655</v>
      </c>
      <c r="D547" s="6" t="s">
        <v>3507</v>
      </c>
      <c r="E547" s="6" t="s">
        <v>16</v>
      </c>
      <c r="F547" s="7">
        <v>45558</v>
      </c>
      <c r="G547" s="6" t="s">
        <v>3102</v>
      </c>
      <c r="H547" s="8"/>
      <c r="I547" s="9">
        <v>-1830.52</v>
      </c>
      <c r="J547" s="9">
        <v>-1830.52</v>
      </c>
      <c r="K547" s="5" t="str">
        <f>VLOOKUP(D547,[1]Clientes!$A$1:$B$1370,2,0)</f>
        <v>INT0007</v>
      </c>
      <c r="L547" s="5" t="str">
        <f t="shared" si="16"/>
        <v>CRM0126830</v>
      </c>
      <c r="M547" s="5" t="str">
        <f t="shared" si="17"/>
        <v>C</v>
      </c>
      <c r="N547" s="5">
        <f>IF(G547=[1]Clientes!$C$3,[1]Clientes!$D$3,[1]Clientes!$D$2)</f>
        <v>13050505</v>
      </c>
    </row>
    <row r="548" spans="1:14">
      <c r="A548" s="6" t="s">
        <v>7</v>
      </c>
      <c r="B548" s="7">
        <v>45469</v>
      </c>
      <c r="C548" s="6" t="s">
        <v>3656</v>
      </c>
      <c r="D548" s="6" t="s">
        <v>3507</v>
      </c>
      <c r="E548" s="6" t="s">
        <v>1216</v>
      </c>
      <c r="F548" s="7">
        <v>45559</v>
      </c>
      <c r="G548" s="6" t="s">
        <v>3478</v>
      </c>
      <c r="H548" s="8"/>
      <c r="I548" s="9">
        <v>2371.84</v>
      </c>
      <c r="J548" s="9">
        <v>7187.39</v>
      </c>
      <c r="K548" s="5" t="str">
        <f>VLOOKUP(D548,[1]Clientes!$A$1:$B$1370,2,0)</f>
        <v>INT0007</v>
      </c>
      <c r="L548" s="5" t="str">
        <f t="shared" si="16"/>
        <v>TGDR202691</v>
      </c>
      <c r="M548" s="5" t="str">
        <f t="shared" si="17"/>
        <v>I</v>
      </c>
      <c r="N548" s="5">
        <f>IF(G548=[1]Clientes!$C$3,[1]Clientes!$D$3,[1]Clientes!$D$2)</f>
        <v>13050101</v>
      </c>
    </row>
    <row r="549" spans="1:14">
      <c r="A549" s="6" t="s">
        <v>7</v>
      </c>
      <c r="B549" s="7">
        <v>45530</v>
      </c>
      <c r="C549" s="6" t="s">
        <v>3657</v>
      </c>
      <c r="D549" s="6" t="s">
        <v>3507</v>
      </c>
      <c r="E549" s="6" t="s">
        <v>16</v>
      </c>
      <c r="F549" s="7">
        <v>45560</v>
      </c>
      <c r="G549" s="6" t="s">
        <v>3102</v>
      </c>
      <c r="H549" s="8"/>
      <c r="I549" s="9">
        <v>13120.96</v>
      </c>
      <c r="J549" s="9">
        <v>13120.96</v>
      </c>
      <c r="K549" s="5" t="str">
        <f>VLOOKUP(D549,[1]Clientes!$A$1:$B$1370,2,0)</f>
        <v>INT0007</v>
      </c>
      <c r="L549" s="5" t="str">
        <f t="shared" si="16"/>
        <v>HGI0126881</v>
      </c>
      <c r="M549" s="5" t="str">
        <f t="shared" si="17"/>
        <v>I</v>
      </c>
      <c r="N549" s="5">
        <f>IF(G549=[1]Clientes!$C$3,[1]Clientes!$D$3,[1]Clientes!$D$2)</f>
        <v>13050505</v>
      </c>
    </row>
    <row r="550" spans="1:14">
      <c r="A550" s="6" t="s">
        <v>7</v>
      </c>
      <c r="B550" s="7">
        <v>45531</v>
      </c>
      <c r="C550" s="6" t="s">
        <v>3658</v>
      </c>
      <c r="D550" s="6" t="s">
        <v>3507</v>
      </c>
      <c r="E550" s="6" t="s">
        <v>16</v>
      </c>
      <c r="F550" s="7">
        <v>45561</v>
      </c>
      <c r="G550" s="6" t="s">
        <v>3478</v>
      </c>
      <c r="H550" s="8"/>
      <c r="I550" s="9">
        <v>9812.69</v>
      </c>
      <c r="J550" s="9">
        <v>9812.69</v>
      </c>
      <c r="K550" s="5" t="str">
        <f>VLOOKUP(D550,[1]Clientes!$A$1:$B$1370,2,0)</f>
        <v>INT0007</v>
      </c>
      <c r="L550" s="5" t="str">
        <f t="shared" si="16"/>
        <v>TGDR202734</v>
      </c>
      <c r="M550" s="5" t="str">
        <f t="shared" si="17"/>
        <v>I</v>
      </c>
      <c r="N550" s="5">
        <f>IF(G550=[1]Clientes!$C$3,[1]Clientes!$D$3,[1]Clientes!$D$2)</f>
        <v>13050101</v>
      </c>
    </row>
    <row r="551" spans="1:14">
      <c r="A551" s="6" t="s">
        <v>7</v>
      </c>
      <c r="B551" s="7">
        <v>45498</v>
      </c>
      <c r="C551" s="6" t="s">
        <v>3659</v>
      </c>
      <c r="D551" s="6" t="s">
        <v>3507</v>
      </c>
      <c r="E551" s="6" t="s">
        <v>1216</v>
      </c>
      <c r="F551" s="7">
        <v>45588</v>
      </c>
      <c r="G551" s="6" t="s">
        <v>3478</v>
      </c>
      <c r="H551" s="8"/>
      <c r="I551" s="9">
        <v>7187.39</v>
      </c>
      <c r="J551" s="9">
        <v>7187.39</v>
      </c>
      <c r="K551" s="5" t="str">
        <f>VLOOKUP(D551,[1]Clientes!$A$1:$B$1370,2,0)</f>
        <v>INT0007</v>
      </c>
      <c r="L551" s="5" t="str">
        <f t="shared" si="16"/>
        <v>TGDR202709</v>
      </c>
      <c r="M551" s="5" t="str">
        <f t="shared" si="17"/>
        <v>I</v>
      </c>
      <c r="N551" s="5">
        <f>IF(G551=[1]Clientes!$C$3,[1]Clientes!$D$3,[1]Clientes!$D$2)</f>
        <v>13050101</v>
      </c>
    </row>
    <row r="552" spans="1:14">
      <c r="A552" s="6" t="s">
        <v>7</v>
      </c>
      <c r="B552" s="7">
        <v>45527</v>
      </c>
      <c r="C552" s="6" t="s">
        <v>3660</v>
      </c>
      <c r="D552" s="6" t="s">
        <v>3507</v>
      </c>
      <c r="E552" s="6" t="s">
        <v>1216</v>
      </c>
      <c r="F552" s="7">
        <v>45617</v>
      </c>
      <c r="G552" s="6" t="s">
        <v>3478</v>
      </c>
      <c r="H552" s="8"/>
      <c r="I552" s="9">
        <v>7187.39</v>
      </c>
      <c r="J552" s="9">
        <v>7187.39</v>
      </c>
      <c r="K552" s="5" t="str">
        <f>VLOOKUP(D552,[1]Clientes!$A$1:$B$1370,2,0)</f>
        <v>INT0007</v>
      </c>
      <c r="L552" s="5" t="str">
        <f t="shared" si="16"/>
        <v>TGDR202733</v>
      </c>
      <c r="M552" s="5" t="str">
        <f t="shared" si="17"/>
        <v>I</v>
      </c>
      <c r="N552" s="5">
        <f>IF(G552=[1]Clientes!$C$3,[1]Clientes!$D$3,[1]Clientes!$D$2)</f>
        <v>13050101</v>
      </c>
    </row>
    <row r="553" spans="1:14">
      <c r="A553" s="6" t="s">
        <v>3265</v>
      </c>
      <c r="B553" s="7">
        <v>44926</v>
      </c>
      <c r="C553" s="6" t="s">
        <v>3508</v>
      </c>
      <c r="D553" s="6" t="s">
        <v>3661</v>
      </c>
      <c r="E553" s="6"/>
      <c r="F553" s="7"/>
      <c r="G553" s="6" t="s">
        <v>3478</v>
      </c>
      <c r="H553" s="8"/>
      <c r="I553" s="9">
        <v>14.18</v>
      </c>
      <c r="J553" s="9">
        <v>75351.91</v>
      </c>
      <c r="K553" s="5" t="str">
        <f>VLOOKUP(D553,[1]Clientes!$A$1:$B$1370,2,0)</f>
        <v>INT0006</v>
      </c>
      <c r="L553" s="5" t="str">
        <f t="shared" si="16"/>
        <v>Revisar</v>
      </c>
      <c r="M553" s="5" t="str">
        <f t="shared" si="17"/>
        <v>GJ</v>
      </c>
      <c r="N553" s="5">
        <f>IF(G553=[1]Clientes!$C$3,[1]Clientes!$D$3,[1]Clientes!$D$2)</f>
        <v>13050101</v>
      </c>
    </row>
    <row r="554" spans="1:14">
      <c r="A554" s="6" t="s">
        <v>7</v>
      </c>
      <c r="B554" s="7">
        <v>45159</v>
      </c>
      <c r="C554" s="6" t="s">
        <v>3662</v>
      </c>
      <c r="D554" s="6" t="s">
        <v>3661</v>
      </c>
      <c r="E554" s="6" t="s">
        <v>1216</v>
      </c>
      <c r="F554" s="7">
        <v>45249</v>
      </c>
      <c r="G554" s="6" t="s">
        <v>3478</v>
      </c>
      <c r="H554" s="8">
        <v>286</v>
      </c>
      <c r="I554" s="9">
        <v>9120</v>
      </c>
      <c r="J554" s="9">
        <v>9148</v>
      </c>
      <c r="K554" s="5" t="str">
        <f>VLOOKUP(D554,[1]Clientes!$A$1:$B$1370,2,0)</f>
        <v>INT0006</v>
      </c>
      <c r="L554" s="5" t="str">
        <f t="shared" si="16"/>
        <v>HGI0113689</v>
      </c>
      <c r="M554" s="5" t="str">
        <f t="shared" si="17"/>
        <v>I</v>
      </c>
      <c r="N554" s="5">
        <f>IF(G554=[1]Clientes!$C$3,[1]Clientes!$D$3,[1]Clientes!$D$2)</f>
        <v>13050101</v>
      </c>
    </row>
    <row r="555" spans="1:14">
      <c r="A555" s="6" t="s">
        <v>7</v>
      </c>
      <c r="B555" s="7">
        <v>45162</v>
      </c>
      <c r="C555" s="6" t="s">
        <v>3663</v>
      </c>
      <c r="D555" s="6" t="s">
        <v>3661</v>
      </c>
      <c r="E555" s="6" t="s">
        <v>1216</v>
      </c>
      <c r="F555" s="7">
        <v>45252</v>
      </c>
      <c r="G555" s="6" t="s">
        <v>3478</v>
      </c>
      <c r="H555" s="8">
        <v>283</v>
      </c>
      <c r="I555" s="9">
        <v>5310</v>
      </c>
      <c r="J555" s="9">
        <v>5310</v>
      </c>
      <c r="K555" s="5" t="str">
        <f>VLOOKUP(D555,[1]Clientes!$A$1:$B$1370,2,0)</f>
        <v>INT0006</v>
      </c>
      <c r="L555" s="5" t="str">
        <f t="shared" si="16"/>
        <v>HGI0114630</v>
      </c>
      <c r="M555" s="5" t="str">
        <f t="shared" si="17"/>
        <v>I</v>
      </c>
      <c r="N555" s="5">
        <f>IF(G555=[1]Clientes!$C$3,[1]Clientes!$D$3,[1]Clientes!$D$2)</f>
        <v>13050101</v>
      </c>
    </row>
    <row r="556" spans="1:14">
      <c r="A556" s="6" t="s">
        <v>7</v>
      </c>
      <c r="B556" s="7">
        <v>45162</v>
      </c>
      <c r="C556" s="6" t="s">
        <v>3664</v>
      </c>
      <c r="D556" s="6" t="s">
        <v>3661</v>
      </c>
      <c r="E556" s="6" t="s">
        <v>1216</v>
      </c>
      <c r="F556" s="7">
        <v>45252</v>
      </c>
      <c r="G556" s="6" t="s">
        <v>3478</v>
      </c>
      <c r="H556" s="8">
        <v>283</v>
      </c>
      <c r="I556" s="9">
        <v>6372</v>
      </c>
      <c r="J556" s="9">
        <v>6372</v>
      </c>
      <c r="K556" s="5" t="str">
        <f>VLOOKUP(D556,[1]Clientes!$A$1:$B$1370,2,0)</f>
        <v>INT0006</v>
      </c>
      <c r="L556" s="5" t="str">
        <f t="shared" si="16"/>
        <v>HGI0114631</v>
      </c>
      <c r="M556" s="5" t="str">
        <f t="shared" si="17"/>
        <v>I</v>
      </c>
      <c r="N556" s="5">
        <f>IF(G556=[1]Clientes!$C$3,[1]Clientes!$D$3,[1]Clientes!$D$2)</f>
        <v>13050101</v>
      </c>
    </row>
    <row r="557" spans="1:14">
      <c r="A557" s="6" t="s">
        <v>7</v>
      </c>
      <c r="B557" s="7">
        <v>45168</v>
      </c>
      <c r="C557" s="6" t="s">
        <v>3665</v>
      </c>
      <c r="D557" s="6" t="s">
        <v>3661</v>
      </c>
      <c r="E557" s="6" t="s">
        <v>1216</v>
      </c>
      <c r="F557" s="7">
        <v>45258</v>
      </c>
      <c r="G557" s="6" t="s">
        <v>3478</v>
      </c>
      <c r="H557" s="8">
        <v>277</v>
      </c>
      <c r="I557" s="9">
        <v>578.48</v>
      </c>
      <c r="J557" s="9">
        <v>578.48</v>
      </c>
      <c r="K557" s="5" t="str">
        <f>VLOOKUP(D557,[1]Clientes!$A$1:$B$1370,2,0)</f>
        <v>INT0006</v>
      </c>
      <c r="L557" s="5" t="str">
        <f t="shared" si="16"/>
        <v>HGI0114731</v>
      </c>
      <c r="M557" s="5" t="str">
        <f t="shared" si="17"/>
        <v>I</v>
      </c>
      <c r="N557" s="5">
        <f>IF(G557=[1]Clientes!$C$3,[1]Clientes!$D$3,[1]Clientes!$D$2)</f>
        <v>13050101</v>
      </c>
    </row>
    <row r="558" spans="1:14">
      <c r="A558" s="6" t="s">
        <v>3139</v>
      </c>
      <c r="B558" s="7">
        <v>45259</v>
      </c>
      <c r="C558" s="6" t="s">
        <v>3666</v>
      </c>
      <c r="D558" s="6" t="s">
        <v>3661</v>
      </c>
      <c r="E558" s="6"/>
      <c r="F558" s="7"/>
      <c r="G558" s="6" t="s">
        <v>3478</v>
      </c>
      <c r="H558" s="8"/>
      <c r="I558" s="9">
        <v>-52.32</v>
      </c>
      <c r="J558" s="9">
        <v>-54510.77</v>
      </c>
      <c r="K558" s="5" t="str">
        <f>VLOOKUP(D558,[1]Clientes!$A$1:$B$1370,2,0)</f>
        <v>INT0006</v>
      </c>
      <c r="L558" s="5" t="str">
        <f t="shared" si="16"/>
        <v>Revisar</v>
      </c>
      <c r="M558" s="5" t="str">
        <f t="shared" si="17"/>
        <v>P</v>
      </c>
      <c r="N558" s="5">
        <f>IF(G558=[1]Clientes!$C$3,[1]Clientes!$D$3,[1]Clientes!$D$2)</f>
        <v>13050101</v>
      </c>
    </row>
    <row r="559" spans="1:14">
      <c r="A559" s="6" t="s">
        <v>3099</v>
      </c>
      <c r="B559" s="7">
        <v>45174</v>
      </c>
      <c r="C559" s="6" t="s">
        <v>3667</v>
      </c>
      <c r="D559" s="6" t="s">
        <v>3661</v>
      </c>
      <c r="E559" s="6" t="s">
        <v>1216</v>
      </c>
      <c r="F559" s="7">
        <v>45264</v>
      </c>
      <c r="G559" s="6" t="s">
        <v>3478</v>
      </c>
      <c r="H559" s="8">
        <v>271</v>
      </c>
      <c r="I559" s="9">
        <v>-578.48</v>
      </c>
      <c r="J559" s="9">
        <v>-578.48</v>
      </c>
      <c r="K559" s="5" t="str">
        <f>VLOOKUP(D559,[1]Clientes!$A$1:$B$1370,2,0)</f>
        <v>INT0006</v>
      </c>
      <c r="L559" s="5" t="str">
        <f t="shared" si="16"/>
        <v>CRM0114833</v>
      </c>
      <c r="M559" s="5" t="str">
        <f t="shared" si="17"/>
        <v>C</v>
      </c>
      <c r="N559" s="5">
        <f>IF(G559=[1]Clientes!$C$3,[1]Clientes!$D$3,[1]Clientes!$D$2)</f>
        <v>13050101</v>
      </c>
    </row>
    <row r="560" spans="1:14">
      <c r="A560" s="6" t="s">
        <v>7</v>
      </c>
      <c r="B560" s="7">
        <v>45246</v>
      </c>
      <c r="C560" s="6" t="s">
        <v>3668</v>
      </c>
      <c r="D560" s="6" t="s">
        <v>3661</v>
      </c>
      <c r="E560" s="6" t="s">
        <v>1216</v>
      </c>
      <c r="F560" s="7">
        <v>45336</v>
      </c>
      <c r="G560" s="6" t="s">
        <v>3478</v>
      </c>
      <c r="H560" s="8">
        <v>199</v>
      </c>
      <c r="I560" s="9">
        <v>7307.43</v>
      </c>
      <c r="J560" s="9">
        <v>7307.43</v>
      </c>
      <c r="K560" s="5" t="str">
        <f>VLOOKUP(D560,[1]Clientes!$A$1:$B$1370,2,0)</f>
        <v>INT0006</v>
      </c>
      <c r="L560" s="5" t="str">
        <f t="shared" si="16"/>
        <v>HGI0117412</v>
      </c>
      <c r="M560" s="5" t="str">
        <f t="shared" si="17"/>
        <v>I</v>
      </c>
      <c r="N560" s="5">
        <f>IF(G560=[1]Clientes!$C$3,[1]Clientes!$D$3,[1]Clientes!$D$2)</f>
        <v>13050101</v>
      </c>
    </row>
    <row r="561" spans="1:14">
      <c r="A561" s="6" t="s">
        <v>7</v>
      </c>
      <c r="B561" s="7">
        <v>45250</v>
      </c>
      <c r="C561" s="6" t="s">
        <v>3669</v>
      </c>
      <c r="D561" s="6" t="s">
        <v>3661</v>
      </c>
      <c r="E561" s="6" t="s">
        <v>1216</v>
      </c>
      <c r="F561" s="7">
        <v>45340</v>
      </c>
      <c r="G561" s="6" t="s">
        <v>3478</v>
      </c>
      <c r="H561" s="8">
        <v>195</v>
      </c>
      <c r="I561" s="9">
        <v>3171.04</v>
      </c>
      <c r="J561" s="9">
        <v>3171.04</v>
      </c>
      <c r="K561" s="5" t="str">
        <f>VLOOKUP(D561,[1]Clientes!$A$1:$B$1370,2,0)</f>
        <v>INT0006</v>
      </c>
      <c r="L561" s="5" t="str">
        <f t="shared" si="16"/>
        <v>HGI0117498</v>
      </c>
      <c r="M561" s="5" t="str">
        <f t="shared" si="17"/>
        <v>I</v>
      </c>
      <c r="N561" s="5">
        <f>IF(G561=[1]Clientes!$C$3,[1]Clientes!$D$3,[1]Clientes!$D$2)</f>
        <v>13050101</v>
      </c>
    </row>
    <row r="562" spans="1:14">
      <c r="A562" s="6" t="s">
        <v>7</v>
      </c>
      <c r="B562" s="7">
        <v>45250</v>
      </c>
      <c r="C562" s="6" t="s">
        <v>3670</v>
      </c>
      <c r="D562" s="6" t="s">
        <v>3661</v>
      </c>
      <c r="E562" s="6" t="s">
        <v>1216</v>
      </c>
      <c r="F562" s="7">
        <v>45340</v>
      </c>
      <c r="G562" s="6" t="s">
        <v>3478</v>
      </c>
      <c r="H562" s="8">
        <v>195</v>
      </c>
      <c r="I562" s="9">
        <v>7974</v>
      </c>
      <c r="J562" s="9">
        <v>7974</v>
      </c>
      <c r="K562" s="5" t="str">
        <f>VLOOKUP(D562,[1]Clientes!$A$1:$B$1370,2,0)</f>
        <v>INT0006</v>
      </c>
      <c r="L562" s="5" t="str">
        <f t="shared" si="16"/>
        <v>HGI0117509</v>
      </c>
      <c r="M562" s="5" t="str">
        <f t="shared" si="17"/>
        <v>I</v>
      </c>
      <c r="N562" s="5">
        <f>IF(G562=[1]Clientes!$C$3,[1]Clientes!$D$3,[1]Clientes!$D$2)</f>
        <v>13050101</v>
      </c>
    </row>
    <row r="563" spans="1:14">
      <c r="A563" s="6" t="s">
        <v>7</v>
      </c>
      <c r="B563" s="7">
        <v>45250</v>
      </c>
      <c r="C563" s="6" t="s">
        <v>3671</v>
      </c>
      <c r="D563" s="6" t="s">
        <v>3661</v>
      </c>
      <c r="E563" s="6" t="s">
        <v>1216</v>
      </c>
      <c r="F563" s="7">
        <v>45340</v>
      </c>
      <c r="G563" s="6" t="s">
        <v>3478</v>
      </c>
      <c r="H563" s="8">
        <v>195</v>
      </c>
      <c r="I563" s="9">
        <v>3850</v>
      </c>
      <c r="J563" s="9">
        <v>3850</v>
      </c>
      <c r="K563" s="5" t="str">
        <f>VLOOKUP(D563,[1]Clientes!$A$1:$B$1370,2,0)</f>
        <v>INT0006</v>
      </c>
      <c r="L563" s="5" t="str">
        <f t="shared" si="16"/>
        <v>HGI0117510</v>
      </c>
      <c r="M563" s="5" t="str">
        <f t="shared" si="17"/>
        <v>I</v>
      </c>
      <c r="N563" s="5">
        <f>IF(G563=[1]Clientes!$C$3,[1]Clientes!$D$3,[1]Clientes!$D$2)</f>
        <v>13050101</v>
      </c>
    </row>
    <row r="564" spans="1:14">
      <c r="A564" s="6" t="s">
        <v>7</v>
      </c>
      <c r="B564" s="7">
        <v>45250</v>
      </c>
      <c r="C564" s="6" t="s">
        <v>3672</v>
      </c>
      <c r="D564" s="6" t="s">
        <v>3661</v>
      </c>
      <c r="E564" s="6" t="s">
        <v>1216</v>
      </c>
      <c r="F564" s="7">
        <v>45340</v>
      </c>
      <c r="G564" s="6" t="s">
        <v>3478</v>
      </c>
      <c r="H564" s="8">
        <v>195</v>
      </c>
      <c r="I564" s="9">
        <v>3834</v>
      </c>
      <c r="J564" s="9">
        <v>3834</v>
      </c>
      <c r="K564" s="5" t="str">
        <f>VLOOKUP(D564,[1]Clientes!$A$1:$B$1370,2,0)</f>
        <v>INT0006</v>
      </c>
      <c r="L564" s="5" t="str">
        <f t="shared" si="16"/>
        <v>HGI0117527</v>
      </c>
      <c r="M564" s="5" t="str">
        <f t="shared" si="17"/>
        <v>I</v>
      </c>
      <c r="N564" s="5">
        <f>IF(G564=[1]Clientes!$C$3,[1]Clientes!$D$3,[1]Clientes!$D$2)</f>
        <v>13050101</v>
      </c>
    </row>
    <row r="565" spans="1:14">
      <c r="A565" s="6" t="s">
        <v>7</v>
      </c>
      <c r="B565" s="7">
        <v>45322</v>
      </c>
      <c r="C565" s="6" t="s">
        <v>3673</v>
      </c>
      <c r="D565" s="6" t="s">
        <v>3661</v>
      </c>
      <c r="E565" s="6" t="s">
        <v>16</v>
      </c>
      <c r="F565" s="7">
        <v>45352</v>
      </c>
      <c r="G565" s="6" t="s">
        <v>3478</v>
      </c>
      <c r="H565" s="8">
        <v>183</v>
      </c>
      <c r="I565" s="9">
        <v>10.71</v>
      </c>
      <c r="J565" s="9">
        <v>10.71</v>
      </c>
      <c r="K565" s="5" t="str">
        <f>VLOOKUP(D565,[1]Clientes!$A$1:$B$1370,2,0)</f>
        <v>INT0006</v>
      </c>
      <c r="L565" s="5" t="str">
        <f t="shared" si="16"/>
        <v>TGDR202606</v>
      </c>
      <c r="M565" s="5" t="str">
        <f t="shared" si="17"/>
        <v>I</v>
      </c>
      <c r="N565" s="5">
        <f>IF(G565=[1]Clientes!$C$3,[1]Clientes!$D$3,[1]Clientes!$D$2)</f>
        <v>13050101</v>
      </c>
    </row>
    <row r="566" spans="1:14">
      <c r="A566" s="6" t="s">
        <v>7</v>
      </c>
      <c r="B566" s="7">
        <v>45281</v>
      </c>
      <c r="C566" s="6" t="s">
        <v>3674</v>
      </c>
      <c r="D566" s="6" t="s">
        <v>3661</v>
      </c>
      <c r="E566" s="6" t="s">
        <v>1216</v>
      </c>
      <c r="F566" s="7">
        <v>45371</v>
      </c>
      <c r="G566" s="6" t="s">
        <v>3478</v>
      </c>
      <c r="H566" s="8">
        <v>164</v>
      </c>
      <c r="I566" s="9">
        <v>167.2</v>
      </c>
      <c r="J566" s="9">
        <v>167.2</v>
      </c>
      <c r="K566" s="5" t="str">
        <f>VLOOKUP(D566,[1]Clientes!$A$1:$B$1370,2,0)</f>
        <v>INT0006</v>
      </c>
      <c r="L566" s="5" t="str">
        <f t="shared" si="16"/>
        <v>HGI0118534</v>
      </c>
      <c r="M566" s="5" t="str">
        <f t="shared" si="17"/>
        <v>I</v>
      </c>
      <c r="N566" s="5">
        <f>IF(G566=[1]Clientes!$C$3,[1]Clientes!$D$3,[1]Clientes!$D$2)</f>
        <v>13050101</v>
      </c>
    </row>
    <row r="567" spans="1:14">
      <c r="A567" s="6" t="s">
        <v>7</v>
      </c>
      <c r="B567" s="7">
        <v>45287</v>
      </c>
      <c r="C567" s="6" t="s">
        <v>3675</v>
      </c>
      <c r="D567" s="6" t="s">
        <v>3661</v>
      </c>
      <c r="E567" s="6" t="s">
        <v>1216</v>
      </c>
      <c r="F567" s="7">
        <v>45377</v>
      </c>
      <c r="G567" s="6" t="s">
        <v>3478</v>
      </c>
      <c r="H567" s="8">
        <v>158</v>
      </c>
      <c r="I567" s="9">
        <v>3.21</v>
      </c>
      <c r="J567" s="9">
        <v>1807.94</v>
      </c>
      <c r="K567" s="5" t="str">
        <f>VLOOKUP(D567,[1]Clientes!$A$1:$B$1370,2,0)</f>
        <v>INT0006</v>
      </c>
      <c r="L567" s="5" t="str">
        <f t="shared" si="16"/>
        <v>HGI0118646</v>
      </c>
      <c r="M567" s="5" t="str">
        <f t="shared" si="17"/>
        <v>I</v>
      </c>
      <c r="N567" s="5">
        <f>IF(G567=[1]Clientes!$C$3,[1]Clientes!$D$3,[1]Clientes!$D$2)</f>
        <v>13050101</v>
      </c>
    </row>
    <row r="568" spans="1:14">
      <c r="A568" s="6" t="s">
        <v>7</v>
      </c>
      <c r="B568" s="7">
        <v>45351</v>
      </c>
      <c r="C568" s="6" t="s">
        <v>3676</v>
      </c>
      <c r="D568" s="6" t="s">
        <v>3661</v>
      </c>
      <c r="E568" s="6" t="s">
        <v>16</v>
      </c>
      <c r="F568" s="7">
        <v>45381</v>
      </c>
      <c r="G568" s="6" t="s">
        <v>3478</v>
      </c>
      <c r="H568" s="8">
        <v>154</v>
      </c>
      <c r="I568" s="9">
        <v>33.729999999999997</v>
      </c>
      <c r="J568" s="9">
        <v>33.729999999999997</v>
      </c>
      <c r="K568" s="5" t="str">
        <f>VLOOKUP(D568,[1]Clientes!$A$1:$B$1370,2,0)</f>
        <v>INT0006</v>
      </c>
      <c r="L568" s="5" t="str">
        <f t="shared" si="16"/>
        <v>TGDR202619</v>
      </c>
      <c r="M568" s="5" t="str">
        <f t="shared" si="17"/>
        <v>I</v>
      </c>
      <c r="N568" s="5">
        <f>IF(G568=[1]Clientes!$C$3,[1]Clientes!$D$3,[1]Clientes!$D$2)</f>
        <v>13050101</v>
      </c>
    </row>
    <row r="569" spans="1:14">
      <c r="A569" s="6" t="s">
        <v>7</v>
      </c>
      <c r="B569" s="7">
        <v>45293</v>
      </c>
      <c r="C569" s="6" t="s">
        <v>3677</v>
      </c>
      <c r="D569" s="6" t="s">
        <v>3661</v>
      </c>
      <c r="E569" s="6" t="s">
        <v>1216</v>
      </c>
      <c r="F569" s="7">
        <v>45383</v>
      </c>
      <c r="G569" s="6" t="s">
        <v>3478</v>
      </c>
      <c r="H569" s="8">
        <v>152</v>
      </c>
      <c r="I569" s="9">
        <v>37155</v>
      </c>
      <c r="J569" s="9">
        <v>37155</v>
      </c>
      <c r="K569" s="5" t="str">
        <f>VLOOKUP(D569,[1]Clientes!$A$1:$B$1370,2,0)</f>
        <v>INT0006</v>
      </c>
      <c r="L569" s="5" t="str">
        <f t="shared" si="16"/>
        <v>HGI0118753</v>
      </c>
      <c r="M569" s="5" t="str">
        <f t="shared" si="17"/>
        <v>I</v>
      </c>
      <c r="N569" s="5">
        <f>IF(G569=[1]Clientes!$C$3,[1]Clientes!$D$3,[1]Clientes!$D$2)</f>
        <v>13050101</v>
      </c>
    </row>
    <row r="570" spans="1:14">
      <c r="A570" s="6" t="s">
        <v>7</v>
      </c>
      <c r="B570" s="7">
        <v>45293</v>
      </c>
      <c r="C570" s="6" t="s">
        <v>3678</v>
      </c>
      <c r="D570" s="6" t="s">
        <v>3661</v>
      </c>
      <c r="E570" s="6" t="s">
        <v>1216</v>
      </c>
      <c r="F570" s="7">
        <v>45383</v>
      </c>
      <c r="G570" s="6" t="s">
        <v>3478</v>
      </c>
      <c r="H570" s="8">
        <v>152</v>
      </c>
      <c r="I570" s="9">
        <v>37155</v>
      </c>
      <c r="J570" s="9">
        <v>37155</v>
      </c>
      <c r="K570" s="5" t="str">
        <f>VLOOKUP(D570,[1]Clientes!$A$1:$B$1370,2,0)</f>
        <v>INT0006</v>
      </c>
      <c r="L570" s="5" t="str">
        <f t="shared" si="16"/>
        <v>HGI0118767</v>
      </c>
      <c r="M570" s="5" t="str">
        <f t="shared" si="17"/>
        <v>I</v>
      </c>
      <c r="N570" s="5">
        <f>IF(G570=[1]Clientes!$C$3,[1]Clientes!$D$3,[1]Clientes!$D$2)</f>
        <v>13050101</v>
      </c>
    </row>
    <row r="571" spans="1:14">
      <c r="A571" s="6" t="s">
        <v>7</v>
      </c>
      <c r="B571" s="7">
        <v>45301</v>
      </c>
      <c r="C571" s="6" t="s">
        <v>3679</v>
      </c>
      <c r="D571" s="6" t="s">
        <v>3661</v>
      </c>
      <c r="E571" s="6" t="s">
        <v>1216</v>
      </c>
      <c r="F571" s="7">
        <v>45391</v>
      </c>
      <c r="G571" s="6" t="s">
        <v>3478</v>
      </c>
      <c r="H571" s="8">
        <v>144</v>
      </c>
      <c r="I571" s="9">
        <v>6347.32</v>
      </c>
      <c r="J571" s="9">
        <v>6347.32</v>
      </c>
      <c r="K571" s="5" t="str">
        <f>VLOOKUP(D571,[1]Clientes!$A$1:$B$1370,2,0)</f>
        <v>INT0006</v>
      </c>
      <c r="L571" s="5" t="str">
        <f t="shared" si="16"/>
        <v>HGI0119134</v>
      </c>
      <c r="M571" s="5" t="str">
        <f t="shared" si="17"/>
        <v>I</v>
      </c>
      <c r="N571" s="5">
        <f>IF(G571=[1]Clientes!$C$3,[1]Clientes!$D$3,[1]Clientes!$D$2)</f>
        <v>13050101</v>
      </c>
    </row>
    <row r="572" spans="1:14">
      <c r="A572" s="6" t="s">
        <v>7</v>
      </c>
      <c r="B572" s="7">
        <v>45302</v>
      </c>
      <c r="C572" s="6" t="s">
        <v>3680</v>
      </c>
      <c r="D572" s="6" t="s">
        <v>3661</v>
      </c>
      <c r="E572" s="6" t="s">
        <v>1216</v>
      </c>
      <c r="F572" s="7">
        <v>45392</v>
      </c>
      <c r="G572" s="6" t="s">
        <v>3478</v>
      </c>
      <c r="H572" s="8">
        <v>143</v>
      </c>
      <c r="I572" s="9">
        <v>37155</v>
      </c>
      <c r="J572" s="9">
        <v>37155</v>
      </c>
      <c r="K572" s="5" t="str">
        <f>VLOOKUP(D572,[1]Clientes!$A$1:$B$1370,2,0)</f>
        <v>INT0006</v>
      </c>
      <c r="L572" s="5" t="str">
        <f t="shared" si="16"/>
        <v>HGI0119182</v>
      </c>
      <c r="M572" s="5" t="str">
        <f t="shared" si="17"/>
        <v>I</v>
      </c>
      <c r="N572" s="5">
        <f>IF(G572=[1]Clientes!$C$3,[1]Clientes!$D$3,[1]Clientes!$D$2)</f>
        <v>13050101</v>
      </c>
    </row>
    <row r="573" spans="1:14">
      <c r="A573" s="6" t="s">
        <v>7</v>
      </c>
      <c r="B573" s="7">
        <v>45302</v>
      </c>
      <c r="C573" s="6" t="s">
        <v>3681</v>
      </c>
      <c r="D573" s="6" t="s">
        <v>3661</v>
      </c>
      <c r="E573" s="6" t="s">
        <v>1216</v>
      </c>
      <c r="F573" s="7">
        <v>45392</v>
      </c>
      <c r="G573" s="6" t="s">
        <v>3478</v>
      </c>
      <c r="H573" s="8">
        <v>143</v>
      </c>
      <c r="I573" s="9">
        <v>13051.1</v>
      </c>
      <c r="J573" s="9">
        <v>13051.1</v>
      </c>
      <c r="K573" s="5" t="str">
        <f>VLOOKUP(D573,[1]Clientes!$A$1:$B$1370,2,0)</f>
        <v>INT0006</v>
      </c>
      <c r="L573" s="5" t="str">
        <f t="shared" si="16"/>
        <v>HGI0119183</v>
      </c>
      <c r="M573" s="5" t="str">
        <f t="shared" si="17"/>
        <v>I</v>
      </c>
      <c r="N573" s="5">
        <f>IF(G573=[1]Clientes!$C$3,[1]Clientes!$D$3,[1]Clientes!$D$2)</f>
        <v>13050101</v>
      </c>
    </row>
    <row r="574" spans="1:14">
      <c r="A574" s="6" t="s">
        <v>7</v>
      </c>
      <c r="B574" s="7">
        <v>45382</v>
      </c>
      <c r="C574" s="6" t="s">
        <v>3682</v>
      </c>
      <c r="D574" s="6" t="s">
        <v>3661</v>
      </c>
      <c r="E574" s="6" t="s">
        <v>16</v>
      </c>
      <c r="F574" s="7">
        <v>45412</v>
      </c>
      <c r="G574" s="6" t="s">
        <v>3478</v>
      </c>
      <c r="H574" s="8">
        <v>123</v>
      </c>
      <c r="I574" s="9">
        <v>22.75</v>
      </c>
      <c r="J574" s="9">
        <v>22.75</v>
      </c>
      <c r="K574" s="5" t="str">
        <f>VLOOKUP(D574,[1]Clientes!$A$1:$B$1370,2,0)</f>
        <v>INT0006</v>
      </c>
      <c r="L574" s="5" t="str">
        <f t="shared" si="16"/>
        <v>TGDR202640</v>
      </c>
      <c r="M574" s="5" t="str">
        <f t="shared" si="17"/>
        <v>I</v>
      </c>
      <c r="N574" s="5">
        <f>IF(G574=[1]Clientes!$C$3,[1]Clientes!$D$3,[1]Clientes!$D$2)</f>
        <v>13050101</v>
      </c>
    </row>
    <row r="575" spans="1:14">
      <c r="A575" s="6" t="s">
        <v>7</v>
      </c>
      <c r="B575" s="7">
        <v>45335</v>
      </c>
      <c r="C575" s="6" t="s">
        <v>3683</v>
      </c>
      <c r="D575" s="6" t="s">
        <v>3661</v>
      </c>
      <c r="E575" s="6" t="s">
        <v>1216</v>
      </c>
      <c r="F575" s="7">
        <v>45425</v>
      </c>
      <c r="G575" s="6" t="s">
        <v>3478</v>
      </c>
      <c r="H575" s="8">
        <v>110</v>
      </c>
      <c r="I575" s="9">
        <v>1488</v>
      </c>
      <c r="J575" s="9">
        <v>1488</v>
      </c>
      <c r="K575" s="5" t="str">
        <f>VLOOKUP(D575,[1]Clientes!$A$1:$B$1370,2,0)</f>
        <v>INT0006</v>
      </c>
      <c r="L575" s="5" t="str">
        <f t="shared" si="16"/>
        <v>HGI0120907</v>
      </c>
      <c r="M575" s="5" t="str">
        <f t="shared" si="17"/>
        <v>I</v>
      </c>
      <c r="N575" s="5">
        <f>IF(G575=[1]Clientes!$C$3,[1]Clientes!$D$3,[1]Clientes!$D$2)</f>
        <v>13050101</v>
      </c>
    </row>
    <row r="576" spans="1:14">
      <c r="A576" s="6" t="s">
        <v>7</v>
      </c>
      <c r="B576" s="7">
        <v>45412</v>
      </c>
      <c r="C576" s="6" t="s">
        <v>3684</v>
      </c>
      <c r="D576" s="6" t="s">
        <v>3661</v>
      </c>
      <c r="E576" s="6" t="s">
        <v>16</v>
      </c>
      <c r="F576" s="7">
        <v>45442</v>
      </c>
      <c r="G576" s="6" t="s">
        <v>3478</v>
      </c>
      <c r="H576" s="8">
        <v>93</v>
      </c>
      <c r="I576" s="9">
        <v>30.27</v>
      </c>
      <c r="J576" s="9">
        <v>30.27</v>
      </c>
      <c r="K576" s="5" t="str">
        <f>VLOOKUP(D576,[1]Clientes!$A$1:$B$1370,2,0)</f>
        <v>INT0006</v>
      </c>
      <c r="L576" s="5" t="str">
        <f t="shared" si="16"/>
        <v>TGDR202667</v>
      </c>
      <c r="M576" s="5" t="str">
        <f t="shared" si="17"/>
        <v>I</v>
      </c>
      <c r="N576" s="5">
        <f>IF(G576=[1]Clientes!$C$3,[1]Clientes!$D$3,[1]Clientes!$D$2)</f>
        <v>13050101</v>
      </c>
    </row>
    <row r="577" spans="1:14">
      <c r="A577" s="6" t="s">
        <v>7</v>
      </c>
      <c r="B577" s="7">
        <v>45443</v>
      </c>
      <c r="C577" s="6" t="s">
        <v>3685</v>
      </c>
      <c r="D577" s="6" t="s">
        <v>3661</v>
      </c>
      <c r="E577" s="6" t="s">
        <v>16</v>
      </c>
      <c r="F577" s="7">
        <v>45473</v>
      </c>
      <c r="G577" s="6" t="s">
        <v>3478</v>
      </c>
      <c r="H577" s="8">
        <v>62</v>
      </c>
      <c r="I577" s="9">
        <v>37.81</v>
      </c>
      <c r="J577" s="9">
        <v>37.81</v>
      </c>
      <c r="K577" s="5" t="str">
        <f>VLOOKUP(D577,[1]Clientes!$A$1:$B$1370,2,0)</f>
        <v>INT0006</v>
      </c>
      <c r="L577" s="5" t="str">
        <f t="shared" si="16"/>
        <v>TGDR202683</v>
      </c>
      <c r="M577" s="5" t="str">
        <f t="shared" si="17"/>
        <v>I</v>
      </c>
      <c r="N577" s="5">
        <f>IF(G577=[1]Clientes!$C$3,[1]Clientes!$D$3,[1]Clientes!$D$2)</f>
        <v>13050101</v>
      </c>
    </row>
    <row r="578" spans="1:14">
      <c r="A578" s="6" t="s">
        <v>7</v>
      </c>
      <c r="B578" s="7">
        <v>45387</v>
      </c>
      <c r="C578" s="6" t="s">
        <v>3686</v>
      </c>
      <c r="D578" s="6" t="s">
        <v>3661</v>
      </c>
      <c r="E578" s="6" t="s">
        <v>1216</v>
      </c>
      <c r="F578" s="7">
        <v>45477</v>
      </c>
      <c r="G578" s="6" t="s">
        <v>3478</v>
      </c>
      <c r="H578" s="8">
        <v>58</v>
      </c>
      <c r="I578" s="9">
        <v>1552.2</v>
      </c>
      <c r="J578" s="9">
        <v>1552.2</v>
      </c>
      <c r="K578" s="5" t="str">
        <f>VLOOKUP(D578,[1]Clientes!$A$1:$B$1370,2,0)</f>
        <v>INT0006</v>
      </c>
      <c r="L578" s="5" t="str">
        <f t="shared" si="16"/>
        <v>HGI0122691</v>
      </c>
      <c r="M578" s="5" t="str">
        <f t="shared" si="17"/>
        <v>I</v>
      </c>
      <c r="N578" s="5">
        <f>IF(G578=[1]Clientes!$C$3,[1]Clientes!$D$3,[1]Clientes!$D$2)</f>
        <v>13050101</v>
      </c>
    </row>
    <row r="579" spans="1:14">
      <c r="A579" s="6" t="s">
        <v>7</v>
      </c>
      <c r="B579" s="7">
        <v>45393</v>
      </c>
      <c r="C579" s="6" t="s">
        <v>3687</v>
      </c>
      <c r="D579" s="6" t="s">
        <v>3661</v>
      </c>
      <c r="E579" s="6" t="s">
        <v>1216</v>
      </c>
      <c r="F579" s="7">
        <v>45483</v>
      </c>
      <c r="G579" s="6" t="s">
        <v>3478</v>
      </c>
      <c r="H579" s="8">
        <v>52</v>
      </c>
      <c r="I579" s="9">
        <v>2940</v>
      </c>
      <c r="J579" s="9">
        <v>2940</v>
      </c>
      <c r="K579" s="5" t="str">
        <f>VLOOKUP(D579,[1]Clientes!$A$1:$B$1370,2,0)</f>
        <v>INT0006</v>
      </c>
      <c r="L579" s="5" t="str">
        <f t="shared" ref="L579:L642" si="18">IF(A579="Invoice",
    IF(LEFT(C579,5)="TGDR-", "TGDR"&amp;RIGHT(C579,LEN(C579)-5), "HGI"&amp;C579),
    IF(A579="Credit Memo",
        IF(LEFT(C579,5)="TGDR-", "CRM"&amp;RIGHT(C579,LEN(C579)-5), "CRM"&amp;C579),
        "Revisar")
)</f>
        <v>HGI0122917</v>
      </c>
      <c r="M579" s="5" t="str">
        <f t="shared" ref="M579:M642" si="19">IF(A579="Invoice","I",IF(A579="Credit Memo","C",IF(A579="Payment","P","GJ")))</f>
        <v>I</v>
      </c>
      <c r="N579" s="5">
        <f>IF(G579=[1]Clientes!$C$3,[1]Clientes!$D$3,[1]Clientes!$D$2)</f>
        <v>13050101</v>
      </c>
    </row>
    <row r="580" spans="1:14">
      <c r="A580" s="6" t="s">
        <v>7</v>
      </c>
      <c r="B580" s="7">
        <v>45393</v>
      </c>
      <c r="C580" s="6" t="s">
        <v>3688</v>
      </c>
      <c r="D580" s="6" t="s">
        <v>3661</v>
      </c>
      <c r="E580" s="6" t="s">
        <v>1216</v>
      </c>
      <c r="F580" s="7">
        <v>45483</v>
      </c>
      <c r="G580" s="6" t="s">
        <v>3478</v>
      </c>
      <c r="H580" s="8">
        <v>52</v>
      </c>
      <c r="I580" s="9">
        <v>610.24</v>
      </c>
      <c r="J580" s="9">
        <v>610.24</v>
      </c>
      <c r="K580" s="5" t="str">
        <f>VLOOKUP(D580,[1]Clientes!$A$1:$B$1370,2,0)</f>
        <v>INT0006</v>
      </c>
      <c r="L580" s="5" t="str">
        <f t="shared" si="18"/>
        <v>HGI0122918</v>
      </c>
      <c r="M580" s="5" t="str">
        <f t="shared" si="19"/>
        <v>I</v>
      </c>
      <c r="N580" s="5">
        <f>IF(G580=[1]Clientes!$C$3,[1]Clientes!$D$3,[1]Clientes!$D$2)</f>
        <v>13050101</v>
      </c>
    </row>
    <row r="581" spans="1:14">
      <c r="A581" s="6" t="s">
        <v>7</v>
      </c>
      <c r="B581" s="7">
        <v>45394</v>
      </c>
      <c r="C581" s="6" t="s">
        <v>3689</v>
      </c>
      <c r="D581" s="6" t="s">
        <v>3661</v>
      </c>
      <c r="E581" s="6" t="s">
        <v>1216</v>
      </c>
      <c r="F581" s="7">
        <v>45484</v>
      </c>
      <c r="G581" s="6" t="s">
        <v>3478</v>
      </c>
      <c r="H581" s="8">
        <v>51</v>
      </c>
      <c r="I581" s="9">
        <v>8865.14</v>
      </c>
      <c r="J581" s="9">
        <v>8865.14</v>
      </c>
      <c r="K581" s="5" t="str">
        <f>VLOOKUP(D581,[1]Clientes!$A$1:$B$1370,2,0)</f>
        <v>INT0006</v>
      </c>
      <c r="L581" s="5" t="str">
        <f t="shared" si="18"/>
        <v>HGI0122916</v>
      </c>
      <c r="M581" s="5" t="str">
        <f t="shared" si="19"/>
        <v>I</v>
      </c>
      <c r="N581" s="5">
        <f>IF(G581=[1]Clientes!$C$3,[1]Clientes!$D$3,[1]Clientes!$D$2)</f>
        <v>13050101</v>
      </c>
    </row>
    <row r="582" spans="1:14">
      <c r="A582" s="6" t="s">
        <v>7</v>
      </c>
      <c r="B582" s="7">
        <v>45398</v>
      </c>
      <c r="C582" s="6" t="s">
        <v>3690</v>
      </c>
      <c r="D582" s="6" t="s">
        <v>3661</v>
      </c>
      <c r="E582" s="6" t="s">
        <v>1216</v>
      </c>
      <c r="F582" s="7">
        <v>45488</v>
      </c>
      <c r="G582" s="6" t="s">
        <v>3478</v>
      </c>
      <c r="H582" s="8">
        <v>47</v>
      </c>
      <c r="I582" s="9">
        <v>401.6</v>
      </c>
      <c r="J582" s="9">
        <v>401.6</v>
      </c>
      <c r="K582" s="5" t="str">
        <f>VLOOKUP(D582,[1]Clientes!$A$1:$B$1370,2,0)</f>
        <v>INT0006</v>
      </c>
      <c r="L582" s="5" t="str">
        <f t="shared" si="18"/>
        <v>HGI0123065</v>
      </c>
      <c r="M582" s="5" t="str">
        <f t="shared" si="19"/>
        <v>I</v>
      </c>
      <c r="N582" s="5">
        <f>IF(G582=[1]Clientes!$C$3,[1]Clientes!$D$3,[1]Clientes!$D$2)</f>
        <v>13050101</v>
      </c>
    </row>
    <row r="583" spans="1:14">
      <c r="A583" s="6" t="s">
        <v>7</v>
      </c>
      <c r="B583" s="7">
        <v>45400</v>
      </c>
      <c r="C583" s="6" t="s">
        <v>3691</v>
      </c>
      <c r="D583" s="6" t="s">
        <v>3661</v>
      </c>
      <c r="E583" s="6" t="s">
        <v>1216</v>
      </c>
      <c r="F583" s="7">
        <v>45490</v>
      </c>
      <c r="G583" s="6" t="s">
        <v>3478</v>
      </c>
      <c r="H583" s="8">
        <v>45</v>
      </c>
      <c r="I583" s="9">
        <v>37365.120000000003</v>
      </c>
      <c r="J583" s="9">
        <v>37365.120000000003</v>
      </c>
      <c r="K583" s="5" t="str">
        <f>VLOOKUP(D583,[1]Clientes!$A$1:$B$1370,2,0)</f>
        <v>INT0006</v>
      </c>
      <c r="L583" s="5" t="str">
        <f t="shared" si="18"/>
        <v>HGI0123226</v>
      </c>
      <c r="M583" s="5" t="str">
        <f t="shared" si="19"/>
        <v>I</v>
      </c>
      <c r="N583" s="5">
        <f>IF(G583=[1]Clientes!$C$3,[1]Clientes!$D$3,[1]Clientes!$D$2)</f>
        <v>13050101</v>
      </c>
    </row>
    <row r="584" spans="1:14">
      <c r="A584" s="6" t="s">
        <v>7</v>
      </c>
      <c r="B584" s="7">
        <v>45405</v>
      </c>
      <c r="C584" s="6" t="s">
        <v>3692</v>
      </c>
      <c r="D584" s="6" t="s">
        <v>3661</v>
      </c>
      <c r="E584" s="6" t="s">
        <v>1216</v>
      </c>
      <c r="F584" s="7">
        <v>45495</v>
      </c>
      <c r="G584" s="6" t="s">
        <v>3478</v>
      </c>
      <c r="H584" s="8">
        <v>40</v>
      </c>
      <c r="I584" s="9">
        <v>2827.57</v>
      </c>
      <c r="J584" s="9">
        <v>2827.57</v>
      </c>
      <c r="K584" s="5" t="str">
        <f>VLOOKUP(D584,[1]Clientes!$A$1:$B$1370,2,0)</f>
        <v>INT0006</v>
      </c>
      <c r="L584" s="5" t="str">
        <f t="shared" si="18"/>
        <v>HGI0123402</v>
      </c>
      <c r="M584" s="5" t="str">
        <f t="shared" si="19"/>
        <v>I</v>
      </c>
      <c r="N584" s="5">
        <f>IF(G584=[1]Clientes!$C$3,[1]Clientes!$D$3,[1]Clientes!$D$2)</f>
        <v>13050101</v>
      </c>
    </row>
    <row r="585" spans="1:14">
      <c r="A585" s="6" t="s">
        <v>3099</v>
      </c>
      <c r="B585" s="7">
        <v>45412</v>
      </c>
      <c r="C585" s="6" t="s">
        <v>3693</v>
      </c>
      <c r="D585" s="6" t="s">
        <v>3661</v>
      </c>
      <c r="E585" s="6" t="s">
        <v>1216</v>
      </c>
      <c r="F585" s="7">
        <v>45502</v>
      </c>
      <c r="G585" s="6" t="s">
        <v>3478</v>
      </c>
      <c r="H585" s="8">
        <v>33</v>
      </c>
      <c r="I585" s="9">
        <v>-401.6</v>
      </c>
      <c r="J585" s="9">
        <v>-401.6</v>
      </c>
      <c r="K585" s="5" t="str">
        <f>VLOOKUP(D585,[1]Clientes!$A$1:$B$1370,2,0)</f>
        <v>INT0006</v>
      </c>
      <c r="L585" s="5" t="str">
        <f t="shared" si="18"/>
        <v>CRM0123965</v>
      </c>
      <c r="M585" s="5" t="str">
        <f t="shared" si="19"/>
        <v>C</v>
      </c>
      <c r="N585" s="5">
        <f>IF(G585=[1]Clientes!$C$3,[1]Clientes!$D$3,[1]Clientes!$D$2)</f>
        <v>13050101</v>
      </c>
    </row>
    <row r="586" spans="1:14">
      <c r="A586" s="6" t="s">
        <v>7</v>
      </c>
      <c r="B586" s="7">
        <v>45473</v>
      </c>
      <c r="C586" s="6" t="s">
        <v>3694</v>
      </c>
      <c r="D586" s="6" t="s">
        <v>3661</v>
      </c>
      <c r="E586" s="6" t="s">
        <v>16</v>
      </c>
      <c r="F586" s="7">
        <v>45503</v>
      </c>
      <c r="G586" s="6" t="s">
        <v>3478</v>
      </c>
      <c r="H586" s="8">
        <v>32</v>
      </c>
      <c r="I586" s="9">
        <v>37.35</v>
      </c>
      <c r="J586" s="9">
        <v>37.35</v>
      </c>
      <c r="K586" s="5" t="str">
        <f>VLOOKUP(D586,[1]Clientes!$A$1:$B$1370,2,0)</f>
        <v>INT0006</v>
      </c>
      <c r="L586" s="5" t="str">
        <f t="shared" si="18"/>
        <v>TGDR202698</v>
      </c>
      <c r="M586" s="5" t="str">
        <f t="shared" si="19"/>
        <v>I</v>
      </c>
      <c r="N586" s="5">
        <f>IF(G586=[1]Clientes!$C$3,[1]Clientes!$D$3,[1]Clientes!$D$2)</f>
        <v>13050101</v>
      </c>
    </row>
    <row r="587" spans="1:14">
      <c r="A587" s="6" t="s">
        <v>7</v>
      </c>
      <c r="B587" s="7">
        <v>45428</v>
      </c>
      <c r="C587" s="6" t="s">
        <v>3695</v>
      </c>
      <c r="D587" s="6" t="s">
        <v>3661</v>
      </c>
      <c r="E587" s="6" t="s">
        <v>1216</v>
      </c>
      <c r="F587" s="7">
        <v>45518</v>
      </c>
      <c r="G587" s="6" t="s">
        <v>3478</v>
      </c>
      <c r="H587" s="8">
        <v>17</v>
      </c>
      <c r="I587" s="9">
        <v>97.5</v>
      </c>
      <c r="J587" s="9">
        <v>97.5</v>
      </c>
      <c r="K587" s="5" t="str">
        <f>VLOOKUP(D587,[1]Clientes!$A$1:$B$1370,2,0)</f>
        <v>INT0006</v>
      </c>
      <c r="L587" s="5" t="str">
        <f t="shared" si="18"/>
        <v>HGI0124348</v>
      </c>
      <c r="M587" s="5" t="str">
        <f t="shared" si="19"/>
        <v>I</v>
      </c>
      <c r="N587" s="5">
        <f>IF(G587=[1]Clientes!$C$3,[1]Clientes!$D$3,[1]Clientes!$D$2)</f>
        <v>13050101</v>
      </c>
    </row>
    <row r="588" spans="1:14">
      <c r="A588" s="6" t="s">
        <v>7</v>
      </c>
      <c r="B588" s="7">
        <v>45433</v>
      </c>
      <c r="C588" s="6" t="s">
        <v>3696</v>
      </c>
      <c r="D588" s="6" t="s">
        <v>3661</v>
      </c>
      <c r="E588" s="6" t="s">
        <v>1216</v>
      </c>
      <c r="F588" s="7">
        <v>45523</v>
      </c>
      <c r="G588" s="6" t="s">
        <v>3478</v>
      </c>
      <c r="H588" s="8">
        <v>12</v>
      </c>
      <c r="I588" s="9">
        <v>205.51</v>
      </c>
      <c r="J588" s="9">
        <v>205.51</v>
      </c>
      <c r="K588" s="5" t="str">
        <f>VLOOKUP(D588,[1]Clientes!$A$1:$B$1370,2,0)</f>
        <v>INT0006</v>
      </c>
      <c r="L588" s="5" t="str">
        <f t="shared" si="18"/>
        <v>HGI0124505</v>
      </c>
      <c r="M588" s="5" t="str">
        <f t="shared" si="19"/>
        <v>I</v>
      </c>
      <c r="N588" s="5">
        <f>IF(G588=[1]Clientes!$C$3,[1]Clientes!$D$3,[1]Clientes!$D$2)</f>
        <v>13050101</v>
      </c>
    </row>
    <row r="589" spans="1:14">
      <c r="A589" s="6" t="s">
        <v>7</v>
      </c>
      <c r="B589" s="7">
        <v>45433</v>
      </c>
      <c r="C589" s="6" t="s">
        <v>3697</v>
      </c>
      <c r="D589" s="6" t="s">
        <v>3661</v>
      </c>
      <c r="E589" s="6" t="s">
        <v>1216</v>
      </c>
      <c r="F589" s="7">
        <v>45523</v>
      </c>
      <c r="G589" s="6" t="s">
        <v>3478</v>
      </c>
      <c r="H589" s="8">
        <v>12</v>
      </c>
      <c r="I589" s="9">
        <v>38877.800000000003</v>
      </c>
      <c r="J589" s="9">
        <v>38877.800000000003</v>
      </c>
      <c r="K589" s="5" t="str">
        <f>VLOOKUP(D589,[1]Clientes!$A$1:$B$1370,2,0)</f>
        <v>INT0006</v>
      </c>
      <c r="L589" s="5" t="str">
        <f t="shared" si="18"/>
        <v>HGI0124564</v>
      </c>
      <c r="M589" s="5" t="str">
        <f t="shared" si="19"/>
        <v>I</v>
      </c>
      <c r="N589" s="5">
        <f>IF(G589=[1]Clientes!$C$3,[1]Clientes!$D$3,[1]Clientes!$D$2)</f>
        <v>13050101</v>
      </c>
    </row>
    <row r="590" spans="1:14">
      <c r="A590" s="6" t="s">
        <v>3099</v>
      </c>
      <c r="B590" s="7">
        <v>45439</v>
      </c>
      <c r="C590" s="6" t="s">
        <v>3698</v>
      </c>
      <c r="D590" s="6" t="s">
        <v>3661</v>
      </c>
      <c r="E590" s="6" t="s">
        <v>1216</v>
      </c>
      <c r="F590" s="7">
        <v>45529</v>
      </c>
      <c r="G590" s="6" t="s">
        <v>3478</v>
      </c>
      <c r="H590" s="8">
        <v>6</v>
      </c>
      <c r="I590" s="9">
        <v>-97.5</v>
      </c>
      <c r="J590" s="9">
        <v>-97.5</v>
      </c>
      <c r="K590" s="5" t="str">
        <f>VLOOKUP(D590,[1]Clientes!$A$1:$B$1370,2,0)</f>
        <v>INT0006</v>
      </c>
      <c r="L590" s="5" t="str">
        <f t="shared" si="18"/>
        <v>CRM0124589</v>
      </c>
      <c r="M590" s="5" t="str">
        <f t="shared" si="19"/>
        <v>C</v>
      </c>
      <c r="N590" s="5">
        <f>IF(G590=[1]Clientes!$C$3,[1]Clientes!$D$3,[1]Clientes!$D$2)</f>
        <v>13050101</v>
      </c>
    </row>
    <row r="591" spans="1:14">
      <c r="A591" s="6" t="s">
        <v>3099</v>
      </c>
      <c r="B591" s="7">
        <v>45442</v>
      </c>
      <c r="C591" s="6" t="s">
        <v>3699</v>
      </c>
      <c r="D591" s="6" t="s">
        <v>3661</v>
      </c>
      <c r="E591" s="6" t="s">
        <v>1216</v>
      </c>
      <c r="F591" s="7">
        <v>45532</v>
      </c>
      <c r="G591" s="6" t="s">
        <v>3478</v>
      </c>
      <c r="H591" s="8">
        <v>3</v>
      </c>
      <c r="I591" s="9">
        <v>-1552.2</v>
      </c>
      <c r="J591" s="9">
        <v>-1552.2</v>
      </c>
      <c r="K591" s="5" t="str">
        <f>VLOOKUP(D591,[1]Clientes!$A$1:$B$1370,2,0)</f>
        <v>INT0006</v>
      </c>
      <c r="L591" s="5" t="str">
        <f t="shared" si="18"/>
        <v>CRM0124681</v>
      </c>
      <c r="M591" s="5" t="str">
        <f t="shared" si="19"/>
        <v>C</v>
      </c>
      <c r="N591" s="5">
        <f>IF(G591=[1]Clientes!$C$3,[1]Clientes!$D$3,[1]Clientes!$D$2)</f>
        <v>13050101</v>
      </c>
    </row>
    <row r="592" spans="1:14">
      <c r="A592" s="6" t="s">
        <v>3099</v>
      </c>
      <c r="B592" s="7">
        <v>45442</v>
      </c>
      <c r="C592" s="6" t="s">
        <v>3700</v>
      </c>
      <c r="D592" s="6" t="s">
        <v>3661</v>
      </c>
      <c r="E592" s="6" t="s">
        <v>1216</v>
      </c>
      <c r="F592" s="7">
        <v>45532</v>
      </c>
      <c r="G592" s="6" t="s">
        <v>3478</v>
      </c>
      <c r="H592" s="8">
        <v>3</v>
      </c>
      <c r="I592" s="9">
        <v>-2827.57</v>
      </c>
      <c r="J592" s="9">
        <v>-2827.57</v>
      </c>
      <c r="K592" s="5" t="str">
        <f>VLOOKUP(D592,[1]Clientes!$A$1:$B$1370,2,0)</f>
        <v>INT0006</v>
      </c>
      <c r="L592" s="5" t="str">
        <f t="shared" si="18"/>
        <v>CRM0124682</v>
      </c>
      <c r="M592" s="5" t="str">
        <f t="shared" si="19"/>
        <v>C</v>
      </c>
      <c r="N592" s="5">
        <f>IF(G592=[1]Clientes!$C$3,[1]Clientes!$D$3,[1]Clientes!$D$2)</f>
        <v>13050101</v>
      </c>
    </row>
    <row r="593" spans="1:14">
      <c r="A593" s="6" t="s">
        <v>7</v>
      </c>
      <c r="B593" s="7">
        <v>45504</v>
      </c>
      <c r="C593" s="6" t="s">
        <v>3701</v>
      </c>
      <c r="D593" s="6" t="s">
        <v>3661</v>
      </c>
      <c r="E593" s="6" t="s">
        <v>16</v>
      </c>
      <c r="F593" s="7">
        <v>45534</v>
      </c>
      <c r="G593" s="6" t="s">
        <v>3478</v>
      </c>
      <c r="H593" s="8">
        <v>1</v>
      </c>
      <c r="I593" s="9">
        <v>31.42</v>
      </c>
      <c r="J593" s="9">
        <v>31.42</v>
      </c>
      <c r="K593" s="5" t="str">
        <f>VLOOKUP(D593,[1]Clientes!$A$1:$B$1370,2,0)</f>
        <v>INT0006</v>
      </c>
      <c r="L593" s="5" t="str">
        <f t="shared" si="18"/>
        <v>TGDR202722</v>
      </c>
      <c r="M593" s="5" t="str">
        <f t="shared" si="19"/>
        <v>I</v>
      </c>
      <c r="N593" s="5">
        <f>IF(G593=[1]Clientes!$C$3,[1]Clientes!$D$3,[1]Clientes!$D$2)</f>
        <v>13050101</v>
      </c>
    </row>
    <row r="594" spans="1:14">
      <c r="A594" s="6" t="s">
        <v>7</v>
      </c>
      <c r="B594" s="7">
        <v>45448</v>
      </c>
      <c r="C594" s="6" t="s">
        <v>3702</v>
      </c>
      <c r="D594" s="6" t="s">
        <v>3661</v>
      </c>
      <c r="E594" s="6" t="s">
        <v>1216</v>
      </c>
      <c r="F594" s="7">
        <v>45538</v>
      </c>
      <c r="G594" s="6" t="s">
        <v>3478</v>
      </c>
      <c r="H594" s="8"/>
      <c r="I594" s="9">
        <v>10059.84</v>
      </c>
      <c r="J594" s="9">
        <v>10059.84</v>
      </c>
      <c r="K594" s="5" t="str">
        <f>VLOOKUP(D594,[1]Clientes!$A$1:$B$1370,2,0)</f>
        <v>INT0006</v>
      </c>
      <c r="L594" s="5" t="str">
        <f t="shared" si="18"/>
        <v>HGI0124871</v>
      </c>
      <c r="M594" s="5" t="str">
        <f t="shared" si="19"/>
        <v>I</v>
      </c>
      <c r="N594" s="5">
        <f>IF(G594=[1]Clientes!$C$3,[1]Clientes!$D$3,[1]Clientes!$D$2)</f>
        <v>13050101</v>
      </c>
    </row>
    <row r="595" spans="1:14">
      <c r="A595" s="6" t="s">
        <v>7</v>
      </c>
      <c r="B595" s="7">
        <v>45448</v>
      </c>
      <c r="C595" s="6" t="s">
        <v>3703</v>
      </c>
      <c r="D595" s="6" t="s">
        <v>3661</v>
      </c>
      <c r="E595" s="6" t="s">
        <v>1216</v>
      </c>
      <c r="F595" s="7">
        <v>45538</v>
      </c>
      <c r="G595" s="6" t="s">
        <v>3478</v>
      </c>
      <c r="H595" s="8"/>
      <c r="I595" s="9">
        <v>28237.8</v>
      </c>
      <c r="J595" s="9">
        <v>28237.8</v>
      </c>
      <c r="K595" s="5" t="str">
        <f>VLOOKUP(D595,[1]Clientes!$A$1:$B$1370,2,0)</f>
        <v>INT0006</v>
      </c>
      <c r="L595" s="5" t="str">
        <f t="shared" si="18"/>
        <v>HGI0124872</v>
      </c>
      <c r="M595" s="5" t="str">
        <f t="shared" si="19"/>
        <v>I</v>
      </c>
      <c r="N595" s="5">
        <f>IF(G595=[1]Clientes!$C$3,[1]Clientes!$D$3,[1]Clientes!$D$2)</f>
        <v>13050101</v>
      </c>
    </row>
    <row r="596" spans="1:14">
      <c r="A596" s="6" t="s">
        <v>3099</v>
      </c>
      <c r="B596" s="7">
        <v>45454</v>
      </c>
      <c r="C596" s="6" t="s">
        <v>3704</v>
      </c>
      <c r="D596" s="6" t="s">
        <v>3661</v>
      </c>
      <c r="E596" s="6" t="s">
        <v>1216</v>
      </c>
      <c r="F596" s="7">
        <v>45544</v>
      </c>
      <c r="G596" s="6" t="s">
        <v>3478</v>
      </c>
      <c r="H596" s="8"/>
      <c r="I596" s="9">
        <v>-38297.64</v>
      </c>
      <c r="J596" s="9">
        <v>-38297.64</v>
      </c>
      <c r="K596" s="5" t="str">
        <f>VLOOKUP(D596,[1]Clientes!$A$1:$B$1370,2,0)</f>
        <v>INT0006</v>
      </c>
      <c r="L596" s="5" t="str">
        <f t="shared" si="18"/>
        <v>CRM0124978</v>
      </c>
      <c r="M596" s="5" t="str">
        <f t="shared" si="19"/>
        <v>C</v>
      </c>
      <c r="N596" s="5">
        <f>IF(G596=[1]Clientes!$C$3,[1]Clientes!$D$3,[1]Clientes!$D$2)</f>
        <v>13050101</v>
      </c>
    </row>
    <row r="597" spans="1:14">
      <c r="A597" s="6" t="s">
        <v>7</v>
      </c>
      <c r="B597" s="7">
        <v>45461</v>
      </c>
      <c r="C597" s="6" t="s">
        <v>3705</v>
      </c>
      <c r="D597" s="6" t="s">
        <v>3661</v>
      </c>
      <c r="E597" s="6" t="s">
        <v>1216</v>
      </c>
      <c r="F597" s="7">
        <v>45551</v>
      </c>
      <c r="G597" s="6" t="s">
        <v>3478</v>
      </c>
      <c r="H597" s="8"/>
      <c r="I597" s="9">
        <v>757.5</v>
      </c>
      <c r="J597" s="9">
        <v>757.5</v>
      </c>
      <c r="K597" s="5" t="str">
        <f>VLOOKUP(D597,[1]Clientes!$A$1:$B$1370,2,0)</f>
        <v>INT0006</v>
      </c>
      <c r="L597" s="5" t="str">
        <f t="shared" si="18"/>
        <v>HGI0125160</v>
      </c>
      <c r="M597" s="5" t="str">
        <f t="shared" si="19"/>
        <v>I</v>
      </c>
      <c r="N597" s="5">
        <f>IF(G597=[1]Clientes!$C$3,[1]Clientes!$D$3,[1]Clientes!$D$2)</f>
        <v>13050101</v>
      </c>
    </row>
    <row r="598" spans="1:14">
      <c r="A598" s="6" t="s">
        <v>7</v>
      </c>
      <c r="B598" s="7">
        <v>45463</v>
      </c>
      <c r="C598" s="6" t="s">
        <v>3706</v>
      </c>
      <c r="D598" s="6" t="s">
        <v>3661</v>
      </c>
      <c r="E598" s="6" t="s">
        <v>1216</v>
      </c>
      <c r="F598" s="7">
        <v>45553</v>
      </c>
      <c r="G598" s="6" t="s">
        <v>3478</v>
      </c>
      <c r="H598" s="8"/>
      <c r="I598" s="9">
        <v>210.64</v>
      </c>
      <c r="J598" s="9">
        <v>210.64</v>
      </c>
      <c r="K598" s="5" t="str">
        <f>VLOOKUP(D598,[1]Clientes!$A$1:$B$1370,2,0)</f>
        <v>INT0006</v>
      </c>
      <c r="L598" s="5" t="str">
        <f t="shared" si="18"/>
        <v>HGI0125222</v>
      </c>
      <c r="M598" s="5" t="str">
        <f t="shared" si="19"/>
        <v>I</v>
      </c>
      <c r="N598" s="5">
        <f>IF(G598=[1]Clientes!$C$3,[1]Clientes!$D$3,[1]Clientes!$D$2)</f>
        <v>13050101</v>
      </c>
    </row>
    <row r="599" spans="1:14">
      <c r="A599" s="6" t="s">
        <v>7</v>
      </c>
      <c r="B599" s="7">
        <v>45477</v>
      </c>
      <c r="C599" s="6" t="s">
        <v>3707</v>
      </c>
      <c r="D599" s="6" t="s">
        <v>3661</v>
      </c>
      <c r="E599" s="6" t="s">
        <v>1216</v>
      </c>
      <c r="F599" s="7">
        <v>45567</v>
      </c>
      <c r="G599" s="6" t="s">
        <v>3478</v>
      </c>
      <c r="H599" s="8"/>
      <c r="I599" s="9">
        <v>1790.76</v>
      </c>
      <c r="J599" s="9">
        <v>1790.76</v>
      </c>
      <c r="K599" s="5" t="str">
        <f>VLOOKUP(D599,[1]Clientes!$A$1:$B$1370,2,0)</f>
        <v>INT0006</v>
      </c>
      <c r="L599" s="5" t="str">
        <f t="shared" si="18"/>
        <v>HGI0125514</v>
      </c>
      <c r="M599" s="5" t="str">
        <f t="shared" si="19"/>
        <v>I</v>
      </c>
      <c r="N599" s="5">
        <f>IF(G599=[1]Clientes!$C$3,[1]Clientes!$D$3,[1]Clientes!$D$2)</f>
        <v>13050101</v>
      </c>
    </row>
    <row r="600" spans="1:14">
      <c r="A600" s="6" t="s">
        <v>7</v>
      </c>
      <c r="B600" s="7">
        <v>45477</v>
      </c>
      <c r="C600" s="6" t="s">
        <v>3708</v>
      </c>
      <c r="D600" s="6" t="s">
        <v>3661</v>
      </c>
      <c r="E600" s="6" t="s">
        <v>1216</v>
      </c>
      <c r="F600" s="7">
        <v>45567</v>
      </c>
      <c r="G600" s="6" t="s">
        <v>3478</v>
      </c>
      <c r="H600" s="8"/>
      <c r="I600" s="9">
        <v>2275.29</v>
      </c>
      <c r="J600" s="9">
        <v>2275.29</v>
      </c>
      <c r="K600" s="5" t="str">
        <f>VLOOKUP(D600,[1]Clientes!$A$1:$B$1370,2,0)</f>
        <v>INT0006</v>
      </c>
      <c r="L600" s="5" t="str">
        <f t="shared" si="18"/>
        <v>HGI0125515</v>
      </c>
      <c r="M600" s="5" t="str">
        <f t="shared" si="19"/>
        <v>I</v>
      </c>
      <c r="N600" s="5">
        <f>IF(G600=[1]Clientes!$C$3,[1]Clientes!$D$3,[1]Clientes!$D$2)</f>
        <v>13050101</v>
      </c>
    </row>
    <row r="601" spans="1:14">
      <c r="A601" s="6" t="s">
        <v>7</v>
      </c>
      <c r="B601" s="7">
        <v>45482</v>
      </c>
      <c r="C601" s="6" t="s">
        <v>3709</v>
      </c>
      <c r="D601" s="6" t="s">
        <v>3661</v>
      </c>
      <c r="E601" s="6" t="s">
        <v>1216</v>
      </c>
      <c r="F601" s="7">
        <v>45572</v>
      </c>
      <c r="G601" s="6" t="s">
        <v>3102</v>
      </c>
      <c r="H601" s="8"/>
      <c r="I601" s="9">
        <v>1841.62</v>
      </c>
      <c r="J601" s="9">
        <v>1841.62</v>
      </c>
      <c r="K601" s="5" t="str">
        <f>VLOOKUP(D601,[1]Clientes!$A$1:$B$1370,2,0)</f>
        <v>INT0006</v>
      </c>
      <c r="L601" s="5" t="str">
        <f t="shared" si="18"/>
        <v>HGI0125685</v>
      </c>
      <c r="M601" s="5" t="str">
        <f t="shared" si="19"/>
        <v>I</v>
      </c>
      <c r="N601" s="5">
        <f>IF(G601=[1]Clientes!$C$3,[1]Clientes!$D$3,[1]Clientes!$D$2)</f>
        <v>13050505</v>
      </c>
    </row>
    <row r="602" spans="1:14">
      <c r="A602" s="6" t="s">
        <v>3099</v>
      </c>
      <c r="B602" s="7">
        <v>45488</v>
      </c>
      <c r="C602" s="6" t="s">
        <v>3710</v>
      </c>
      <c r="D602" s="6" t="s">
        <v>3661</v>
      </c>
      <c r="E602" s="6" t="s">
        <v>1216</v>
      </c>
      <c r="F602" s="7">
        <v>45578</v>
      </c>
      <c r="G602" s="6" t="s">
        <v>3102</v>
      </c>
      <c r="H602" s="8"/>
      <c r="I602" s="9">
        <v>-1790.76</v>
      </c>
      <c r="J602" s="9">
        <v>-1790.76</v>
      </c>
      <c r="K602" s="5" t="str">
        <f>VLOOKUP(D602,[1]Clientes!$A$1:$B$1370,2,0)</f>
        <v>INT0006</v>
      </c>
      <c r="L602" s="5" t="str">
        <f t="shared" si="18"/>
        <v>CRM0125683</v>
      </c>
      <c r="M602" s="5" t="str">
        <f t="shared" si="19"/>
        <v>C</v>
      </c>
      <c r="N602" s="5">
        <f>IF(G602=[1]Clientes!$C$3,[1]Clientes!$D$3,[1]Clientes!$D$2)</f>
        <v>13050505</v>
      </c>
    </row>
    <row r="603" spans="1:14">
      <c r="A603" s="6" t="s">
        <v>3099</v>
      </c>
      <c r="B603" s="7">
        <v>45488</v>
      </c>
      <c r="C603" s="6" t="s">
        <v>3711</v>
      </c>
      <c r="D603" s="6" t="s">
        <v>3661</v>
      </c>
      <c r="E603" s="6" t="s">
        <v>1216</v>
      </c>
      <c r="F603" s="7">
        <v>45578</v>
      </c>
      <c r="G603" s="6" t="s">
        <v>3102</v>
      </c>
      <c r="H603" s="8"/>
      <c r="I603" s="9">
        <v>-2275.29</v>
      </c>
      <c r="J603" s="9">
        <v>-2275.29</v>
      </c>
      <c r="K603" s="5" t="str">
        <f>VLOOKUP(D603,[1]Clientes!$A$1:$B$1370,2,0)</f>
        <v>INT0006</v>
      </c>
      <c r="L603" s="5" t="str">
        <f t="shared" si="18"/>
        <v>CRM0125684</v>
      </c>
      <c r="M603" s="5" t="str">
        <f t="shared" si="19"/>
        <v>C</v>
      </c>
      <c r="N603" s="5">
        <f>IF(G603=[1]Clientes!$C$3,[1]Clientes!$D$3,[1]Clientes!$D$2)</f>
        <v>13050505</v>
      </c>
    </row>
    <row r="604" spans="1:14">
      <c r="A604" s="6" t="s">
        <v>7</v>
      </c>
      <c r="B604" s="7">
        <v>45488</v>
      </c>
      <c r="C604" s="6" t="s">
        <v>3712</v>
      </c>
      <c r="D604" s="6" t="s">
        <v>3661</v>
      </c>
      <c r="E604" s="6" t="s">
        <v>1216</v>
      </c>
      <c r="F604" s="7">
        <v>45578</v>
      </c>
      <c r="G604" s="6" t="s">
        <v>3102</v>
      </c>
      <c r="H604" s="8"/>
      <c r="I604" s="9">
        <v>2290.52</v>
      </c>
      <c r="J604" s="9">
        <v>2290.52</v>
      </c>
      <c r="K604" s="5" t="str">
        <f>VLOOKUP(D604,[1]Clientes!$A$1:$B$1370,2,0)</f>
        <v>INT0006</v>
      </c>
      <c r="L604" s="5" t="str">
        <f t="shared" si="18"/>
        <v>HGI0125709</v>
      </c>
      <c r="M604" s="5" t="str">
        <f t="shared" si="19"/>
        <v>I</v>
      </c>
      <c r="N604" s="5">
        <f>IF(G604=[1]Clientes!$C$3,[1]Clientes!$D$3,[1]Clientes!$D$2)</f>
        <v>13050505</v>
      </c>
    </row>
    <row r="605" spans="1:14">
      <c r="A605" s="6" t="s">
        <v>7</v>
      </c>
      <c r="B605" s="7">
        <v>45489</v>
      </c>
      <c r="C605" s="6" t="s">
        <v>3713</v>
      </c>
      <c r="D605" s="6" t="s">
        <v>3661</v>
      </c>
      <c r="E605" s="6" t="s">
        <v>1216</v>
      </c>
      <c r="F605" s="7">
        <v>45579</v>
      </c>
      <c r="G605" s="6" t="s">
        <v>3102</v>
      </c>
      <c r="H605" s="8"/>
      <c r="I605" s="9">
        <v>1103.9000000000001</v>
      </c>
      <c r="J605" s="9">
        <v>1103.9000000000001</v>
      </c>
      <c r="K605" s="5" t="str">
        <f>VLOOKUP(D605,[1]Clientes!$A$1:$B$1370,2,0)</f>
        <v>INT0006</v>
      </c>
      <c r="L605" s="5" t="str">
        <f t="shared" si="18"/>
        <v>HGI0125715</v>
      </c>
      <c r="M605" s="5" t="str">
        <f t="shared" si="19"/>
        <v>I</v>
      </c>
      <c r="N605" s="5">
        <f>IF(G605=[1]Clientes!$C$3,[1]Clientes!$D$3,[1]Clientes!$D$2)</f>
        <v>13050505</v>
      </c>
    </row>
    <row r="606" spans="1:14">
      <c r="A606" s="6" t="s">
        <v>7</v>
      </c>
      <c r="B606" s="7">
        <v>45495</v>
      </c>
      <c r="C606" s="6" t="s">
        <v>3714</v>
      </c>
      <c r="D606" s="6" t="s">
        <v>3661</v>
      </c>
      <c r="E606" s="6" t="s">
        <v>1216</v>
      </c>
      <c r="F606" s="7">
        <v>45585</v>
      </c>
      <c r="G606" s="6" t="s">
        <v>3102</v>
      </c>
      <c r="H606" s="8"/>
      <c r="I606" s="9">
        <v>213.83</v>
      </c>
      <c r="J606" s="9">
        <v>213.83</v>
      </c>
      <c r="K606" s="5" t="str">
        <f>VLOOKUP(D606,[1]Clientes!$A$1:$B$1370,2,0)</f>
        <v>INT0006</v>
      </c>
      <c r="L606" s="5" t="str">
        <f t="shared" si="18"/>
        <v>HGI0125875</v>
      </c>
      <c r="M606" s="5" t="str">
        <f t="shared" si="19"/>
        <v>I</v>
      </c>
      <c r="N606" s="5">
        <f>IF(G606=[1]Clientes!$C$3,[1]Clientes!$D$3,[1]Clientes!$D$2)</f>
        <v>13050505</v>
      </c>
    </row>
    <row r="607" spans="1:14">
      <c r="A607" s="6" t="s">
        <v>7</v>
      </c>
      <c r="B607" s="7">
        <v>45506</v>
      </c>
      <c r="C607" s="6" t="s">
        <v>3715</v>
      </c>
      <c r="D607" s="6" t="s">
        <v>3661</v>
      </c>
      <c r="E607" s="6" t="s">
        <v>1216</v>
      </c>
      <c r="F607" s="7">
        <v>45596</v>
      </c>
      <c r="G607" s="6" t="s">
        <v>3102</v>
      </c>
      <c r="H607" s="8"/>
      <c r="I607" s="9">
        <v>1836</v>
      </c>
      <c r="J607" s="9">
        <v>1836</v>
      </c>
      <c r="K607" s="5" t="str">
        <f>VLOOKUP(D607,[1]Clientes!$A$1:$B$1370,2,0)</f>
        <v>INT0006</v>
      </c>
      <c r="L607" s="5" t="str">
        <f t="shared" si="18"/>
        <v>HGI0126144</v>
      </c>
      <c r="M607" s="5" t="str">
        <f t="shared" si="19"/>
        <v>I</v>
      </c>
      <c r="N607" s="5">
        <f>IF(G607=[1]Clientes!$C$3,[1]Clientes!$D$3,[1]Clientes!$D$2)</f>
        <v>13050505</v>
      </c>
    </row>
    <row r="608" spans="1:14">
      <c r="A608" s="6" t="s">
        <v>7</v>
      </c>
      <c r="B608" s="7">
        <v>45520</v>
      </c>
      <c r="C608" s="6" t="s">
        <v>3716</v>
      </c>
      <c r="D608" s="6" t="s">
        <v>3661</v>
      </c>
      <c r="E608" s="6" t="s">
        <v>1216</v>
      </c>
      <c r="F608" s="7">
        <v>45610</v>
      </c>
      <c r="G608" s="6" t="s">
        <v>3102</v>
      </c>
      <c r="H608" s="8"/>
      <c r="I608" s="9">
        <v>6262.8</v>
      </c>
      <c r="J608" s="9">
        <v>6262.8</v>
      </c>
      <c r="K608" s="5" t="str">
        <f>VLOOKUP(D608,[1]Clientes!$A$1:$B$1370,2,0)</f>
        <v>INT0006</v>
      </c>
      <c r="L608" s="5" t="str">
        <f t="shared" si="18"/>
        <v>HGI0126658</v>
      </c>
      <c r="M608" s="5" t="str">
        <f t="shared" si="19"/>
        <v>I</v>
      </c>
      <c r="N608" s="5">
        <f>IF(G608=[1]Clientes!$C$3,[1]Clientes!$D$3,[1]Clientes!$D$2)</f>
        <v>13050505</v>
      </c>
    </row>
    <row r="609" spans="1:14">
      <c r="A609" s="6" t="s">
        <v>7</v>
      </c>
      <c r="B609" s="7">
        <v>45525</v>
      </c>
      <c r="C609" s="6" t="s">
        <v>3717</v>
      </c>
      <c r="D609" s="6" t="s">
        <v>3661</v>
      </c>
      <c r="E609" s="6" t="s">
        <v>1216</v>
      </c>
      <c r="F609" s="7">
        <v>45615</v>
      </c>
      <c r="G609" s="6" t="s">
        <v>3102</v>
      </c>
      <c r="H609" s="8"/>
      <c r="I609" s="9">
        <v>41.33</v>
      </c>
      <c r="J609" s="9">
        <v>41.33</v>
      </c>
      <c r="K609" s="5" t="str">
        <f>VLOOKUP(D609,[1]Clientes!$A$1:$B$1370,2,0)</f>
        <v>INT0006</v>
      </c>
      <c r="L609" s="5" t="str">
        <f t="shared" si="18"/>
        <v>HGI0126711</v>
      </c>
      <c r="M609" s="5" t="str">
        <f t="shared" si="19"/>
        <v>I</v>
      </c>
      <c r="N609" s="5">
        <f>IF(G609=[1]Clientes!$C$3,[1]Clientes!$D$3,[1]Clientes!$D$2)</f>
        <v>13050505</v>
      </c>
    </row>
    <row r="610" spans="1:14">
      <c r="A610" s="6" t="s">
        <v>7</v>
      </c>
      <c r="B610" s="7">
        <v>45526</v>
      </c>
      <c r="C610" s="6" t="s">
        <v>3718</v>
      </c>
      <c r="D610" s="6" t="s">
        <v>3661</v>
      </c>
      <c r="E610" s="6" t="s">
        <v>1216</v>
      </c>
      <c r="F610" s="7">
        <v>45616</v>
      </c>
      <c r="G610" s="6" t="s">
        <v>3102</v>
      </c>
      <c r="H610" s="8"/>
      <c r="I610" s="9">
        <v>38877.800000000003</v>
      </c>
      <c r="J610" s="9">
        <v>38877.800000000003</v>
      </c>
      <c r="K610" s="5" t="str">
        <f>VLOOKUP(D610,[1]Clientes!$A$1:$B$1370,2,0)</f>
        <v>INT0006</v>
      </c>
      <c r="L610" s="5" t="str">
        <f t="shared" si="18"/>
        <v>HGI0126770</v>
      </c>
      <c r="M610" s="5" t="str">
        <f t="shared" si="19"/>
        <v>I</v>
      </c>
      <c r="N610" s="5">
        <f>IF(G610=[1]Clientes!$C$3,[1]Clientes!$D$3,[1]Clientes!$D$2)</f>
        <v>13050505</v>
      </c>
    </row>
    <row r="611" spans="1:14">
      <c r="A611" s="6" t="s">
        <v>7</v>
      </c>
      <c r="B611" s="7">
        <v>45526</v>
      </c>
      <c r="C611" s="6" t="s">
        <v>3719</v>
      </c>
      <c r="D611" s="6" t="s">
        <v>3661</v>
      </c>
      <c r="E611" s="6" t="s">
        <v>1216</v>
      </c>
      <c r="F611" s="7">
        <v>45616</v>
      </c>
      <c r="G611" s="6" t="s">
        <v>3102</v>
      </c>
      <c r="H611" s="8"/>
      <c r="I611" s="9">
        <v>42991.83</v>
      </c>
      <c r="J611" s="9">
        <v>42991.83</v>
      </c>
      <c r="K611" s="5" t="str">
        <f>VLOOKUP(D611,[1]Clientes!$A$1:$B$1370,2,0)</f>
        <v>INT0006</v>
      </c>
      <c r="L611" s="5" t="str">
        <f t="shared" si="18"/>
        <v>HGI0126774</v>
      </c>
      <c r="M611" s="5" t="str">
        <f t="shared" si="19"/>
        <v>I</v>
      </c>
      <c r="N611" s="5">
        <f>IF(G611=[1]Clientes!$C$3,[1]Clientes!$D$3,[1]Clientes!$D$2)</f>
        <v>13050505</v>
      </c>
    </row>
    <row r="612" spans="1:14">
      <c r="A612" s="6" t="s">
        <v>7</v>
      </c>
      <c r="B612" s="7">
        <v>45526</v>
      </c>
      <c r="C612" s="6" t="s">
        <v>3720</v>
      </c>
      <c r="D612" s="6" t="s">
        <v>3661</v>
      </c>
      <c r="E612" s="6" t="s">
        <v>1216</v>
      </c>
      <c r="F612" s="7">
        <v>45616</v>
      </c>
      <c r="G612" s="6" t="s">
        <v>3102</v>
      </c>
      <c r="H612" s="8"/>
      <c r="I612" s="9">
        <v>1736.16</v>
      </c>
      <c r="J612" s="9">
        <v>1736.16</v>
      </c>
      <c r="K612" s="5" t="str">
        <f>VLOOKUP(D612,[1]Clientes!$A$1:$B$1370,2,0)</f>
        <v>INT0006</v>
      </c>
      <c r="L612" s="5" t="str">
        <f t="shared" si="18"/>
        <v>HGI0126778</v>
      </c>
      <c r="M612" s="5" t="str">
        <f t="shared" si="19"/>
        <v>I</v>
      </c>
      <c r="N612" s="5">
        <f>IF(G612=[1]Clientes!$C$3,[1]Clientes!$D$3,[1]Clientes!$D$2)</f>
        <v>13050505</v>
      </c>
    </row>
    <row r="613" spans="1:14">
      <c r="A613" s="6" t="s">
        <v>7</v>
      </c>
      <c r="B613" s="7">
        <v>45526</v>
      </c>
      <c r="C613" s="6" t="s">
        <v>3721</v>
      </c>
      <c r="D613" s="6" t="s">
        <v>3661</v>
      </c>
      <c r="E613" s="6" t="s">
        <v>1216</v>
      </c>
      <c r="F613" s="7">
        <v>45616</v>
      </c>
      <c r="G613" s="6" t="s">
        <v>3102</v>
      </c>
      <c r="H613" s="8"/>
      <c r="I613" s="9">
        <v>4930</v>
      </c>
      <c r="J613" s="9">
        <v>4930</v>
      </c>
      <c r="K613" s="5" t="str">
        <f>VLOOKUP(D613,[1]Clientes!$A$1:$B$1370,2,0)</f>
        <v>INT0006</v>
      </c>
      <c r="L613" s="5" t="str">
        <f t="shared" si="18"/>
        <v>HGI0126780</v>
      </c>
      <c r="M613" s="5" t="str">
        <f t="shared" si="19"/>
        <v>I</v>
      </c>
      <c r="N613" s="5">
        <f>IF(G613=[1]Clientes!$C$3,[1]Clientes!$D$3,[1]Clientes!$D$2)</f>
        <v>13050505</v>
      </c>
    </row>
    <row r="614" spans="1:14">
      <c r="A614" s="6" t="s">
        <v>7</v>
      </c>
      <c r="B614" s="7">
        <v>45526</v>
      </c>
      <c r="C614" s="6" t="s">
        <v>3722</v>
      </c>
      <c r="D614" s="6" t="s">
        <v>3661</v>
      </c>
      <c r="E614" s="6" t="s">
        <v>1216</v>
      </c>
      <c r="F614" s="7">
        <v>45616</v>
      </c>
      <c r="G614" s="6" t="s">
        <v>3102</v>
      </c>
      <c r="H614" s="8"/>
      <c r="I614" s="9">
        <v>684</v>
      </c>
      <c r="J614" s="9">
        <v>684</v>
      </c>
      <c r="K614" s="5" t="str">
        <f>VLOOKUP(D614,[1]Clientes!$A$1:$B$1370,2,0)</f>
        <v>INT0006</v>
      </c>
      <c r="L614" s="5" t="str">
        <f t="shared" si="18"/>
        <v>HGI0126786</v>
      </c>
      <c r="M614" s="5" t="str">
        <f t="shared" si="19"/>
        <v>I</v>
      </c>
      <c r="N614" s="5">
        <f>IF(G614=[1]Clientes!$C$3,[1]Clientes!$D$3,[1]Clientes!$D$2)</f>
        <v>13050505</v>
      </c>
    </row>
    <row r="615" spans="1:14">
      <c r="A615" s="6" t="s">
        <v>7</v>
      </c>
      <c r="B615" s="7">
        <v>45530</v>
      </c>
      <c r="C615" s="6" t="s">
        <v>3723</v>
      </c>
      <c r="D615" s="6" t="s">
        <v>3661</v>
      </c>
      <c r="E615" s="6" t="s">
        <v>1216</v>
      </c>
      <c r="F615" s="7">
        <v>45620</v>
      </c>
      <c r="G615" s="6" t="s">
        <v>3102</v>
      </c>
      <c r="H615" s="8"/>
      <c r="I615" s="9">
        <v>301.5</v>
      </c>
      <c r="J615" s="9">
        <v>301.5</v>
      </c>
      <c r="K615" s="5" t="str">
        <f>VLOOKUP(D615,[1]Clientes!$A$1:$B$1370,2,0)</f>
        <v>INT0006</v>
      </c>
      <c r="L615" s="5" t="str">
        <f t="shared" si="18"/>
        <v>HGI0126832</v>
      </c>
      <c r="M615" s="5" t="str">
        <f t="shared" si="19"/>
        <v>I</v>
      </c>
      <c r="N615" s="5">
        <f>IF(G615=[1]Clientes!$C$3,[1]Clientes!$D$3,[1]Clientes!$D$2)</f>
        <v>13050505</v>
      </c>
    </row>
    <row r="616" spans="1:14">
      <c r="A616" s="6" t="s">
        <v>3265</v>
      </c>
      <c r="B616" s="7">
        <v>45504</v>
      </c>
      <c r="C616" s="6" t="s">
        <v>3519</v>
      </c>
      <c r="D616" s="6" t="s">
        <v>3724</v>
      </c>
      <c r="E616" s="6"/>
      <c r="F616" s="7"/>
      <c r="G616" s="6" t="s">
        <v>3478</v>
      </c>
      <c r="H616" s="8"/>
      <c r="I616" s="9">
        <v>-3500</v>
      </c>
      <c r="J616" s="9">
        <v>-3500</v>
      </c>
      <c r="K616" s="5" t="str">
        <f>VLOOKUP(D616,[1]Clientes!$A$1:$B$1370,2,0)</f>
        <v>INT0002</v>
      </c>
      <c r="L616" s="5" t="str">
        <f t="shared" si="18"/>
        <v>Revisar</v>
      </c>
      <c r="M616" s="5" t="str">
        <f t="shared" si="19"/>
        <v>GJ</v>
      </c>
      <c r="N616" s="5">
        <f>IF(G616=[1]Clientes!$C$3,[1]Clientes!$D$3,[1]Clientes!$D$2)</f>
        <v>13050101</v>
      </c>
    </row>
    <row r="617" spans="1:14">
      <c r="A617" s="6" t="s">
        <v>7</v>
      </c>
      <c r="B617" s="7">
        <v>45491</v>
      </c>
      <c r="C617" s="6" t="s">
        <v>3725</v>
      </c>
      <c r="D617" s="6" t="s">
        <v>3724</v>
      </c>
      <c r="E617" s="6" t="s">
        <v>1216</v>
      </c>
      <c r="F617" s="7">
        <v>45581</v>
      </c>
      <c r="G617" s="6" t="s">
        <v>3102</v>
      </c>
      <c r="H617" s="8"/>
      <c r="I617" s="9">
        <v>1987.5</v>
      </c>
      <c r="J617" s="9">
        <v>7950</v>
      </c>
      <c r="K617" s="5" t="str">
        <f>VLOOKUP(D617,[1]Clientes!$A$1:$B$1370,2,0)</f>
        <v>INT0002</v>
      </c>
      <c r="L617" s="5" t="str">
        <f t="shared" si="18"/>
        <v>HGI0125798</v>
      </c>
      <c r="M617" s="5" t="str">
        <f t="shared" si="19"/>
        <v>I</v>
      </c>
      <c r="N617" s="5">
        <f>IF(G617=[1]Clientes!$C$3,[1]Clientes!$D$3,[1]Clientes!$D$2)</f>
        <v>13050505</v>
      </c>
    </row>
    <row r="618" spans="1:14">
      <c r="A618" s="6" t="s">
        <v>7</v>
      </c>
      <c r="B618" s="7">
        <v>45491</v>
      </c>
      <c r="C618" s="6" t="s">
        <v>3726</v>
      </c>
      <c r="D618" s="6" t="s">
        <v>3724</v>
      </c>
      <c r="E618" s="6" t="s">
        <v>1216</v>
      </c>
      <c r="F618" s="7">
        <v>45581</v>
      </c>
      <c r="G618" s="6" t="s">
        <v>3102</v>
      </c>
      <c r="H618" s="8"/>
      <c r="I618" s="9">
        <v>6050</v>
      </c>
      <c r="J618" s="9">
        <v>6050</v>
      </c>
      <c r="K618" s="5" t="str">
        <f>VLOOKUP(D618,[1]Clientes!$A$1:$B$1370,2,0)</f>
        <v>INT0002</v>
      </c>
      <c r="L618" s="5" t="str">
        <f t="shared" si="18"/>
        <v>HGI0125799</v>
      </c>
      <c r="M618" s="5" t="str">
        <f t="shared" si="19"/>
        <v>I</v>
      </c>
      <c r="N618" s="5">
        <f>IF(G618=[1]Clientes!$C$3,[1]Clientes!$D$3,[1]Clientes!$D$2)</f>
        <v>13050505</v>
      </c>
    </row>
    <row r="619" spans="1:14">
      <c r="A619" s="6" t="s">
        <v>3099</v>
      </c>
      <c r="B619" s="7">
        <v>45230</v>
      </c>
      <c r="C619" s="6" t="s">
        <v>3727</v>
      </c>
      <c r="D619" s="6" t="s">
        <v>3728</v>
      </c>
      <c r="E619" s="6" t="s">
        <v>1216</v>
      </c>
      <c r="F619" s="7">
        <v>45167</v>
      </c>
      <c r="G619" s="6" t="s">
        <v>3478</v>
      </c>
      <c r="H619" s="8">
        <v>368</v>
      </c>
      <c r="I619" s="9">
        <v>-531.94000000000005</v>
      </c>
      <c r="J619" s="9">
        <v>-531.94000000000005</v>
      </c>
      <c r="K619" s="5" t="str">
        <f>VLOOKUP(D619,[1]Clientes!$A$1:$B$1370,2,0)</f>
        <v>INT0001</v>
      </c>
      <c r="L619" s="5" t="str">
        <f t="shared" si="18"/>
        <v>CRM202553</v>
      </c>
      <c r="M619" s="5" t="str">
        <f t="shared" si="19"/>
        <v>C</v>
      </c>
      <c r="N619" s="5">
        <f>IF(G619=[1]Clientes!$C$3,[1]Clientes!$D$3,[1]Clientes!$D$2)</f>
        <v>13050101</v>
      </c>
    </row>
    <row r="620" spans="1:14">
      <c r="A620" s="6" t="s">
        <v>7</v>
      </c>
      <c r="B620" s="7">
        <v>45443</v>
      </c>
      <c r="C620" s="6" t="s">
        <v>3729</v>
      </c>
      <c r="D620" s="6" t="s">
        <v>3728</v>
      </c>
      <c r="E620" s="6" t="s">
        <v>1216</v>
      </c>
      <c r="F620" s="7">
        <v>45533</v>
      </c>
      <c r="G620" s="6" t="s">
        <v>3478</v>
      </c>
      <c r="H620" s="8">
        <v>2</v>
      </c>
      <c r="I620" s="9">
        <v>175.37</v>
      </c>
      <c r="J620" s="9">
        <v>175.37</v>
      </c>
      <c r="K620" s="5" t="str">
        <f>VLOOKUP(D620,[1]Clientes!$A$1:$B$1370,2,0)</f>
        <v>INT0001</v>
      </c>
      <c r="L620" s="5" t="str">
        <f t="shared" si="18"/>
        <v>TGDR202676</v>
      </c>
      <c r="M620" s="5" t="str">
        <f t="shared" si="19"/>
        <v>I</v>
      </c>
      <c r="N620" s="5">
        <f>IF(G620=[1]Clientes!$C$3,[1]Clientes!$D$3,[1]Clientes!$D$2)</f>
        <v>13050101</v>
      </c>
    </row>
    <row r="621" spans="1:14">
      <c r="A621" s="6" t="s">
        <v>7</v>
      </c>
      <c r="B621" s="7">
        <v>45443</v>
      </c>
      <c r="C621" s="6" t="s">
        <v>3730</v>
      </c>
      <c r="D621" s="6" t="s">
        <v>3728</v>
      </c>
      <c r="E621" s="6" t="s">
        <v>1216</v>
      </c>
      <c r="F621" s="7">
        <v>45533</v>
      </c>
      <c r="G621" s="6" t="s">
        <v>3478</v>
      </c>
      <c r="H621" s="8">
        <v>2</v>
      </c>
      <c r="I621" s="9">
        <v>531.94000000000005</v>
      </c>
      <c r="J621" s="9">
        <v>20823.240000000002</v>
      </c>
      <c r="K621" s="5" t="str">
        <f>VLOOKUP(D621,[1]Clientes!$A$1:$B$1370,2,0)</f>
        <v>INT0001</v>
      </c>
      <c r="L621" s="5" t="str">
        <f t="shared" si="18"/>
        <v>TGDR202677</v>
      </c>
      <c r="M621" s="5" t="str">
        <f t="shared" si="19"/>
        <v>I</v>
      </c>
      <c r="N621" s="5">
        <f>IF(G621=[1]Clientes!$C$3,[1]Clientes!$D$3,[1]Clientes!$D$2)</f>
        <v>13050101</v>
      </c>
    </row>
    <row r="622" spans="1:14">
      <c r="A622" s="6" t="s">
        <v>7</v>
      </c>
      <c r="B622" s="7">
        <v>45443</v>
      </c>
      <c r="C622" s="6" t="s">
        <v>3731</v>
      </c>
      <c r="D622" s="6" t="s">
        <v>3728</v>
      </c>
      <c r="E622" s="6" t="s">
        <v>1216</v>
      </c>
      <c r="F622" s="7">
        <v>45533</v>
      </c>
      <c r="G622" s="6" t="s">
        <v>3478</v>
      </c>
      <c r="H622" s="8">
        <v>2</v>
      </c>
      <c r="I622" s="9">
        <v>1776</v>
      </c>
      <c r="J622" s="9">
        <v>1776</v>
      </c>
      <c r="K622" s="5" t="str">
        <f>VLOOKUP(D622,[1]Clientes!$A$1:$B$1370,2,0)</f>
        <v>INT0001</v>
      </c>
      <c r="L622" s="5" t="str">
        <f t="shared" si="18"/>
        <v>TGDR202678</v>
      </c>
      <c r="M622" s="5" t="str">
        <f t="shared" si="19"/>
        <v>I</v>
      </c>
      <c r="N622" s="5">
        <f>IF(G622=[1]Clientes!$C$3,[1]Clientes!$D$3,[1]Clientes!$D$2)</f>
        <v>13050101</v>
      </c>
    </row>
    <row r="623" spans="1:14">
      <c r="A623" s="6" t="s">
        <v>7</v>
      </c>
      <c r="B623" s="7">
        <v>45469</v>
      </c>
      <c r="C623" s="6" t="s">
        <v>3732</v>
      </c>
      <c r="D623" s="6" t="s">
        <v>3728</v>
      </c>
      <c r="E623" s="6" t="s">
        <v>1216</v>
      </c>
      <c r="F623" s="7">
        <v>45559</v>
      </c>
      <c r="G623" s="6" t="s">
        <v>3478</v>
      </c>
      <c r="H623" s="8"/>
      <c r="I623" s="9">
        <v>36711</v>
      </c>
      <c r="J623" s="9">
        <v>36711</v>
      </c>
      <c r="K623" s="5" t="str">
        <f>VLOOKUP(D623,[1]Clientes!$A$1:$B$1370,2,0)</f>
        <v>INT0001</v>
      </c>
      <c r="L623" s="5" t="str">
        <f t="shared" si="18"/>
        <v>TGDR202693</v>
      </c>
      <c r="M623" s="5" t="str">
        <f t="shared" si="19"/>
        <v>I</v>
      </c>
      <c r="N623" s="5">
        <f>IF(G623=[1]Clientes!$C$3,[1]Clientes!$D$3,[1]Clientes!$D$2)</f>
        <v>13050101</v>
      </c>
    </row>
    <row r="624" spans="1:14">
      <c r="A624" s="6" t="s">
        <v>7</v>
      </c>
      <c r="B624" s="7">
        <v>45473</v>
      </c>
      <c r="C624" s="6" t="s">
        <v>3733</v>
      </c>
      <c r="D624" s="6" t="s">
        <v>3728</v>
      </c>
      <c r="E624" s="6" t="s">
        <v>1216</v>
      </c>
      <c r="F624" s="7">
        <v>45563</v>
      </c>
      <c r="G624" s="6" t="s">
        <v>3478</v>
      </c>
      <c r="H624" s="8"/>
      <c r="I624" s="9">
        <v>727.67</v>
      </c>
      <c r="J624" s="9">
        <v>727.67</v>
      </c>
      <c r="K624" s="5" t="str">
        <f>VLOOKUP(D624,[1]Clientes!$A$1:$B$1370,2,0)</f>
        <v>INT0001</v>
      </c>
      <c r="L624" s="5" t="str">
        <f t="shared" si="18"/>
        <v>TGDR202695</v>
      </c>
      <c r="M624" s="5" t="str">
        <f t="shared" si="19"/>
        <v>I</v>
      </c>
      <c r="N624" s="5">
        <f>IF(G624=[1]Clientes!$C$3,[1]Clientes!$D$3,[1]Clientes!$D$2)</f>
        <v>13050101</v>
      </c>
    </row>
    <row r="625" spans="1:14">
      <c r="A625" s="6" t="s">
        <v>7</v>
      </c>
      <c r="B625" s="7">
        <v>45473</v>
      </c>
      <c r="C625" s="6" t="s">
        <v>3734</v>
      </c>
      <c r="D625" s="6" t="s">
        <v>3728</v>
      </c>
      <c r="E625" s="6" t="s">
        <v>1216</v>
      </c>
      <c r="F625" s="7">
        <v>45563</v>
      </c>
      <c r="G625" s="6" t="s">
        <v>3478</v>
      </c>
      <c r="H625" s="8"/>
      <c r="I625" s="9">
        <v>175.37</v>
      </c>
      <c r="J625" s="9">
        <v>175.37</v>
      </c>
      <c r="K625" s="5" t="str">
        <f>VLOOKUP(D625,[1]Clientes!$A$1:$B$1370,2,0)</f>
        <v>INT0001</v>
      </c>
      <c r="L625" s="5" t="str">
        <f t="shared" si="18"/>
        <v>TGDR202702</v>
      </c>
      <c r="M625" s="5" t="str">
        <f t="shared" si="19"/>
        <v>I</v>
      </c>
      <c r="N625" s="5">
        <f>IF(G625=[1]Clientes!$C$3,[1]Clientes!$D$3,[1]Clientes!$D$2)</f>
        <v>13050101</v>
      </c>
    </row>
    <row r="626" spans="1:14">
      <c r="A626" s="6" t="s">
        <v>7</v>
      </c>
      <c r="B626" s="7">
        <v>45473</v>
      </c>
      <c r="C626" s="6" t="s">
        <v>3735</v>
      </c>
      <c r="D626" s="6" t="s">
        <v>3728</v>
      </c>
      <c r="E626" s="6" t="s">
        <v>1216</v>
      </c>
      <c r="F626" s="7">
        <v>45563</v>
      </c>
      <c r="G626" s="6" t="s">
        <v>3478</v>
      </c>
      <c r="H626" s="8"/>
      <c r="I626" s="9">
        <v>5983.04</v>
      </c>
      <c r="J626" s="9">
        <v>5983.04</v>
      </c>
      <c r="K626" s="5" t="str">
        <f>VLOOKUP(D626,[1]Clientes!$A$1:$B$1370,2,0)</f>
        <v>INT0001</v>
      </c>
      <c r="L626" s="5" t="str">
        <f t="shared" si="18"/>
        <v>TGDR202703</v>
      </c>
      <c r="M626" s="5" t="str">
        <f t="shared" si="19"/>
        <v>I</v>
      </c>
      <c r="N626" s="5">
        <f>IF(G626=[1]Clientes!$C$3,[1]Clientes!$D$3,[1]Clientes!$D$2)</f>
        <v>13050101</v>
      </c>
    </row>
    <row r="627" spans="1:14">
      <c r="A627" s="6" t="s">
        <v>7</v>
      </c>
      <c r="B627" s="7">
        <v>45474</v>
      </c>
      <c r="C627" s="6" t="s">
        <v>3736</v>
      </c>
      <c r="D627" s="6" t="s">
        <v>3728</v>
      </c>
      <c r="E627" s="6" t="s">
        <v>1216</v>
      </c>
      <c r="F627" s="7">
        <v>45564</v>
      </c>
      <c r="G627" s="6" t="s">
        <v>3102</v>
      </c>
      <c r="H627" s="8"/>
      <c r="I627" s="9">
        <v>184.93</v>
      </c>
      <c r="J627" s="9">
        <v>184.93</v>
      </c>
      <c r="K627" s="5" t="str">
        <f>VLOOKUP(D627,[1]Clientes!$A$1:$B$1370,2,0)</f>
        <v>INT0001</v>
      </c>
      <c r="L627" s="5" t="str">
        <f t="shared" si="18"/>
        <v>HGI0125395</v>
      </c>
      <c r="M627" s="5" t="str">
        <f t="shared" si="19"/>
        <v>I</v>
      </c>
      <c r="N627" s="5">
        <f>IF(G627=[1]Clientes!$C$3,[1]Clientes!$D$3,[1]Clientes!$D$2)</f>
        <v>13050505</v>
      </c>
    </row>
    <row r="628" spans="1:14">
      <c r="A628" s="6" t="s">
        <v>7</v>
      </c>
      <c r="B628" s="7">
        <v>45496</v>
      </c>
      <c r="C628" s="6" t="s">
        <v>3737</v>
      </c>
      <c r="D628" s="6" t="s">
        <v>3728</v>
      </c>
      <c r="E628" s="6" t="s">
        <v>1216</v>
      </c>
      <c r="F628" s="7">
        <v>45586</v>
      </c>
      <c r="G628" s="6" t="s">
        <v>3478</v>
      </c>
      <c r="H628" s="8"/>
      <c r="I628" s="9">
        <v>36711</v>
      </c>
      <c r="J628" s="9">
        <v>36711</v>
      </c>
      <c r="K628" s="5" t="str">
        <f>VLOOKUP(D628,[1]Clientes!$A$1:$B$1370,2,0)</f>
        <v>INT0001</v>
      </c>
      <c r="L628" s="5" t="str">
        <f t="shared" si="18"/>
        <v>TGDR202706</v>
      </c>
      <c r="M628" s="5" t="str">
        <f t="shared" si="19"/>
        <v>I</v>
      </c>
      <c r="N628" s="5">
        <f>IF(G628=[1]Clientes!$C$3,[1]Clientes!$D$3,[1]Clientes!$D$2)</f>
        <v>13050101</v>
      </c>
    </row>
    <row r="629" spans="1:14">
      <c r="A629" s="6" t="s">
        <v>7</v>
      </c>
      <c r="B629" s="7">
        <v>45504</v>
      </c>
      <c r="C629" s="6" t="s">
        <v>3738</v>
      </c>
      <c r="D629" s="6" t="s">
        <v>3728</v>
      </c>
      <c r="E629" s="6" t="s">
        <v>1216</v>
      </c>
      <c r="F629" s="7">
        <v>45594</v>
      </c>
      <c r="G629" s="6" t="s">
        <v>3478</v>
      </c>
      <c r="H629" s="8"/>
      <c r="I629" s="9">
        <v>4317.18</v>
      </c>
      <c r="J629" s="9">
        <v>4317.18</v>
      </c>
      <c r="K629" s="5" t="str">
        <f>VLOOKUP(D629,[1]Clientes!$A$1:$B$1370,2,0)</f>
        <v>INT0001</v>
      </c>
      <c r="L629" s="5" t="str">
        <f t="shared" si="18"/>
        <v>TGDR202714</v>
      </c>
      <c r="M629" s="5" t="str">
        <f t="shared" si="19"/>
        <v>I</v>
      </c>
      <c r="N629" s="5">
        <f>IF(G629=[1]Clientes!$C$3,[1]Clientes!$D$3,[1]Clientes!$D$2)</f>
        <v>13050101</v>
      </c>
    </row>
    <row r="630" spans="1:14">
      <c r="A630" s="6" t="s">
        <v>7</v>
      </c>
      <c r="B630" s="7">
        <v>45504</v>
      </c>
      <c r="C630" s="6" t="s">
        <v>3739</v>
      </c>
      <c r="D630" s="6" t="s">
        <v>3728</v>
      </c>
      <c r="E630" s="6" t="s">
        <v>1216</v>
      </c>
      <c r="F630" s="7">
        <v>45594</v>
      </c>
      <c r="G630" s="6" t="s">
        <v>3478</v>
      </c>
      <c r="H630" s="8"/>
      <c r="I630" s="9">
        <v>2500</v>
      </c>
      <c r="J630" s="9">
        <v>2500</v>
      </c>
      <c r="K630" s="5" t="str">
        <f>VLOOKUP(D630,[1]Clientes!$A$1:$B$1370,2,0)</f>
        <v>INT0001</v>
      </c>
      <c r="L630" s="5" t="str">
        <f t="shared" si="18"/>
        <v>TGDR202715</v>
      </c>
      <c r="M630" s="5" t="str">
        <f t="shared" si="19"/>
        <v>I</v>
      </c>
      <c r="N630" s="5">
        <f>IF(G630=[1]Clientes!$C$3,[1]Clientes!$D$3,[1]Clientes!$D$2)</f>
        <v>13050101</v>
      </c>
    </row>
    <row r="631" spans="1:14">
      <c r="A631" s="6" t="s">
        <v>7</v>
      </c>
      <c r="B631" s="7">
        <v>45504</v>
      </c>
      <c r="C631" s="6" t="s">
        <v>3740</v>
      </c>
      <c r="D631" s="6" t="s">
        <v>3728</v>
      </c>
      <c r="E631" s="6" t="s">
        <v>1216</v>
      </c>
      <c r="F631" s="7">
        <v>45594</v>
      </c>
      <c r="G631" s="6" t="s">
        <v>3478</v>
      </c>
      <c r="H631" s="8"/>
      <c r="I631" s="9">
        <v>3750</v>
      </c>
      <c r="J631" s="9">
        <v>3750</v>
      </c>
      <c r="K631" s="5" t="str">
        <f>VLOOKUP(D631,[1]Clientes!$A$1:$B$1370,2,0)</f>
        <v>INT0001</v>
      </c>
      <c r="L631" s="5" t="str">
        <f t="shared" si="18"/>
        <v>TGDR202716</v>
      </c>
      <c r="M631" s="5" t="str">
        <f t="shared" si="19"/>
        <v>I</v>
      </c>
      <c r="N631" s="5">
        <f>IF(G631=[1]Clientes!$C$3,[1]Clientes!$D$3,[1]Clientes!$D$2)</f>
        <v>13050101</v>
      </c>
    </row>
    <row r="632" spans="1:14">
      <c r="A632" s="6" t="s">
        <v>7</v>
      </c>
      <c r="B632" s="7">
        <v>45504</v>
      </c>
      <c r="C632" s="6" t="s">
        <v>3741</v>
      </c>
      <c r="D632" s="6" t="s">
        <v>3728</v>
      </c>
      <c r="E632" s="6" t="s">
        <v>1216</v>
      </c>
      <c r="F632" s="7">
        <v>45594</v>
      </c>
      <c r="G632" s="6" t="s">
        <v>3478</v>
      </c>
      <c r="H632" s="8"/>
      <c r="I632" s="9">
        <v>526.01</v>
      </c>
      <c r="J632" s="9">
        <v>526.01</v>
      </c>
      <c r="K632" s="5" t="str">
        <f>VLOOKUP(D632,[1]Clientes!$A$1:$B$1370,2,0)</f>
        <v>INT0001</v>
      </c>
      <c r="L632" s="5" t="str">
        <f t="shared" si="18"/>
        <v>TGDR202719</v>
      </c>
      <c r="M632" s="5" t="str">
        <f t="shared" si="19"/>
        <v>I</v>
      </c>
      <c r="N632" s="5">
        <f>IF(G632=[1]Clientes!$C$3,[1]Clientes!$D$3,[1]Clientes!$D$2)</f>
        <v>13050101</v>
      </c>
    </row>
    <row r="633" spans="1:14">
      <c r="A633" s="6" t="s">
        <v>7</v>
      </c>
      <c r="B633" s="7">
        <v>45516</v>
      </c>
      <c r="C633" s="6" t="s">
        <v>3742</v>
      </c>
      <c r="D633" s="6" t="s">
        <v>3728</v>
      </c>
      <c r="E633" s="6" t="s">
        <v>1216</v>
      </c>
      <c r="F633" s="7">
        <v>45606</v>
      </c>
      <c r="G633" s="6" t="s">
        <v>3478</v>
      </c>
      <c r="H633" s="8"/>
      <c r="I633" s="9">
        <v>36711</v>
      </c>
      <c r="J633" s="9">
        <v>36711</v>
      </c>
      <c r="K633" s="5" t="str">
        <f>VLOOKUP(D633,[1]Clientes!$A$1:$B$1370,2,0)</f>
        <v>INT0001</v>
      </c>
      <c r="L633" s="5" t="str">
        <f t="shared" si="18"/>
        <v>TGDR202729</v>
      </c>
      <c r="M633" s="5" t="str">
        <f t="shared" si="19"/>
        <v>I</v>
      </c>
      <c r="N633" s="5">
        <f>IF(G633=[1]Clientes!$C$3,[1]Clientes!$D$3,[1]Clientes!$D$2)</f>
        <v>13050101</v>
      </c>
    </row>
    <row r="634" spans="1:14">
      <c r="A634" s="6" t="s">
        <v>7</v>
      </c>
      <c r="B634" s="7">
        <v>45531</v>
      </c>
      <c r="C634" s="6" t="s">
        <v>3743</v>
      </c>
      <c r="D634" s="6" t="s">
        <v>3728</v>
      </c>
      <c r="E634" s="6" t="s">
        <v>1216</v>
      </c>
      <c r="F634" s="7">
        <v>45621</v>
      </c>
      <c r="G634" s="6" t="s">
        <v>3478</v>
      </c>
      <c r="H634" s="8"/>
      <c r="I634" s="9">
        <v>4251.6499999999996</v>
      </c>
      <c r="J634" s="9">
        <v>4251.6499999999996</v>
      </c>
      <c r="K634" s="5" t="str">
        <f>VLOOKUP(D634,[1]Clientes!$A$1:$B$1370,2,0)</f>
        <v>INT0001</v>
      </c>
      <c r="L634" s="5" t="str">
        <f t="shared" si="18"/>
        <v>TGDR202735</v>
      </c>
      <c r="M634" s="5" t="str">
        <f t="shared" si="19"/>
        <v>I</v>
      </c>
      <c r="N634" s="5">
        <f>IF(G634=[1]Clientes!$C$3,[1]Clientes!$D$3,[1]Clientes!$D$2)</f>
        <v>13050101</v>
      </c>
    </row>
    <row r="635" spans="1:14">
      <c r="A635" s="6" t="s">
        <v>7</v>
      </c>
      <c r="B635" s="7">
        <v>45531</v>
      </c>
      <c r="C635" s="6" t="s">
        <v>3744</v>
      </c>
      <c r="D635" s="6" t="s">
        <v>3728</v>
      </c>
      <c r="E635" s="6" t="s">
        <v>1216</v>
      </c>
      <c r="F635" s="7">
        <v>45621</v>
      </c>
      <c r="G635" s="6" t="s">
        <v>3478</v>
      </c>
      <c r="H635" s="8"/>
      <c r="I635" s="9">
        <v>350.74</v>
      </c>
      <c r="J635" s="9">
        <v>350.74</v>
      </c>
      <c r="K635" s="5" t="str">
        <f>VLOOKUP(D635,[1]Clientes!$A$1:$B$1370,2,0)</f>
        <v>INT0001</v>
      </c>
      <c r="L635" s="5" t="str">
        <f t="shared" si="18"/>
        <v>TGDR202736</v>
      </c>
      <c r="M635" s="5" t="str">
        <f t="shared" si="19"/>
        <v>I</v>
      </c>
      <c r="N635" s="5">
        <f>IF(G635=[1]Clientes!$C$3,[1]Clientes!$D$3,[1]Clientes!$D$2)</f>
        <v>13050101</v>
      </c>
    </row>
    <row r="636" spans="1:14">
      <c r="A636" s="6" t="s">
        <v>7</v>
      </c>
      <c r="B636" s="7">
        <v>45532</v>
      </c>
      <c r="C636" s="6" t="s">
        <v>3745</v>
      </c>
      <c r="D636" s="6" t="s">
        <v>3728</v>
      </c>
      <c r="E636" s="6" t="s">
        <v>1216</v>
      </c>
      <c r="F636" s="7">
        <v>45622</v>
      </c>
      <c r="G636" s="6" t="s">
        <v>3478</v>
      </c>
      <c r="H636" s="8"/>
      <c r="I636" s="9">
        <v>3990</v>
      </c>
      <c r="J636" s="9">
        <v>3990</v>
      </c>
      <c r="K636" s="5" t="str">
        <f>VLOOKUP(D636,[1]Clientes!$A$1:$B$1370,2,0)</f>
        <v>INT0001</v>
      </c>
      <c r="L636" s="5" t="str">
        <f t="shared" si="18"/>
        <v>TGDR202737</v>
      </c>
      <c r="M636" s="5" t="str">
        <f t="shared" si="19"/>
        <v>I</v>
      </c>
      <c r="N636" s="5">
        <f>IF(G636=[1]Clientes!$C$3,[1]Clientes!$D$3,[1]Clientes!$D$2)</f>
        <v>13050101</v>
      </c>
    </row>
    <row r="637" spans="1:14">
      <c r="A637" s="6" t="s">
        <v>3099</v>
      </c>
      <c r="B637" s="7">
        <v>45289</v>
      </c>
      <c r="C637" s="6" t="s">
        <v>3746</v>
      </c>
      <c r="D637" s="6" t="s">
        <v>3747</v>
      </c>
      <c r="E637" s="6" t="s">
        <v>1216</v>
      </c>
      <c r="F637" s="7">
        <v>45075</v>
      </c>
      <c r="G637" s="6" t="s">
        <v>3478</v>
      </c>
      <c r="H637" s="8">
        <v>460</v>
      </c>
      <c r="I637" s="9">
        <v>-14950</v>
      </c>
      <c r="J637" s="9">
        <v>-14950</v>
      </c>
      <c r="K637" s="5" t="str">
        <f>VLOOKUP(D637,[1]Clientes!$A$1:$B$1370,2,0)</f>
        <v>INT0065</v>
      </c>
      <c r="L637" s="5" t="str">
        <f t="shared" si="18"/>
        <v>CRM202578</v>
      </c>
      <c r="M637" s="5" t="str">
        <f t="shared" si="19"/>
        <v>C</v>
      </c>
      <c r="N637" s="5">
        <f>IF(G637=[1]Clientes!$C$3,[1]Clientes!$D$3,[1]Clientes!$D$2)</f>
        <v>13050101</v>
      </c>
    </row>
    <row r="638" spans="1:14">
      <c r="A638" s="6" t="s">
        <v>3265</v>
      </c>
      <c r="B638" s="7">
        <v>45287</v>
      </c>
      <c r="C638" s="6" t="s">
        <v>3748</v>
      </c>
      <c r="D638" s="6" t="s">
        <v>3747</v>
      </c>
      <c r="E638" s="6"/>
      <c r="F638" s="7"/>
      <c r="G638" s="6" t="s">
        <v>3478</v>
      </c>
      <c r="H638" s="8"/>
      <c r="I638" s="9">
        <v>-3019.42</v>
      </c>
      <c r="J638" s="9">
        <v>-3019.42</v>
      </c>
      <c r="K638" s="5" t="str">
        <f>VLOOKUP(D638,[1]Clientes!$A$1:$B$1370,2,0)</f>
        <v>INT0065</v>
      </c>
      <c r="L638" s="5" t="str">
        <f t="shared" si="18"/>
        <v>Revisar</v>
      </c>
      <c r="M638" s="5" t="str">
        <f t="shared" si="19"/>
        <v>GJ</v>
      </c>
      <c r="N638" s="5">
        <f>IF(G638=[1]Clientes!$C$3,[1]Clientes!$D$3,[1]Clientes!$D$2)</f>
        <v>13050101</v>
      </c>
    </row>
    <row r="639" spans="1:14">
      <c r="A639" s="6" t="s">
        <v>7</v>
      </c>
      <c r="B639" s="7">
        <v>45382</v>
      </c>
      <c r="C639" s="6" t="s">
        <v>3749</v>
      </c>
      <c r="D639" s="6" t="s">
        <v>3747</v>
      </c>
      <c r="E639" s="6" t="s">
        <v>1216</v>
      </c>
      <c r="F639" s="7">
        <v>45472</v>
      </c>
      <c r="G639" s="6" t="s">
        <v>3478</v>
      </c>
      <c r="H639" s="8">
        <v>63</v>
      </c>
      <c r="I639" s="9">
        <v>7187.39</v>
      </c>
      <c r="J639" s="9">
        <v>7187.39</v>
      </c>
      <c r="K639" s="5" t="str">
        <f>VLOOKUP(D639,[1]Clientes!$A$1:$B$1370,2,0)</f>
        <v>INT0065</v>
      </c>
      <c r="L639" s="5" t="str">
        <f t="shared" si="18"/>
        <v>TGDR202644</v>
      </c>
      <c r="M639" s="5" t="str">
        <f t="shared" si="19"/>
        <v>I</v>
      </c>
      <c r="N639" s="5">
        <f>IF(G639=[1]Clientes!$C$3,[1]Clientes!$D$3,[1]Clientes!$D$2)</f>
        <v>13050101</v>
      </c>
    </row>
    <row r="640" spans="1:14">
      <c r="A640" s="6" t="s">
        <v>7</v>
      </c>
      <c r="B640" s="7">
        <v>45411</v>
      </c>
      <c r="C640" s="6" t="s">
        <v>3750</v>
      </c>
      <c r="D640" s="6" t="s">
        <v>3747</v>
      </c>
      <c r="E640" s="6" t="s">
        <v>1216</v>
      </c>
      <c r="F640" s="7">
        <v>45501</v>
      </c>
      <c r="G640" s="6" t="s">
        <v>3478</v>
      </c>
      <c r="H640" s="8">
        <v>34</v>
      </c>
      <c r="I640" s="9">
        <v>7187.39</v>
      </c>
      <c r="J640" s="9">
        <v>7187.39</v>
      </c>
      <c r="K640" s="5" t="str">
        <f>VLOOKUP(D640,[1]Clientes!$A$1:$B$1370,2,0)</f>
        <v>INT0065</v>
      </c>
      <c r="L640" s="5" t="str">
        <f t="shared" si="18"/>
        <v>TGDR202651</v>
      </c>
      <c r="M640" s="5" t="str">
        <f t="shared" si="19"/>
        <v>I</v>
      </c>
      <c r="N640" s="5">
        <f>IF(G640=[1]Clientes!$C$3,[1]Clientes!$D$3,[1]Clientes!$D$2)</f>
        <v>13050101</v>
      </c>
    </row>
    <row r="641" spans="1:14">
      <c r="A641" s="6" t="s">
        <v>7</v>
      </c>
      <c r="B641" s="7">
        <v>45440</v>
      </c>
      <c r="C641" s="6" t="s">
        <v>3751</v>
      </c>
      <c r="D641" s="6" t="s">
        <v>3747</v>
      </c>
      <c r="E641" s="6" t="s">
        <v>1216</v>
      </c>
      <c r="F641" s="7">
        <v>45530</v>
      </c>
      <c r="G641" s="6" t="s">
        <v>3478</v>
      </c>
      <c r="H641" s="8">
        <v>5</v>
      </c>
      <c r="I641" s="9">
        <v>3594.64</v>
      </c>
      <c r="J641" s="9">
        <v>7187.39</v>
      </c>
      <c r="K641" s="5" t="str">
        <f>VLOOKUP(D641,[1]Clientes!$A$1:$B$1370,2,0)</f>
        <v>INT0065</v>
      </c>
      <c r="L641" s="5" t="str">
        <f t="shared" si="18"/>
        <v>TGDR202671</v>
      </c>
      <c r="M641" s="5" t="str">
        <f t="shared" si="19"/>
        <v>I</v>
      </c>
      <c r="N641" s="5">
        <f>IF(G641=[1]Clientes!$C$3,[1]Clientes!$D$3,[1]Clientes!$D$2)</f>
        <v>13050101</v>
      </c>
    </row>
    <row r="642" spans="1:14">
      <c r="A642" s="6" t="s">
        <v>7</v>
      </c>
      <c r="B642" s="7">
        <v>45469</v>
      </c>
      <c r="C642" s="6" t="s">
        <v>3752</v>
      </c>
      <c r="D642" s="6" t="s">
        <v>3747</v>
      </c>
      <c r="E642" s="6" t="s">
        <v>1216</v>
      </c>
      <c r="F642" s="7">
        <v>45559</v>
      </c>
      <c r="G642" s="6" t="s">
        <v>3478</v>
      </c>
      <c r="H642" s="8"/>
      <c r="I642" s="9">
        <v>7187.39</v>
      </c>
      <c r="J642" s="9">
        <v>7187.39</v>
      </c>
      <c r="K642" s="5" t="str">
        <f>VLOOKUP(D642,[1]Clientes!$A$1:$B$1370,2,0)</f>
        <v>INT0065</v>
      </c>
      <c r="L642" s="5" t="str">
        <f t="shared" si="18"/>
        <v>TGDR202690</v>
      </c>
      <c r="M642" s="5" t="str">
        <f t="shared" si="19"/>
        <v>I</v>
      </c>
      <c r="N642" s="5">
        <f>IF(G642=[1]Clientes!$C$3,[1]Clientes!$D$3,[1]Clientes!$D$2)</f>
        <v>13050101</v>
      </c>
    </row>
    <row r="643" spans="1:14">
      <c r="A643" s="6" t="s">
        <v>7</v>
      </c>
      <c r="B643" s="7">
        <v>45498</v>
      </c>
      <c r="C643" s="6" t="s">
        <v>3753</v>
      </c>
      <c r="D643" s="6" t="s">
        <v>3747</v>
      </c>
      <c r="E643" s="6" t="s">
        <v>1216</v>
      </c>
      <c r="F643" s="7">
        <v>45588</v>
      </c>
      <c r="G643" s="6" t="s">
        <v>3478</v>
      </c>
      <c r="H643" s="8"/>
      <c r="I643" s="9">
        <v>7187.39</v>
      </c>
      <c r="J643" s="9">
        <v>7187.39</v>
      </c>
      <c r="K643" s="5" t="str">
        <f>VLOOKUP(D643,[1]Clientes!$A$1:$B$1370,2,0)</f>
        <v>INT0065</v>
      </c>
      <c r="L643" s="5" t="str">
        <f t="shared" ref="L643:L706" si="20">IF(A643="Invoice",
    IF(LEFT(C643,5)="TGDR-", "TGDR"&amp;RIGHT(C643,LEN(C643)-5), "HGI"&amp;C643),
    IF(A643="Credit Memo",
        IF(LEFT(C643,5)="TGDR-", "CRM"&amp;RIGHT(C643,LEN(C643)-5), "CRM"&amp;C643),
        "Revisar")
)</f>
        <v>TGDR202708</v>
      </c>
      <c r="M643" s="5" t="str">
        <f t="shared" ref="M643:M706" si="21">IF(A643="Invoice","I",IF(A643="Credit Memo","C",IF(A643="Payment","P","GJ")))</f>
        <v>I</v>
      </c>
      <c r="N643" s="5">
        <f>IF(G643=[1]Clientes!$C$3,[1]Clientes!$D$3,[1]Clientes!$D$2)</f>
        <v>13050101</v>
      </c>
    </row>
    <row r="644" spans="1:14">
      <c r="A644" s="6" t="s">
        <v>7</v>
      </c>
      <c r="B644" s="7">
        <v>45527</v>
      </c>
      <c r="C644" s="6" t="s">
        <v>3754</v>
      </c>
      <c r="D644" s="6" t="s">
        <v>3747</v>
      </c>
      <c r="E644" s="6" t="s">
        <v>1216</v>
      </c>
      <c r="F644" s="7">
        <v>45617</v>
      </c>
      <c r="G644" s="6" t="s">
        <v>3478</v>
      </c>
      <c r="H644" s="8"/>
      <c r="I644" s="9">
        <v>7187.39</v>
      </c>
      <c r="J644" s="9">
        <v>7187.39</v>
      </c>
      <c r="K644" s="5" t="str">
        <f>VLOOKUP(D644,[1]Clientes!$A$1:$B$1370,2,0)</f>
        <v>INT0065</v>
      </c>
      <c r="L644" s="5" t="str">
        <f t="shared" si="20"/>
        <v>TGDR202732</v>
      </c>
      <c r="M644" s="5" t="str">
        <f t="shared" si="21"/>
        <v>I</v>
      </c>
      <c r="N644" s="5">
        <f>IF(G644=[1]Clientes!$C$3,[1]Clientes!$D$3,[1]Clientes!$D$2)</f>
        <v>13050101</v>
      </c>
    </row>
    <row r="645" spans="1:14">
      <c r="A645" s="6" t="s">
        <v>3099</v>
      </c>
      <c r="B645" s="7">
        <v>45288</v>
      </c>
      <c r="C645" s="6" t="s">
        <v>3755</v>
      </c>
      <c r="D645" s="6" t="s">
        <v>3756</v>
      </c>
      <c r="E645" s="6" t="s">
        <v>1216</v>
      </c>
      <c r="F645" s="7">
        <v>45075</v>
      </c>
      <c r="G645" s="6" t="s">
        <v>3478</v>
      </c>
      <c r="H645" s="8">
        <v>460</v>
      </c>
      <c r="I645" s="9">
        <v>-14950</v>
      </c>
      <c r="J645" s="9">
        <v>-14950</v>
      </c>
      <c r="K645" s="5" t="str">
        <f>VLOOKUP(D645,[1]Clientes!$A$1:$B$1485,2,0)</f>
        <v>INT0009</v>
      </c>
      <c r="L645" s="5" t="str">
        <f t="shared" si="20"/>
        <v>CRM202576</v>
      </c>
      <c r="M645" s="5" t="str">
        <f t="shared" si="21"/>
        <v>C</v>
      </c>
      <c r="N645" s="5">
        <f>IF(G645=[1]Clientes!$C$3,[1]Clientes!$D$3,[1]Clientes!$D$2)</f>
        <v>13050101</v>
      </c>
    </row>
    <row r="646" spans="1:14">
      <c r="A646" s="6" t="s">
        <v>7</v>
      </c>
      <c r="B646" s="7">
        <v>45526</v>
      </c>
      <c r="C646" s="6" t="s">
        <v>3757</v>
      </c>
      <c r="D646" s="6" t="s">
        <v>3756</v>
      </c>
      <c r="E646" s="6" t="s">
        <v>16</v>
      </c>
      <c r="F646" s="7">
        <v>45556</v>
      </c>
      <c r="G646" s="6" t="s">
        <v>3478</v>
      </c>
      <c r="H646" s="8"/>
      <c r="I646" s="9">
        <v>706.88</v>
      </c>
      <c r="J646" s="9">
        <v>706.88</v>
      </c>
      <c r="K646" s="5" t="str">
        <f>VLOOKUP(D646,[1]Clientes!$A$1:$B$1485,2,0)</f>
        <v>INT0009</v>
      </c>
      <c r="L646" s="5" t="str">
        <f t="shared" si="20"/>
        <v>TGDR202730</v>
      </c>
      <c r="M646" s="5" t="str">
        <f t="shared" si="21"/>
        <v>I</v>
      </c>
      <c r="N646" s="5">
        <f>IF(G646=[1]Clientes!$C$3,[1]Clientes!$D$3,[1]Clientes!$D$2)</f>
        <v>13050101</v>
      </c>
    </row>
    <row r="647" spans="1:14">
      <c r="A647" s="6" t="s">
        <v>7</v>
      </c>
      <c r="B647" s="7">
        <v>45527</v>
      </c>
      <c r="C647" s="6" t="s">
        <v>3758</v>
      </c>
      <c r="D647" s="6" t="s">
        <v>3756</v>
      </c>
      <c r="E647" s="6" t="s">
        <v>1216</v>
      </c>
      <c r="F647" s="7">
        <v>45617</v>
      </c>
      <c r="G647" s="6" t="s">
        <v>3478</v>
      </c>
      <c r="H647" s="8"/>
      <c r="I647" s="9">
        <v>7187.39</v>
      </c>
      <c r="J647" s="9">
        <v>7187.39</v>
      </c>
      <c r="K647" s="5" t="str">
        <f>VLOOKUP(D647,[1]Clientes!$A$1:$B$1485,2,0)</f>
        <v>INT0009</v>
      </c>
      <c r="L647" s="5" t="str">
        <f t="shared" si="20"/>
        <v>TGDR202731</v>
      </c>
      <c r="M647" s="5" t="str">
        <f t="shared" si="21"/>
        <v>I</v>
      </c>
      <c r="N647" s="5">
        <f>IF(G647=[1]Clientes!$C$3,[1]Clientes!$D$3,[1]Clientes!$D$2)</f>
        <v>13050101</v>
      </c>
    </row>
    <row r="648" spans="1:14">
      <c r="A648" s="6" t="s">
        <v>7</v>
      </c>
      <c r="B648" s="7">
        <v>44491</v>
      </c>
      <c r="C648" s="6" t="s">
        <v>3759</v>
      </c>
      <c r="D648" s="6" t="s">
        <v>3760</v>
      </c>
      <c r="E648" s="6" t="s">
        <v>16</v>
      </c>
      <c r="F648" s="7">
        <v>44521</v>
      </c>
      <c r="G648" s="6" t="s">
        <v>3102</v>
      </c>
      <c r="H648" s="8">
        <v>1014</v>
      </c>
      <c r="I648" s="9">
        <v>192</v>
      </c>
      <c r="J648" s="9">
        <v>192</v>
      </c>
      <c r="K648" s="5" t="str">
        <f>VLOOKUP(D648,[1]Clientes!$A$1:$B$1370,2,0)</f>
        <v>INT0060</v>
      </c>
      <c r="L648" s="5" t="str">
        <f t="shared" si="20"/>
        <v>HGI0096611</v>
      </c>
      <c r="M648" s="5" t="str">
        <f t="shared" si="21"/>
        <v>I</v>
      </c>
      <c r="N648" s="5">
        <f>IF(G648=[1]Clientes!$C$3,[1]Clientes!$D$3,[1]Clientes!$D$2)</f>
        <v>13050505</v>
      </c>
    </row>
    <row r="649" spans="1:14">
      <c r="A649" s="6" t="s">
        <v>7</v>
      </c>
      <c r="B649" s="7">
        <v>44791</v>
      </c>
      <c r="C649" s="6" t="s">
        <v>3761</v>
      </c>
      <c r="D649" s="6" t="s">
        <v>3760</v>
      </c>
      <c r="E649" s="6" t="s">
        <v>16</v>
      </c>
      <c r="F649" s="7">
        <v>44821</v>
      </c>
      <c r="G649" s="6" t="s">
        <v>3102</v>
      </c>
      <c r="H649" s="8">
        <v>714</v>
      </c>
      <c r="I649" s="9">
        <v>431.1</v>
      </c>
      <c r="J649" s="9">
        <v>431.1</v>
      </c>
      <c r="K649" s="5" t="str">
        <f>VLOOKUP(D649,[1]Clientes!$A$1:$B$1370,2,0)</f>
        <v>INT0060</v>
      </c>
      <c r="L649" s="5" t="str">
        <f t="shared" si="20"/>
        <v>HGI0103302</v>
      </c>
      <c r="M649" s="5" t="str">
        <f t="shared" si="21"/>
        <v>I</v>
      </c>
      <c r="N649" s="5">
        <f>IF(G649=[1]Clientes!$C$3,[1]Clientes!$D$3,[1]Clientes!$D$2)</f>
        <v>13050505</v>
      </c>
    </row>
    <row r="650" spans="1:14">
      <c r="A650" s="6" t="s">
        <v>7</v>
      </c>
      <c r="B650" s="7">
        <v>44799</v>
      </c>
      <c r="C650" s="6" t="s">
        <v>3762</v>
      </c>
      <c r="D650" s="6" t="s">
        <v>3760</v>
      </c>
      <c r="E650" s="6" t="s">
        <v>16</v>
      </c>
      <c r="F650" s="7">
        <v>44829</v>
      </c>
      <c r="G650" s="6" t="s">
        <v>3102</v>
      </c>
      <c r="H650" s="8">
        <v>706</v>
      </c>
      <c r="I650" s="9">
        <v>1268.94</v>
      </c>
      <c r="J650" s="9">
        <v>1268.94</v>
      </c>
      <c r="K650" s="5" t="str">
        <f>VLOOKUP(D650,[1]Clientes!$A$1:$B$1370,2,0)</f>
        <v>INT0060</v>
      </c>
      <c r="L650" s="5" t="str">
        <f t="shared" si="20"/>
        <v>HGI0103455</v>
      </c>
      <c r="M650" s="5" t="str">
        <f t="shared" si="21"/>
        <v>I</v>
      </c>
      <c r="N650" s="5">
        <f>IF(G650=[1]Clientes!$C$3,[1]Clientes!$D$3,[1]Clientes!$D$2)</f>
        <v>13050505</v>
      </c>
    </row>
    <row r="651" spans="1:14">
      <c r="A651" s="6" t="s">
        <v>7</v>
      </c>
      <c r="B651" s="7">
        <v>44810</v>
      </c>
      <c r="C651" s="6" t="s">
        <v>3763</v>
      </c>
      <c r="D651" s="6" t="s">
        <v>3760</v>
      </c>
      <c r="E651" s="6" t="s">
        <v>16</v>
      </c>
      <c r="F651" s="7">
        <v>44840</v>
      </c>
      <c r="G651" s="6" t="s">
        <v>3102</v>
      </c>
      <c r="H651" s="8">
        <v>695</v>
      </c>
      <c r="I651" s="9">
        <v>247.78</v>
      </c>
      <c r="J651" s="9">
        <v>247.78</v>
      </c>
      <c r="K651" s="5" t="str">
        <f>VLOOKUP(D651,[1]Clientes!$A$1:$B$1370,2,0)</f>
        <v>INT0060</v>
      </c>
      <c r="L651" s="5" t="str">
        <f t="shared" si="20"/>
        <v>HGI0103560</v>
      </c>
      <c r="M651" s="5" t="str">
        <f t="shared" si="21"/>
        <v>I</v>
      </c>
      <c r="N651" s="5">
        <f>IF(G651=[1]Clientes!$C$3,[1]Clientes!$D$3,[1]Clientes!$D$2)</f>
        <v>13050505</v>
      </c>
    </row>
    <row r="652" spans="1:14">
      <c r="A652" s="6" t="s">
        <v>7</v>
      </c>
      <c r="B652" s="7">
        <v>44819</v>
      </c>
      <c r="C652" s="6" t="s">
        <v>3764</v>
      </c>
      <c r="D652" s="6" t="s">
        <v>3760</v>
      </c>
      <c r="E652" s="6" t="s">
        <v>16</v>
      </c>
      <c r="F652" s="7">
        <v>44849</v>
      </c>
      <c r="G652" s="6" t="s">
        <v>3102</v>
      </c>
      <c r="H652" s="8">
        <v>686</v>
      </c>
      <c r="I652" s="9">
        <v>1016</v>
      </c>
      <c r="J652" s="9">
        <v>1016</v>
      </c>
      <c r="K652" s="5" t="str">
        <f>VLOOKUP(D652,[1]Clientes!$A$1:$B$1370,2,0)</f>
        <v>INT0060</v>
      </c>
      <c r="L652" s="5" t="str">
        <f t="shared" si="20"/>
        <v>HGI0103821</v>
      </c>
      <c r="M652" s="5" t="str">
        <f t="shared" si="21"/>
        <v>I</v>
      </c>
      <c r="N652" s="5">
        <f>IF(G652=[1]Clientes!$C$3,[1]Clientes!$D$3,[1]Clientes!$D$2)</f>
        <v>13050505</v>
      </c>
    </row>
    <row r="653" spans="1:14">
      <c r="A653" s="6" t="s">
        <v>7</v>
      </c>
      <c r="B653" s="7">
        <v>44828</v>
      </c>
      <c r="C653" s="6" t="s">
        <v>3765</v>
      </c>
      <c r="D653" s="6" t="s">
        <v>3760</v>
      </c>
      <c r="E653" s="6" t="s">
        <v>16</v>
      </c>
      <c r="F653" s="7">
        <v>44858</v>
      </c>
      <c r="G653" s="6" t="s">
        <v>3102</v>
      </c>
      <c r="H653" s="8">
        <v>677</v>
      </c>
      <c r="I653" s="9">
        <v>526.9</v>
      </c>
      <c r="J653" s="9">
        <v>526.9</v>
      </c>
      <c r="K653" s="5" t="str">
        <f>VLOOKUP(D653,[1]Clientes!$A$1:$B$1370,2,0)</f>
        <v>INT0060</v>
      </c>
      <c r="L653" s="5" t="str">
        <f t="shared" si="20"/>
        <v>HGI0104033</v>
      </c>
      <c r="M653" s="5" t="str">
        <f t="shared" si="21"/>
        <v>I</v>
      </c>
      <c r="N653" s="5">
        <f>IF(G653=[1]Clientes!$C$3,[1]Clientes!$D$3,[1]Clientes!$D$2)</f>
        <v>13050505</v>
      </c>
    </row>
    <row r="654" spans="1:14">
      <c r="A654" s="6" t="s">
        <v>7</v>
      </c>
      <c r="B654" s="7">
        <v>44859</v>
      </c>
      <c r="C654" s="6" t="s">
        <v>3766</v>
      </c>
      <c r="D654" s="6" t="s">
        <v>3760</v>
      </c>
      <c r="E654" s="6" t="s">
        <v>16</v>
      </c>
      <c r="F654" s="7">
        <v>44889</v>
      </c>
      <c r="G654" s="6" t="s">
        <v>3102</v>
      </c>
      <c r="H654" s="8">
        <v>646</v>
      </c>
      <c r="I654" s="9">
        <v>4594.1499999999996</v>
      </c>
      <c r="J654" s="9">
        <v>4594.1499999999996</v>
      </c>
      <c r="K654" s="5" t="str">
        <f>VLOOKUP(D654,[1]Clientes!$A$1:$B$1370,2,0)</f>
        <v>INT0060</v>
      </c>
      <c r="L654" s="5" t="str">
        <f t="shared" si="20"/>
        <v>HGI0104844</v>
      </c>
      <c r="M654" s="5" t="str">
        <f t="shared" si="21"/>
        <v>I</v>
      </c>
      <c r="N654" s="5">
        <f>IF(G654=[1]Clientes!$C$3,[1]Clientes!$D$3,[1]Clientes!$D$2)</f>
        <v>13050505</v>
      </c>
    </row>
    <row r="655" spans="1:14">
      <c r="A655" s="6" t="s">
        <v>7</v>
      </c>
      <c r="B655" s="7">
        <v>44895</v>
      </c>
      <c r="C655" s="6" t="s">
        <v>3767</v>
      </c>
      <c r="D655" s="6" t="s">
        <v>3760</v>
      </c>
      <c r="E655" s="6" t="s">
        <v>16</v>
      </c>
      <c r="F655" s="7">
        <v>44925</v>
      </c>
      <c r="G655" s="6" t="s">
        <v>3102</v>
      </c>
      <c r="H655" s="8">
        <v>610</v>
      </c>
      <c r="I655" s="9">
        <v>6082.96</v>
      </c>
      <c r="J655" s="9">
        <v>6082.96</v>
      </c>
      <c r="K655" s="5" t="str">
        <f>VLOOKUP(D655,[1]Clientes!$A$1:$B$1370,2,0)</f>
        <v>INT0060</v>
      </c>
      <c r="L655" s="5" t="str">
        <f t="shared" si="20"/>
        <v>HGI0105753</v>
      </c>
      <c r="M655" s="5" t="str">
        <f t="shared" si="21"/>
        <v>I</v>
      </c>
      <c r="N655" s="5">
        <f>IF(G655=[1]Clientes!$C$3,[1]Clientes!$D$3,[1]Clientes!$D$2)</f>
        <v>13050505</v>
      </c>
    </row>
    <row r="656" spans="1:14">
      <c r="A656" s="6" t="s">
        <v>7</v>
      </c>
      <c r="B656" s="7">
        <v>44937</v>
      </c>
      <c r="C656" s="6" t="s">
        <v>3768</v>
      </c>
      <c r="D656" s="6" t="s">
        <v>3760</v>
      </c>
      <c r="E656" s="6" t="s">
        <v>213</v>
      </c>
      <c r="F656" s="7">
        <v>44937</v>
      </c>
      <c r="G656" s="6" t="s">
        <v>3102</v>
      </c>
      <c r="H656" s="8">
        <v>598</v>
      </c>
      <c r="I656" s="9">
        <v>670.6</v>
      </c>
      <c r="J656" s="9">
        <v>670.6</v>
      </c>
      <c r="K656" s="5" t="str">
        <f>VLOOKUP(D656,[1]Clientes!$A$1:$B$1370,2,0)</f>
        <v>INT0060</v>
      </c>
      <c r="L656" s="5" t="str">
        <f t="shared" si="20"/>
        <v>HGI0106918</v>
      </c>
      <c r="M656" s="5" t="str">
        <f t="shared" si="21"/>
        <v>I</v>
      </c>
      <c r="N656" s="5">
        <f>IF(G656=[1]Clientes!$C$3,[1]Clientes!$D$3,[1]Clientes!$D$2)</f>
        <v>13050505</v>
      </c>
    </row>
    <row r="657" spans="1:14">
      <c r="A657" s="6" t="s">
        <v>7</v>
      </c>
      <c r="B657" s="7">
        <v>44970</v>
      </c>
      <c r="C657" s="6" t="s">
        <v>3769</v>
      </c>
      <c r="D657" s="6" t="s">
        <v>3760</v>
      </c>
      <c r="E657" s="6" t="s">
        <v>1216</v>
      </c>
      <c r="F657" s="7">
        <v>45060</v>
      </c>
      <c r="G657" s="6" t="s">
        <v>3102</v>
      </c>
      <c r="H657" s="8">
        <v>475</v>
      </c>
      <c r="I657" s="9">
        <v>435</v>
      </c>
      <c r="J657" s="9">
        <v>435</v>
      </c>
      <c r="K657" s="5" t="str">
        <f>VLOOKUP(D657,[1]Clientes!$A$1:$B$1370,2,0)</f>
        <v>INT0060</v>
      </c>
      <c r="L657" s="5" t="str">
        <f t="shared" si="20"/>
        <v>HGI0108866</v>
      </c>
      <c r="M657" s="5" t="str">
        <f t="shared" si="21"/>
        <v>I</v>
      </c>
      <c r="N657" s="5">
        <f>IF(G657=[1]Clientes!$C$3,[1]Clientes!$D$3,[1]Clientes!$D$2)</f>
        <v>13050505</v>
      </c>
    </row>
    <row r="658" spans="1:14">
      <c r="A658" s="6" t="s">
        <v>7</v>
      </c>
      <c r="B658" s="7">
        <v>45047</v>
      </c>
      <c r="C658" s="6" t="s">
        <v>3770</v>
      </c>
      <c r="D658" s="6" t="s">
        <v>3760</v>
      </c>
      <c r="E658" s="6" t="s">
        <v>1216</v>
      </c>
      <c r="F658" s="7">
        <v>45137</v>
      </c>
      <c r="G658" s="6" t="s">
        <v>3102</v>
      </c>
      <c r="H658" s="8">
        <v>398</v>
      </c>
      <c r="I658" s="9">
        <v>3762.5</v>
      </c>
      <c r="J658" s="9">
        <v>3762.5</v>
      </c>
      <c r="K658" s="5" t="str">
        <f>VLOOKUP(D658,[1]Clientes!$A$1:$B$1370,2,0)</f>
        <v>INT0060</v>
      </c>
      <c r="L658" s="5" t="str">
        <f t="shared" si="20"/>
        <v>HGI0111838</v>
      </c>
      <c r="M658" s="5" t="str">
        <f t="shared" si="21"/>
        <v>I</v>
      </c>
      <c r="N658" s="5">
        <f>IF(G658=[1]Clientes!$C$3,[1]Clientes!$D$3,[1]Clientes!$D$2)</f>
        <v>13050505</v>
      </c>
    </row>
    <row r="659" spans="1:14">
      <c r="A659" s="6" t="s">
        <v>7</v>
      </c>
      <c r="B659" s="7">
        <v>45103</v>
      </c>
      <c r="C659" s="6" t="s">
        <v>3771</v>
      </c>
      <c r="D659" s="6" t="s">
        <v>3760</v>
      </c>
      <c r="E659" s="6" t="s">
        <v>1216</v>
      </c>
      <c r="F659" s="7">
        <v>45193</v>
      </c>
      <c r="G659" s="6" t="s">
        <v>3102</v>
      </c>
      <c r="H659" s="8">
        <v>342</v>
      </c>
      <c r="I659" s="9">
        <v>1224</v>
      </c>
      <c r="J659" s="9">
        <v>1224</v>
      </c>
      <c r="K659" s="5" t="str">
        <f>VLOOKUP(D659,[1]Clientes!$A$1:$B$1370,2,0)</f>
        <v>INT0060</v>
      </c>
      <c r="L659" s="5" t="str">
        <f t="shared" si="20"/>
        <v>HGI0113332</v>
      </c>
      <c r="M659" s="5" t="str">
        <f t="shared" si="21"/>
        <v>I</v>
      </c>
      <c r="N659" s="5">
        <f>IF(G659=[1]Clientes!$C$3,[1]Clientes!$D$3,[1]Clientes!$D$2)</f>
        <v>13050505</v>
      </c>
    </row>
    <row r="660" spans="1:14">
      <c r="A660" s="6" t="s">
        <v>7</v>
      </c>
      <c r="B660" s="7">
        <v>45194</v>
      </c>
      <c r="C660" s="6" t="s">
        <v>3772</v>
      </c>
      <c r="D660" s="6" t="s">
        <v>3760</v>
      </c>
      <c r="E660" s="6" t="s">
        <v>1216</v>
      </c>
      <c r="F660" s="7">
        <v>45284</v>
      </c>
      <c r="G660" s="6" t="s">
        <v>3102</v>
      </c>
      <c r="H660" s="8">
        <v>251</v>
      </c>
      <c r="I660" s="9">
        <v>88.39</v>
      </c>
      <c r="J660" s="9">
        <v>88.39</v>
      </c>
      <c r="K660" s="5" t="str">
        <f>VLOOKUP(D660,[1]Clientes!$A$1:$B$1370,2,0)</f>
        <v>INT0060</v>
      </c>
      <c r="L660" s="5" t="str">
        <f t="shared" si="20"/>
        <v>HGI0115302</v>
      </c>
      <c r="M660" s="5" t="str">
        <f t="shared" si="21"/>
        <v>I</v>
      </c>
      <c r="N660" s="5">
        <f>IF(G660=[1]Clientes!$C$3,[1]Clientes!$D$3,[1]Clientes!$D$2)</f>
        <v>13050505</v>
      </c>
    </row>
    <row r="661" spans="1:14">
      <c r="A661" s="6" t="s">
        <v>7</v>
      </c>
      <c r="B661" s="7">
        <v>45194</v>
      </c>
      <c r="C661" s="6" t="s">
        <v>3773</v>
      </c>
      <c r="D661" s="6" t="s">
        <v>3760</v>
      </c>
      <c r="E661" s="6" t="s">
        <v>1216</v>
      </c>
      <c r="F661" s="7">
        <v>45284</v>
      </c>
      <c r="G661" s="6" t="s">
        <v>3102</v>
      </c>
      <c r="H661" s="8">
        <v>251</v>
      </c>
      <c r="I661" s="9">
        <v>44.19</v>
      </c>
      <c r="J661" s="9">
        <v>44.19</v>
      </c>
      <c r="K661" s="5" t="str">
        <f>VLOOKUP(D661,[1]Clientes!$A$1:$B$1370,2,0)</f>
        <v>INT0060</v>
      </c>
      <c r="L661" s="5" t="str">
        <f t="shared" si="20"/>
        <v>HGI0115303</v>
      </c>
      <c r="M661" s="5" t="str">
        <f t="shared" si="21"/>
        <v>I</v>
      </c>
      <c r="N661" s="5">
        <f>IF(G661=[1]Clientes!$C$3,[1]Clientes!$D$3,[1]Clientes!$D$2)</f>
        <v>13050505</v>
      </c>
    </row>
    <row r="662" spans="1:14">
      <c r="A662" s="6" t="s">
        <v>7</v>
      </c>
      <c r="B662" s="7">
        <v>45204</v>
      </c>
      <c r="C662" s="6" t="s">
        <v>3774</v>
      </c>
      <c r="D662" s="6" t="s">
        <v>3760</v>
      </c>
      <c r="E662" s="6" t="s">
        <v>1216</v>
      </c>
      <c r="F662" s="7">
        <v>45294</v>
      </c>
      <c r="G662" s="6" t="s">
        <v>3102</v>
      </c>
      <c r="H662" s="8">
        <v>241</v>
      </c>
      <c r="I662" s="9">
        <v>990</v>
      </c>
      <c r="J662" s="9">
        <v>990</v>
      </c>
      <c r="K662" s="5" t="str">
        <f>VLOOKUP(D662,[1]Clientes!$A$1:$B$1370,2,0)</f>
        <v>INT0060</v>
      </c>
      <c r="L662" s="5" t="str">
        <f t="shared" si="20"/>
        <v>HGI0116723</v>
      </c>
      <c r="M662" s="5" t="str">
        <f t="shared" si="21"/>
        <v>I</v>
      </c>
      <c r="N662" s="5">
        <f>IF(G662=[1]Clientes!$C$3,[1]Clientes!$D$3,[1]Clientes!$D$2)</f>
        <v>13050505</v>
      </c>
    </row>
    <row r="663" spans="1:14">
      <c r="A663" s="6" t="s">
        <v>7</v>
      </c>
      <c r="B663" s="7">
        <v>45209</v>
      </c>
      <c r="C663" s="6" t="s">
        <v>3775</v>
      </c>
      <c r="D663" s="6" t="s">
        <v>3760</v>
      </c>
      <c r="E663" s="6" t="s">
        <v>1216</v>
      </c>
      <c r="F663" s="7">
        <v>45299</v>
      </c>
      <c r="G663" s="6" t="s">
        <v>3102</v>
      </c>
      <c r="H663" s="8">
        <v>236</v>
      </c>
      <c r="I663" s="9">
        <v>1684.18</v>
      </c>
      <c r="J663" s="9">
        <v>1684.18</v>
      </c>
      <c r="K663" s="5" t="str">
        <f>VLOOKUP(D663,[1]Clientes!$A$1:$B$1370,2,0)</f>
        <v>INT0060</v>
      </c>
      <c r="L663" s="5" t="str">
        <f t="shared" si="20"/>
        <v>HGI0115858</v>
      </c>
      <c r="M663" s="5" t="str">
        <f t="shared" si="21"/>
        <v>I</v>
      </c>
      <c r="N663" s="5">
        <f>IF(G663=[1]Clientes!$C$3,[1]Clientes!$D$3,[1]Clientes!$D$2)</f>
        <v>13050505</v>
      </c>
    </row>
    <row r="664" spans="1:14">
      <c r="A664" s="6" t="s">
        <v>7</v>
      </c>
      <c r="B664" s="7">
        <v>45223</v>
      </c>
      <c r="C664" s="6" t="s">
        <v>3776</v>
      </c>
      <c r="D664" s="6" t="s">
        <v>3760</v>
      </c>
      <c r="E664" s="6" t="s">
        <v>1216</v>
      </c>
      <c r="F664" s="7">
        <v>45313</v>
      </c>
      <c r="G664" s="6" t="s">
        <v>3102</v>
      </c>
      <c r="H664" s="8">
        <v>222</v>
      </c>
      <c r="I664" s="9">
        <v>2818</v>
      </c>
      <c r="J664" s="9">
        <v>2818</v>
      </c>
      <c r="K664" s="5" t="str">
        <f>VLOOKUP(D664,[1]Clientes!$A$1:$B$1370,2,0)</f>
        <v>INT0060</v>
      </c>
      <c r="L664" s="5" t="str">
        <f t="shared" si="20"/>
        <v>HGI0116725</v>
      </c>
      <c r="M664" s="5" t="str">
        <f t="shared" si="21"/>
        <v>I</v>
      </c>
      <c r="N664" s="5">
        <f>IF(G664=[1]Clientes!$C$3,[1]Clientes!$D$3,[1]Clientes!$D$2)</f>
        <v>13050505</v>
      </c>
    </row>
    <row r="665" spans="1:14">
      <c r="A665" s="6" t="s">
        <v>7</v>
      </c>
      <c r="B665" s="7">
        <v>45247</v>
      </c>
      <c r="C665" s="6" t="s">
        <v>3777</v>
      </c>
      <c r="D665" s="6" t="s">
        <v>3760</v>
      </c>
      <c r="E665" s="6" t="s">
        <v>1216</v>
      </c>
      <c r="F665" s="7">
        <v>45337</v>
      </c>
      <c r="G665" s="6" t="s">
        <v>3102</v>
      </c>
      <c r="H665" s="8">
        <v>198</v>
      </c>
      <c r="I665" s="9">
        <v>717</v>
      </c>
      <c r="J665" s="9">
        <v>717</v>
      </c>
      <c r="K665" s="5" t="str">
        <f>VLOOKUP(D665,[1]Clientes!$A$1:$B$1370,2,0)</f>
        <v>INT0060</v>
      </c>
      <c r="L665" s="5" t="str">
        <f t="shared" si="20"/>
        <v>HGI0117570</v>
      </c>
      <c r="M665" s="5" t="str">
        <f t="shared" si="21"/>
        <v>I</v>
      </c>
      <c r="N665" s="5">
        <f>IF(G665=[1]Clientes!$C$3,[1]Clientes!$D$3,[1]Clientes!$D$2)</f>
        <v>13050505</v>
      </c>
    </row>
    <row r="666" spans="1:14">
      <c r="A666" s="6" t="s">
        <v>7</v>
      </c>
      <c r="B666" s="7">
        <v>45322</v>
      </c>
      <c r="C666" s="6" t="s">
        <v>3778</v>
      </c>
      <c r="D666" s="6" t="s">
        <v>3760</v>
      </c>
      <c r="E666" s="6" t="s">
        <v>1216</v>
      </c>
      <c r="F666" s="7">
        <v>45412</v>
      </c>
      <c r="G666" s="6" t="s">
        <v>3102</v>
      </c>
      <c r="H666" s="8">
        <v>123</v>
      </c>
      <c r="I666" s="9">
        <v>683.6</v>
      </c>
      <c r="J666" s="9">
        <v>683.6</v>
      </c>
      <c r="K666" s="5" t="str">
        <f>VLOOKUP(D666,[1]Clientes!$A$1:$B$1370,2,0)</f>
        <v>INT0060</v>
      </c>
      <c r="L666" s="5" t="str">
        <f t="shared" si="20"/>
        <v>HGI0120269</v>
      </c>
      <c r="M666" s="5" t="str">
        <f t="shared" si="21"/>
        <v>I</v>
      </c>
      <c r="N666" s="5">
        <f>IF(G666=[1]Clientes!$C$3,[1]Clientes!$D$3,[1]Clientes!$D$2)</f>
        <v>13050505</v>
      </c>
    </row>
    <row r="667" spans="1:14">
      <c r="A667" s="6" t="s">
        <v>7</v>
      </c>
      <c r="B667" s="7">
        <v>45330</v>
      </c>
      <c r="C667" s="6" t="s">
        <v>3779</v>
      </c>
      <c r="D667" s="6" t="s">
        <v>3760</v>
      </c>
      <c r="E667" s="6" t="s">
        <v>1216</v>
      </c>
      <c r="F667" s="7">
        <v>45420</v>
      </c>
      <c r="G667" s="6" t="s">
        <v>3102</v>
      </c>
      <c r="H667" s="8">
        <v>115</v>
      </c>
      <c r="I667" s="9">
        <v>15186.14</v>
      </c>
      <c r="J667" s="9">
        <v>15186.14</v>
      </c>
      <c r="K667" s="5" t="str">
        <f>VLOOKUP(D667,[1]Clientes!$A$1:$B$1370,2,0)</f>
        <v>INT0060</v>
      </c>
      <c r="L667" s="5" t="str">
        <f t="shared" si="20"/>
        <v>HGI0120762</v>
      </c>
      <c r="M667" s="5" t="str">
        <f t="shared" si="21"/>
        <v>I</v>
      </c>
      <c r="N667" s="5">
        <f>IF(G667=[1]Clientes!$C$3,[1]Clientes!$D$3,[1]Clientes!$D$2)</f>
        <v>13050505</v>
      </c>
    </row>
    <row r="668" spans="1:14">
      <c r="A668" s="6" t="s">
        <v>7</v>
      </c>
      <c r="B668" s="7">
        <v>45384</v>
      </c>
      <c r="C668" s="6" t="s">
        <v>3780</v>
      </c>
      <c r="D668" s="6" t="s">
        <v>3760</v>
      </c>
      <c r="E668" s="6" t="s">
        <v>1216</v>
      </c>
      <c r="F668" s="7">
        <v>45474</v>
      </c>
      <c r="G668" s="6" t="s">
        <v>3102</v>
      </c>
      <c r="H668" s="8">
        <v>61</v>
      </c>
      <c r="I668" s="9">
        <v>147</v>
      </c>
      <c r="J668" s="9">
        <v>147</v>
      </c>
      <c r="K668" s="5" t="str">
        <f>VLOOKUP(D668,[1]Clientes!$A$1:$B$1370,2,0)</f>
        <v>INT0060</v>
      </c>
      <c r="L668" s="5" t="str">
        <f t="shared" si="20"/>
        <v>HGI0122981</v>
      </c>
      <c r="M668" s="5" t="str">
        <f t="shared" si="21"/>
        <v>I</v>
      </c>
      <c r="N668" s="5">
        <f>IF(G668=[1]Clientes!$C$3,[1]Clientes!$D$3,[1]Clientes!$D$2)</f>
        <v>13050505</v>
      </c>
    </row>
    <row r="669" spans="1:14">
      <c r="A669" s="6" t="s">
        <v>7</v>
      </c>
      <c r="B669" s="7">
        <v>45391</v>
      </c>
      <c r="C669" s="6" t="s">
        <v>3781</v>
      </c>
      <c r="D669" s="6" t="s">
        <v>3760</v>
      </c>
      <c r="E669" s="6" t="s">
        <v>1216</v>
      </c>
      <c r="F669" s="7">
        <v>45481</v>
      </c>
      <c r="G669" s="6" t="s">
        <v>3102</v>
      </c>
      <c r="H669" s="8">
        <v>54</v>
      </c>
      <c r="I669" s="9">
        <v>3780</v>
      </c>
      <c r="J669" s="9">
        <v>3780</v>
      </c>
      <c r="K669" s="5" t="str">
        <f>VLOOKUP(D669,[1]Clientes!$A$1:$B$1370,2,0)</f>
        <v>INT0060</v>
      </c>
      <c r="L669" s="5" t="str">
        <f t="shared" si="20"/>
        <v>HGI0122783</v>
      </c>
      <c r="M669" s="5" t="str">
        <f t="shared" si="21"/>
        <v>I</v>
      </c>
      <c r="N669" s="5">
        <f>IF(G669=[1]Clientes!$C$3,[1]Clientes!$D$3,[1]Clientes!$D$2)</f>
        <v>13050505</v>
      </c>
    </row>
    <row r="670" spans="1:14">
      <c r="A670" s="6" t="s">
        <v>3099</v>
      </c>
      <c r="B670" s="7">
        <v>45427</v>
      </c>
      <c r="C670" s="6" t="s">
        <v>3782</v>
      </c>
      <c r="D670" s="6" t="s">
        <v>3760</v>
      </c>
      <c r="E670" s="6" t="s">
        <v>1216</v>
      </c>
      <c r="F670" s="7">
        <v>45517</v>
      </c>
      <c r="G670" s="6" t="s">
        <v>3102</v>
      </c>
      <c r="H670" s="8">
        <v>18</v>
      </c>
      <c r="I670" s="9">
        <v>-3780</v>
      </c>
      <c r="J670" s="9">
        <v>-3780</v>
      </c>
      <c r="K670" s="5" t="str">
        <f>VLOOKUP(D670,[1]Clientes!$A$1:$B$1370,2,0)</f>
        <v>INT0060</v>
      </c>
      <c r="L670" s="5" t="str">
        <f t="shared" si="20"/>
        <v>CRM0124306</v>
      </c>
      <c r="M670" s="5" t="str">
        <f t="shared" si="21"/>
        <v>C</v>
      </c>
      <c r="N670" s="5">
        <f>IF(G670=[1]Clientes!$C$3,[1]Clientes!$D$3,[1]Clientes!$D$2)</f>
        <v>13050505</v>
      </c>
    </row>
    <row r="671" spans="1:14">
      <c r="A671" s="6" t="s">
        <v>7</v>
      </c>
      <c r="B671" s="7">
        <v>45490</v>
      </c>
      <c r="C671" s="6" t="s">
        <v>3783</v>
      </c>
      <c r="D671" s="6" t="s">
        <v>3760</v>
      </c>
      <c r="E671" s="6" t="s">
        <v>1216</v>
      </c>
      <c r="F671" s="7">
        <v>45580</v>
      </c>
      <c r="G671" s="6" t="s">
        <v>3102</v>
      </c>
      <c r="H671" s="8"/>
      <c r="I671" s="9">
        <v>19</v>
      </c>
      <c r="J671" s="9">
        <v>19</v>
      </c>
      <c r="K671" s="5" t="str">
        <f>VLOOKUP(D671,[1]Clientes!$A$1:$B$1370,2,0)</f>
        <v>INT0060</v>
      </c>
      <c r="L671" s="5" t="str">
        <f t="shared" si="20"/>
        <v>HGI0126031</v>
      </c>
      <c r="M671" s="5" t="str">
        <f t="shared" si="21"/>
        <v>I</v>
      </c>
      <c r="N671" s="5">
        <f>IF(G671=[1]Clientes!$C$3,[1]Clientes!$D$3,[1]Clientes!$D$2)</f>
        <v>13050505</v>
      </c>
    </row>
    <row r="672" spans="1:14">
      <c r="A672" s="6" t="s">
        <v>7</v>
      </c>
      <c r="B672" s="7">
        <v>45518</v>
      </c>
      <c r="C672" s="6" t="s">
        <v>3784</v>
      </c>
      <c r="D672" s="6" t="s">
        <v>3760</v>
      </c>
      <c r="E672" s="6" t="s">
        <v>1216</v>
      </c>
      <c r="F672" s="7">
        <v>45608</v>
      </c>
      <c r="G672" s="6" t="s">
        <v>3102</v>
      </c>
      <c r="H672" s="8"/>
      <c r="I672" s="9">
        <v>30</v>
      </c>
      <c r="J672" s="9">
        <v>30</v>
      </c>
      <c r="K672" s="5" t="str">
        <f>VLOOKUP(D672,[1]Clientes!$A$1:$B$1370,2,0)</f>
        <v>INT0060</v>
      </c>
      <c r="L672" s="5" t="str">
        <f t="shared" si="20"/>
        <v>HGI0126558</v>
      </c>
      <c r="M672" s="5" t="str">
        <f t="shared" si="21"/>
        <v>I</v>
      </c>
      <c r="N672" s="5">
        <f>IF(G672=[1]Clientes!$C$3,[1]Clientes!$D$3,[1]Clientes!$D$2)</f>
        <v>13050505</v>
      </c>
    </row>
    <row r="673" spans="1:14">
      <c r="A673" s="6" t="s">
        <v>7</v>
      </c>
      <c r="B673" s="7">
        <v>45532</v>
      </c>
      <c r="C673" s="6" t="s">
        <v>3785</v>
      </c>
      <c r="D673" s="6" t="s">
        <v>746</v>
      </c>
      <c r="E673" s="6" t="s">
        <v>16</v>
      </c>
      <c r="F673" s="7">
        <v>45562</v>
      </c>
      <c r="G673" s="6" t="s">
        <v>3102</v>
      </c>
      <c r="H673" s="8"/>
      <c r="I673" s="9">
        <v>11967</v>
      </c>
      <c r="J673" s="9">
        <v>11967</v>
      </c>
      <c r="K673" s="5" t="str">
        <f>VLOOKUP(D673,[1]Clientes!$A$1:$B$1370,2,0)</f>
        <v>NAC0704</v>
      </c>
      <c r="L673" s="5" t="str">
        <f t="shared" si="20"/>
        <v>HGI0127061</v>
      </c>
      <c r="M673" s="5" t="str">
        <f t="shared" si="21"/>
        <v>I</v>
      </c>
      <c r="N673" s="5">
        <f>IF(G673=[1]Clientes!$C$3,[1]Clientes!$D$3,[1]Clientes!$D$2)</f>
        <v>13050505</v>
      </c>
    </row>
    <row r="674" spans="1:14">
      <c r="A674" s="6" t="s">
        <v>7</v>
      </c>
      <c r="B674" s="7">
        <v>45482</v>
      </c>
      <c r="C674" s="6" t="s">
        <v>3786</v>
      </c>
      <c r="D674" s="6" t="s">
        <v>749</v>
      </c>
      <c r="E674" s="6" t="s">
        <v>16</v>
      </c>
      <c r="F674" s="7">
        <v>45512</v>
      </c>
      <c r="G674" s="6" t="s">
        <v>3102</v>
      </c>
      <c r="H674" s="8">
        <v>23</v>
      </c>
      <c r="I674" s="9">
        <v>612</v>
      </c>
      <c r="J674" s="9">
        <v>612</v>
      </c>
      <c r="K674" s="5" t="str">
        <f>VLOOKUP(D674,[1]Clientes!$A$1:$B$1370,2,0)</f>
        <v>NAC0710</v>
      </c>
      <c r="L674" s="5" t="str">
        <f t="shared" si="20"/>
        <v>HGI0125595</v>
      </c>
      <c r="M674" s="5" t="str">
        <f t="shared" si="21"/>
        <v>I</v>
      </c>
      <c r="N674" s="5">
        <f>IF(G674=[1]Clientes!$C$3,[1]Clientes!$D$3,[1]Clientes!$D$2)</f>
        <v>13050505</v>
      </c>
    </row>
    <row r="675" spans="1:14">
      <c r="A675" s="6" t="s">
        <v>7</v>
      </c>
      <c r="B675" s="7">
        <v>45491</v>
      </c>
      <c r="C675" s="6" t="s">
        <v>3787</v>
      </c>
      <c r="D675" s="6" t="s">
        <v>749</v>
      </c>
      <c r="E675" s="6" t="s">
        <v>16</v>
      </c>
      <c r="F675" s="7">
        <v>45521</v>
      </c>
      <c r="G675" s="6" t="s">
        <v>3102</v>
      </c>
      <c r="H675" s="8">
        <v>14</v>
      </c>
      <c r="I675" s="9">
        <v>276</v>
      </c>
      <c r="J675" s="9">
        <v>276</v>
      </c>
      <c r="K675" s="5" t="str">
        <f>VLOOKUP(D675,[1]Clientes!$A$1:$B$1370,2,0)</f>
        <v>NAC0710</v>
      </c>
      <c r="L675" s="5" t="str">
        <f t="shared" si="20"/>
        <v>HGI0125771</v>
      </c>
      <c r="M675" s="5" t="str">
        <f t="shared" si="21"/>
        <v>I</v>
      </c>
      <c r="N675" s="5">
        <f>IF(G675=[1]Clientes!$C$3,[1]Clientes!$D$3,[1]Clientes!$D$2)</f>
        <v>13050505</v>
      </c>
    </row>
    <row r="676" spans="1:14">
      <c r="A676" s="6" t="s">
        <v>7</v>
      </c>
      <c r="B676" s="7">
        <v>45506</v>
      </c>
      <c r="C676" s="6" t="s">
        <v>3788</v>
      </c>
      <c r="D676" s="6" t="s">
        <v>749</v>
      </c>
      <c r="E676" s="6" t="s">
        <v>16</v>
      </c>
      <c r="F676" s="7">
        <v>45536</v>
      </c>
      <c r="G676" s="6" t="s">
        <v>3102</v>
      </c>
      <c r="H676" s="8"/>
      <c r="I676" s="9">
        <v>322</v>
      </c>
      <c r="J676" s="9">
        <v>322</v>
      </c>
      <c r="K676" s="5" t="str">
        <f>VLOOKUP(D676,[1]Clientes!$A$1:$B$1370,2,0)</f>
        <v>NAC0710</v>
      </c>
      <c r="L676" s="5" t="str">
        <f t="shared" si="20"/>
        <v>HGI0126157</v>
      </c>
      <c r="M676" s="5" t="str">
        <f t="shared" si="21"/>
        <v>I</v>
      </c>
      <c r="N676" s="5">
        <f>IF(G676=[1]Clientes!$C$3,[1]Clientes!$D$3,[1]Clientes!$D$2)</f>
        <v>13050505</v>
      </c>
    </row>
    <row r="677" spans="1:14">
      <c r="A677" s="6" t="s">
        <v>7</v>
      </c>
      <c r="B677" s="7">
        <v>45517</v>
      </c>
      <c r="C677" s="6" t="s">
        <v>3789</v>
      </c>
      <c r="D677" s="6" t="s">
        <v>749</v>
      </c>
      <c r="E677" s="6" t="s">
        <v>16</v>
      </c>
      <c r="F677" s="7">
        <v>45547</v>
      </c>
      <c r="G677" s="6" t="s">
        <v>3102</v>
      </c>
      <c r="H677" s="8"/>
      <c r="I677" s="9">
        <v>462</v>
      </c>
      <c r="J677" s="9">
        <v>462</v>
      </c>
      <c r="K677" s="5" t="str">
        <f>VLOOKUP(D677,[1]Clientes!$A$1:$B$1370,2,0)</f>
        <v>NAC0710</v>
      </c>
      <c r="L677" s="5" t="str">
        <f t="shared" si="20"/>
        <v>HGI0126450</v>
      </c>
      <c r="M677" s="5" t="str">
        <f t="shared" si="21"/>
        <v>I</v>
      </c>
      <c r="N677" s="5">
        <f>IF(G677=[1]Clientes!$C$3,[1]Clientes!$D$3,[1]Clientes!$D$2)</f>
        <v>13050505</v>
      </c>
    </row>
    <row r="678" spans="1:14">
      <c r="A678" s="6" t="s">
        <v>7</v>
      </c>
      <c r="B678" s="7">
        <v>44804</v>
      </c>
      <c r="C678" s="6" t="s">
        <v>3790</v>
      </c>
      <c r="D678" s="6" t="s">
        <v>3791</v>
      </c>
      <c r="E678" s="6" t="s">
        <v>1216</v>
      </c>
      <c r="F678" s="7">
        <v>44894</v>
      </c>
      <c r="G678" s="6" t="s">
        <v>3478</v>
      </c>
      <c r="H678" s="8">
        <v>641</v>
      </c>
      <c r="I678" s="9">
        <v>2188.25</v>
      </c>
      <c r="J678" s="9">
        <v>2188.25</v>
      </c>
      <c r="K678" s="5" t="str">
        <f>VLOOKUP(D678,[1]Clientes!$A$1:$B$1370,2,0)</f>
        <v>FOC0023</v>
      </c>
      <c r="L678" s="5" t="str">
        <f t="shared" si="20"/>
        <v>TGDR202253</v>
      </c>
      <c r="M678" s="5" t="str">
        <f t="shared" si="21"/>
        <v>I</v>
      </c>
      <c r="N678" s="5">
        <f>IF(G678=[1]Clientes!$C$3,[1]Clientes!$D$3,[1]Clientes!$D$2)</f>
        <v>13050101</v>
      </c>
    </row>
    <row r="679" spans="1:14">
      <c r="A679" s="6" t="s">
        <v>3265</v>
      </c>
      <c r="B679" s="7">
        <v>45077</v>
      </c>
      <c r="C679" s="6" t="s">
        <v>3792</v>
      </c>
      <c r="D679" s="6" t="s">
        <v>3791</v>
      </c>
      <c r="E679" s="6"/>
      <c r="F679" s="7"/>
      <c r="G679" s="6" t="s">
        <v>3478</v>
      </c>
      <c r="H679" s="8"/>
      <c r="I679" s="9">
        <v>18335</v>
      </c>
      <c r="J679" s="9">
        <v>18335</v>
      </c>
      <c r="K679" s="5" t="str">
        <f>VLOOKUP(D679,[1]Clientes!$A$1:$B$1370,2,0)</f>
        <v>FOC0023</v>
      </c>
      <c r="L679" s="5" t="str">
        <f t="shared" si="20"/>
        <v>Revisar</v>
      </c>
      <c r="M679" s="5" t="str">
        <f t="shared" si="21"/>
        <v>GJ</v>
      </c>
      <c r="N679" s="5">
        <f>IF(G679=[1]Clientes!$C$3,[1]Clientes!$D$3,[1]Clientes!$D$2)</f>
        <v>13050101</v>
      </c>
    </row>
    <row r="680" spans="1:14">
      <c r="A680" s="6" t="s">
        <v>3265</v>
      </c>
      <c r="B680" s="7">
        <v>45230</v>
      </c>
      <c r="C680" s="6" t="s">
        <v>3793</v>
      </c>
      <c r="D680" s="6" t="s">
        <v>3791</v>
      </c>
      <c r="E680" s="6"/>
      <c r="F680" s="7"/>
      <c r="G680" s="6" t="s">
        <v>3478</v>
      </c>
      <c r="H680" s="8"/>
      <c r="I680" s="9">
        <v>-18335</v>
      </c>
      <c r="J680" s="9">
        <v>-18335</v>
      </c>
      <c r="K680" s="5" t="str">
        <f>VLOOKUP(D680,[1]Clientes!$A$1:$B$1370,2,0)</f>
        <v>FOC0023</v>
      </c>
      <c r="L680" s="5" t="str">
        <f t="shared" si="20"/>
        <v>Revisar</v>
      </c>
      <c r="M680" s="5" t="str">
        <f t="shared" si="21"/>
        <v>GJ</v>
      </c>
      <c r="N680" s="5">
        <f>IF(G680=[1]Clientes!$C$3,[1]Clientes!$D$3,[1]Clientes!$D$2)</f>
        <v>13050101</v>
      </c>
    </row>
    <row r="681" spans="1:14">
      <c r="A681" s="6" t="s">
        <v>7</v>
      </c>
      <c r="B681" s="7">
        <v>45169</v>
      </c>
      <c r="C681" s="6" t="s">
        <v>3794</v>
      </c>
      <c r="D681" s="6" t="s">
        <v>3791</v>
      </c>
      <c r="E681" s="6" t="s">
        <v>1216</v>
      </c>
      <c r="F681" s="7">
        <v>45259</v>
      </c>
      <c r="G681" s="6" t="s">
        <v>3478</v>
      </c>
      <c r="H681" s="8">
        <v>276</v>
      </c>
      <c r="I681" s="9">
        <v>1208.97</v>
      </c>
      <c r="J681" s="9">
        <v>1208.97</v>
      </c>
      <c r="K681" s="5" t="str">
        <f>VLOOKUP(D681,[1]Clientes!$A$1:$B$1370,2,0)</f>
        <v>FOC0023</v>
      </c>
      <c r="L681" s="5" t="str">
        <f t="shared" si="20"/>
        <v>TGDR202510</v>
      </c>
      <c r="M681" s="5" t="str">
        <f t="shared" si="21"/>
        <v>I</v>
      </c>
      <c r="N681" s="5">
        <f>IF(G681=[1]Clientes!$C$3,[1]Clientes!$D$3,[1]Clientes!$D$2)</f>
        <v>13050101</v>
      </c>
    </row>
    <row r="682" spans="1:14">
      <c r="A682" s="6" t="s">
        <v>7</v>
      </c>
      <c r="B682" s="7">
        <v>45198</v>
      </c>
      <c r="C682" s="6" t="s">
        <v>3795</v>
      </c>
      <c r="D682" s="6" t="s">
        <v>3791</v>
      </c>
      <c r="E682" s="6" t="s">
        <v>1216</v>
      </c>
      <c r="F682" s="7">
        <v>45288</v>
      </c>
      <c r="G682" s="6" t="s">
        <v>3478</v>
      </c>
      <c r="H682" s="8">
        <v>247</v>
      </c>
      <c r="I682" s="9">
        <v>453.19</v>
      </c>
      <c r="J682" s="9">
        <v>453.19</v>
      </c>
      <c r="K682" s="5" t="str">
        <f>VLOOKUP(D682,[1]Clientes!$A$1:$B$1370,2,0)</f>
        <v>FOC0023</v>
      </c>
      <c r="L682" s="5" t="str">
        <f t="shared" si="20"/>
        <v>TGDR202527</v>
      </c>
      <c r="M682" s="5" t="str">
        <f t="shared" si="21"/>
        <v>I</v>
      </c>
      <c r="N682" s="5">
        <f>IF(G682=[1]Clientes!$C$3,[1]Clientes!$D$3,[1]Clientes!$D$2)</f>
        <v>13050101</v>
      </c>
    </row>
    <row r="683" spans="1:14">
      <c r="A683" s="6" t="s">
        <v>7</v>
      </c>
      <c r="B683" s="7">
        <v>45230</v>
      </c>
      <c r="C683" s="6" t="s">
        <v>3796</v>
      </c>
      <c r="D683" s="6" t="s">
        <v>3791</v>
      </c>
      <c r="E683" s="6" t="s">
        <v>1216</v>
      </c>
      <c r="F683" s="7">
        <v>45320</v>
      </c>
      <c r="G683" s="6" t="s">
        <v>3478</v>
      </c>
      <c r="H683" s="8">
        <v>215</v>
      </c>
      <c r="I683" s="9">
        <v>18335</v>
      </c>
      <c r="J683" s="9">
        <v>18335</v>
      </c>
      <c r="K683" s="5" t="str">
        <f>VLOOKUP(D683,[1]Clientes!$A$1:$B$1370,2,0)</f>
        <v>FOC0023</v>
      </c>
      <c r="L683" s="5" t="str">
        <f t="shared" si="20"/>
        <v>TGDR202532</v>
      </c>
      <c r="M683" s="5" t="str">
        <f t="shared" si="21"/>
        <v>I</v>
      </c>
      <c r="N683" s="5">
        <f>IF(G683=[1]Clientes!$C$3,[1]Clientes!$D$3,[1]Clientes!$D$2)</f>
        <v>13050101</v>
      </c>
    </row>
    <row r="684" spans="1:14">
      <c r="A684" s="6" t="s">
        <v>7</v>
      </c>
      <c r="B684" s="7">
        <v>45412</v>
      </c>
      <c r="C684" s="6" t="s">
        <v>3797</v>
      </c>
      <c r="D684" s="6" t="s">
        <v>3791</v>
      </c>
      <c r="E684" s="6" t="s">
        <v>1216</v>
      </c>
      <c r="F684" s="7">
        <v>45502</v>
      </c>
      <c r="G684" s="6" t="s">
        <v>3478</v>
      </c>
      <c r="H684" s="8">
        <v>33</v>
      </c>
      <c r="I684" s="9">
        <v>2936.25</v>
      </c>
      <c r="J684" s="9">
        <v>2936.25</v>
      </c>
      <c r="K684" s="5" t="str">
        <f>VLOOKUP(D684,[1]Clientes!$A$1:$B$1370,2,0)</f>
        <v>FOC0023</v>
      </c>
      <c r="L684" s="5" t="str">
        <f t="shared" si="20"/>
        <v>TGDR202662</v>
      </c>
      <c r="M684" s="5" t="str">
        <f t="shared" si="21"/>
        <v>I</v>
      </c>
      <c r="N684" s="5">
        <f>IF(G684=[1]Clientes!$C$3,[1]Clientes!$D$3,[1]Clientes!$D$2)</f>
        <v>13050101</v>
      </c>
    </row>
    <row r="685" spans="1:14">
      <c r="A685" s="6" t="s">
        <v>3099</v>
      </c>
      <c r="B685" s="7">
        <v>45498</v>
      </c>
      <c r="C685" s="6" t="s">
        <v>3798</v>
      </c>
      <c r="D685" s="6" t="s">
        <v>3791</v>
      </c>
      <c r="E685" s="6" t="s">
        <v>1216</v>
      </c>
      <c r="F685" s="7">
        <v>45588</v>
      </c>
      <c r="G685" s="6" t="s">
        <v>3478</v>
      </c>
      <c r="H685" s="8"/>
      <c r="I685" s="9">
        <v>-9945</v>
      </c>
      <c r="J685" s="9">
        <v>-9945</v>
      </c>
      <c r="K685" s="5" t="str">
        <f>VLOOKUP(D685,[1]Clientes!$A$1:$B$1370,2,0)</f>
        <v>FOC0023</v>
      </c>
      <c r="L685" s="5" t="str">
        <f t="shared" si="20"/>
        <v>CRM202710</v>
      </c>
      <c r="M685" s="5" t="str">
        <f t="shared" si="21"/>
        <v>C</v>
      </c>
      <c r="N685" s="5">
        <f>IF(G685=[1]Clientes!$C$3,[1]Clientes!$D$3,[1]Clientes!$D$2)</f>
        <v>13050101</v>
      </c>
    </row>
    <row r="686" spans="1:14">
      <c r="A686" s="6" t="s">
        <v>7</v>
      </c>
      <c r="B686" s="7">
        <v>45271</v>
      </c>
      <c r="C686" s="6" t="s">
        <v>3799</v>
      </c>
      <c r="D686" s="6" t="s">
        <v>3800</v>
      </c>
      <c r="E686" s="6" t="s">
        <v>213</v>
      </c>
      <c r="F686" s="7">
        <v>45271</v>
      </c>
      <c r="G686" s="6" t="s">
        <v>3102</v>
      </c>
      <c r="H686" s="8">
        <v>264</v>
      </c>
      <c r="I686" s="9">
        <v>323.89</v>
      </c>
      <c r="J686" s="9">
        <v>323.89</v>
      </c>
      <c r="K686" s="5" t="str">
        <f>VLOOKUP(D686,[1]Clientes!$A$1:$B$1370,2,0)</f>
        <v>SH00642</v>
      </c>
      <c r="L686" s="5" t="str">
        <f t="shared" si="20"/>
        <v>HGI0118172</v>
      </c>
      <c r="M686" s="5" t="str">
        <f t="shared" si="21"/>
        <v>I</v>
      </c>
      <c r="N686" s="5">
        <f>IF(G686=[1]Clientes!$C$3,[1]Clientes!$D$3,[1]Clientes!$D$2)</f>
        <v>13050505</v>
      </c>
    </row>
    <row r="687" spans="1:14">
      <c r="A687" s="6" t="s">
        <v>7</v>
      </c>
      <c r="B687" s="7">
        <v>45476</v>
      </c>
      <c r="C687" s="6" t="s">
        <v>3801</v>
      </c>
      <c r="D687" s="6" t="s">
        <v>758</v>
      </c>
      <c r="E687" s="6" t="s">
        <v>16</v>
      </c>
      <c r="F687" s="7">
        <v>45506</v>
      </c>
      <c r="G687" s="6" t="s">
        <v>3102</v>
      </c>
      <c r="H687" s="8">
        <v>29</v>
      </c>
      <c r="I687" s="9">
        <v>600</v>
      </c>
      <c r="J687" s="9">
        <v>600</v>
      </c>
      <c r="K687" s="5" t="str">
        <f>VLOOKUP(D687,[1]Clientes!$A$1:$B$1370,2,0)</f>
        <v>NAC0726</v>
      </c>
      <c r="L687" s="5" t="str">
        <f t="shared" si="20"/>
        <v>HGI0125498</v>
      </c>
      <c r="M687" s="5" t="str">
        <f t="shared" si="21"/>
        <v>I</v>
      </c>
      <c r="N687" s="5">
        <f>IF(G687=[1]Clientes!$C$3,[1]Clientes!$D$3,[1]Clientes!$D$2)</f>
        <v>13050505</v>
      </c>
    </row>
    <row r="688" spans="1:14">
      <c r="A688" s="6" t="s">
        <v>7</v>
      </c>
      <c r="B688" s="7">
        <v>45492</v>
      </c>
      <c r="C688" s="6" t="s">
        <v>3802</v>
      </c>
      <c r="D688" s="6" t="s">
        <v>758</v>
      </c>
      <c r="E688" s="6" t="s">
        <v>16</v>
      </c>
      <c r="F688" s="7">
        <v>45522</v>
      </c>
      <c r="G688" s="6" t="s">
        <v>3102</v>
      </c>
      <c r="H688" s="8">
        <v>13</v>
      </c>
      <c r="I688" s="9">
        <v>340</v>
      </c>
      <c r="J688" s="9">
        <v>340</v>
      </c>
      <c r="K688" s="5" t="str">
        <f>VLOOKUP(D688,[1]Clientes!$A$1:$B$1370,2,0)</f>
        <v>NAC0726</v>
      </c>
      <c r="L688" s="5" t="str">
        <f t="shared" si="20"/>
        <v>HGI0125856</v>
      </c>
      <c r="M688" s="5" t="str">
        <f t="shared" si="21"/>
        <v>I</v>
      </c>
      <c r="N688" s="5">
        <f>IF(G688=[1]Clientes!$C$3,[1]Clientes!$D$3,[1]Clientes!$D$2)</f>
        <v>13050505</v>
      </c>
    </row>
    <row r="689" spans="1:14">
      <c r="A689" s="6" t="s">
        <v>7</v>
      </c>
      <c r="B689" s="7">
        <v>45513</v>
      </c>
      <c r="C689" s="6" t="s">
        <v>3803</v>
      </c>
      <c r="D689" s="6" t="s">
        <v>758</v>
      </c>
      <c r="E689" s="6" t="s">
        <v>16</v>
      </c>
      <c r="F689" s="7">
        <v>45543</v>
      </c>
      <c r="G689" s="6" t="s">
        <v>3102</v>
      </c>
      <c r="H689" s="8"/>
      <c r="I689" s="9">
        <v>9200</v>
      </c>
      <c r="J689" s="9">
        <v>9200</v>
      </c>
      <c r="K689" s="5" t="str">
        <f>VLOOKUP(D689,[1]Clientes!$A$1:$B$1370,2,0)</f>
        <v>NAC0726</v>
      </c>
      <c r="L689" s="5" t="str">
        <f t="shared" si="20"/>
        <v>HGI0126352</v>
      </c>
      <c r="M689" s="5" t="str">
        <f t="shared" si="21"/>
        <v>I</v>
      </c>
      <c r="N689" s="5">
        <f>IF(G689=[1]Clientes!$C$3,[1]Clientes!$D$3,[1]Clientes!$D$2)</f>
        <v>13050505</v>
      </c>
    </row>
    <row r="690" spans="1:14">
      <c r="A690" s="6" t="s">
        <v>7</v>
      </c>
      <c r="B690" s="7">
        <v>45525</v>
      </c>
      <c r="C690" s="6" t="s">
        <v>3804</v>
      </c>
      <c r="D690" s="6" t="s">
        <v>758</v>
      </c>
      <c r="E690" s="6" t="s">
        <v>16</v>
      </c>
      <c r="F690" s="7">
        <v>45555</v>
      </c>
      <c r="G690" s="6" t="s">
        <v>3102</v>
      </c>
      <c r="H690" s="8"/>
      <c r="I690" s="9">
        <v>9535.5</v>
      </c>
      <c r="J690" s="9">
        <v>9535.5</v>
      </c>
      <c r="K690" s="5" t="str">
        <f>VLOOKUP(D690,[1]Clientes!$A$1:$B$1370,2,0)</f>
        <v>NAC0726</v>
      </c>
      <c r="L690" s="5" t="str">
        <f t="shared" si="20"/>
        <v>HGI0126735</v>
      </c>
      <c r="M690" s="5" t="str">
        <f t="shared" si="21"/>
        <v>I</v>
      </c>
      <c r="N690" s="5">
        <f>IF(G690=[1]Clientes!$C$3,[1]Clientes!$D$3,[1]Clientes!$D$2)</f>
        <v>13050505</v>
      </c>
    </row>
    <row r="691" spans="1:14">
      <c r="A691" s="6" t="s">
        <v>7</v>
      </c>
      <c r="B691" s="7">
        <v>45530</v>
      </c>
      <c r="C691" s="6" t="s">
        <v>3805</v>
      </c>
      <c r="D691" s="6" t="s">
        <v>758</v>
      </c>
      <c r="E691" s="6" t="s">
        <v>16</v>
      </c>
      <c r="F691" s="7">
        <v>45560</v>
      </c>
      <c r="G691" s="6" t="s">
        <v>3102</v>
      </c>
      <c r="H691" s="8"/>
      <c r="I691" s="9">
        <v>1122.5</v>
      </c>
      <c r="J691" s="9">
        <v>1122.5</v>
      </c>
      <c r="K691" s="5" t="str">
        <f>VLOOKUP(D691,[1]Clientes!$A$1:$B$1370,2,0)</f>
        <v>NAC0726</v>
      </c>
      <c r="L691" s="5" t="str">
        <f t="shared" si="20"/>
        <v>HGI0126854</v>
      </c>
      <c r="M691" s="5" t="str">
        <f t="shared" si="21"/>
        <v>I</v>
      </c>
      <c r="N691" s="5">
        <f>IF(G691=[1]Clientes!$C$3,[1]Clientes!$D$3,[1]Clientes!$D$2)</f>
        <v>13050505</v>
      </c>
    </row>
    <row r="692" spans="1:14">
      <c r="A692" s="6" t="s">
        <v>7</v>
      </c>
      <c r="B692" s="7">
        <v>45308</v>
      </c>
      <c r="C692" s="6" t="s">
        <v>3806</v>
      </c>
      <c r="D692" s="6" t="s">
        <v>768</v>
      </c>
      <c r="E692" s="6" t="s">
        <v>16</v>
      </c>
      <c r="F692" s="7">
        <v>45338</v>
      </c>
      <c r="G692" s="6" t="s">
        <v>3102</v>
      </c>
      <c r="H692" s="8">
        <v>197</v>
      </c>
      <c r="I692" s="9">
        <v>316</v>
      </c>
      <c r="J692" s="9">
        <v>2602</v>
      </c>
      <c r="K692" s="5" t="str">
        <f>VLOOKUP(D692,[1]Clientes!$A$1:$B$1370,2,0)</f>
        <v>NAC0729</v>
      </c>
      <c r="L692" s="5" t="str">
        <f t="shared" si="20"/>
        <v>HGI0119455</v>
      </c>
      <c r="M692" s="5" t="str">
        <f t="shared" si="21"/>
        <v>I</v>
      </c>
      <c r="N692" s="5">
        <f>IF(G692=[1]Clientes!$C$3,[1]Clientes!$D$3,[1]Clientes!$D$2)</f>
        <v>13050505</v>
      </c>
    </row>
    <row r="693" spans="1:14">
      <c r="A693" s="6" t="s">
        <v>7</v>
      </c>
      <c r="B693" s="7">
        <v>45414</v>
      </c>
      <c r="C693" s="6" t="s">
        <v>3807</v>
      </c>
      <c r="D693" s="6" t="s">
        <v>3808</v>
      </c>
      <c r="E693" s="6" t="s">
        <v>16</v>
      </c>
      <c r="F693" s="7">
        <v>45444</v>
      </c>
      <c r="G693" s="6" t="s">
        <v>3102</v>
      </c>
      <c r="H693" s="8">
        <v>91</v>
      </c>
      <c r="I693" s="9">
        <v>235.64</v>
      </c>
      <c r="J693" s="9">
        <v>235.64</v>
      </c>
      <c r="K693" s="5" t="str">
        <f>VLOOKUP(D693,[1]Clientes!$A$1:$B$1370,2,0)</f>
        <v>NAC0734</v>
      </c>
      <c r="L693" s="5" t="str">
        <f t="shared" si="20"/>
        <v>HGI0123837</v>
      </c>
      <c r="M693" s="5" t="str">
        <f t="shared" si="21"/>
        <v>I</v>
      </c>
      <c r="N693" s="5">
        <f>IF(G693=[1]Clientes!$C$3,[1]Clientes!$D$3,[1]Clientes!$D$2)</f>
        <v>13050505</v>
      </c>
    </row>
    <row r="694" spans="1:14">
      <c r="A694" s="6" t="s">
        <v>7</v>
      </c>
      <c r="B694" s="7">
        <v>45448</v>
      </c>
      <c r="C694" s="6" t="s">
        <v>3809</v>
      </c>
      <c r="D694" s="6" t="s">
        <v>3808</v>
      </c>
      <c r="E694" s="6" t="s">
        <v>16</v>
      </c>
      <c r="F694" s="7">
        <v>45478</v>
      </c>
      <c r="G694" s="6" t="s">
        <v>3102</v>
      </c>
      <c r="H694" s="8">
        <v>57</v>
      </c>
      <c r="I694" s="9">
        <v>311.66000000000003</v>
      </c>
      <c r="J694" s="9">
        <v>311.66000000000003</v>
      </c>
      <c r="K694" s="5" t="str">
        <f>VLOOKUP(D694,[1]Clientes!$A$1:$B$1370,2,0)</f>
        <v>NAC0734</v>
      </c>
      <c r="L694" s="5" t="str">
        <f t="shared" si="20"/>
        <v>HGI0124847</v>
      </c>
      <c r="M694" s="5" t="str">
        <f t="shared" si="21"/>
        <v>I</v>
      </c>
      <c r="N694" s="5">
        <f>IF(G694=[1]Clientes!$C$3,[1]Clientes!$D$3,[1]Clientes!$D$2)</f>
        <v>13050505</v>
      </c>
    </row>
    <row r="695" spans="1:14">
      <c r="A695" s="6" t="s">
        <v>7</v>
      </c>
      <c r="B695" s="7">
        <v>45093</v>
      </c>
      <c r="C695" s="6" t="s">
        <v>3810</v>
      </c>
      <c r="D695" s="6" t="s">
        <v>3811</v>
      </c>
      <c r="E695" s="6" t="s">
        <v>213</v>
      </c>
      <c r="F695" s="7">
        <v>45093</v>
      </c>
      <c r="G695" s="6" t="s">
        <v>3102</v>
      </c>
      <c r="H695" s="8">
        <v>442</v>
      </c>
      <c r="I695" s="9">
        <v>1</v>
      </c>
      <c r="J695" s="9">
        <v>1</v>
      </c>
      <c r="K695" s="5" t="str">
        <f>VLOOKUP(D695,[1]Clientes!$A$1:$B$1370,2,0)</f>
        <v>NAC0740</v>
      </c>
      <c r="L695" s="5" t="str">
        <f t="shared" si="20"/>
        <v>HGI0113114</v>
      </c>
      <c r="M695" s="5" t="str">
        <f t="shared" si="21"/>
        <v>I</v>
      </c>
      <c r="N695" s="5">
        <f>IF(G695=[1]Clientes!$C$3,[1]Clientes!$D$3,[1]Clientes!$D$2)</f>
        <v>13050505</v>
      </c>
    </row>
    <row r="696" spans="1:14">
      <c r="A696" s="6" t="s">
        <v>7</v>
      </c>
      <c r="B696" s="7">
        <v>45093</v>
      </c>
      <c r="C696" s="6" t="s">
        <v>3812</v>
      </c>
      <c r="D696" s="6" t="s">
        <v>3811</v>
      </c>
      <c r="E696" s="6" t="s">
        <v>213</v>
      </c>
      <c r="F696" s="7">
        <v>45093</v>
      </c>
      <c r="G696" s="6" t="s">
        <v>3102</v>
      </c>
      <c r="H696" s="8">
        <v>442</v>
      </c>
      <c r="I696" s="9">
        <v>1.07</v>
      </c>
      <c r="J696" s="9">
        <v>1.07</v>
      </c>
      <c r="K696" s="5" t="str">
        <f>VLOOKUP(D696,[1]Clientes!$A$1:$B$1370,2,0)</f>
        <v>NAC0740</v>
      </c>
      <c r="L696" s="5" t="str">
        <f t="shared" si="20"/>
        <v>HGI0113115</v>
      </c>
      <c r="M696" s="5" t="str">
        <f t="shared" si="21"/>
        <v>I</v>
      </c>
      <c r="N696" s="5">
        <f>IF(G696=[1]Clientes!$C$3,[1]Clientes!$D$3,[1]Clientes!$D$2)</f>
        <v>13050505</v>
      </c>
    </row>
    <row r="697" spans="1:14">
      <c r="A697" s="6" t="s">
        <v>7</v>
      </c>
      <c r="B697" s="7">
        <v>45093</v>
      </c>
      <c r="C697" s="6" t="s">
        <v>3813</v>
      </c>
      <c r="D697" s="6" t="s">
        <v>3811</v>
      </c>
      <c r="E697" s="6" t="s">
        <v>213</v>
      </c>
      <c r="F697" s="7">
        <v>45093</v>
      </c>
      <c r="G697" s="6" t="s">
        <v>3102</v>
      </c>
      <c r="H697" s="8">
        <v>442</v>
      </c>
      <c r="I697" s="9">
        <v>1.07</v>
      </c>
      <c r="J697" s="9">
        <v>1.07</v>
      </c>
      <c r="K697" s="5" t="str">
        <f>VLOOKUP(D697,[1]Clientes!$A$1:$B$1370,2,0)</f>
        <v>NAC0740</v>
      </c>
      <c r="L697" s="5" t="str">
        <f t="shared" si="20"/>
        <v>HGI0113116</v>
      </c>
      <c r="M697" s="5" t="str">
        <f t="shared" si="21"/>
        <v>I</v>
      </c>
      <c r="N697" s="5">
        <f>IF(G697=[1]Clientes!$C$3,[1]Clientes!$D$3,[1]Clientes!$D$2)</f>
        <v>13050505</v>
      </c>
    </row>
    <row r="698" spans="1:14">
      <c r="A698" s="6" t="s">
        <v>7</v>
      </c>
      <c r="B698" s="7">
        <v>45093</v>
      </c>
      <c r="C698" s="6" t="s">
        <v>3814</v>
      </c>
      <c r="D698" s="6" t="s">
        <v>3811</v>
      </c>
      <c r="E698" s="6" t="s">
        <v>213</v>
      </c>
      <c r="F698" s="7">
        <v>45093</v>
      </c>
      <c r="G698" s="6" t="s">
        <v>3102</v>
      </c>
      <c r="H698" s="8">
        <v>442</v>
      </c>
      <c r="I698" s="9">
        <v>1</v>
      </c>
      <c r="J698" s="9">
        <v>1</v>
      </c>
      <c r="K698" s="5" t="str">
        <f>VLOOKUP(D698,[1]Clientes!$A$1:$B$1370,2,0)</f>
        <v>NAC0740</v>
      </c>
      <c r="L698" s="5" t="str">
        <f t="shared" si="20"/>
        <v>HGI0113117</v>
      </c>
      <c r="M698" s="5" t="str">
        <f t="shared" si="21"/>
        <v>I</v>
      </c>
      <c r="N698" s="5">
        <f>IF(G698=[1]Clientes!$C$3,[1]Clientes!$D$3,[1]Clientes!$D$2)</f>
        <v>13050505</v>
      </c>
    </row>
    <row r="699" spans="1:14">
      <c r="A699" s="6" t="s">
        <v>7</v>
      </c>
      <c r="B699" s="7">
        <v>45124</v>
      </c>
      <c r="C699" s="6" t="s">
        <v>3815</v>
      </c>
      <c r="D699" s="6" t="s">
        <v>3811</v>
      </c>
      <c r="E699" s="6" t="s">
        <v>213</v>
      </c>
      <c r="F699" s="7">
        <v>45124</v>
      </c>
      <c r="G699" s="6" t="s">
        <v>3102</v>
      </c>
      <c r="H699" s="8">
        <v>411</v>
      </c>
      <c r="I699" s="9">
        <v>92.24</v>
      </c>
      <c r="J699" s="9">
        <v>92.24</v>
      </c>
      <c r="K699" s="5" t="str">
        <f>VLOOKUP(D699,[1]Clientes!$A$1:$B$1370,2,0)</f>
        <v>NAC0740</v>
      </c>
      <c r="L699" s="5" t="str">
        <f t="shared" si="20"/>
        <v>HGI0113730</v>
      </c>
      <c r="M699" s="5" t="str">
        <f t="shared" si="21"/>
        <v>I</v>
      </c>
      <c r="N699" s="5">
        <f>IF(G699=[1]Clientes!$C$3,[1]Clientes!$D$3,[1]Clientes!$D$2)</f>
        <v>13050505</v>
      </c>
    </row>
    <row r="700" spans="1:14">
      <c r="A700" s="6" t="s">
        <v>7</v>
      </c>
      <c r="B700" s="7">
        <v>45405</v>
      </c>
      <c r="C700" s="6" t="s">
        <v>3816</v>
      </c>
      <c r="D700" s="6" t="s">
        <v>3811</v>
      </c>
      <c r="E700" s="6" t="s">
        <v>213</v>
      </c>
      <c r="F700" s="7">
        <v>45405</v>
      </c>
      <c r="G700" s="6" t="s">
        <v>3102</v>
      </c>
      <c r="H700" s="8">
        <v>130</v>
      </c>
      <c r="I700" s="9">
        <v>60</v>
      </c>
      <c r="J700" s="9">
        <v>60</v>
      </c>
      <c r="K700" s="5" t="str">
        <f>VLOOKUP(D700,[1]Clientes!$A$1:$B$1370,2,0)</f>
        <v>NAC0740</v>
      </c>
      <c r="L700" s="5" t="str">
        <f t="shared" si="20"/>
        <v>HGI0123359</v>
      </c>
      <c r="M700" s="5" t="str">
        <f t="shared" si="21"/>
        <v>I</v>
      </c>
      <c r="N700" s="5">
        <f>IF(G700=[1]Clientes!$C$3,[1]Clientes!$D$3,[1]Clientes!$D$2)</f>
        <v>13050505</v>
      </c>
    </row>
    <row r="701" spans="1:14">
      <c r="A701" s="6" t="s">
        <v>7</v>
      </c>
      <c r="B701" s="7">
        <v>45519</v>
      </c>
      <c r="C701" s="6" t="s">
        <v>3817</v>
      </c>
      <c r="D701" s="6" t="s">
        <v>3818</v>
      </c>
      <c r="E701" s="6" t="s">
        <v>16</v>
      </c>
      <c r="F701" s="7">
        <v>45549</v>
      </c>
      <c r="G701" s="6" t="s">
        <v>3102</v>
      </c>
      <c r="H701" s="8"/>
      <c r="I701" s="9">
        <v>142</v>
      </c>
      <c r="J701" s="9">
        <v>142</v>
      </c>
      <c r="K701" s="5" t="str">
        <f>VLOOKUP(D701,[1]Clientes!$A$1:$B$1485,2,0)</f>
        <v>NAC0750</v>
      </c>
      <c r="L701" s="5" t="str">
        <f t="shared" si="20"/>
        <v>HGI0126535</v>
      </c>
      <c r="M701" s="5" t="str">
        <f t="shared" si="21"/>
        <v>I</v>
      </c>
      <c r="N701" s="5">
        <f>IF(G701=[1]Clientes!$C$3,[1]Clientes!$D$3,[1]Clientes!$D$2)</f>
        <v>13050505</v>
      </c>
    </row>
    <row r="702" spans="1:14">
      <c r="A702" s="6" t="s">
        <v>3099</v>
      </c>
      <c r="B702" s="7">
        <v>45412</v>
      </c>
      <c r="C702" s="6" t="s">
        <v>3819</v>
      </c>
      <c r="D702" s="6" t="s">
        <v>3820</v>
      </c>
      <c r="E702" s="6" t="s">
        <v>16</v>
      </c>
      <c r="F702" s="7">
        <v>45442</v>
      </c>
      <c r="G702" s="6" t="s">
        <v>3102</v>
      </c>
      <c r="H702" s="8">
        <v>93</v>
      </c>
      <c r="I702" s="9">
        <v>-9.94</v>
      </c>
      <c r="J702" s="9">
        <v>-9.94</v>
      </c>
      <c r="K702" s="5" t="str">
        <f>VLOOKUP(D702,[1]Clientes!$A$1:$B$1485,2,0)</f>
        <v>NAC0746</v>
      </c>
      <c r="L702" s="5" t="str">
        <f t="shared" si="20"/>
        <v>CRM0123955</v>
      </c>
      <c r="M702" s="5" t="str">
        <f t="shared" si="21"/>
        <v>C</v>
      </c>
      <c r="N702" s="5">
        <f>IF(G702=[1]Clientes!$C$3,[1]Clientes!$D$3,[1]Clientes!$D$2)</f>
        <v>13050505</v>
      </c>
    </row>
    <row r="703" spans="1:14">
      <c r="A703" s="6" t="s">
        <v>3139</v>
      </c>
      <c r="B703" s="7">
        <v>45252</v>
      </c>
      <c r="C703" s="6" t="s">
        <v>3821</v>
      </c>
      <c r="D703" s="6" t="s">
        <v>3822</v>
      </c>
      <c r="E703" s="6"/>
      <c r="F703" s="7"/>
      <c r="G703" s="6" t="s">
        <v>3102</v>
      </c>
      <c r="H703" s="8"/>
      <c r="I703" s="9">
        <v>-308</v>
      </c>
      <c r="J703" s="9">
        <v>-308</v>
      </c>
      <c r="K703" s="5" t="str">
        <f>VLOOKUP(D703,[1]Clientes!$A$1:$B$1485,2,0)</f>
        <v>NAC0751</v>
      </c>
      <c r="L703" s="5" t="str">
        <f t="shared" si="20"/>
        <v>Revisar</v>
      </c>
      <c r="M703" s="5" t="str">
        <f t="shared" si="21"/>
        <v>P</v>
      </c>
      <c r="N703" s="5">
        <f>IF(G703=[1]Clientes!$C$3,[1]Clientes!$D$3,[1]Clientes!$D$2)</f>
        <v>13050505</v>
      </c>
    </row>
    <row r="704" spans="1:14">
      <c r="A704" s="6" t="s">
        <v>7</v>
      </c>
      <c r="B704" s="7">
        <v>45518</v>
      </c>
      <c r="C704" s="6" t="s">
        <v>3823</v>
      </c>
      <c r="D704" s="6" t="s">
        <v>3822</v>
      </c>
      <c r="E704" s="6" t="s">
        <v>16</v>
      </c>
      <c r="F704" s="7">
        <v>45548</v>
      </c>
      <c r="G704" s="6" t="s">
        <v>3102</v>
      </c>
      <c r="H704" s="8"/>
      <c r="I704" s="9">
        <v>154</v>
      </c>
      <c r="J704" s="9">
        <v>154</v>
      </c>
      <c r="K704" s="5" t="str">
        <f>VLOOKUP(D704,[1]Clientes!$A$1:$B$1485,2,0)</f>
        <v>NAC0751</v>
      </c>
      <c r="L704" s="5" t="str">
        <f t="shared" si="20"/>
        <v>HGI0126472</v>
      </c>
      <c r="M704" s="5" t="str">
        <f t="shared" si="21"/>
        <v>I</v>
      </c>
      <c r="N704" s="5">
        <f>IF(G704=[1]Clientes!$C$3,[1]Clientes!$D$3,[1]Clientes!$D$2)</f>
        <v>13050505</v>
      </c>
    </row>
    <row r="705" spans="1:14">
      <c r="A705" s="6" t="s">
        <v>3099</v>
      </c>
      <c r="B705" s="7">
        <v>45412</v>
      </c>
      <c r="C705" s="6" t="s">
        <v>3824</v>
      </c>
      <c r="D705" s="6" t="s">
        <v>3825</v>
      </c>
      <c r="E705" s="6" t="s">
        <v>16</v>
      </c>
      <c r="F705" s="7">
        <v>45442</v>
      </c>
      <c r="G705" s="6" t="s">
        <v>3102</v>
      </c>
      <c r="H705" s="8">
        <v>93</v>
      </c>
      <c r="I705" s="9">
        <v>-9.94</v>
      </c>
      <c r="J705" s="9">
        <v>-9.94</v>
      </c>
      <c r="K705" s="5" t="str">
        <f>VLOOKUP(D705,[1]Clientes!$A$1:$B$1485,2,0)</f>
        <v>NAC0755</v>
      </c>
      <c r="L705" s="5" t="str">
        <f t="shared" si="20"/>
        <v>CRM0123953</v>
      </c>
      <c r="M705" s="5" t="str">
        <f t="shared" si="21"/>
        <v>C</v>
      </c>
      <c r="N705" s="5">
        <f>IF(G705=[1]Clientes!$C$3,[1]Clientes!$D$3,[1]Clientes!$D$2)</f>
        <v>13050505</v>
      </c>
    </row>
    <row r="706" spans="1:14">
      <c r="A706" s="6" t="s">
        <v>3099</v>
      </c>
      <c r="B706" s="7">
        <v>45412</v>
      </c>
      <c r="C706" s="6" t="s">
        <v>3826</v>
      </c>
      <c r="D706" s="6" t="s">
        <v>3827</v>
      </c>
      <c r="E706" s="6" t="s">
        <v>16</v>
      </c>
      <c r="F706" s="7">
        <v>45442</v>
      </c>
      <c r="G706" s="6" t="s">
        <v>3102</v>
      </c>
      <c r="H706" s="8">
        <v>93</v>
      </c>
      <c r="I706" s="9">
        <v>-9.94</v>
      </c>
      <c r="J706" s="9">
        <v>-9.94</v>
      </c>
      <c r="K706" s="5" t="str">
        <f>VLOOKUP(D706,[1]Clientes!$A$1:$B$1485,2,0)</f>
        <v>NAC0754</v>
      </c>
      <c r="L706" s="5" t="str">
        <f t="shared" si="20"/>
        <v>CRM0123962</v>
      </c>
      <c r="M706" s="5" t="str">
        <f t="shared" si="21"/>
        <v>C</v>
      </c>
      <c r="N706" s="5">
        <f>IF(G706=[1]Clientes!$C$3,[1]Clientes!$D$3,[1]Clientes!$D$2)</f>
        <v>13050505</v>
      </c>
    </row>
    <row r="707" spans="1:14">
      <c r="A707" s="6" t="s">
        <v>7</v>
      </c>
      <c r="B707" s="7">
        <v>45380</v>
      </c>
      <c r="C707" s="6" t="s">
        <v>3828</v>
      </c>
      <c r="D707" s="6" t="s">
        <v>3829</v>
      </c>
      <c r="E707" s="6" t="s">
        <v>16</v>
      </c>
      <c r="F707" s="7">
        <v>45410</v>
      </c>
      <c r="G707" s="6" t="s">
        <v>3102</v>
      </c>
      <c r="H707" s="8">
        <v>125</v>
      </c>
      <c r="I707" s="9">
        <v>142</v>
      </c>
      <c r="J707" s="9">
        <v>142</v>
      </c>
      <c r="K707" s="5" t="str">
        <f>VLOOKUP(D707,[1]Clientes!$A$1:$B$1485,2,0)</f>
        <v>NAC0749</v>
      </c>
      <c r="L707" s="5" t="str">
        <f t="shared" ref="L707:L770" si="22">IF(A707="Invoice",
    IF(LEFT(C707,5)="TGDR-", "TGDR"&amp;RIGHT(C707,LEN(C707)-5), "HGI"&amp;C707),
    IF(A707="Credit Memo",
        IF(LEFT(C707,5)="TGDR-", "CRM"&amp;RIGHT(C707,LEN(C707)-5), "CRM"&amp;C707),
        "Revisar")
)</f>
        <v>HGI0122440</v>
      </c>
      <c r="M707" s="5" t="str">
        <f t="shared" ref="M707:M770" si="23">IF(A707="Invoice","I",IF(A707="Credit Memo","C",IF(A707="Payment","P","GJ")))</f>
        <v>I</v>
      </c>
      <c r="N707" s="5">
        <f>IF(G707=[1]Clientes!$C$3,[1]Clientes!$D$3,[1]Clientes!$D$2)</f>
        <v>13050505</v>
      </c>
    </row>
    <row r="708" spans="1:14">
      <c r="A708" s="6" t="s">
        <v>7</v>
      </c>
      <c r="B708" s="7">
        <v>45532</v>
      </c>
      <c r="C708" s="6" t="s">
        <v>3830</v>
      </c>
      <c r="D708" s="6" t="s">
        <v>3831</v>
      </c>
      <c r="E708" s="6" t="s">
        <v>16</v>
      </c>
      <c r="F708" s="7">
        <v>45562</v>
      </c>
      <c r="G708" s="6" t="s">
        <v>3102</v>
      </c>
      <c r="H708" s="8"/>
      <c r="I708" s="9">
        <v>125</v>
      </c>
      <c r="J708" s="9">
        <v>125</v>
      </c>
      <c r="K708" s="5" t="str">
        <f>VLOOKUP(D708,[1]Clientes!$A$1:$B$1485,2,0)</f>
        <v>NAC0747</v>
      </c>
      <c r="L708" s="5" t="str">
        <f t="shared" si="22"/>
        <v>HGI0127000</v>
      </c>
      <c r="M708" s="5" t="str">
        <f t="shared" si="23"/>
        <v>I</v>
      </c>
      <c r="N708" s="5">
        <f>IF(G708=[1]Clientes!$C$3,[1]Clientes!$D$3,[1]Clientes!$D$2)</f>
        <v>13050505</v>
      </c>
    </row>
    <row r="709" spans="1:14">
      <c r="A709" s="6" t="s">
        <v>7</v>
      </c>
      <c r="B709" s="7">
        <v>45532</v>
      </c>
      <c r="C709" s="6" t="s">
        <v>3832</v>
      </c>
      <c r="D709" s="6" t="s">
        <v>3831</v>
      </c>
      <c r="E709" s="6" t="s">
        <v>16</v>
      </c>
      <c r="F709" s="7">
        <v>45562</v>
      </c>
      <c r="G709" s="6" t="s">
        <v>3102</v>
      </c>
      <c r="H709" s="8"/>
      <c r="I709" s="9">
        <v>142</v>
      </c>
      <c r="J709" s="9">
        <v>142</v>
      </c>
      <c r="K709" s="5" t="str">
        <f>VLOOKUP(D709,[1]Clientes!$A$1:$B$1485,2,0)</f>
        <v>NAC0747</v>
      </c>
      <c r="L709" s="5" t="str">
        <f t="shared" si="22"/>
        <v>HGI0127001</v>
      </c>
      <c r="M709" s="5" t="str">
        <f t="shared" si="23"/>
        <v>I</v>
      </c>
      <c r="N709" s="5">
        <f>IF(G709=[1]Clientes!$C$3,[1]Clientes!$D$3,[1]Clientes!$D$2)</f>
        <v>13050505</v>
      </c>
    </row>
    <row r="710" spans="1:14">
      <c r="A710" s="6" t="s">
        <v>3099</v>
      </c>
      <c r="B710" s="7">
        <v>45412</v>
      </c>
      <c r="C710" s="6" t="s">
        <v>3833</v>
      </c>
      <c r="D710" s="6" t="s">
        <v>3834</v>
      </c>
      <c r="E710" s="6" t="s">
        <v>16</v>
      </c>
      <c r="F710" s="7">
        <v>45442</v>
      </c>
      <c r="G710" s="6" t="s">
        <v>3102</v>
      </c>
      <c r="H710" s="8">
        <v>93</v>
      </c>
      <c r="I710" s="9">
        <v>-8.94</v>
      </c>
      <c r="J710" s="9">
        <v>-8.94</v>
      </c>
      <c r="K710" s="5" t="str">
        <f>VLOOKUP(D710,[1]Clientes!$A$1:$B$1485,2,0)</f>
        <v>NAC0753</v>
      </c>
      <c r="L710" s="5" t="str">
        <f t="shared" si="22"/>
        <v>CRM0123959</v>
      </c>
      <c r="M710" s="5" t="str">
        <f t="shared" si="23"/>
        <v>C</v>
      </c>
      <c r="N710" s="5">
        <f>IF(G710=[1]Clientes!$C$3,[1]Clientes!$D$3,[1]Clientes!$D$2)</f>
        <v>13050505</v>
      </c>
    </row>
    <row r="711" spans="1:14">
      <c r="A711" s="6" t="s">
        <v>3099</v>
      </c>
      <c r="B711" s="7">
        <v>45412</v>
      </c>
      <c r="C711" s="6" t="s">
        <v>3835</v>
      </c>
      <c r="D711" s="6" t="s">
        <v>3836</v>
      </c>
      <c r="E711" s="6" t="s">
        <v>16</v>
      </c>
      <c r="F711" s="7">
        <v>45442</v>
      </c>
      <c r="G711" s="6" t="s">
        <v>3102</v>
      </c>
      <c r="H711" s="8">
        <v>93</v>
      </c>
      <c r="I711" s="9">
        <v>-11.01</v>
      </c>
      <c r="J711" s="9">
        <v>-11.01</v>
      </c>
      <c r="K711" s="5" t="str">
        <f>VLOOKUP(D711,[1]Clientes!$A$1:$B$1485,2,0)</f>
        <v>NAC0744</v>
      </c>
      <c r="L711" s="5" t="str">
        <f t="shared" si="22"/>
        <v>CRM0123956</v>
      </c>
      <c r="M711" s="5" t="str">
        <f t="shared" si="23"/>
        <v>C</v>
      </c>
      <c r="N711" s="5">
        <f>IF(G711=[1]Clientes!$C$3,[1]Clientes!$D$3,[1]Clientes!$D$2)</f>
        <v>13050505</v>
      </c>
    </row>
    <row r="712" spans="1:14">
      <c r="A712" s="6" t="s">
        <v>3099</v>
      </c>
      <c r="B712" s="7">
        <v>45412</v>
      </c>
      <c r="C712" s="6" t="s">
        <v>3837</v>
      </c>
      <c r="D712" s="6" t="s">
        <v>3838</v>
      </c>
      <c r="E712" s="6" t="s">
        <v>16</v>
      </c>
      <c r="F712" s="7">
        <v>45442</v>
      </c>
      <c r="G712" s="6" t="s">
        <v>3102</v>
      </c>
      <c r="H712" s="8">
        <v>93</v>
      </c>
      <c r="I712" s="9">
        <v>-12.8</v>
      </c>
      <c r="J712" s="9">
        <v>-12.8</v>
      </c>
      <c r="K712" s="5" t="str">
        <f>VLOOKUP(D712,[1]Clientes!$A$1:$B$1485,2,0)</f>
        <v>NAC0752</v>
      </c>
      <c r="L712" s="5" t="str">
        <f t="shared" si="22"/>
        <v>CRM0123954</v>
      </c>
      <c r="M712" s="5" t="str">
        <f t="shared" si="23"/>
        <v>C</v>
      </c>
      <c r="N712" s="5">
        <f>IF(G712=[1]Clientes!$C$3,[1]Clientes!$D$3,[1]Clientes!$D$2)</f>
        <v>13050505</v>
      </c>
    </row>
    <row r="713" spans="1:14">
      <c r="A713" s="6" t="s">
        <v>3139</v>
      </c>
      <c r="B713" s="7">
        <v>45205</v>
      </c>
      <c r="C713" s="6" t="s">
        <v>3839</v>
      </c>
      <c r="D713" s="6" t="s">
        <v>3840</v>
      </c>
      <c r="E713" s="6"/>
      <c r="F713" s="7"/>
      <c r="G713" s="6" t="s">
        <v>3102</v>
      </c>
      <c r="H713" s="8"/>
      <c r="I713" s="9">
        <v>-3.79</v>
      </c>
      <c r="J713" s="9">
        <v>-3.79</v>
      </c>
      <c r="K713" s="5" t="str">
        <f>VLOOKUP(D713,[1]Clientes!$A$1:$B$1370,2,0)</f>
        <v>NAC0756</v>
      </c>
      <c r="L713" s="5" t="str">
        <f t="shared" si="22"/>
        <v>Revisar</v>
      </c>
      <c r="M713" s="5" t="str">
        <f t="shared" si="23"/>
        <v>P</v>
      </c>
      <c r="N713" s="5">
        <f>IF(G713=[1]Clientes!$C$3,[1]Clientes!$D$3,[1]Clientes!$D$2)</f>
        <v>13050505</v>
      </c>
    </row>
    <row r="714" spans="1:14">
      <c r="A714" s="6" t="s">
        <v>3099</v>
      </c>
      <c r="B714" s="7">
        <v>45519</v>
      </c>
      <c r="C714" s="6" t="s">
        <v>3841</v>
      </c>
      <c r="D714" s="6" t="s">
        <v>771</v>
      </c>
      <c r="E714" s="6" t="s">
        <v>16</v>
      </c>
      <c r="F714" s="7">
        <v>45549</v>
      </c>
      <c r="G714" s="6" t="s">
        <v>3102</v>
      </c>
      <c r="H714" s="8"/>
      <c r="I714" s="9">
        <v>-16.100000000000001</v>
      </c>
      <c r="J714" s="9">
        <v>-16.100000000000001</v>
      </c>
      <c r="K714" s="5" t="str">
        <f>VLOOKUP(D714,[1]Clientes!$A$1:$B$1370,2,0)</f>
        <v>NAC0759</v>
      </c>
      <c r="L714" s="5" t="str">
        <f t="shared" si="22"/>
        <v>CRM0126489</v>
      </c>
      <c r="M714" s="5" t="str">
        <f t="shared" si="23"/>
        <v>C</v>
      </c>
      <c r="N714" s="5">
        <f>IF(G714=[1]Clientes!$C$3,[1]Clientes!$D$3,[1]Clientes!$D$2)</f>
        <v>13050505</v>
      </c>
    </row>
    <row r="715" spans="1:14">
      <c r="A715" s="6" t="s">
        <v>3139</v>
      </c>
      <c r="B715" s="7">
        <v>45085</v>
      </c>
      <c r="C715" s="6" t="s">
        <v>3842</v>
      </c>
      <c r="D715" s="6" t="s">
        <v>779</v>
      </c>
      <c r="E715" s="6"/>
      <c r="F715" s="7"/>
      <c r="G715" s="6" t="s">
        <v>3102</v>
      </c>
      <c r="H715" s="8"/>
      <c r="I715" s="9">
        <v>-20951.900000000001</v>
      </c>
      <c r="J715" s="9">
        <v>-168912</v>
      </c>
      <c r="K715" s="5" t="str">
        <f>VLOOKUP(D715,[1]Clientes!$A$1:$B$1370,2,0)</f>
        <v>NAC0767</v>
      </c>
      <c r="L715" s="5" t="str">
        <f t="shared" si="22"/>
        <v>Revisar</v>
      </c>
      <c r="M715" s="5" t="str">
        <f t="shared" si="23"/>
        <v>P</v>
      </c>
      <c r="N715" s="5">
        <f>IF(G715=[1]Clientes!$C$3,[1]Clientes!$D$3,[1]Clientes!$D$2)</f>
        <v>13050505</v>
      </c>
    </row>
    <row r="716" spans="1:14">
      <c r="A716" s="6" t="s">
        <v>3099</v>
      </c>
      <c r="B716" s="7">
        <v>45107</v>
      </c>
      <c r="C716" s="6" t="s">
        <v>3843</v>
      </c>
      <c r="D716" s="6" t="s">
        <v>779</v>
      </c>
      <c r="E716" s="6" t="s">
        <v>16</v>
      </c>
      <c r="F716" s="7">
        <v>45137</v>
      </c>
      <c r="G716" s="6" t="s">
        <v>3102</v>
      </c>
      <c r="H716" s="8">
        <v>398</v>
      </c>
      <c r="I716" s="9">
        <v>-36</v>
      </c>
      <c r="J716" s="9">
        <v>-9384.48</v>
      </c>
      <c r="K716" s="5" t="str">
        <f>VLOOKUP(D716,[1]Clientes!$A$1:$B$1370,2,0)</f>
        <v>NAC0767</v>
      </c>
      <c r="L716" s="5" t="str">
        <f t="shared" si="22"/>
        <v>CRM0113486</v>
      </c>
      <c r="M716" s="5" t="str">
        <f t="shared" si="23"/>
        <v>C</v>
      </c>
      <c r="N716" s="5">
        <f>IF(G716=[1]Clientes!$C$3,[1]Clientes!$D$3,[1]Clientes!$D$2)</f>
        <v>13050505</v>
      </c>
    </row>
    <row r="717" spans="1:14">
      <c r="A717" s="6" t="s">
        <v>3099</v>
      </c>
      <c r="B717" s="7">
        <v>45442</v>
      </c>
      <c r="C717" s="6" t="s">
        <v>3844</v>
      </c>
      <c r="D717" s="6" t="s">
        <v>779</v>
      </c>
      <c r="E717" s="6" t="s">
        <v>16</v>
      </c>
      <c r="F717" s="7">
        <v>45472</v>
      </c>
      <c r="G717" s="6" t="s">
        <v>3102</v>
      </c>
      <c r="H717" s="8">
        <v>63</v>
      </c>
      <c r="I717" s="9">
        <v>-1932</v>
      </c>
      <c r="J717" s="9">
        <v>-1932</v>
      </c>
      <c r="K717" s="5" t="str">
        <f>VLOOKUP(D717,[1]Clientes!$A$1:$B$1370,2,0)</f>
        <v>NAC0767</v>
      </c>
      <c r="L717" s="5" t="str">
        <f t="shared" si="22"/>
        <v>CRM0124716</v>
      </c>
      <c r="M717" s="5" t="str">
        <f t="shared" si="23"/>
        <v>C</v>
      </c>
      <c r="N717" s="5">
        <f>IF(G717=[1]Clientes!$C$3,[1]Clientes!$D$3,[1]Clientes!$D$2)</f>
        <v>13050505</v>
      </c>
    </row>
    <row r="718" spans="1:14">
      <c r="A718" s="6" t="s">
        <v>3099</v>
      </c>
      <c r="B718" s="7">
        <v>45442</v>
      </c>
      <c r="C718" s="6" t="s">
        <v>3845</v>
      </c>
      <c r="D718" s="6" t="s">
        <v>779</v>
      </c>
      <c r="E718" s="6" t="s">
        <v>16</v>
      </c>
      <c r="F718" s="7">
        <v>45472</v>
      </c>
      <c r="G718" s="6" t="s">
        <v>3102</v>
      </c>
      <c r="H718" s="8">
        <v>63</v>
      </c>
      <c r="I718" s="9">
        <v>-2070</v>
      </c>
      <c r="J718" s="9">
        <v>-2070</v>
      </c>
      <c r="K718" s="5" t="str">
        <f>VLOOKUP(D718,[1]Clientes!$A$1:$B$1370,2,0)</f>
        <v>NAC0767</v>
      </c>
      <c r="L718" s="5" t="str">
        <f t="shared" si="22"/>
        <v>CRM0124717</v>
      </c>
      <c r="M718" s="5" t="str">
        <f t="shared" si="23"/>
        <v>C</v>
      </c>
      <c r="N718" s="5">
        <f>IF(G718=[1]Clientes!$C$3,[1]Clientes!$D$3,[1]Clientes!$D$2)</f>
        <v>13050505</v>
      </c>
    </row>
    <row r="719" spans="1:14">
      <c r="A719" s="6" t="s">
        <v>3099</v>
      </c>
      <c r="B719" s="7">
        <v>45442</v>
      </c>
      <c r="C719" s="6" t="s">
        <v>3846</v>
      </c>
      <c r="D719" s="6" t="s">
        <v>779</v>
      </c>
      <c r="E719" s="6" t="s">
        <v>16</v>
      </c>
      <c r="F719" s="7">
        <v>45472</v>
      </c>
      <c r="G719" s="6" t="s">
        <v>3102</v>
      </c>
      <c r="H719" s="8">
        <v>63</v>
      </c>
      <c r="I719" s="9">
        <v>-414</v>
      </c>
      <c r="J719" s="9">
        <v>-414</v>
      </c>
      <c r="K719" s="5" t="str">
        <f>VLOOKUP(D719,[1]Clientes!$A$1:$B$1370,2,0)</f>
        <v>NAC0767</v>
      </c>
      <c r="L719" s="5" t="str">
        <f t="shared" si="22"/>
        <v>CRM0124718</v>
      </c>
      <c r="M719" s="5" t="str">
        <f t="shared" si="23"/>
        <v>C</v>
      </c>
      <c r="N719" s="5">
        <f>IF(G719=[1]Clientes!$C$3,[1]Clientes!$D$3,[1]Clientes!$D$2)</f>
        <v>13050505</v>
      </c>
    </row>
    <row r="720" spans="1:14">
      <c r="A720" s="6" t="s">
        <v>7</v>
      </c>
      <c r="B720" s="7">
        <v>45446</v>
      </c>
      <c r="C720" s="6" t="s">
        <v>3847</v>
      </c>
      <c r="D720" s="6" t="s">
        <v>779</v>
      </c>
      <c r="E720" s="6" t="s">
        <v>16</v>
      </c>
      <c r="F720" s="7">
        <v>45476</v>
      </c>
      <c r="G720" s="6" t="s">
        <v>3102</v>
      </c>
      <c r="H720" s="8">
        <v>59</v>
      </c>
      <c r="I720" s="9">
        <v>145</v>
      </c>
      <c r="J720" s="9">
        <v>145</v>
      </c>
      <c r="K720" s="5" t="str">
        <f>VLOOKUP(D720,[1]Clientes!$A$1:$B$1370,2,0)</f>
        <v>NAC0767</v>
      </c>
      <c r="L720" s="5" t="str">
        <f t="shared" si="22"/>
        <v>HGI0124778</v>
      </c>
      <c r="M720" s="5" t="str">
        <f t="shared" si="23"/>
        <v>I</v>
      </c>
      <c r="N720" s="5">
        <f>IF(G720=[1]Clientes!$C$3,[1]Clientes!$D$3,[1]Clientes!$D$2)</f>
        <v>13050505</v>
      </c>
    </row>
    <row r="721" spans="1:14">
      <c r="A721" s="6" t="s">
        <v>3099</v>
      </c>
      <c r="B721" s="7">
        <v>45454</v>
      </c>
      <c r="C721" s="6" t="s">
        <v>3848</v>
      </c>
      <c r="D721" s="6" t="s">
        <v>779</v>
      </c>
      <c r="E721" s="6" t="s">
        <v>16</v>
      </c>
      <c r="F721" s="7">
        <v>45484</v>
      </c>
      <c r="G721" s="6" t="s">
        <v>3102</v>
      </c>
      <c r="H721" s="8">
        <v>51</v>
      </c>
      <c r="I721" s="9">
        <v>-6486</v>
      </c>
      <c r="J721" s="9">
        <v>-6486</v>
      </c>
      <c r="K721" s="5" t="str">
        <f>VLOOKUP(D721,[1]Clientes!$A$1:$B$1370,2,0)</f>
        <v>NAC0767</v>
      </c>
      <c r="L721" s="5" t="str">
        <f t="shared" si="22"/>
        <v>CRM0124980</v>
      </c>
      <c r="M721" s="5" t="str">
        <f t="shared" si="23"/>
        <v>C</v>
      </c>
      <c r="N721" s="5">
        <f>IF(G721=[1]Clientes!$C$3,[1]Clientes!$D$3,[1]Clientes!$D$2)</f>
        <v>13050505</v>
      </c>
    </row>
    <row r="722" spans="1:14">
      <c r="A722" s="6" t="s">
        <v>3099</v>
      </c>
      <c r="B722" s="7">
        <v>45366</v>
      </c>
      <c r="C722" s="6" t="s">
        <v>3849</v>
      </c>
      <c r="D722" s="6" t="s">
        <v>827</v>
      </c>
      <c r="E722" s="6" t="s">
        <v>16</v>
      </c>
      <c r="F722" s="7">
        <v>45396</v>
      </c>
      <c r="G722" s="6" t="s">
        <v>3102</v>
      </c>
      <c r="H722" s="8">
        <v>139</v>
      </c>
      <c r="I722" s="9">
        <v>-297.89</v>
      </c>
      <c r="J722" s="9">
        <v>-297.89</v>
      </c>
      <c r="K722" s="5" t="str">
        <f>VLOOKUP(D722,[1]Clientes!$A$1:$B$1370,2,0)</f>
        <v>NAC0769</v>
      </c>
      <c r="L722" s="5" t="str">
        <f t="shared" si="22"/>
        <v>CRM0121940</v>
      </c>
      <c r="M722" s="5" t="str">
        <f t="shared" si="23"/>
        <v>C</v>
      </c>
      <c r="N722" s="5">
        <f>IF(G722=[1]Clientes!$C$3,[1]Clientes!$D$3,[1]Clientes!$D$2)</f>
        <v>13050505</v>
      </c>
    </row>
    <row r="723" spans="1:14">
      <c r="A723" s="6" t="s">
        <v>7</v>
      </c>
      <c r="B723" s="7">
        <v>45532</v>
      </c>
      <c r="C723" s="6" t="s">
        <v>3850</v>
      </c>
      <c r="D723" s="6" t="s">
        <v>827</v>
      </c>
      <c r="E723" s="6" t="s">
        <v>16</v>
      </c>
      <c r="F723" s="7">
        <v>45562</v>
      </c>
      <c r="G723" s="6" t="s">
        <v>3102</v>
      </c>
      <c r="H723" s="8"/>
      <c r="I723" s="9">
        <v>20298</v>
      </c>
      <c r="J723" s="9">
        <v>20298</v>
      </c>
      <c r="K723" s="5" t="str">
        <f>VLOOKUP(D723,[1]Clientes!$A$1:$B$1370,2,0)</f>
        <v>NAC0769</v>
      </c>
      <c r="L723" s="5" t="str">
        <f t="shared" si="22"/>
        <v>HGI0127039</v>
      </c>
      <c r="M723" s="5" t="str">
        <f t="shared" si="23"/>
        <v>I</v>
      </c>
      <c r="N723" s="5">
        <f>IF(G723=[1]Clientes!$C$3,[1]Clientes!$D$3,[1]Clientes!$D$2)</f>
        <v>13050505</v>
      </c>
    </row>
    <row r="724" spans="1:14">
      <c r="A724" s="6" t="s">
        <v>7</v>
      </c>
      <c r="B724" s="7">
        <v>45531</v>
      </c>
      <c r="C724" s="6" t="s">
        <v>3851</v>
      </c>
      <c r="D724" s="6" t="s">
        <v>3852</v>
      </c>
      <c r="E724" s="6" t="s">
        <v>213</v>
      </c>
      <c r="F724" s="7">
        <v>45531</v>
      </c>
      <c r="G724" s="6" t="s">
        <v>3102</v>
      </c>
      <c r="H724" s="8">
        <v>4</v>
      </c>
      <c r="I724" s="9">
        <v>52.25</v>
      </c>
      <c r="J724" s="9">
        <v>52.25</v>
      </c>
      <c r="K724" s="5" t="str">
        <f>VLOOKUP(D724,[1]Clientes!$A$1:$B$1370,2,0)</f>
        <v>SH02831</v>
      </c>
      <c r="L724" s="5" t="str">
        <f t="shared" si="22"/>
        <v>HGI0126909</v>
      </c>
      <c r="M724" s="5" t="str">
        <f t="shared" si="23"/>
        <v>I</v>
      </c>
      <c r="N724" s="5">
        <f>IF(G724=[1]Clientes!$C$3,[1]Clientes!$D$3,[1]Clientes!$D$2)</f>
        <v>13050505</v>
      </c>
    </row>
    <row r="725" spans="1:14">
      <c r="A725" s="6" t="s">
        <v>7</v>
      </c>
      <c r="B725" s="7">
        <v>45511</v>
      </c>
      <c r="C725" s="6" t="s">
        <v>3853</v>
      </c>
      <c r="D725" s="6" t="s">
        <v>3854</v>
      </c>
      <c r="E725" s="6" t="s">
        <v>16</v>
      </c>
      <c r="F725" s="7">
        <v>45541</v>
      </c>
      <c r="G725" s="6" t="s">
        <v>3102</v>
      </c>
      <c r="H725" s="8"/>
      <c r="I725" s="9">
        <v>4091.54</v>
      </c>
      <c r="J725" s="9">
        <v>4091.54</v>
      </c>
      <c r="K725" s="5" t="str">
        <f>VLOOKUP(D725,[1]Clientes!$A$1:$B$1370,2,0)</f>
        <v>NAC0770</v>
      </c>
      <c r="L725" s="5" t="str">
        <f t="shared" si="22"/>
        <v>HGI0126284</v>
      </c>
      <c r="M725" s="5" t="str">
        <f t="shared" si="23"/>
        <v>I</v>
      </c>
      <c r="N725" s="5">
        <f>IF(G725=[1]Clientes!$C$3,[1]Clientes!$D$3,[1]Clientes!$D$2)</f>
        <v>13050505</v>
      </c>
    </row>
    <row r="726" spans="1:14">
      <c r="A726" s="6" t="s">
        <v>7</v>
      </c>
      <c r="B726" s="7">
        <v>45429</v>
      </c>
      <c r="C726" s="6" t="s">
        <v>3855</v>
      </c>
      <c r="D726" s="6" t="s">
        <v>838</v>
      </c>
      <c r="E726" s="6" t="s">
        <v>16</v>
      </c>
      <c r="F726" s="7">
        <v>45459</v>
      </c>
      <c r="G726" s="6" t="s">
        <v>3102</v>
      </c>
      <c r="H726" s="8">
        <v>76</v>
      </c>
      <c r="I726" s="9">
        <v>202.63</v>
      </c>
      <c r="J726" s="9">
        <v>202.63</v>
      </c>
      <c r="K726" s="5" t="str">
        <f>VLOOKUP(D726,[1]Clientes!$A$1:$B$1370,2,0)</f>
        <v>NAC0773</v>
      </c>
      <c r="L726" s="5" t="str">
        <f t="shared" si="22"/>
        <v>HGI0124404</v>
      </c>
      <c r="M726" s="5" t="str">
        <f t="shared" si="23"/>
        <v>I</v>
      </c>
      <c r="N726" s="5">
        <f>IF(G726=[1]Clientes!$C$3,[1]Clientes!$D$3,[1]Clientes!$D$2)</f>
        <v>13050505</v>
      </c>
    </row>
    <row r="727" spans="1:14">
      <c r="A727" s="6" t="s">
        <v>3099</v>
      </c>
      <c r="B727" s="7">
        <v>45260</v>
      </c>
      <c r="C727" s="6" t="s">
        <v>3856</v>
      </c>
      <c r="D727" s="6" t="s">
        <v>841</v>
      </c>
      <c r="E727" s="6" t="s">
        <v>16</v>
      </c>
      <c r="F727" s="7">
        <v>45290</v>
      </c>
      <c r="G727" s="6" t="s">
        <v>3102</v>
      </c>
      <c r="H727" s="8">
        <v>245</v>
      </c>
      <c r="I727" s="9">
        <v>-781.38</v>
      </c>
      <c r="J727" s="9">
        <v>-781.38</v>
      </c>
      <c r="K727" s="5" t="str">
        <f>VLOOKUP(D727,[1]Clientes!$A$1:$B$1370,2,0)</f>
        <v>NAC0778</v>
      </c>
      <c r="L727" s="5" t="str">
        <f t="shared" si="22"/>
        <v>CRM0118044</v>
      </c>
      <c r="M727" s="5" t="str">
        <f t="shared" si="23"/>
        <v>C</v>
      </c>
      <c r="N727" s="5">
        <f>IF(G727=[1]Clientes!$C$3,[1]Clientes!$D$3,[1]Clientes!$D$2)</f>
        <v>13050505</v>
      </c>
    </row>
    <row r="728" spans="1:14">
      <c r="A728" s="6" t="s">
        <v>7</v>
      </c>
      <c r="B728" s="7">
        <v>45505</v>
      </c>
      <c r="C728" s="6" t="s">
        <v>3857</v>
      </c>
      <c r="D728" s="6" t="s">
        <v>845</v>
      </c>
      <c r="E728" s="6" t="s">
        <v>16</v>
      </c>
      <c r="F728" s="7">
        <v>45535</v>
      </c>
      <c r="G728" s="6" t="s">
        <v>3102</v>
      </c>
      <c r="H728" s="8"/>
      <c r="I728" s="9">
        <v>2604</v>
      </c>
      <c r="J728" s="9">
        <v>2604</v>
      </c>
      <c r="K728" s="5" t="str">
        <f>VLOOKUP(D728,[1]Clientes!$A$1:$B$1370,2,0)</f>
        <v>NAC0779</v>
      </c>
      <c r="L728" s="5" t="str">
        <f t="shared" si="22"/>
        <v>HGI0126126</v>
      </c>
      <c r="M728" s="5" t="str">
        <f t="shared" si="23"/>
        <v>I</v>
      </c>
      <c r="N728" s="5">
        <f>IF(G728=[1]Clientes!$C$3,[1]Clientes!$D$3,[1]Clientes!$D$2)</f>
        <v>13050505</v>
      </c>
    </row>
    <row r="729" spans="1:14">
      <c r="A729" s="6" t="s">
        <v>7</v>
      </c>
      <c r="B729" s="7">
        <v>45523</v>
      </c>
      <c r="C729" s="6" t="s">
        <v>3858</v>
      </c>
      <c r="D729" s="6" t="s">
        <v>850</v>
      </c>
      <c r="E729" s="6" t="s">
        <v>16</v>
      </c>
      <c r="F729" s="7">
        <v>45553</v>
      </c>
      <c r="G729" s="6" t="s">
        <v>3102</v>
      </c>
      <c r="H729" s="8"/>
      <c r="I729" s="9">
        <v>168</v>
      </c>
      <c r="J729" s="9">
        <v>168</v>
      </c>
      <c r="K729" s="5" t="str">
        <f>VLOOKUP(D729,[1]Clientes!$A$1:$B$1370,2,0)</f>
        <v>NAC0780</v>
      </c>
      <c r="L729" s="5" t="str">
        <f t="shared" si="22"/>
        <v>HGI0126647</v>
      </c>
      <c r="M729" s="5" t="str">
        <f t="shared" si="23"/>
        <v>I</v>
      </c>
      <c r="N729" s="5">
        <f>IF(G729=[1]Clientes!$C$3,[1]Clientes!$D$3,[1]Clientes!$D$2)</f>
        <v>13050505</v>
      </c>
    </row>
    <row r="730" spans="1:14">
      <c r="A730" s="6" t="s">
        <v>7</v>
      </c>
      <c r="B730" s="7">
        <v>45524</v>
      </c>
      <c r="C730" s="6" t="s">
        <v>3859</v>
      </c>
      <c r="D730" s="6" t="s">
        <v>850</v>
      </c>
      <c r="E730" s="6" t="s">
        <v>16</v>
      </c>
      <c r="F730" s="7">
        <v>45554</v>
      </c>
      <c r="G730" s="6" t="s">
        <v>3102</v>
      </c>
      <c r="H730" s="8"/>
      <c r="I730" s="9">
        <v>535</v>
      </c>
      <c r="J730" s="9">
        <v>535</v>
      </c>
      <c r="K730" s="5" t="str">
        <f>VLOOKUP(D730,[1]Clientes!$A$1:$B$1370,2,0)</f>
        <v>NAC0780</v>
      </c>
      <c r="L730" s="5" t="str">
        <f t="shared" si="22"/>
        <v>HGI0126700</v>
      </c>
      <c r="M730" s="5" t="str">
        <f t="shared" si="23"/>
        <v>I</v>
      </c>
      <c r="N730" s="5">
        <f>IF(G730=[1]Clientes!$C$3,[1]Clientes!$D$3,[1]Clientes!$D$2)</f>
        <v>13050505</v>
      </c>
    </row>
    <row r="731" spans="1:14">
      <c r="A731" s="6" t="s">
        <v>3139</v>
      </c>
      <c r="B731" s="7">
        <v>45068</v>
      </c>
      <c r="C731" s="6" t="s">
        <v>3860</v>
      </c>
      <c r="D731" s="6" t="s">
        <v>855</v>
      </c>
      <c r="E731" s="6"/>
      <c r="F731" s="7"/>
      <c r="G731" s="6" t="s">
        <v>3102</v>
      </c>
      <c r="H731" s="8"/>
      <c r="I731" s="9">
        <v>-390</v>
      </c>
      <c r="J731" s="9">
        <v>-560</v>
      </c>
      <c r="K731" s="5" t="str">
        <f>VLOOKUP(D731,[1]Clientes!$A$1:$B$1370,2,0)</f>
        <v>NAC0781</v>
      </c>
      <c r="L731" s="5" t="str">
        <f t="shared" si="22"/>
        <v>Revisar</v>
      </c>
      <c r="M731" s="5" t="str">
        <f t="shared" si="23"/>
        <v>P</v>
      </c>
      <c r="N731" s="5">
        <f>IF(G731=[1]Clientes!$C$3,[1]Clientes!$D$3,[1]Clientes!$D$2)</f>
        <v>13050505</v>
      </c>
    </row>
    <row r="732" spans="1:14">
      <c r="A732" s="6" t="s">
        <v>3139</v>
      </c>
      <c r="B732" s="7">
        <v>45287</v>
      </c>
      <c r="C732" s="6" t="s">
        <v>3861</v>
      </c>
      <c r="D732" s="6" t="s">
        <v>855</v>
      </c>
      <c r="E732" s="6"/>
      <c r="F732" s="7"/>
      <c r="G732" s="6" t="s">
        <v>3102</v>
      </c>
      <c r="H732" s="8"/>
      <c r="I732" s="9">
        <v>-340</v>
      </c>
      <c r="J732" s="9">
        <v>-340</v>
      </c>
      <c r="K732" s="5" t="str">
        <f>VLOOKUP(D732,[1]Clientes!$A$1:$B$1370,2,0)</f>
        <v>NAC0781</v>
      </c>
      <c r="L732" s="5" t="str">
        <f t="shared" si="22"/>
        <v>Revisar</v>
      </c>
      <c r="M732" s="5" t="str">
        <f t="shared" si="23"/>
        <v>P</v>
      </c>
      <c r="N732" s="5">
        <f>IF(G732=[1]Clientes!$C$3,[1]Clientes!$D$3,[1]Clientes!$D$2)</f>
        <v>13050505</v>
      </c>
    </row>
    <row r="733" spans="1:14">
      <c r="A733" s="6" t="s">
        <v>7</v>
      </c>
      <c r="B733" s="7">
        <v>45502</v>
      </c>
      <c r="C733" s="6" t="s">
        <v>3862</v>
      </c>
      <c r="D733" s="6" t="s">
        <v>3863</v>
      </c>
      <c r="E733" s="6" t="s">
        <v>16</v>
      </c>
      <c r="F733" s="7">
        <v>45532</v>
      </c>
      <c r="G733" s="6" t="s">
        <v>3102</v>
      </c>
      <c r="H733" s="8">
        <v>3</v>
      </c>
      <c r="I733" s="9">
        <v>84</v>
      </c>
      <c r="J733" s="9">
        <v>84</v>
      </c>
      <c r="K733" s="5" t="str">
        <f>VLOOKUP(D733,[1]Clientes!$A$1:$B$1370,2,0)</f>
        <v>NAC0782</v>
      </c>
      <c r="L733" s="5" t="str">
        <f t="shared" si="22"/>
        <v>HGI0126027</v>
      </c>
      <c r="M733" s="5" t="str">
        <f t="shared" si="23"/>
        <v>I</v>
      </c>
      <c r="N733" s="5">
        <f>IF(G733=[1]Clientes!$C$3,[1]Clientes!$D$3,[1]Clientes!$D$2)</f>
        <v>13050505</v>
      </c>
    </row>
    <row r="734" spans="1:14">
      <c r="A734" s="6" t="s">
        <v>7</v>
      </c>
      <c r="B734" s="7">
        <v>45496</v>
      </c>
      <c r="C734" s="6" t="s">
        <v>3864</v>
      </c>
      <c r="D734" s="6" t="s">
        <v>860</v>
      </c>
      <c r="E734" s="6" t="s">
        <v>16</v>
      </c>
      <c r="F734" s="7">
        <v>45526</v>
      </c>
      <c r="G734" s="6" t="s">
        <v>3102</v>
      </c>
      <c r="H734" s="8">
        <v>9</v>
      </c>
      <c r="I734" s="9">
        <v>564.20000000000005</v>
      </c>
      <c r="J734" s="9">
        <v>564.20000000000005</v>
      </c>
      <c r="K734" s="5" t="str">
        <f>VLOOKUP(D734,[1]Clientes!$A$1:$B$1370,2,0)</f>
        <v>NAC0792</v>
      </c>
      <c r="L734" s="5" t="str">
        <f t="shared" si="22"/>
        <v>HGI0125894</v>
      </c>
      <c r="M734" s="5" t="str">
        <f t="shared" si="23"/>
        <v>I</v>
      </c>
      <c r="N734" s="5">
        <f>IF(G734=[1]Clientes!$C$3,[1]Clientes!$D$3,[1]Clientes!$D$2)</f>
        <v>13050505</v>
      </c>
    </row>
    <row r="735" spans="1:14">
      <c r="A735" s="6" t="s">
        <v>7</v>
      </c>
      <c r="B735" s="7">
        <v>45496</v>
      </c>
      <c r="C735" s="6" t="s">
        <v>3865</v>
      </c>
      <c r="D735" s="6" t="s">
        <v>860</v>
      </c>
      <c r="E735" s="6" t="s">
        <v>16</v>
      </c>
      <c r="F735" s="7">
        <v>45526</v>
      </c>
      <c r="G735" s="6" t="s">
        <v>3102</v>
      </c>
      <c r="H735" s="8">
        <v>9</v>
      </c>
      <c r="I735" s="9">
        <v>504</v>
      </c>
      <c r="J735" s="9">
        <v>504</v>
      </c>
      <c r="K735" s="5" t="str">
        <f>VLOOKUP(D735,[1]Clientes!$A$1:$B$1370,2,0)</f>
        <v>NAC0792</v>
      </c>
      <c r="L735" s="5" t="str">
        <f t="shared" si="22"/>
        <v>HGI0125904</v>
      </c>
      <c r="M735" s="5" t="str">
        <f t="shared" si="23"/>
        <v>I</v>
      </c>
      <c r="N735" s="5">
        <f>IF(G735=[1]Clientes!$C$3,[1]Clientes!$D$3,[1]Clientes!$D$2)</f>
        <v>13050505</v>
      </c>
    </row>
    <row r="736" spans="1:14">
      <c r="A736" s="6" t="s">
        <v>7</v>
      </c>
      <c r="B736" s="7">
        <v>45497</v>
      </c>
      <c r="C736" s="6" t="s">
        <v>3866</v>
      </c>
      <c r="D736" s="6" t="s">
        <v>860</v>
      </c>
      <c r="E736" s="6" t="s">
        <v>16</v>
      </c>
      <c r="F736" s="7">
        <v>45527</v>
      </c>
      <c r="G736" s="6" t="s">
        <v>3102</v>
      </c>
      <c r="H736" s="8">
        <v>8</v>
      </c>
      <c r="I736" s="9">
        <v>365.8</v>
      </c>
      <c r="J736" s="9">
        <v>365.8</v>
      </c>
      <c r="K736" s="5" t="str">
        <f>VLOOKUP(D736,[1]Clientes!$A$1:$B$1370,2,0)</f>
        <v>NAC0792</v>
      </c>
      <c r="L736" s="5" t="str">
        <f t="shared" si="22"/>
        <v>HGI0125943</v>
      </c>
      <c r="M736" s="5" t="str">
        <f t="shared" si="23"/>
        <v>I</v>
      </c>
      <c r="N736" s="5">
        <f>IF(G736=[1]Clientes!$C$3,[1]Clientes!$D$3,[1]Clientes!$D$2)</f>
        <v>13050505</v>
      </c>
    </row>
    <row r="737" spans="1:14">
      <c r="A737" s="6" t="s">
        <v>7</v>
      </c>
      <c r="B737" s="7">
        <v>45498</v>
      </c>
      <c r="C737" s="6" t="s">
        <v>3867</v>
      </c>
      <c r="D737" s="6" t="s">
        <v>860</v>
      </c>
      <c r="E737" s="6" t="s">
        <v>16</v>
      </c>
      <c r="F737" s="7">
        <v>45528</v>
      </c>
      <c r="G737" s="6" t="s">
        <v>3102</v>
      </c>
      <c r="H737" s="8">
        <v>7</v>
      </c>
      <c r="I737" s="9">
        <v>410.88</v>
      </c>
      <c r="J737" s="9">
        <v>410.88</v>
      </c>
      <c r="K737" s="5" t="str">
        <f>VLOOKUP(D737,[1]Clientes!$A$1:$B$1370,2,0)</f>
        <v>NAC0792</v>
      </c>
      <c r="L737" s="5" t="str">
        <f t="shared" si="22"/>
        <v>HGI0125950</v>
      </c>
      <c r="M737" s="5" t="str">
        <f t="shared" si="23"/>
        <v>I</v>
      </c>
      <c r="N737" s="5">
        <f>IF(G737=[1]Clientes!$C$3,[1]Clientes!$D$3,[1]Clientes!$D$2)</f>
        <v>13050505</v>
      </c>
    </row>
    <row r="738" spans="1:14">
      <c r="A738" s="6" t="s">
        <v>7</v>
      </c>
      <c r="B738" s="7">
        <v>45498</v>
      </c>
      <c r="C738" s="6" t="s">
        <v>3868</v>
      </c>
      <c r="D738" s="6" t="s">
        <v>860</v>
      </c>
      <c r="E738" s="6" t="s">
        <v>16</v>
      </c>
      <c r="F738" s="7">
        <v>45528</v>
      </c>
      <c r="G738" s="6" t="s">
        <v>3102</v>
      </c>
      <c r="H738" s="8">
        <v>7</v>
      </c>
      <c r="I738" s="9">
        <v>1760</v>
      </c>
      <c r="J738" s="9">
        <v>1760</v>
      </c>
      <c r="K738" s="5" t="str">
        <f>VLOOKUP(D738,[1]Clientes!$A$1:$B$1370,2,0)</f>
        <v>NAC0792</v>
      </c>
      <c r="L738" s="5" t="str">
        <f t="shared" si="22"/>
        <v>HGI0125951</v>
      </c>
      <c r="M738" s="5" t="str">
        <f t="shared" si="23"/>
        <v>I</v>
      </c>
      <c r="N738" s="5">
        <f>IF(G738=[1]Clientes!$C$3,[1]Clientes!$D$3,[1]Clientes!$D$2)</f>
        <v>13050505</v>
      </c>
    </row>
    <row r="739" spans="1:14">
      <c r="A739" s="6" t="s">
        <v>7</v>
      </c>
      <c r="B739" s="7">
        <v>45498</v>
      </c>
      <c r="C739" s="6" t="s">
        <v>3869</v>
      </c>
      <c r="D739" s="6" t="s">
        <v>860</v>
      </c>
      <c r="E739" s="6" t="s">
        <v>16</v>
      </c>
      <c r="F739" s="7">
        <v>45528</v>
      </c>
      <c r="G739" s="6" t="s">
        <v>3102</v>
      </c>
      <c r="H739" s="8">
        <v>7</v>
      </c>
      <c r="I739" s="9">
        <v>128.4</v>
      </c>
      <c r="J739" s="9">
        <v>128.4</v>
      </c>
      <c r="K739" s="5" t="str">
        <f>VLOOKUP(D739,[1]Clientes!$A$1:$B$1370,2,0)</f>
        <v>NAC0792</v>
      </c>
      <c r="L739" s="5" t="str">
        <f t="shared" si="22"/>
        <v>HGI0125953</v>
      </c>
      <c r="M739" s="5" t="str">
        <f t="shared" si="23"/>
        <v>I</v>
      </c>
      <c r="N739" s="5">
        <f>IF(G739=[1]Clientes!$C$3,[1]Clientes!$D$3,[1]Clientes!$D$2)</f>
        <v>13050505</v>
      </c>
    </row>
    <row r="740" spans="1:14">
      <c r="A740" s="6" t="s">
        <v>7</v>
      </c>
      <c r="B740" s="7">
        <v>45502</v>
      </c>
      <c r="C740" s="6" t="s">
        <v>3870</v>
      </c>
      <c r="D740" s="6" t="s">
        <v>860</v>
      </c>
      <c r="E740" s="6" t="s">
        <v>16</v>
      </c>
      <c r="F740" s="7">
        <v>45532</v>
      </c>
      <c r="G740" s="6" t="s">
        <v>3102</v>
      </c>
      <c r="H740" s="8">
        <v>3</v>
      </c>
      <c r="I740" s="9">
        <v>660</v>
      </c>
      <c r="J740" s="9">
        <v>660</v>
      </c>
      <c r="K740" s="5" t="str">
        <f>VLOOKUP(D740,[1]Clientes!$A$1:$B$1370,2,0)</f>
        <v>NAC0792</v>
      </c>
      <c r="L740" s="5" t="str">
        <f t="shared" si="22"/>
        <v>HGI0126025</v>
      </c>
      <c r="M740" s="5" t="str">
        <f t="shared" si="23"/>
        <v>I</v>
      </c>
      <c r="N740" s="5">
        <f>IF(G740=[1]Clientes!$C$3,[1]Clientes!$D$3,[1]Clientes!$D$2)</f>
        <v>13050505</v>
      </c>
    </row>
    <row r="741" spans="1:14">
      <c r="A741" s="6" t="s">
        <v>7</v>
      </c>
      <c r="B741" s="7">
        <v>45504</v>
      </c>
      <c r="C741" s="6" t="s">
        <v>3871</v>
      </c>
      <c r="D741" s="6" t="s">
        <v>860</v>
      </c>
      <c r="E741" s="6" t="s">
        <v>16</v>
      </c>
      <c r="F741" s="7">
        <v>45534</v>
      </c>
      <c r="G741" s="6" t="s">
        <v>3102</v>
      </c>
      <c r="H741" s="8">
        <v>1</v>
      </c>
      <c r="I741" s="9">
        <v>1171.8</v>
      </c>
      <c r="J741" s="9">
        <v>1171.8</v>
      </c>
      <c r="K741" s="5" t="str">
        <f>VLOOKUP(D741,[1]Clientes!$A$1:$B$1370,2,0)</f>
        <v>NAC0792</v>
      </c>
      <c r="L741" s="5" t="str">
        <f t="shared" si="22"/>
        <v>HGI0126094</v>
      </c>
      <c r="M741" s="5" t="str">
        <f t="shared" si="23"/>
        <v>I</v>
      </c>
      <c r="N741" s="5">
        <f>IF(G741=[1]Clientes!$C$3,[1]Clientes!$D$3,[1]Clientes!$D$2)</f>
        <v>13050505</v>
      </c>
    </row>
    <row r="742" spans="1:14">
      <c r="A742" s="6" t="s">
        <v>7</v>
      </c>
      <c r="B742" s="7">
        <v>45506</v>
      </c>
      <c r="C742" s="6" t="s">
        <v>3872</v>
      </c>
      <c r="D742" s="6" t="s">
        <v>860</v>
      </c>
      <c r="E742" s="6" t="s">
        <v>16</v>
      </c>
      <c r="F742" s="7">
        <v>45536</v>
      </c>
      <c r="G742" s="6" t="s">
        <v>3102</v>
      </c>
      <c r="H742" s="8"/>
      <c r="I742" s="9">
        <v>409.2</v>
      </c>
      <c r="J742" s="9">
        <v>409.2</v>
      </c>
      <c r="K742" s="5" t="str">
        <f>VLOOKUP(D742,[1]Clientes!$A$1:$B$1370,2,0)</f>
        <v>NAC0792</v>
      </c>
      <c r="L742" s="5" t="str">
        <f t="shared" si="22"/>
        <v>HGI0126167</v>
      </c>
      <c r="M742" s="5" t="str">
        <f t="shared" si="23"/>
        <v>I</v>
      </c>
      <c r="N742" s="5">
        <f>IF(G742=[1]Clientes!$C$3,[1]Clientes!$D$3,[1]Clientes!$D$2)</f>
        <v>13050505</v>
      </c>
    </row>
    <row r="743" spans="1:14">
      <c r="A743" s="6" t="s">
        <v>7</v>
      </c>
      <c r="B743" s="7">
        <v>45511</v>
      </c>
      <c r="C743" s="6" t="s">
        <v>3873</v>
      </c>
      <c r="D743" s="6" t="s">
        <v>860</v>
      </c>
      <c r="E743" s="6" t="s">
        <v>16</v>
      </c>
      <c r="F743" s="7">
        <v>45541</v>
      </c>
      <c r="G743" s="6" t="s">
        <v>3102</v>
      </c>
      <c r="H743" s="8"/>
      <c r="I743" s="9">
        <v>949.56</v>
      </c>
      <c r="J743" s="9">
        <v>949.56</v>
      </c>
      <c r="K743" s="5" t="str">
        <f>VLOOKUP(D743,[1]Clientes!$A$1:$B$1370,2,0)</f>
        <v>NAC0792</v>
      </c>
      <c r="L743" s="5" t="str">
        <f t="shared" si="22"/>
        <v>HGI0126285</v>
      </c>
      <c r="M743" s="5" t="str">
        <f t="shared" si="23"/>
        <v>I</v>
      </c>
      <c r="N743" s="5">
        <f>IF(G743=[1]Clientes!$C$3,[1]Clientes!$D$3,[1]Clientes!$D$2)</f>
        <v>13050505</v>
      </c>
    </row>
    <row r="744" spans="1:14">
      <c r="A744" s="6" t="s">
        <v>7</v>
      </c>
      <c r="B744" s="7">
        <v>45511</v>
      </c>
      <c r="C744" s="6" t="s">
        <v>3874</v>
      </c>
      <c r="D744" s="6" t="s">
        <v>860</v>
      </c>
      <c r="E744" s="6" t="s">
        <v>16</v>
      </c>
      <c r="F744" s="7">
        <v>45541</v>
      </c>
      <c r="G744" s="6" t="s">
        <v>3102</v>
      </c>
      <c r="H744" s="8"/>
      <c r="I744" s="9">
        <v>252</v>
      </c>
      <c r="J744" s="9">
        <v>252</v>
      </c>
      <c r="K744" s="5" t="str">
        <f>VLOOKUP(D744,[1]Clientes!$A$1:$B$1370,2,0)</f>
        <v>NAC0792</v>
      </c>
      <c r="L744" s="5" t="str">
        <f t="shared" si="22"/>
        <v>HGI0126286</v>
      </c>
      <c r="M744" s="5" t="str">
        <f t="shared" si="23"/>
        <v>I</v>
      </c>
      <c r="N744" s="5">
        <f>IF(G744=[1]Clientes!$C$3,[1]Clientes!$D$3,[1]Clientes!$D$2)</f>
        <v>13050505</v>
      </c>
    </row>
    <row r="745" spans="1:14">
      <c r="A745" s="6" t="s">
        <v>7</v>
      </c>
      <c r="B745" s="7">
        <v>45518</v>
      </c>
      <c r="C745" s="6" t="s">
        <v>3875</v>
      </c>
      <c r="D745" s="6" t="s">
        <v>860</v>
      </c>
      <c r="E745" s="6" t="s">
        <v>16</v>
      </c>
      <c r="F745" s="7">
        <v>45548</v>
      </c>
      <c r="G745" s="6" t="s">
        <v>3102</v>
      </c>
      <c r="H745" s="8"/>
      <c r="I745" s="9">
        <v>276.24</v>
      </c>
      <c r="J745" s="9">
        <v>276.24</v>
      </c>
      <c r="K745" s="5" t="str">
        <f>VLOOKUP(D745,[1]Clientes!$A$1:$B$1370,2,0)</f>
        <v>NAC0792</v>
      </c>
      <c r="L745" s="5" t="str">
        <f t="shared" si="22"/>
        <v>HGI0126473</v>
      </c>
      <c r="M745" s="5" t="str">
        <f t="shared" si="23"/>
        <v>I</v>
      </c>
      <c r="N745" s="5">
        <f>IF(G745=[1]Clientes!$C$3,[1]Clientes!$D$3,[1]Clientes!$D$2)</f>
        <v>13050505</v>
      </c>
    </row>
    <row r="746" spans="1:14">
      <c r="A746" s="6" t="s">
        <v>7</v>
      </c>
      <c r="B746" s="7">
        <v>45520</v>
      </c>
      <c r="C746" s="6" t="s">
        <v>3876</v>
      </c>
      <c r="D746" s="6" t="s">
        <v>860</v>
      </c>
      <c r="E746" s="6" t="s">
        <v>16</v>
      </c>
      <c r="F746" s="7">
        <v>45550</v>
      </c>
      <c r="G746" s="6" t="s">
        <v>3102</v>
      </c>
      <c r="H746" s="8"/>
      <c r="I746" s="9">
        <v>240.6</v>
      </c>
      <c r="J746" s="9">
        <v>240.6</v>
      </c>
      <c r="K746" s="5" t="str">
        <f>VLOOKUP(D746,[1]Clientes!$A$1:$B$1370,2,0)</f>
        <v>NAC0792</v>
      </c>
      <c r="L746" s="5" t="str">
        <f t="shared" si="22"/>
        <v>HGI0126609</v>
      </c>
      <c r="M746" s="5" t="str">
        <f t="shared" si="23"/>
        <v>I</v>
      </c>
      <c r="N746" s="5">
        <f>IF(G746=[1]Clientes!$C$3,[1]Clientes!$D$3,[1]Clientes!$D$2)</f>
        <v>13050505</v>
      </c>
    </row>
    <row r="747" spans="1:14">
      <c r="A747" s="6" t="s">
        <v>7</v>
      </c>
      <c r="B747" s="7">
        <v>45524</v>
      </c>
      <c r="C747" s="6" t="s">
        <v>3877</v>
      </c>
      <c r="D747" s="6" t="s">
        <v>860</v>
      </c>
      <c r="E747" s="6" t="s">
        <v>16</v>
      </c>
      <c r="F747" s="7">
        <v>45554</v>
      </c>
      <c r="G747" s="6" t="s">
        <v>3102</v>
      </c>
      <c r="H747" s="8"/>
      <c r="I747" s="9">
        <v>1372.8</v>
      </c>
      <c r="J747" s="9">
        <v>1372.8</v>
      </c>
      <c r="K747" s="5" t="str">
        <f>VLOOKUP(D747,[1]Clientes!$A$1:$B$1370,2,0)</f>
        <v>NAC0792</v>
      </c>
      <c r="L747" s="5" t="str">
        <f t="shared" si="22"/>
        <v>HGI0126724</v>
      </c>
      <c r="M747" s="5" t="str">
        <f t="shared" si="23"/>
        <v>I</v>
      </c>
      <c r="N747" s="5">
        <f>IF(G747=[1]Clientes!$C$3,[1]Clientes!$D$3,[1]Clientes!$D$2)</f>
        <v>13050505</v>
      </c>
    </row>
    <row r="748" spans="1:14">
      <c r="A748" s="6" t="s">
        <v>7</v>
      </c>
      <c r="B748" s="7">
        <v>45525</v>
      </c>
      <c r="C748" s="6" t="s">
        <v>3878</v>
      </c>
      <c r="D748" s="6" t="s">
        <v>860</v>
      </c>
      <c r="E748" s="6" t="s">
        <v>16</v>
      </c>
      <c r="F748" s="7">
        <v>45555</v>
      </c>
      <c r="G748" s="6" t="s">
        <v>3102</v>
      </c>
      <c r="H748" s="8"/>
      <c r="I748" s="9">
        <v>3740</v>
      </c>
      <c r="J748" s="9">
        <v>3740</v>
      </c>
      <c r="K748" s="5" t="str">
        <f>VLOOKUP(D748,[1]Clientes!$A$1:$B$1370,2,0)</f>
        <v>NAC0792</v>
      </c>
      <c r="L748" s="5" t="str">
        <f t="shared" si="22"/>
        <v>HGI0126741</v>
      </c>
      <c r="M748" s="5" t="str">
        <f t="shared" si="23"/>
        <v>I</v>
      </c>
      <c r="N748" s="5">
        <f>IF(G748=[1]Clientes!$C$3,[1]Clientes!$D$3,[1]Clientes!$D$2)</f>
        <v>13050505</v>
      </c>
    </row>
    <row r="749" spans="1:14">
      <c r="A749" s="6" t="s">
        <v>7</v>
      </c>
      <c r="B749" s="7">
        <v>45526</v>
      </c>
      <c r="C749" s="6" t="s">
        <v>3879</v>
      </c>
      <c r="D749" s="6" t="s">
        <v>860</v>
      </c>
      <c r="E749" s="6" t="s">
        <v>16</v>
      </c>
      <c r="F749" s="7">
        <v>45556</v>
      </c>
      <c r="G749" s="6" t="s">
        <v>3102</v>
      </c>
      <c r="H749" s="8"/>
      <c r="I749" s="9">
        <v>681.84</v>
      </c>
      <c r="J749" s="9">
        <v>681.84</v>
      </c>
      <c r="K749" s="5" t="str">
        <f>VLOOKUP(D749,[1]Clientes!$A$1:$B$1370,2,0)</f>
        <v>NAC0792</v>
      </c>
      <c r="L749" s="5" t="str">
        <f t="shared" si="22"/>
        <v>HGI0126768</v>
      </c>
      <c r="M749" s="5" t="str">
        <f t="shared" si="23"/>
        <v>I</v>
      </c>
      <c r="N749" s="5">
        <f>IF(G749=[1]Clientes!$C$3,[1]Clientes!$D$3,[1]Clientes!$D$2)</f>
        <v>13050505</v>
      </c>
    </row>
    <row r="750" spans="1:14">
      <c r="A750" s="6" t="s">
        <v>7</v>
      </c>
      <c r="B750" s="7">
        <v>45532</v>
      </c>
      <c r="C750" s="6" t="s">
        <v>3880</v>
      </c>
      <c r="D750" s="6" t="s">
        <v>860</v>
      </c>
      <c r="E750" s="6" t="s">
        <v>16</v>
      </c>
      <c r="F750" s="7">
        <v>45562</v>
      </c>
      <c r="G750" s="6" t="s">
        <v>3102</v>
      </c>
      <c r="H750" s="8"/>
      <c r="I750" s="9">
        <v>380.16</v>
      </c>
      <c r="J750" s="9">
        <v>380.16</v>
      </c>
      <c r="K750" s="5" t="str">
        <f>VLOOKUP(D750,[1]Clientes!$A$1:$B$1370,2,0)</f>
        <v>NAC0792</v>
      </c>
      <c r="L750" s="5" t="str">
        <f t="shared" si="22"/>
        <v>HGI0126999</v>
      </c>
      <c r="M750" s="5" t="str">
        <f t="shared" si="23"/>
        <v>I</v>
      </c>
      <c r="N750" s="5">
        <f>IF(G750=[1]Clientes!$C$3,[1]Clientes!$D$3,[1]Clientes!$D$2)</f>
        <v>13050505</v>
      </c>
    </row>
    <row r="751" spans="1:14">
      <c r="A751" s="6" t="s">
        <v>7</v>
      </c>
      <c r="B751" s="7">
        <v>45532</v>
      </c>
      <c r="C751" s="6" t="s">
        <v>3881</v>
      </c>
      <c r="D751" s="6" t="s">
        <v>860</v>
      </c>
      <c r="E751" s="6" t="s">
        <v>16</v>
      </c>
      <c r="F751" s="7">
        <v>45562</v>
      </c>
      <c r="G751" s="6" t="s">
        <v>3102</v>
      </c>
      <c r="H751" s="8"/>
      <c r="I751" s="9">
        <v>128.4</v>
      </c>
      <c r="J751" s="9">
        <v>128.4</v>
      </c>
      <c r="K751" s="5" t="str">
        <f>VLOOKUP(D751,[1]Clientes!$A$1:$B$1370,2,0)</f>
        <v>NAC0792</v>
      </c>
      <c r="L751" s="5" t="str">
        <f t="shared" si="22"/>
        <v>HGI0127059</v>
      </c>
      <c r="M751" s="5" t="str">
        <f t="shared" si="23"/>
        <v>I</v>
      </c>
      <c r="N751" s="5">
        <f>IF(G751=[1]Clientes!$C$3,[1]Clientes!$D$3,[1]Clientes!$D$2)</f>
        <v>13050505</v>
      </c>
    </row>
    <row r="752" spans="1:14">
      <c r="A752" s="6" t="s">
        <v>3139</v>
      </c>
      <c r="B752" s="7">
        <v>45323</v>
      </c>
      <c r="C752" s="6"/>
      <c r="D752" s="6" t="s">
        <v>3882</v>
      </c>
      <c r="E752" s="6"/>
      <c r="F752" s="7"/>
      <c r="G752" s="6" t="s">
        <v>3102</v>
      </c>
      <c r="H752" s="8"/>
      <c r="I752" s="9">
        <v>-0.01</v>
      </c>
      <c r="J752" s="9">
        <v>-0.01</v>
      </c>
      <c r="K752" s="5" t="str">
        <f>VLOOKUP(D752,[1]Clientes!$A$1:$B$1485,2,0)</f>
        <v>NAC0794</v>
      </c>
      <c r="L752" s="5" t="str">
        <f t="shared" si="22"/>
        <v>Revisar</v>
      </c>
      <c r="M752" s="5" t="str">
        <f t="shared" si="23"/>
        <v>P</v>
      </c>
      <c r="N752" s="5">
        <f>IF(G752=[1]Clientes!$C$3,[1]Clientes!$D$3,[1]Clientes!$D$2)</f>
        <v>13050505</v>
      </c>
    </row>
    <row r="753" spans="1:14">
      <c r="A753" s="6" t="s">
        <v>3139</v>
      </c>
      <c r="B753" s="7">
        <v>45322</v>
      </c>
      <c r="C753" s="6"/>
      <c r="D753" s="6" t="s">
        <v>3883</v>
      </c>
      <c r="E753" s="6"/>
      <c r="F753" s="7"/>
      <c r="G753" s="6" t="s">
        <v>3102</v>
      </c>
      <c r="H753" s="8"/>
      <c r="I753" s="9">
        <v>-0.01</v>
      </c>
      <c r="J753" s="9">
        <v>-0.01</v>
      </c>
      <c r="K753" s="5" t="str">
        <f>VLOOKUP(D753,[1]Clientes!$A$1:$B$1485,2,0)</f>
        <v>NAC0793</v>
      </c>
      <c r="L753" s="5" t="str">
        <f t="shared" si="22"/>
        <v>Revisar</v>
      </c>
      <c r="M753" s="5" t="str">
        <f t="shared" si="23"/>
        <v>P</v>
      </c>
      <c r="N753" s="5">
        <f>IF(G753=[1]Clientes!$C$3,[1]Clientes!$D$3,[1]Clientes!$D$2)</f>
        <v>13050505</v>
      </c>
    </row>
    <row r="754" spans="1:14">
      <c r="A754" s="6" t="s">
        <v>3099</v>
      </c>
      <c r="B754" s="7">
        <v>45532</v>
      </c>
      <c r="C754" s="6" t="s">
        <v>3884</v>
      </c>
      <c r="D754" s="6" t="s">
        <v>898</v>
      </c>
      <c r="E754" s="6" t="s">
        <v>213</v>
      </c>
      <c r="F754" s="7">
        <v>45532</v>
      </c>
      <c r="G754" s="6" t="s">
        <v>3102</v>
      </c>
      <c r="H754" s="8">
        <v>3</v>
      </c>
      <c r="I754" s="9">
        <v>-1500</v>
      </c>
      <c r="J754" s="9">
        <v>-1500</v>
      </c>
      <c r="K754" s="5" t="str">
        <f>VLOOKUP(D754,[1]Clientes!$A$1:$B$1370,2,0)</f>
        <v>NAC0800</v>
      </c>
      <c r="L754" s="5" t="str">
        <f t="shared" si="22"/>
        <v>CRM0126929</v>
      </c>
      <c r="M754" s="5" t="str">
        <f t="shared" si="23"/>
        <v>C</v>
      </c>
      <c r="N754" s="5">
        <f>IF(G754=[1]Clientes!$C$3,[1]Clientes!$D$3,[1]Clientes!$D$2)</f>
        <v>13050505</v>
      </c>
    </row>
    <row r="755" spans="1:14">
      <c r="A755" s="6" t="s">
        <v>7</v>
      </c>
      <c r="B755" s="7">
        <v>45506</v>
      </c>
      <c r="C755" s="6" t="s">
        <v>3885</v>
      </c>
      <c r="D755" s="6" t="s">
        <v>906</v>
      </c>
      <c r="E755" s="6" t="s">
        <v>16</v>
      </c>
      <c r="F755" s="7">
        <v>45536</v>
      </c>
      <c r="G755" s="6" t="s">
        <v>3102</v>
      </c>
      <c r="H755" s="8"/>
      <c r="I755" s="9">
        <v>2859.33</v>
      </c>
      <c r="J755" s="9">
        <v>2859.33</v>
      </c>
      <c r="K755" s="5" t="str">
        <f>VLOOKUP(D755,[1]Clientes!$A$1:$B$1370,2,0)</f>
        <v>NAC0804</v>
      </c>
      <c r="L755" s="5" t="str">
        <f t="shared" si="22"/>
        <v>HGI0126155</v>
      </c>
      <c r="M755" s="5" t="str">
        <f t="shared" si="23"/>
        <v>I</v>
      </c>
      <c r="N755" s="5">
        <f>IF(G755=[1]Clientes!$C$3,[1]Clientes!$D$3,[1]Clientes!$D$2)</f>
        <v>13050505</v>
      </c>
    </row>
    <row r="756" spans="1:14">
      <c r="A756" s="6" t="s">
        <v>7</v>
      </c>
      <c r="B756" s="7">
        <v>45510</v>
      </c>
      <c r="C756" s="6" t="s">
        <v>3886</v>
      </c>
      <c r="D756" s="6" t="s">
        <v>906</v>
      </c>
      <c r="E756" s="6" t="s">
        <v>16</v>
      </c>
      <c r="F756" s="7">
        <v>45540</v>
      </c>
      <c r="G756" s="6" t="s">
        <v>3102</v>
      </c>
      <c r="H756" s="8"/>
      <c r="I756" s="9">
        <v>4110</v>
      </c>
      <c r="J756" s="9">
        <v>4110</v>
      </c>
      <c r="K756" s="5" t="str">
        <f>VLOOKUP(D756,[1]Clientes!$A$1:$B$1370,2,0)</f>
        <v>NAC0804</v>
      </c>
      <c r="L756" s="5" t="str">
        <f t="shared" si="22"/>
        <v>HGI0126242</v>
      </c>
      <c r="M756" s="5" t="str">
        <f t="shared" si="23"/>
        <v>I</v>
      </c>
      <c r="N756" s="5">
        <f>IF(G756=[1]Clientes!$C$3,[1]Clientes!$D$3,[1]Clientes!$D$2)</f>
        <v>13050505</v>
      </c>
    </row>
    <row r="757" spans="1:14">
      <c r="A757" s="6" t="s">
        <v>7</v>
      </c>
      <c r="B757" s="7">
        <v>45168</v>
      </c>
      <c r="C757" s="6" t="s">
        <v>3887</v>
      </c>
      <c r="D757" s="6" t="s">
        <v>100</v>
      </c>
      <c r="E757" s="6" t="s">
        <v>16</v>
      </c>
      <c r="F757" s="7">
        <v>45198</v>
      </c>
      <c r="G757" s="6" t="s">
        <v>3102</v>
      </c>
      <c r="H757" s="8">
        <v>337</v>
      </c>
      <c r="I757" s="9">
        <v>650.01</v>
      </c>
      <c r="J757" s="9">
        <v>34775.86</v>
      </c>
      <c r="K757" s="5" t="str">
        <f>VLOOKUP(D757,[1]Clientes!$A$1:$B$1370,2,0)</f>
        <v>CAN0018</v>
      </c>
      <c r="L757" s="5" t="str">
        <f t="shared" si="22"/>
        <v>HGI0114738</v>
      </c>
      <c r="M757" s="5" t="str">
        <f t="shared" si="23"/>
        <v>I</v>
      </c>
      <c r="N757" s="5">
        <f>IF(G757=[1]Clientes!$C$3,[1]Clientes!$D$3,[1]Clientes!$D$2)</f>
        <v>13050505</v>
      </c>
    </row>
    <row r="758" spans="1:14">
      <c r="A758" s="6" t="s">
        <v>7</v>
      </c>
      <c r="B758" s="7">
        <v>45168</v>
      </c>
      <c r="C758" s="6" t="s">
        <v>3888</v>
      </c>
      <c r="D758" s="6" t="s">
        <v>100</v>
      </c>
      <c r="E758" s="6" t="s">
        <v>16</v>
      </c>
      <c r="F758" s="7">
        <v>45198</v>
      </c>
      <c r="G758" s="6" t="s">
        <v>3102</v>
      </c>
      <c r="H758" s="8">
        <v>337</v>
      </c>
      <c r="I758" s="9">
        <v>6.38</v>
      </c>
      <c r="J758" s="9">
        <v>341.1</v>
      </c>
      <c r="K758" s="5" t="str">
        <f>VLOOKUP(D758,[1]Clientes!$A$1:$B$1370,2,0)</f>
        <v>CAN0018</v>
      </c>
      <c r="L758" s="5" t="str">
        <f t="shared" si="22"/>
        <v>HGI0114740</v>
      </c>
      <c r="M758" s="5" t="str">
        <f t="shared" si="23"/>
        <v>I</v>
      </c>
      <c r="N758" s="5">
        <f>IF(G758=[1]Clientes!$C$3,[1]Clientes!$D$3,[1]Clientes!$D$2)</f>
        <v>13050505</v>
      </c>
    </row>
    <row r="759" spans="1:14">
      <c r="A759" s="6" t="s">
        <v>7</v>
      </c>
      <c r="B759" s="7">
        <v>45203</v>
      </c>
      <c r="C759" s="6" t="s">
        <v>3889</v>
      </c>
      <c r="D759" s="6" t="s">
        <v>100</v>
      </c>
      <c r="E759" s="6" t="s">
        <v>16</v>
      </c>
      <c r="F759" s="7">
        <v>45233</v>
      </c>
      <c r="G759" s="6" t="s">
        <v>3102</v>
      </c>
      <c r="H759" s="8">
        <v>302</v>
      </c>
      <c r="I759" s="9">
        <v>3907.99</v>
      </c>
      <c r="J759" s="9">
        <v>5285.8</v>
      </c>
      <c r="K759" s="5" t="str">
        <f>VLOOKUP(D759,[1]Clientes!$A$1:$B$1370,2,0)</f>
        <v>CAN0018</v>
      </c>
      <c r="L759" s="5" t="str">
        <f t="shared" si="22"/>
        <v>HGI0115673</v>
      </c>
      <c r="M759" s="5" t="str">
        <f t="shared" si="23"/>
        <v>I</v>
      </c>
      <c r="N759" s="5">
        <f>IF(G759=[1]Clientes!$C$3,[1]Clientes!$D$3,[1]Clientes!$D$2)</f>
        <v>13050505</v>
      </c>
    </row>
    <row r="760" spans="1:14">
      <c r="A760" s="6" t="s">
        <v>7</v>
      </c>
      <c r="B760" s="7">
        <v>45366</v>
      </c>
      <c r="C760" s="6" t="s">
        <v>3890</v>
      </c>
      <c r="D760" s="6" t="s">
        <v>100</v>
      </c>
      <c r="E760" s="6" t="s">
        <v>16</v>
      </c>
      <c r="F760" s="7">
        <v>45396</v>
      </c>
      <c r="G760" s="6" t="s">
        <v>3102</v>
      </c>
      <c r="H760" s="8">
        <v>139</v>
      </c>
      <c r="I760" s="9">
        <v>8185.64</v>
      </c>
      <c r="J760" s="9">
        <v>8185.64</v>
      </c>
      <c r="K760" s="5" t="str">
        <f>VLOOKUP(D760,[1]Clientes!$A$1:$B$1370,2,0)</f>
        <v>CAN0018</v>
      </c>
      <c r="L760" s="5" t="str">
        <f t="shared" si="22"/>
        <v>HGI0122219</v>
      </c>
      <c r="M760" s="5" t="str">
        <f t="shared" si="23"/>
        <v>I</v>
      </c>
      <c r="N760" s="5">
        <f>IF(G760=[1]Clientes!$C$3,[1]Clientes!$D$3,[1]Clientes!$D$2)</f>
        <v>13050505</v>
      </c>
    </row>
    <row r="761" spans="1:14">
      <c r="A761" s="6" t="s">
        <v>7</v>
      </c>
      <c r="B761" s="7">
        <v>45376</v>
      </c>
      <c r="C761" s="6" t="s">
        <v>3891</v>
      </c>
      <c r="D761" s="6" t="s">
        <v>100</v>
      </c>
      <c r="E761" s="6" t="s">
        <v>16</v>
      </c>
      <c r="F761" s="7">
        <v>45406</v>
      </c>
      <c r="G761" s="6" t="s">
        <v>3102</v>
      </c>
      <c r="H761" s="8">
        <v>129</v>
      </c>
      <c r="I761" s="9">
        <v>10334</v>
      </c>
      <c r="J761" s="9">
        <v>10334</v>
      </c>
      <c r="K761" s="5" t="str">
        <f>VLOOKUP(D761,[1]Clientes!$A$1:$B$1370,2,0)</f>
        <v>CAN0018</v>
      </c>
      <c r="L761" s="5" t="str">
        <f t="shared" si="22"/>
        <v>HGI0122232</v>
      </c>
      <c r="M761" s="5" t="str">
        <f t="shared" si="23"/>
        <v>I</v>
      </c>
      <c r="N761" s="5">
        <f>IF(G761=[1]Clientes!$C$3,[1]Clientes!$D$3,[1]Clientes!$D$2)</f>
        <v>13050505</v>
      </c>
    </row>
    <row r="762" spans="1:14">
      <c r="A762" s="6" t="s">
        <v>7</v>
      </c>
      <c r="B762" s="7">
        <v>45428</v>
      </c>
      <c r="C762" s="6" t="s">
        <v>3892</v>
      </c>
      <c r="D762" s="6" t="s">
        <v>100</v>
      </c>
      <c r="E762" s="6" t="s">
        <v>16</v>
      </c>
      <c r="F762" s="7">
        <v>45458</v>
      </c>
      <c r="G762" s="6" t="s">
        <v>3102</v>
      </c>
      <c r="H762" s="8">
        <v>77</v>
      </c>
      <c r="I762" s="9">
        <v>698.64</v>
      </c>
      <c r="J762" s="9">
        <v>698.64</v>
      </c>
      <c r="K762" s="5" t="str">
        <f>VLOOKUP(D762,[1]Clientes!$A$1:$B$1370,2,0)</f>
        <v>CAN0018</v>
      </c>
      <c r="L762" s="5" t="str">
        <f t="shared" si="22"/>
        <v>HGI0124380</v>
      </c>
      <c r="M762" s="5" t="str">
        <f t="shared" si="23"/>
        <v>I</v>
      </c>
      <c r="N762" s="5">
        <f>IF(G762=[1]Clientes!$C$3,[1]Clientes!$D$3,[1]Clientes!$D$2)</f>
        <v>13050505</v>
      </c>
    </row>
    <row r="763" spans="1:14">
      <c r="A763" s="6" t="s">
        <v>7</v>
      </c>
      <c r="B763" s="7">
        <v>45442</v>
      </c>
      <c r="C763" s="6" t="s">
        <v>3893</v>
      </c>
      <c r="D763" s="6" t="s">
        <v>100</v>
      </c>
      <c r="E763" s="6" t="s">
        <v>16</v>
      </c>
      <c r="F763" s="7">
        <v>45472</v>
      </c>
      <c r="G763" s="6" t="s">
        <v>3102</v>
      </c>
      <c r="H763" s="8">
        <v>63</v>
      </c>
      <c r="I763" s="9">
        <v>21288.05</v>
      </c>
      <c r="J763" s="9">
        <v>21288.05</v>
      </c>
      <c r="K763" s="5" t="str">
        <f>VLOOKUP(D763,[1]Clientes!$A$1:$B$1370,2,0)</f>
        <v>CAN0018</v>
      </c>
      <c r="L763" s="5" t="str">
        <f t="shared" si="22"/>
        <v>HGI0124722</v>
      </c>
      <c r="M763" s="5" t="str">
        <f t="shared" si="23"/>
        <v>I</v>
      </c>
      <c r="N763" s="5">
        <f>IF(G763=[1]Clientes!$C$3,[1]Clientes!$D$3,[1]Clientes!$D$2)</f>
        <v>13050505</v>
      </c>
    </row>
    <row r="764" spans="1:14">
      <c r="A764" s="6" t="s">
        <v>3099</v>
      </c>
      <c r="B764" s="7">
        <v>45519</v>
      </c>
      <c r="C764" s="6" t="s">
        <v>3894</v>
      </c>
      <c r="D764" s="6" t="s">
        <v>100</v>
      </c>
      <c r="E764" s="6" t="s">
        <v>16</v>
      </c>
      <c r="F764" s="7">
        <v>45549</v>
      </c>
      <c r="G764" s="6" t="s">
        <v>3102</v>
      </c>
      <c r="H764" s="8"/>
      <c r="I764" s="9">
        <v>-49.78</v>
      </c>
      <c r="J764" s="9">
        <v>-49.78</v>
      </c>
      <c r="K764" s="5" t="str">
        <f>VLOOKUP(D764,[1]Clientes!$A$1:$B$1370,2,0)</f>
        <v>CAN0018</v>
      </c>
      <c r="L764" s="5" t="str">
        <f t="shared" si="22"/>
        <v>CRM0126520</v>
      </c>
      <c r="M764" s="5" t="str">
        <f t="shared" si="23"/>
        <v>C</v>
      </c>
      <c r="N764" s="5">
        <f>IF(G764=[1]Clientes!$C$3,[1]Clientes!$D$3,[1]Clientes!$D$2)</f>
        <v>13050505</v>
      </c>
    </row>
    <row r="765" spans="1:14">
      <c r="A765" s="6" t="s">
        <v>7</v>
      </c>
      <c r="B765" s="7">
        <v>45519</v>
      </c>
      <c r="C765" s="6" t="s">
        <v>3895</v>
      </c>
      <c r="D765" s="6" t="s">
        <v>119</v>
      </c>
      <c r="E765" s="6" t="s">
        <v>16</v>
      </c>
      <c r="F765" s="7">
        <v>45549</v>
      </c>
      <c r="G765" s="6" t="s">
        <v>3102</v>
      </c>
      <c r="H765" s="8"/>
      <c r="I765" s="9">
        <v>3390</v>
      </c>
      <c r="J765" s="9">
        <v>3390</v>
      </c>
      <c r="K765" s="5" t="str">
        <f>VLOOKUP(D765,[1]Clientes!$A$1:$B$1370,2,0)</f>
        <v>CAN0019</v>
      </c>
      <c r="L765" s="5" t="str">
        <f t="shared" si="22"/>
        <v>HGI0126588</v>
      </c>
      <c r="M765" s="5" t="str">
        <f t="shared" si="23"/>
        <v>I</v>
      </c>
      <c r="N765" s="5">
        <f>IF(G765=[1]Clientes!$C$3,[1]Clientes!$D$3,[1]Clientes!$D$2)</f>
        <v>13050505</v>
      </c>
    </row>
    <row r="766" spans="1:14">
      <c r="A766" s="6" t="s">
        <v>7</v>
      </c>
      <c r="B766" s="7">
        <v>45519</v>
      </c>
      <c r="C766" s="6" t="s">
        <v>3896</v>
      </c>
      <c r="D766" s="6" t="s">
        <v>119</v>
      </c>
      <c r="E766" s="6" t="s">
        <v>16</v>
      </c>
      <c r="F766" s="7">
        <v>45549</v>
      </c>
      <c r="G766" s="6" t="s">
        <v>3102</v>
      </c>
      <c r="H766" s="8"/>
      <c r="I766" s="9">
        <v>915.3</v>
      </c>
      <c r="J766" s="9">
        <v>915.3</v>
      </c>
      <c r="K766" s="5" t="str">
        <f>VLOOKUP(D766,[1]Clientes!$A$1:$B$1370,2,0)</f>
        <v>CAN0019</v>
      </c>
      <c r="L766" s="5" t="str">
        <f t="shared" si="22"/>
        <v>HGI0126592</v>
      </c>
      <c r="M766" s="5" t="str">
        <f t="shared" si="23"/>
        <v>I</v>
      </c>
      <c r="N766" s="5">
        <f>IF(G766=[1]Clientes!$C$3,[1]Clientes!$D$3,[1]Clientes!$D$2)</f>
        <v>13050505</v>
      </c>
    </row>
    <row r="767" spans="1:14">
      <c r="A767" s="6" t="s">
        <v>7</v>
      </c>
      <c r="B767" s="7">
        <v>45520</v>
      </c>
      <c r="C767" s="6" t="s">
        <v>3897</v>
      </c>
      <c r="D767" s="6" t="s">
        <v>119</v>
      </c>
      <c r="E767" s="6" t="s">
        <v>16</v>
      </c>
      <c r="F767" s="7">
        <v>45550</v>
      </c>
      <c r="G767" s="6" t="s">
        <v>3102</v>
      </c>
      <c r="H767" s="8"/>
      <c r="I767" s="9">
        <v>6500.89</v>
      </c>
      <c r="J767" s="9">
        <v>6500.89</v>
      </c>
      <c r="K767" s="5" t="str">
        <f>VLOOKUP(D767,[1]Clientes!$A$1:$B$1370,2,0)</f>
        <v>CAN0019</v>
      </c>
      <c r="L767" s="5" t="str">
        <f t="shared" si="22"/>
        <v>HGI0126602</v>
      </c>
      <c r="M767" s="5" t="str">
        <f t="shared" si="23"/>
        <v>I</v>
      </c>
      <c r="N767" s="5">
        <f>IF(G767=[1]Clientes!$C$3,[1]Clientes!$D$3,[1]Clientes!$D$2)</f>
        <v>13050505</v>
      </c>
    </row>
    <row r="768" spans="1:14">
      <c r="A768" s="6" t="s">
        <v>7</v>
      </c>
      <c r="B768" s="7">
        <v>45525</v>
      </c>
      <c r="C768" s="6" t="s">
        <v>3898</v>
      </c>
      <c r="D768" s="6" t="s">
        <v>119</v>
      </c>
      <c r="E768" s="6" t="s">
        <v>16</v>
      </c>
      <c r="F768" s="7">
        <v>45555</v>
      </c>
      <c r="G768" s="6" t="s">
        <v>3102</v>
      </c>
      <c r="H768" s="8"/>
      <c r="I768" s="9">
        <v>6847.8</v>
      </c>
      <c r="J768" s="9">
        <v>6847.8</v>
      </c>
      <c r="K768" s="5" t="str">
        <f>VLOOKUP(D768,[1]Clientes!$A$1:$B$1370,2,0)</f>
        <v>CAN0019</v>
      </c>
      <c r="L768" s="5" t="str">
        <f t="shared" si="22"/>
        <v>HGI0126750</v>
      </c>
      <c r="M768" s="5" t="str">
        <f t="shared" si="23"/>
        <v>I</v>
      </c>
      <c r="N768" s="5">
        <f>IF(G768=[1]Clientes!$C$3,[1]Clientes!$D$3,[1]Clientes!$D$2)</f>
        <v>13050505</v>
      </c>
    </row>
    <row r="769" spans="1:14">
      <c r="A769" s="6" t="s">
        <v>7</v>
      </c>
      <c r="B769" s="7">
        <v>45527</v>
      </c>
      <c r="C769" s="6" t="s">
        <v>3899</v>
      </c>
      <c r="D769" s="6" t="s">
        <v>119</v>
      </c>
      <c r="E769" s="6" t="s">
        <v>16</v>
      </c>
      <c r="F769" s="7">
        <v>45557</v>
      </c>
      <c r="G769" s="6" t="s">
        <v>3102</v>
      </c>
      <c r="H769" s="8"/>
      <c r="I769" s="9">
        <v>22014.66</v>
      </c>
      <c r="J769" s="9">
        <v>22014.66</v>
      </c>
      <c r="K769" s="5" t="str">
        <f>VLOOKUP(D769,[1]Clientes!$A$1:$B$1370,2,0)</f>
        <v>CAN0019</v>
      </c>
      <c r="L769" s="5" t="str">
        <f t="shared" si="22"/>
        <v>HGI0126884</v>
      </c>
      <c r="M769" s="5" t="str">
        <f t="shared" si="23"/>
        <v>I</v>
      </c>
      <c r="N769" s="5">
        <f>IF(G769=[1]Clientes!$C$3,[1]Clientes!$D$3,[1]Clientes!$D$2)</f>
        <v>13050505</v>
      </c>
    </row>
    <row r="770" spans="1:14">
      <c r="A770" s="6" t="s">
        <v>3139</v>
      </c>
      <c r="B770" s="7">
        <v>45470</v>
      </c>
      <c r="C770" s="6"/>
      <c r="D770" s="6" t="s">
        <v>918</v>
      </c>
      <c r="E770" s="6"/>
      <c r="F770" s="7"/>
      <c r="G770" s="6" t="s">
        <v>3102</v>
      </c>
      <c r="H770" s="8"/>
      <c r="I770" s="9">
        <v>-6.34</v>
      </c>
      <c r="J770" s="9">
        <v>-217.55</v>
      </c>
      <c r="K770" s="5" t="str">
        <f>VLOOKUP(D770,[1]Clientes!$A$1:$B$1370,2,0)</f>
        <v>NAC0812</v>
      </c>
      <c r="L770" s="5" t="str">
        <f t="shared" si="22"/>
        <v>Revisar</v>
      </c>
      <c r="M770" s="5" t="str">
        <f t="shared" si="23"/>
        <v>P</v>
      </c>
      <c r="N770" s="5">
        <f>IF(G770=[1]Clientes!$C$3,[1]Clientes!$D$3,[1]Clientes!$D$2)</f>
        <v>13050505</v>
      </c>
    </row>
    <row r="771" spans="1:14">
      <c r="A771" s="6" t="s">
        <v>3139</v>
      </c>
      <c r="B771" s="7">
        <v>45478</v>
      </c>
      <c r="C771" s="6"/>
      <c r="D771" s="6" t="s">
        <v>133</v>
      </c>
      <c r="E771" s="6"/>
      <c r="F771" s="7"/>
      <c r="G771" s="6" t="s">
        <v>3102</v>
      </c>
      <c r="H771" s="8"/>
      <c r="I771" s="9">
        <v>-1326.6</v>
      </c>
      <c r="J771" s="9">
        <v>-6852</v>
      </c>
      <c r="K771" s="5" t="str">
        <f>VLOOKUP(D771,[1]Clientes!$A$1:$B$1370,2,0)</f>
        <v>CAN0020</v>
      </c>
      <c r="L771" s="5" t="str">
        <f t="shared" ref="L771:L834" si="24">IF(A771="Invoice",
    IF(LEFT(C771,5)="TGDR-", "TGDR"&amp;RIGHT(C771,LEN(C771)-5), "HGI"&amp;C771),
    IF(A771="Credit Memo",
        IF(LEFT(C771,5)="TGDR-", "CRM"&amp;RIGHT(C771,LEN(C771)-5), "CRM"&amp;C771),
        "Revisar")
)</f>
        <v>Revisar</v>
      </c>
      <c r="M771" s="5" t="str">
        <f t="shared" ref="M771:M834" si="25">IF(A771="Invoice","I",IF(A771="Credit Memo","C",IF(A771="Payment","P","GJ")))</f>
        <v>P</v>
      </c>
      <c r="N771" s="5">
        <f>IF(G771=[1]Clientes!$C$3,[1]Clientes!$D$3,[1]Clientes!$D$2)</f>
        <v>13050505</v>
      </c>
    </row>
    <row r="772" spans="1:14">
      <c r="A772" s="6" t="s">
        <v>7</v>
      </c>
      <c r="B772" s="7">
        <v>45481</v>
      </c>
      <c r="C772" s="6" t="s">
        <v>3900</v>
      </c>
      <c r="D772" s="6" t="s">
        <v>133</v>
      </c>
      <c r="E772" s="6" t="s">
        <v>16</v>
      </c>
      <c r="F772" s="7">
        <v>45511</v>
      </c>
      <c r="G772" s="6" t="s">
        <v>3102</v>
      </c>
      <c r="H772" s="8">
        <v>24</v>
      </c>
      <c r="I772" s="9">
        <v>2162.4</v>
      </c>
      <c r="J772" s="9">
        <v>2443.5100000000002</v>
      </c>
      <c r="K772" s="5" t="str">
        <f>VLOOKUP(D772,[1]Clientes!$A$1:$B$1370,2,0)</f>
        <v>CAN0020</v>
      </c>
      <c r="L772" s="5" t="str">
        <f t="shared" si="24"/>
        <v>HGI0125553</v>
      </c>
      <c r="M772" s="5" t="str">
        <f t="shared" si="25"/>
        <v>I</v>
      </c>
      <c r="N772" s="5">
        <f>IF(G772=[1]Clientes!$C$3,[1]Clientes!$D$3,[1]Clientes!$D$2)</f>
        <v>13050505</v>
      </c>
    </row>
    <row r="773" spans="1:14">
      <c r="A773" s="6" t="s">
        <v>7</v>
      </c>
      <c r="B773" s="7">
        <v>45481</v>
      </c>
      <c r="C773" s="6" t="s">
        <v>3901</v>
      </c>
      <c r="D773" s="6" t="s">
        <v>133</v>
      </c>
      <c r="E773" s="6" t="s">
        <v>16</v>
      </c>
      <c r="F773" s="7">
        <v>45511</v>
      </c>
      <c r="G773" s="6" t="s">
        <v>3102</v>
      </c>
      <c r="H773" s="8">
        <v>24</v>
      </c>
      <c r="I773" s="9">
        <v>199</v>
      </c>
      <c r="J773" s="9">
        <v>224.87</v>
      </c>
      <c r="K773" s="5" t="str">
        <f>VLOOKUP(D773,[1]Clientes!$A$1:$B$1370,2,0)</f>
        <v>CAN0020</v>
      </c>
      <c r="L773" s="5" t="str">
        <f t="shared" si="24"/>
        <v>HGI0125556</v>
      </c>
      <c r="M773" s="5" t="str">
        <f t="shared" si="25"/>
        <v>I</v>
      </c>
      <c r="N773" s="5">
        <f>IF(G773=[1]Clientes!$C$3,[1]Clientes!$D$3,[1]Clientes!$D$2)</f>
        <v>13050505</v>
      </c>
    </row>
    <row r="774" spans="1:14">
      <c r="A774" s="6" t="s">
        <v>3139</v>
      </c>
      <c r="B774" s="7">
        <v>45520</v>
      </c>
      <c r="C774" s="6"/>
      <c r="D774" s="6" t="s">
        <v>133</v>
      </c>
      <c r="E774" s="6"/>
      <c r="F774" s="7"/>
      <c r="G774" s="6" t="s">
        <v>3102</v>
      </c>
      <c r="H774" s="8"/>
      <c r="I774" s="9">
        <v>-2311.89</v>
      </c>
      <c r="J774" s="9">
        <v>-2311.89</v>
      </c>
      <c r="K774" s="5" t="str">
        <f>VLOOKUP(D774,[1]Clientes!$A$1:$B$1370,2,0)</f>
        <v>CAN0020</v>
      </c>
      <c r="L774" s="5" t="str">
        <f t="shared" si="24"/>
        <v>Revisar</v>
      </c>
      <c r="M774" s="5" t="str">
        <f t="shared" si="25"/>
        <v>P</v>
      </c>
      <c r="N774" s="5">
        <f>IF(G774=[1]Clientes!$C$3,[1]Clientes!$D$3,[1]Clientes!$D$2)</f>
        <v>13050505</v>
      </c>
    </row>
    <row r="775" spans="1:14">
      <c r="A775" s="6" t="s">
        <v>7</v>
      </c>
      <c r="B775" s="7">
        <v>45511</v>
      </c>
      <c r="C775" s="6" t="s">
        <v>3902</v>
      </c>
      <c r="D775" s="6" t="s">
        <v>133</v>
      </c>
      <c r="E775" s="6" t="s">
        <v>16</v>
      </c>
      <c r="F775" s="7">
        <v>45541</v>
      </c>
      <c r="G775" s="6" t="s">
        <v>3102</v>
      </c>
      <c r="H775" s="8"/>
      <c r="I775" s="9">
        <v>381</v>
      </c>
      <c r="J775" s="9">
        <v>970.11</v>
      </c>
      <c r="K775" s="5" t="str">
        <f>VLOOKUP(D775,[1]Clientes!$A$1:$B$1370,2,0)</f>
        <v>CAN0020</v>
      </c>
      <c r="L775" s="5" t="str">
        <f t="shared" si="24"/>
        <v>HGI0126310</v>
      </c>
      <c r="M775" s="5" t="str">
        <f t="shared" si="25"/>
        <v>I</v>
      </c>
      <c r="N775" s="5">
        <f>IF(G775=[1]Clientes!$C$3,[1]Clientes!$D$3,[1]Clientes!$D$2)</f>
        <v>13050505</v>
      </c>
    </row>
    <row r="776" spans="1:14">
      <c r="A776" s="6" t="s">
        <v>3099</v>
      </c>
      <c r="B776" s="7">
        <v>45519</v>
      </c>
      <c r="C776" s="6" t="s">
        <v>3903</v>
      </c>
      <c r="D776" s="6" t="s">
        <v>133</v>
      </c>
      <c r="E776" s="6" t="s">
        <v>16</v>
      </c>
      <c r="F776" s="7">
        <v>45549</v>
      </c>
      <c r="G776" s="6" t="s">
        <v>3102</v>
      </c>
      <c r="H776" s="8"/>
      <c r="I776" s="9">
        <v>-107.97</v>
      </c>
      <c r="J776" s="9">
        <v>-107.97</v>
      </c>
      <c r="K776" s="5" t="str">
        <f>VLOOKUP(D776,[1]Clientes!$A$1:$B$1370,2,0)</f>
        <v>CAN0020</v>
      </c>
      <c r="L776" s="5" t="str">
        <f t="shared" si="24"/>
        <v>CRM0126519</v>
      </c>
      <c r="M776" s="5" t="str">
        <f t="shared" si="25"/>
        <v>C</v>
      </c>
      <c r="N776" s="5">
        <f>IF(G776=[1]Clientes!$C$3,[1]Clientes!$D$3,[1]Clientes!$D$2)</f>
        <v>13050505</v>
      </c>
    </row>
    <row r="777" spans="1:14">
      <c r="A777" s="6" t="s">
        <v>3099</v>
      </c>
      <c r="B777" s="7">
        <v>45519</v>
      </c>
      <c r="C777" s="6" t="s">
        <v>3904</v>
      </c>
      <c r="D777" s="6" t="s">
        <v>133</v>
      </c>
      <c r="E777" s="6" t="s">
        <v>16</v>
      </c>
      <c r="F777" s="7">
        <v>45549</v>
      </c>
      <c r="G777" s="6" t="s">
        <v>3102</v>
      </c>
      <c r="H777" s="8"/>
      <c r="I777" s="9">
        <v>-156</v>
      </c>
      <c r="J777" s="9">
        <v>-156</v>
      </c>
      <c r="K777" s="5" t="str">
        <f>VLOOKUP(D777,[1]Clientes!$A$1:$B$1370,2,0)</f>
        <v>CAN0020</v>
      </c>
      <c r="L777" s="5" t="str">
        <f t="shared" si="24"/>
        <v>CRM0126522</v>
      </c>
      <c r="M777" s="5" t="str">
        <f t="shared" si="25"/>
        <v>C</v>
      </c>
      <c r="N777" s="5">
        <f>IF(G777=[1]Clientes!$C$3,[1]Clientes!$D$3,[1]Clientes!$D$2)</f>
        <v>13050505</v>
      </c>
    </row>
    <row r="778" spans="1:14">
      <c r="A778" s="6" t="s">
        <v>7</v>
      </c>
      <c r="B778" s="7">
        <v>45530</v>
      </c>
      <c r="C778" s="6" t="s">
        <v>3905</v>
      </c>
      <c r="D778" s="6" t="s">
        <v>133</v>
      </c>
      <c r="E778" s="6" t="s">
        <v>16</v>
      </c>
      <c r="F778" s="7">
        <v>45560</v>
      </c>
      <c r="G778" s="6" t="s">
        <v>3102</v>
      </c>
      <c r="H778" s="8"/>
      <c r="I778" s="9">
        <v>654.95000000000005</v>
      </c>
      <c r="J778" s="9">
        <v>654.95000000000005</v>
      </c>
      <c r="K778" s="5" t="str">
        <f>VLOOKUP(D778,[1]Clientes!$A$1:$B$1370,2,0)</f>
        <v>CAN0020</v>
      </c>
      <c r="L778" s="5" t="str">
        <f t="shared" si="24"/>
        <v>HGI0126862</v>
      </c>
      <c r="M778" s="5" t="str">
        <f t="shared" si="25"/>
        <v>I</v>
      </c>
      <c r="N778" s="5">
        <f>IF(G778=[1]Clientes!$C$3,[1]Clientes!$D$3,[1]Clientes!$D$2)</f>
        <v>13050505</v>
      </c>
    </row>
    <row r="779" spans="1:14">
      <c r="A779" s="6" t="s">
        <v>3099</v>
      </c>
      <c r="B779" s="7">
        <v>45519</v>
      </c>
      <c r="C779" s="6" t="s">
        <v>3906</v>
      </c>
      <c r="D779" s="6" t="s">
        <v>920</v>
      </c>
      <c r="E779" s="6" t="s">
        <v>16</v>
      </c>
      <c r="F779" s="7">
        <v>45549</v>
      </c>
      <c r="G779" s="6" t="s">
        <v>3102</v>
      </c>
      <c r="H779" s="8"/>
      <c r="I779" s="9">
        <v>-31.9</v>
      </c>
      <c r="J779" s="9">
        <v>-31.9</v>
      </c>
      <c r="K779" s="5" t="str">
        <f>VLOOKUP(D779,[1]Clientes!$A$1:$B$1370,2,0)</f>
        <v>NAC0816</v>
      </c>
      <c r="L779" s="5" t="str">
        <f t="shared" si="24"/>
        <v>CRM0126581</v>
      </c>
      <c r="M779" s="5" t="str">
        <f t="shared" si="25"/>
        <v>C</v>
      </c>
      <c r="N779" s="5">
        <f>IF(G779=[1]Clientes!$C$3,[1]Clientes!$D$3,[1]Clientes!$D$2)</f>
        <v>13050505</v>
      </c>
    </row>
    <row r="780" spans="1:14">
      <c r="A780" s="6" t="s">
        <v>7</v>
      </c>
      <c r="B780" s="7">
        <v>45408</v>
      </c>
      <c r="C780" s="6" t="s">
        <v>3907</v>
      </c>
      <c r="D780" s="6" t="s">
        <v>923</v>
      </c>
      <c r="E780" s="6" t="s">
        <v>213</v>
      </c>
      <c r="F780" s="7">
        <v>45408</v>
      </c>
      <c r="G780" s="6" t="s">
        <v>3102</v>
      </c>
      <c r="H780" s="8">
        <v>127</v>
      </c>
      <c r="I780" s="9">
        <v>39.479999999999997</v>
      </c>
      <c r="J780" s="9">
        <v>603.48</v>
      </c>
      <c r="K780" s="5" t="str">
        <f>VLOOKUP(D780,[1]Clientes!$A$1:$B$1370,2,0)</f>
        <v>NAC0823</v>
      </c>
      <c r="L780" s="5" t="str">
        <f t="shared" si="24"/>
        <v>HGI0123548</v>
      </c>
      <c r="M780" s="5" t="str">
        <f t="shared" si="25"/>
        <v>I</v>
      </c>
      <c r="N780" s="5">
        <f>IF(G780=[1]Clientes!$C$3,[1]Clientes!$D$3,[1]Clientes!$D$2)</f>
        <v>13050505</v>
      </c>
    </row>
    <row r="781" spans="1:14">
      <c r="A781" s="6" t="s">
        <v>7</v>
      </c>
      <c r="B781" s="7">
        <v>45419</v>
      </c>
      <c r="C781" s="6" t="s">
        <v>3908</v>
      </c>
      <c r="D781" s="6" t="s">
        <v>923</v>
      </c>
      <c r="E781" s="6" t="s">
        <v>213</v>
      </c>
      <c r="F781" s="7">
        <v>45419</v>
      </c>
      <c r="G781" s="6" t="s">
        <v>3102</v>
      </c>
      <c r="H781" s="8">
        <v>116</v>
      </c>
      <c r="I781" s="9">
        <v>25.01</v>
      </c>
      <c r="J781" s="9">
        <v>382.21</v>
      </c>
      <c r="K781" s="5" t="str">
        <f>VLOOKUP(D781,[1]Clientes!$A$1:$B$1370,2,0)</f>
        <v>NAC0823</v>
      </c>
      <c r="L781" s="5" t="str">
        <f t="shared" si="24"/>
        <v>HGI0124064</v>
      </c>
      <c r="M781" s="5" t="str">
        <f t="shared" si="25"/>
        <v>I</v>
      </c>
      <c r="N781" s="5">
        <f>IF(G781=[1]Clientes!$C$3,[1]Clientes!$D$3,[1]Clientes!$D$2)</f>
        <v>13050505</v>
      </c>
    </row>
    <row r="782" spans="1:14">
      <c r="A782" s="6" t="s">
        <v>7</v>
      </c>
      <c r="B782" s="7">
        <v>45502</v>
      </c>
      <c r="C782" s="6" t="s">
        <v>3909</v>
      </c>
      <c r="D782" s="6" t="s">
        <v>929</v>
      </c>
      <c r="E782" s="6" t="s">
        <v>16</v>
      </c>
      <c r="F782" s="7">
        <v>45532</v>
      </c>
      <c r="G782" s="6" t="s">
        <v>3102</v>
      </c>
      <c r="H782" s="8">
        <v>3</v>
      </c>
      <c r="I782" s="9">
        <v>25872</v>
      </c>
      <c r="J782" s="9">
        <v>25872</v>
      </c>
      <c r="K782" s="5" t="str">
        <f>VLOOKUP(D782,[1]Clientes!$A$1:$B$1370,2,0)</f>
        <v>NAC0825</v>
      </c>
      <c r="L782" s="5" t="str">
        <f t="shared" si="24"/>
        <v>HGI0126028</v>
      </c>
      <c r="M782" s="5" t="str">
        <f t="shared" si="25"/>
        <v>I</v>
      </c>
      <c r="N782" s="5">
        <f>IF(G782=[1]Clientes!$C$3,[1]Clientes!$D$3,[1]Clientes!$D$2)</f>
        <v>13050505</v>
      </c>
    </row>
    <row r="783" spans="1:14">
      <c r="A783" s="6" t="s">
        <v>7</v>
      </c>
      <c r="B783" s="7">
        <v>45503</v>
      </c>
      <c r="C783" s="6" t="s">
        <v>3910</v>
      </c>
      <c r="D783" s="6" t="s">
        <v>929</v>
      </c>
      <c r="E783" s="6" t="s">
        <v>16</v>
      </c>
      <c r="F783" s="7">
        <v>45533</v>
      </c>
      <c r="G783" s="6" t="s">
        <v>3102</v>
      </c>
      <c r="H783" s="8">
        <v>2</v>
      </c>
      <c r="I783" s="9">
        <v>16932</v>
      </c>
      <c r="J783" s="9">
        <v>16932</v>
      </c>
      <c r="K783" s="5" t="str">
        <f>VLOOKUP(D783,[1]Clientes!$A$1:$B$1370,2,0)</f>
        <v>NAC0825</v>
      </c>
      <c r="L783" s="5" t="str">
        <f t="shared" si="24"/>
        <v>HGI0126036</v>
      </c>
      <c r="M783" s="5" t="str">
        <f t="shared" si="25"/>
        <v>I</v>
      </c>
      <c r="N783" s="5">
        <f>IF(G783=[1]Clientes!$C$3,[1]Clientes!$D$3,[1]Clientes!$D$2)</f>
        <v>13050505</v>
      </c>
    </row>
    <row r="784" spans="1:14">
      <c r="A784" s="6" t="s">
        <v>7</v>
      </c>
      <c r="B784" s="7">
        <v>45523</v>
      </c>
      <c r="C784" s="6" t="s">
        <v>3911</v>
      </c>
      <c r="D784" s="6" t="s">
        <v>929</v>
      </c>
      <c r="E784" s="6" t="s">
        <v>16</v>
      </c>
      <c r="F784" s="7">
        <v>45553</v>
      </c>
      <c r="G784" s="6" t="s">
        <v>3102</v>
      </c>
      <c r="H784" s="8"/>
      <c r="I784" s="9">
        <v>13856.32</v>
      </c>
      <c r="J784" s="9">
        <v>13856.32</v>
      </c>
      <c r="K784" s="5" t="str">
        <f>VLOOKUP(D784,[1]Clientes!$A$1:$B$1370,2,0)</f>
        <v>NAC0825</v>
      </c>
      <c r="L784" s="5" t="str">
        <f t="shared" si="24"/>
        <v>HGI0126683</v>
      </c>
      <c r="M784" s="5" t="str">
        <f t="shared" si="25"/>
        <v>I</v>
      </c>
      <c r="N784" s="5">
        <f>IF(G784=[1]Clientes!$C$3,[1]Clientes!$D$3,[1]Clientes!$D$2)</f>
        <v>13050505</v>
      </c>
    </row>
    <row r="785" spans="1:14">
      <c r="A785" s="6" t="s">
        <v>7</v>
      </c>
      <c r="B785" s="7">
        <v>45523</v>
      </c>
      <c r="C785" s="6" t="s">
        <v>3912</v>
      </c>
      <c r="D785" s="6" t="s">
        <v>929</v>
      </c>
      <c r="E785" s="6" t="s">
        <v>16</v>
      </c>
      <c r="F785" s="7">
        <v>45553</v>
      </c>
      <c r="G785" s="6" t="s">
        <v>3102</v>
      </c>
      <c r="H785" s="8"/>
      <c r="I785" s="9">
        <v>10531.68</v>
      </c>
      <c r="J785" s="9">
        <v>10531.68</v>
      </c>
      <c r="K785" s="5" t="str">
        <f>VLOOKUP(D785,[1]Clientes!$A$1:$B$1370,2,0)</f>
        <v>NAC0825</v>
      </c>
      <c r="L785" s="5" t="str">
        <f t="shared" si="24"/>
        <v>HGI0126684</v>
      </c>
      <c r="M785" s="5" t="str">
        <f t="shared" si="25"/>
        <v>I</v>
      </c>
      <c r="N785" s="5">
        <f>IF(G785=[1]Clientes!$C$3,[1]Clientes!$D$3,[1]Clientes!$D$2)</f>
        <v>13050505</v>
      </c>
    </row>
    <row r="786" spans="1:14">
      <c r="A786" s="6" t="s">
        <v>7</v>
      </c>
      <c r="B786" s="7">
        <v>45525</v>
      </c>
      <c r="C786" s="6" t="s">
        <v>3913</v>
      </c>
      <c r="D786" s="6" t="s">
        <v>929</v>
      </c>
      <c r="E786" s="6" t="s">
        <v>16</v>
      </c>
      <c r="F786" s="7">
        <v>45555</v>
      </c>
      <c r="G786" s="6" t="s">
        <v>3102</v>
      </c>
      <c r="H786" s="8"/>
      <c r="I786" s="9">
        <v>11392.4</v>
      </c>
      <c r="J786" s="9">
        <v>11392.4</v>
      </c>
      <c r="K786" s="5" t="str">
        <f>VLOOKUP(D786,[1]Clientes!$A$1:$B$1370,2,0)</f>
        <v>NAC0825</v>
      </c>
      <c r="L786" s="5" t="str">
        <f t="shared" si="24"/>
        <v>HGI0126728</v>
      </c>
      <c r="M786" s="5" t="str">
        <f t="shared" si="25"/>
        <v>I</v>
      </c>
      <c r="N786" s="5">
        <f>IF(G786=[1]Clientes!$C$3,[1]Clientes!$D$3,[1]Clientes!$D$2)</f>
        <v>13050505</v>
      </c>
    </row>
    <row r="787" spans="1:14">
      <c r="A787" s="6" t="s">
        <v>7</v>
      </c>
      <c r="B787" s="7">
        <v>45525</v>
      </c>
      <c r="C787" s="6" t="s">
        <v>3914</v>
      </c>
      <c r="D787" s="6" t="s">
        <v>929</v>
      </c>
      <c r="E787" s="6" t="s">
        <v>16</v>
      </c>
      <c r="F787" s="7">
        <v>45555</v>
      </c>
      <c r="G787" s="6" t="s">
        <v>3102</v>
      </c>
      <c r="H787" s="8"/>
      <c r="I787" s="9">
        <v>8338.7999999999993</v>
      </c>
      <c r="J787" s="9">
        <v>8338.7999999999993</v>
      </c>
      <c r="K787" s="5" t="str">
        <f>VLOOKUP(D787,[1]Clientes!$A$1:$B$1370,2,0)</f>
        <v>NAC0825</v>
      </c>
      <c r="L787" s="5" t="str">
        <f t="shared" si="24"/>
        <v>HGI0126729</v>
      </c>
      <c r="M787" s="5" t="str">
        <f t="shared" si="25"/>
        <v>I</v>
      </c>
      <c r="N787" s="5">
        <f>IF(G787=[1]Clientes!$C$3,[1]Clientes!$D$3,[1]Clientes!$D$2)</f>
        <v>13050505</v>
      </c>
    </row>
    <row r="788" spans="1:14">
      <c r="A788" s="6" t="s">
        <v>7</v>
      </c>
      <c r="B788" s="7">
        <v>45331</v>
      </c>
      <c r="C788" s="6" t="s">
        <v>3915</v>
      </c>
      <c r="D788" s="6" t="s">
        <v>963</v>
      </c>
      <c r="E788" s="6" t="s">
        <v>213</v>
      </c>
      <c r="F788" s="7">
        <v>45331</v>
      </c>
      <c r="G788" s="6" t="s">
        <v>3102</v>
      </c>
      <c r="H788" s="8">
        <v>204</v>
      </c>
      <c r="I788" s="9">
        <v>54</v>
      </c>
      <c r="J788" s="9">
        <v>493.5</v>
      </c>
      <c r="K788" s="5" t="str">
        <f>VLOOKUP(D788,[1]Clientes!$A$1:$B$1370,2,0)</f>
        <v>NAC0838</v>
      </c>
      <c r="L788" s="5" t="str">
        <f t="shared" si="24"/>
        <v>HGI0120807</v>
      </c>
      <c r="M788" s="5" t="str">
        <f t="shared" si="25"/>
        <v>I</v>
      </c>
      <c r="N788" s="5">
        <f>IF(G788=[1]Clientes!$C$3,[1]Clientes!$D$3,[1]Clientes!$D$2)</f>
        <v>13050505</v>
      </c>
    </row>
    <row r="789" spans="1:14">
      <c r="A789" s="6" t="s">
        <v>7</v>
      </c>
      <c r="B789" s="7">
        <v>45481</v>
      </c>
      <c r="C789" s="6" t="s">
        <v>3916</v>
      </c>
      <c r="D789" s="6" t="s">
        <v>3917</v>
      </c>
      <c r="E789" s="6" t="s">
        <v>16</v>
      </c>
      <c r="F789" s="7">
        <v>45511</v>
      </c>
      <c r="G789" s="6" t="s">
        <v>3102</v>
      </c>
      <c r="H789" s="8">
        <v>24</v>
      </c>
      <c r="I789" s="9">
        <v>2353.4299999999998</v>
      </c>
      <c r="J789" s="9">
        <v>2353.4299999999998</v>
      </c>
      <c r="K789" s="5" t="str">
        <f>VLOOKUP(D789,[1]Clientes!$A$1:$B$1370,2,0)</f>
        <v>NAC0841</v>
      </c>
      <c r="L789" s="5" t="str">
        <f t="shared" si="24"/>
        <v>HGI0125550</v>
      </c>
      <c r="M789" s="5" t="str">
        <f t="shared" si="25"/>
        <v>I</v>
      </c>
      <c r="N789" s="5">
        <f>IF(G789=[1]Clientes!$C$3,[1]Clientes!$D$3,[1]Clientes!$D$2)</f>
        <v>13050505</v>
      </c>
    </row>
    <row r="790" spans="1:14">
      <c r="A790" s="6" t="s">
        <v>3139</v>
      </c>
      <c r="B790" s="7">
        <v>45124</v>
      </c>
      <c r="C790" s="6"/>
      <c r="D790" s="6" t="s">
        <v>3918</v>
      </c>
      <c r="E790" s="6"/>
      <c r="F790" s="7"/>
      <c r="G790" s="6" t="s">
        <v>3102</v>
      </c>
      <c r="H790" s="8"/>
      <c r="I790" s="9">
        <v>-1</v>
      </c>
      <c r="J790" s="9">
        <v>-85.85</v>
      </c>
      <c r="K790" s="5" t="str">
        <f>VLOOKUP(D790,[1]Clientes!$A$1:$B$1370,2,0)</f>
        <v>NAC0847</v>
      </c>
      <c r="L790" s="5" t="str">
        <f t="shared" si="24"/>
        <v>Revisar</v>
      </c>
      <c r="M790" s="5" t="str">
        <f t="shared" si="25"/>
        <v>P</v>
      </c>
      <c r="N790" s="5">
        <f>IF(G790=[1]Clientes!$C$3,[1]Clientes!$D$3,[1]Clientes!$D$2)</f>
        <v>13050505</v>
      </c>
    </row>
    <row r="791" spans="1:14">
      <c r="A791" s="6" t="s">
        <v>7</v>
      </c>
      <c r="B791" s="7">
        <v>45531</v>
      </c>
      <c r="C791" s="6" t="s">
        <v>3919</v>
      </c>
      <c r="D791" s="6" t="s">
        <v>968</v>
      </c>
      <c r="E791" s="6" t="s">
        <v>16</v>
      </c>
      <c r="F791" s="7">
        <v>45561</v>
      </c>
      <c r="G791" s="6" t="s">
        <v>3102</v>
      </c>
      <c r="H791" s="8"/>
      <c r="I791" s="9">
        <v>842.34</v>
      </c>
      <c r="J791" s="9">
        <v>842.34</v>
      </c>
      <c r="K791" s="5" t="str">
        <f>VLOOKUP(D791,[1]Clientes!$A$1:$B$1370,2,0)</f>
        <v>NAC0848</v>
      </c>
      <c r="L791" s="5" t="str">
        <f t="shared" si="24"/>
        <v>HGI0126905</v>
      </c>
      <c r="M791" s="5" t="str">
        <f t="shared" si="25"/>
        <v>I</v>
      </c>
      <c r="N791" s="5">
        <f>IF(G791=[1]Clientes!$C$3,[1]Clientes!$D$3,[1]Clientes!$D$2)</f>
        <v>13050505</v>
      </c>
    </row>
    <row r="792" spans="1:14">
      <c r="A792" s="6" t="s">
        <v>3099</v>
      </c>
      <c r="B792" s="7">
        <v>45244</v>
      </c>
      <c r="C792" s="6" t="s">
        <v>3920</v>
      </c>
      <c r="D792" s="6" t="s">
        <v>974</v>
      </c>
      <c r="E792" s="6" t="s">
        <v>213</v>
      </c>
      <c r="F792" s="7">
        <v>45244</v>
      </c>
      <c r="G792" s="6" t="s">
        <v>3102</v>
      </c>
      <c r="H792" s="8">
        <v>291</v>
      </c>
      <c r="I792" s="9">
        <v>-680.4</v>
      </c>
      <c r="J792" s="9">
        <v>-680.4</v>
      </c>
      <c r="K792" s="5" t="str">
        <f>VLOOKUP(D792,[1]Clientes!$A$1:$B$1370,2,0)</f>
        <v>NAC0851</v>
      </c>
      <c r="L792" s="5" t="str">
        <f t="shared" si="24"/>
        <v>CRM0117227</v>
      </c>
      <c r="M792" s="5" t="str">
        <f t="shared" si="25"/>
        <v>C</v>
      </c>
      <c r="N792" s="5">
        <f>IF(G792=[1]Clientes!$C$3,[1]Clientes!$D$3,[1]Clientes!$D$2)</f>
        <v>13050505</v>
      </c>
    </row>
    <row r="793" spans="1:14">
      <c r="A793" s="6" t="s">
        <v>3099</v>
      </c>
      <c r="B793" s="7">
        <v>45322</v>
      </c>
      <c r="C793" s="6" t="s">
        <v>3921</v>
      </c>
      <c r="D793" s="6" t="s">
        <v>974</v>
      </c>
      <c r="E793" s="6" t="s">
        <v>213</v>
      </c>
      <c r="F793" s="7">
        <v>45322</v>
      </c>
      <c r="G793" s="6" t="s">
        <v>3102</v>
      </c>
      <c r="H793" s="8">
        <v>213</v>
      </c>
      <c r="I793" s="9">
        <v>-75.599999999999994</v>
      </c>
      <c r="J793" s="9">
        <v>-75.599999999999994</v>
      </c>
      <c r="K793" s="5" t="str">
        <f>VLOOKUP(D793,[1]Clientes!$A$1:$B$1370,2,0)</f>
        <v>NAC0851</v>
      </c>
      <c r="L793" s="5" t="str">
        <f t="shared" si="24"/>
        <v>CRM0120267</v>
      </c>
      <c r="M793" s="5" t="str">
        <f t="shared" si="25"/>
        <v>C</v>
      </c>
      <c r="N793" s="5">
        <f>IF(G793=[1]Clientes!$C$3,[1]Clientes!$D$3,[1]Clientes!$D$2)</f>
        <v>13050505</v>
      </c>
    </row>
    <row r="794" spans="1:14">
      <c r="A794" s="6" t="s">
        <v>3099</v>
      </c>
      <c r="B794" s="7">
        <v>45366</v>
      </c>
      <c r="C794" s="6" t="s">
        <v>3922</v>
      </c>
      <c r="D794" s="6" t="s">
        <v>974</v>
      </c>
      <c r="E794" s="6" t="s">
        <v>213</v>
      </c>
      <c r="F794" s="7">
        <v>45366</v>
      </c>
      <c r="G794" s="6" t="s">
        <v>3102</v>
      </c>
      <c r="H794" s="8">
        <v>169</v>
      </c>
      <c r="I794" s="9">
        <v>-75.599999999999994</v>
      </c>
      <c r="J794" s="9">
        <v>-75.599999999999994</v>
      </c>
      <c r="K794" s="5" t="str">
        <f>VLOOKUP(D794,[1]Clientes!$A$1:$B$1370,2,0)</f>
        <v>NAC0851</v>
      </c>
      <c r="L794" s="5" t="str">
        <f t="shared" si="24"/>
        <v>CRM0121937</v>
      </c>
      <c r="M794" s="5" t="str">
        <f t="shared" si="25"/>
        <v>C</v>
      </c>
      <c r="N794" s="5">
        <f>IF(G794=[1]Clientes!$C$3,[1]Clientes!$D$3,[1]Clientes!$D$2)</f>
        <v>13050505</v>
      </c>
    </row>
    <row r="795" spans="1:14">
      <c r="A795" s="6" t="s">
        <v>7</v>
      </c>
      <c r="B795" s="7">
        <v>45532</v>
      </c>
      <c r="C795" s="6" t="s">
        <v>3923</v>
      </c>
      <c r="D795" s="6" t="s">
        <v>979</v>
      </c>
      <c r="E795" s="6" t="s">
        <v>213</v>
      </c>
      <c r="F795" s="7">
        <v>45532</v>
      </c>
      <c r="G795" s="6" t="s">
        <v>3102</v>
      </c>
      <c r="H795" s="8">
        <v>3</v>
      </c>
      <c r="I795" s="9">
        <v>265.12</v>
      </c>
      <c r="J795" s="9">
        <v>265.12</v>
      </c>
      <c r="K795" s="5" t="str">
        <f>VLOOKUP(D795,[1]Clientes!$A$1:$B$1370,2,0)</f>
        <v>NAC0855</v>
      </c>
      <c r="L795" s="5" t="str">
        <f t="shared" si="24"/>
        <v>HGI0126976</v>
      </c>
      <c r="M795" s="5" t="str">
        <f t="shared" si="25"/>
        <v>I</v>
      </c>
      <c r="N795" s="5">
        <f>IF(G795=[1]Clientes!$C$3,[1]Clientes!$D$3,[1]Clientes!$D$2)</f>
        <v>13050505</v>
      </c>
    </row>
    <row r="796" spans="1:14">
      <c r="A796" s="6" t="s">
        <v>7</v>
      </c>
      <c r="B796" s="7">
        <v>45271</v>
      </c>
      <c r="C796" s="6" t="s">
        <v>3924</v>
      </c>
      <c r="D796" s="6" t="s">
        <v>3925</v>
      </c>
      <c r="E796" s="6" t="s">
        <v>3926</v>
      </c>
      <c r="F796" s="7">
        <v>45271</v>
      </c>
      <c r="G796" s="6" t="s">
        <v>3102</v>
      </c>
      <c r="H796" s="8">
        <v>264</v>
      </c>
      <c r="I796" s="9">
        <v>174.63</v>
      </c>
      <c r="J796" s="9">
        <v>174.63</v>
      </c>
      <c r="K796" s="5" t="str">
        <f>VLOOKUP(D796,[1]Clientes!$A$1:$B$1370,2,0)</f>
        <v>SH00787</v>
      </c>
      <c r="L796" s="5" t="str">
        <f t="shared" si="24"/>
        <v>HGI0118173</v>
      </c>
      <c r="M796" s="5" t="str">
        <f t="shared" si="25"/>
        <v>I</v>
      </c>
      <c r="N796" s="5">
        <f>IF(G796=[1]Clientes!$C$3,[1]Clientes!$D$3,[1]Clientes!$D$2)</f>
        <v>13050505</v>
      </c>
    </row>
    <row r="797" spans="1:14">
      <c r="A797" s="6" t="s">
        <v>7</v>
      </c>
      <c r="B797" s="7">
        <v>45518</v>
      </c>
      <c r="C797" s="6" t="s">
        <v>3927</v>
      </c>
      <c r="D797" s="6" t="s">
        <v>3928</v>
      </c>
      <c r="E797" s="6" t="s">
        <v>16</v>
      </c>
      <c r="F797" s="7">
        <v>45548</v>
      </c>
      <c r="G797" s="6" t="s">
        <v>3102</v>
      </c>
      <c r="H797" s="8"/>
      <c r="I797" s="9">
        <v>378</v>
      </c>
      <c r="J797" s="9">
        <v>378</v>
      </c>
      <c r="K797" s="5" t="str">
        <f>VLOOKUP(D797,[1]Clientes!$A$1:$B$1370,2,0)</f>
        <v>NAC0858</v>
      </c>
      <c r="L797" s="5" t="str">
        <f t="shared" si="24"/>
        <v>HGI0126468</v>
      </c>
      <c r="M797" s="5" t="str">
        <f t="shared" si="25"/>
        <v>I</v>
      </c>
      <c r="N797" s="5">
        <f>IF(G797=[1]Clientes!$C$3,[1]Clientes!$D$3,[1]Clientes!$D$2)</f>
        <v>13050505</v>
      </c>
    </row>
    <row r="798" spans="1:14">
      <c r="A798" s="6" t="s">
        <v>7</v>
      </c>
      <c r="B798" s="7">
        <v>45531</v>
      </c>
      <c r="C798" s="6" t="s">
        <v>3929</v>
      </c>
      <c r="D798" s="6" t="s">
        <v>3930</v>
      </c>
      <c r="E798" s="6" t="s">
        <v>213</v>
      </c>
      <c r="F798" s="7">
        <v>45531</v>
      </c>
      <c r="G798" s="6" t="s">
        <v>3102</v>
      </c>
      <c r="H798" s="8">
        <v>4</v>
      </c>
      <c r="I798" s="9">
        <v>80.2</v>
      </c>
      <c r="J798" s="9">
        <v>80.2</v>
      </c>
      <c r="K798" s="5" t="str">
        <f>VLOOKUP(D798,[1]Clientes!$A$1:$B$1370,2,0)</f>
        <v>SH00796</v>
      </c>
      <c r="L798" s="5" t="str">
        <f t="shared" si="24"/>
        <v>HGI0126912</v>
      </c>
      <c r="M798" s="5" t="str">
        <f t="shared" si="25"/>
        <v>I</v>
      </c>
      <c r="N798" s="5">
        <f>IF(G798=[1]Clientes!$C$3,[1]Clientes!$D$3,[1]Clientes!$D$2)</f>
        <v>13050505</v>
      </c>
    </row>
    <row r="799" spans="1:14">
      <c r="A799" s="6" t="s">
        <v>7</v>
      </c>
      <c r="B799" s="7">
        <v>45411</v>
      </c>
      <c r="C799" s="6" t="s">
        <v>3931</v>
      </c>
      <c r="D799" s="6" t="s">
        <v>988</v>
      </c>
      <c r="E799" s="6" t="s">
        <v>16</v>
      </c>
      <c r="F799" s="7">
        <v>45441</v>
      </c>
      <c r="G799" s="6" t="s">
        <v>3102</v>
      </c>
      <c r="H799" s="8">
        <v>94</v>
      </c>
      <c r="I799" s="9">
        <v>96.3</v>
      </c>
      <c r="J799" s="9">
        <v>96.3</v>
      </c>
      <c r="K799" s="5" t="str">
        <f>VLOOKUP(D799,[1]Clientes!$A$1:$B$1370,2,0)</f>
        <v>NAC0862</v>
      </c>
      <c r="L799" s="5" t="str">
        <f t="shared" si="24"/>
        <v>HGI0123640</v>
      </c>
      <c r="M799" s="5" t="str">
        <f t="shared" si="25"/>
        <v>I</v>
      </c>
      <c r="N799" s="5">
        <f>IF(G799=[1]Clientes!$C$3,[1]Clientes!$D$3,[1]Clientes!$D$2)</f>
        <v>13050505</v>
      </c>
    </row>
    <row r="800" spans="1:14">
      <c r="A800" s="6" t="s">
        <v>7</v>
      </c>
      <c r="B800" s="7">
        <v>45462</v>
      </c>
      <c r="C800" s="6" t="s">
        <v>3932</v>
      </c>
      <c r="D800" s="6" t="s">
        <v>988</v>
      </c>
      <c r="E800" s="6" t="s">
        <v>16</v>
      </c>
      <c r="F800" s="7">
        <v>45492</v>
      </c>
      <c r="G800" s="6" t="s">
        <v>3102</v>
      </c>
      <c r="H800" s="8">
        <v>43</v>
      </c>
      <c r="I800" s="9">
        <v>10</v>
      </c>
      <c r="J800" s="9">
        <v>762.39</v>
      </c>
      <c r="K800" s="5" t="str">
        <f>VLOOKUP(D800,[1]Clientes!$A$1:$B$1370,2,0)</f>
        <v>NAC0862</v>
      </c>
      <c r="L800" s="5" t="str">
        <f t="shared" si="24"/>
        <v>HGI0125176</v>
      </c>
      <c r="M800" s="5" t="str">
        <f t="shared" si="25"/>
        <v>I</v>
      </c>
      <c r="N800" s="5">
        <f>IF(G800=[1]Clientes!$C$3,[1]Clientes!$D$3,[1]Clientes!$D$2)</f>
        <v>13050505</v>
      </c>
    </row>
    <row r="801" spans="1:14">
      <c r="A801" s="6" t="s">
        <v>7</v>
      </c>
      <c r="B801" s="7">
        <v>45510</v>
      </c>
      <c r="C801" s="6" t="s">
        <v>3933</v>
      </c>
      <c r="D801" s="6" t="s">
        <v>988</v>
      </c>
      <c r="E801" s="6" t="s">
        <v>16</v>
      </c>
      <c r="F801" s="7">
        <v>45540</v>
      </c>
      <c r="G801" s="6" t="s">
        <v>3102</v>
      </c>
      <c r="H801" s="8"/>
      <c r="I801" s="9">
        <v>8.98</v>
      </c>
      <c r="J801" s="9">
        <v>8.98</v>
      </c>
      <c r="K801" s="5" t="str">
        <f>VLOOKUP(D801,[1]Clientes!$A$1:$B$1370,2,0)</f>
        <v>NAC0862</v>
      </c>
      <c r="L801" s="5" t="str">
        <f t="shared" si="24"/>
        <v>HGI0126262</v>
      </c>
      <c r="M801" s="5" t="str">
        <f t="shared" si="25"/>
        <v>I</v>
      </c>
      <c r="N801" s="5">
        <f>IF(G801=[1]Clientes!$C$3,[1]Clientes!$D$3,[1]Clientes!$D$2)</f>
        <v>13050505</v>
      </c>
    </row>
    <row r="802" spans="1:14">
      <c r="A802" s="6" t="s">
        <v>3099</v>
      </c>
      <c r="B802" s="7">
        <v>45331</v>
      </c>
      <c r="C802" s="6" t="s">
        <v>3934</v>
      </c>
      <c r="D802" s="6" t="s">
        <v>991</v>
      </c>
      <c r="E802" s="6" t="s">
        <v>213</v>
      </c>
      <c r="F802" s="7">
        <v>45331</v>
      </c>
      <c r="G802" s="6" t="s">
        <v>3102</v>
      </c>
      <c r="H802" s="8">
        <v>204</v>
      </c>
      <c r="I802" s="9">
        <v>-49.92</v>
      </c>
      <c r="J802" s="9">
        <v>-1314.47</v>
      </c>
      <c r="K802" s="5" t="str">
        <f>VLOOKUP(D802,[1]Clientes!$A$1:$B$1370,2,0)</f>
        <v>NAC0863</v>
      </c>
      <c r="L802" s="5" t="str">
        <f t="shared" si="24"/>
        <v>CRM0120765</v>
      </c>
      <c r="M802" s="5" t="str">
        <f t="shared" si="25"/>
        <v>C</v>
      </c>
      <c r="N802" s="5">
        <f>IF(G802=[1]Clientes!$C$3,[1]Clientes!$D$3,[1]Clientes!$D$2)</f>
        <v>13050505</v>
      </c>
    </row>
    <row r="803" spans="1:14">
      <c r="A803" s="6" t="s">
        <v>7</v>
      </c>
      <c r="B803" s="7">
        <v>45453</v>
      </c>
      <c r="C803" s="6" t="s">
        <v>3935</v>
      </c>
      <c r="D803" s="6" t="s">
        <v>997</v>
      </c>
      <c r="E803" s="6" t="s">
        <v>16</v>
      </c>
      <c r="F803" s="7">
        <v>45483</v>
      </c>
      <c r="G803" s="6" t="s">
        <v>3102</v>
      </c>
      <c r="H803" s="8">
        <v>52</v>
      </c>
      <c r="I803" s="9">
        <v>2449</v>
      </c>
      <c r="J803" s="9">
        <v>2449</v>
      </c>
      <c r="K803" s="5" t="str">
        <f>VLOOKUP(D803,[1]Clientes!$A$1:$B$1370,2,0)</f>
        <v>NAC0865</v>
      </c>
      <c r="L803" s="5" t="str">
        <f t="shared" si="24"/>
        <v>HGI0124954</v>
      </c>
      <c r="M803" s="5" t="str">
        <f t="shared" si="25"/>
        <v>I</v>
      </c>
      <c r="N803" s="5">
        <f>IF(G803=[1]Clientes!$C$3,[1]Clientes!$D$3,[1]Clientes!$D$2)</f>
        <v>13050505</v>
      </c>
    </row>
    <row r="804" spans="1:14">
      <c r="A804" s="6" t="s">
        <v>7</v>
      </c>
      <c r="B804" s="7">
        <v>45523</v>
      </c>
      <c r="C804" s="6" t="s">
        <v>3936</v>
      </c>
      <c r="D804" s="6" t="s">
        <v>997</v>
      </c>
      <c r="E804" s="6" t="s">
        <v>16</v>
      </c>
      <c r="F804" s="7">
        <v>45553</v>
      </c>
      <c r="G804" s="6" t="s">
        <v>3102</v>
      </c>
      <c r="H804" s="8"/>
      <c r="I804" s="9">
        <v>3805.2</v>
      </c>
      <c r="J804" s="9">
        <v>3805.2</v>
      </c>
      <c r="K804" s="5" t="str">
        <f>VLOOKUP(D804,[1]Clientes!$A$1:$B$1370,2,0)</f>
        <v>NAC0865</v>
      </c>
      <c r="L804" s="5" t="str">
        <f t="shared" si="24"/>
        <v>HGI0126636</v>
      </c>
      <c r="M804" s="5" t="str">
        <f t="shared" si="25"/>
        <v>I</v>
      </c>
      <c r="N804" s="5">
        <f>IF(G804=[1]Clientes!$C$3,[1]Clientes!$D$3,[1]Clientes!$D$2)</f>
        <v>13050505</v>
      </c>
    </row>
    <row r="805" spans="1:14">
      <c r="A805" s="6" t="s">
        <v>3139</v>
      </c>
      <c r="B805" s="7">
        <v>45331</v>
      </c>
      <c r="C805" s="6"/>
      <c r="D805" s="6" t="s">
        <v>1001</v>
      </c>
      <c r="E805" s="6"/>
      <c r="F805" s="7"/>
      <c r="G805" s="6" t="s">
        <v>3102</v>
      </c>
      <c r="H805" s="8"/>
      <c r="I805" s="9">
        <v>-1.65</v>
      </c>
      <c r="J805" s="9">
        <v>-2099.5</v>
      </c>
      <c r="K805" s="5" t="str">
        <f>VLOOKUP(D805,[1]Clientes!$A$1:$B$1370,2,0)</f>
        <v>NAC0869</v>
      </c>
      <c r="L805" s="5" t="str">
        <f t="shared" si="24"/>
        <v>Revisar</v>
      </c>
      <c r="M805" s="5" t="str">
        <f t="shared" si="25"/>
        <v>P</v>
      </c>
      <c r="N805" s="5">
        <f>IF(G805=[1]Clientes!$C$3,[1]Clientes!$D$3,[1]Clientes!$D$2)</f>
        <v>13050505</v>
      </c>
    </row>
    <row r="806" spans="1:14">
      <c r="A806" s="6" t="s">
        <v>3139</v>
      </c>
      <c r="B806" s="7">
        <v>45338</v>
      </c>
      <c r="C806" s="6"/>
      <c r="D806" s="6" t="s">
        <v>1001</v>
      </c>
      <c r="E806" s="6"/>
      <c r="F806" s="7"/>
      <c r="G806" s="6" t="s">
        <v>3102</v>
      </c>
      <c r="H806" s="8"/>
      <c r="I806" s="9">
        <v>-4.55</v>
      </c>
      <c r="J806" s="9">
        <v>-4969</v>
      </c>
      <c r="K806" s="5" t="str">
        <f>VLOOKUP(D806,[1]Clientes!$A$1:$B$1370,2,0)</f>
        <v>NAC0869</v>
      </c>
      <c r="L806" s="5" t="str">
        <f t="shared" si="24"/>
        <v>Revisar</v>
      </c>
      <c r="M806" s="5" t="str">
        <f t="shared" si="25"/>
        <v>P</v>
      </c>
      <c r="N806" s="5">
        <f>IF(G806=[1]Clientes!$C$3,[1]Clientes!$D$3,[1]Clientes!$D$2)</f>
        <v>13050505</v>
      </c>
    </row>
    <row r="807" spans="1:14">
      <c r="A807" s="6" t="s">
        <v>3139</v>
      </c>
      <c r="B807" s="7">
        <v>45345</v>
      </c>
      <c r="C807" s="6"/>
      <c r="D807" s="6" t="s">
        <v>1001</v>
      </c>
      <c r="E807" s="6"/>
      <c r="F807" s="7"/>
      <c r="G807" s="6" t="s">
        <v>3102</v>
      </c>
      <c r="H807" s="8"/>
      <c r="I807" s="9">
        <v>-4.1500000000000004</v>
      </c>
      <c r="J807" s="9">
        <v>-4632.5</v>
      </c>
      <c r="K807" s="5" t="str">
        <f>VLOOKUP(D807,[1]Clientes!$A$1:$B$1370,2,0)</f>
        <v>NAC0869</v>
      </c>
      <c r="L807" s="5" t="str">
        <f t="shared" si="24"/>
        <v>Revisar</v>
      </c>
      <c r="M807" s="5" t="str">
        <f t="shared" si="25"/>
        <v>P</v>
      </c>
      <c r="N807" s="5">
        <f>IF(G807=[1]Clientes!$C$3,[1]Clientes!$D$3,[1]Clientes!$D$2)</f>
        <v>13050505</v>
      </c>
    </row>
    <row r="808" spans="1:14">
      <c r="A808" s="6" t="s">
        <v>7</v>
      </c>
      <c r="B808" s="7">
        <v>45316</v>
      </c>
      <c r="C808" s="6" t="s">
        <v>3937</v>
      </c>
      <c r="D808" s="6" t="s">
        <v>1001</v>
      </c>
      <c r="E808" s="6" t="s">
        <v>16</v>
      </c>
      <c r="F808" s="7">
        <v>45346</v>
      </c>
      <c r="G808" s="6" t="s">
        <v>3102</v>
      </c>
      <c r="H808" s="8">
        <v>189</v>
      </c>
      <c r="I808" s="9">
        <v>56.45</v>
      </c>
      <c r="J808" s="9">
        <v>88.45</v>
      </c>
      <c r="K808" s="5" t="str">
        <f>VLOOKUP(D808,[1]Clientes!$A$1:$B$1370,2,0)</f>
        <v>NAC0869</v>
      </c>
      <c r="L808" s="5" t="str">
        <f t="shared" si="24"/>
        <v>HGI0119928</v>
      </c>
      <c r="M808" s="5" t="str">
        <f t="shared" si="25"/>
        <v>I</v>
      </c>
      <c r="N808" s="5">
        <f>IF(G808=[1]Clientes!$C$3,[1]Clientes!$D$3,[1]Clientes!$D$2)</f>
        <v>13050505</v>
      </c>
    </row>
    <row r="809" spans="1:14">
      <c r="A809" s="6" t="s">
        <v>7</v>
      </c>
      <c r="B809" s="7">
        <v>45323</v>
      </c>
      <c r="C809" s="6" t="s">
        <v>3938</v>
      </c>
      <c r="D809" s="6" t="s">
        <v>1001</v>
      </c>
      <c r="E809" s="6" t="s">
        <v>16</v>
      </c>
      <c r="F809" s="7">
        <v>45353</v>
      </c>
      <c r="G809" s="6" t="s">
        <v>3102</v>
      </c>
      <c r="H809" s="8">
        <v>182</v>
      </c>
      <c r="I809" s="9">
        <v>243.3</v>
      </c>
      <c r="J809" s="9">
        <v>449.8</v>
      </c>
      <c r="K809" s="5" t="str">
        <f>VLOOKUP(D809,[1]Clientes!$A$1:$B$1370,2,0)</f>
        <v>NAC0869</v>
      </c>
      <c r="L809" s="5" t="str">
        <f t="shared" si="24"/>
        <v>HGI0120412</v>
      </c>
      <c r="M809" s="5" t="str">
        <f t="shared" si="25"/>
        <v>I</v>
      </c>
      <c r="N809" s="5">
        <f>IF(G809=[1]Clientes!$C$3,[1]Clientes!$D$3,[1]Clientes!$D$2)</f>
        <v>13050505</v>
      </c>
    </row>
    <row r="810" spans="1:14">
      <c r="A810" s="6" t="s">
        <v>3139</v>
      </c>
      <c r="B810" s="7">
        <v>45359</v>
      </c>
      <c r="C810" s="6"/>
      <c r="D810" s="6" t="s">
        <v>1001</v>
      </c>
      <c r="E810" s="6"/>
      <c r="F810" s="7"/>
      <c r="G810" s="6" t="s">
        <v>3102</v>
      </c>
      <c r="H810" s="8"/>
      <c r="I810" s="9">
        <v>-10.7</v>
      </c>
      <c r="J810" s="9">
        <v>-11711</v>
      </c>
      <c r="K810" s="5" t="str">
        <f>VLOOKUP(D810,[1]Clientes!$A$1:$B$1370,2,0)</f>
        <v>NAC0869</v>
      </c>
      <c r="L810" s="5" t="str">
        <f t="shared" si="24"/>
        <v>Revisar</v>
      </c>
      <c r="M810" s="5" t="str">
        <f t="shared" si="25"/>
        <v>P</v>
      </c>
      <c r="N810" s="5">
        <f>IF(G810=[1]Clientes!$C$3,[1]Clientes!$D$3,[1]Clientes!$D$2)</f>
        <v>13050505</v>
      </c>
    </row>
    <row r="811" spans="1:14">
      <c r="A811" s="6" t="s">
        <v>3139</v>
      </c>
      <c r="B811" s="7">
        <v>45366</v>
      </c>
      <c r="C811" s="6"/>
      <c r="D811" s="6" t="s">
        <v>1001</v>
      </c>
      <c r="E811" s="6"/>
      <c r="F811" s="7"/>
      <c r="G811" s="6" t="s">
        <v>3102</v>
      </c>
      <c r="H811" s="8"/>
      <c r="I811" s="9">
        <v>-1.4</v>
      </c>
      <c r="J811" s="9">
        <v>-2057</v>
      </c>
      <c r="K811" s="5" t="str">
        <f>VLOOKUP(D811,[1]Clientes!$A$1:$B$1370,2,0)</f>
        <v>NAC0869</v>
      </c>
      <c r="L811" s="5" t="str">
        <f t="shared" si="24"/>
        <v>Revisar</v>
      </c>
      <c r="M811" s="5" t="str">
        <f t="shared" si="25"/>
        <v>P</v>
      </c>
      <c r="N811" s="5">
        <f>IF(G811=[1]Clientes!$C$3,[1]Clientes!$D$3,[1]Clientes!$D$2)</f>
        <v>13050505</v>
      </c>
    </row>
    <row r="812" spans="1:14">
      <c r="A812" s="6" t="s">
        <v>7</v>
      </c>
      <c r="B812" s="7">
        <v>45359</v>
      </c>
      <c r="C812" s="6" t="s">
        <v>3939</v>
      </c>
      <c r="D812" s="6" t="s">
        <v>1001</v>
      </c>
      <c r="E812" s="6" t="s">
        <v>16</v>
      </c>
      <c r="F812" s="7">
        <v>45389</v>
      </c>
      <c r="G812" s="6" t="s">
        <v>3102</v>
      </c>
      <c r="H812" s="8">
        <v>146</v>
      </c>
      <c r="I812" s="9">
        <v>87.5</v>
      </c>
      <c r="J812" s="9">
        <v>265</v>
      </c>
      <c r="K812" s="5" t="str">
        <f>VLOOKUP(D812,[1]Clientes!$A$1:$B$1370,2,0)</f>
        <v>NAC0869</v>
      </c>
      <c r="L812" s="5" t="str">
        <f t="shared" si="24"/>
        <v>HGI0121717</v>
      </c>
      <c r="M812" s="5" t="str">
        <f t="shared" si="25"/>
        <v>I</v>
      </c>
      <c r="N812" s="5">
        <f>IF(G812=[1]Clientes!$C$3,[1]Clientes!$D$3,[1]Clientes!$D$2)</f>
        <v>13050505</v>
      </c>
    </row>
    <row r="813" spans="1:14">
      <c r="A813" s="6" t="s">
        <v>3139</v>
      </c>
      <c r="B813" s="7">
        <v>45394</v>
      </c>
      <c r="C813" s="6"/>
      <c r="D813" s="6" t="s">
        <v>1001</v>
      </c>
      <c r="E813" s="6"/>
      <c r="F813" s="7"/>
      <c r="G813" s="6" t="s">
        <v>3102</v>
      </c>
      <c r="H813" s="8"/>
      <c r="I813" s="9">
        <v>-0.5</v>
      </c>
      <c r="J813" s="9">
        <v>-350.3</v>
      </c>
      <c r="K813" s="5" t="str">
        <f>VLOOKUP(D813,[1]Clientes!$A$1:$B$1370,2,0)</f>
        <v>NAC0869</v>
      </c>
      <c r="L813" s="5" t="str">
        <f t="shared" si="24"/>
        <v>Revisar</v>
      </c>
      <c r="M813" s="5" t="str">
        <f t="shared" si="25"/>
        <v>P</v>
      </c>
      <c r="N813" s="5">
        <f>IF(G813=[1]Clientes!$C$3,[1]Clientes!$D$3,[1]Clientes!$D$2)</f>
        <v>13050505</v>
      </c>
    </row>
    <row r="814" spans="1:14">
      <c r="A814" s="6" t="s">
        <v>7</v>
      </c>
      <c r="B814" s="7">
        <v>45371</v>
      </c>
      <c r="C814" s="6" t="s">
        <v>3940</v>
      </c>
      <c r="D814" s="6" t="s">
        <v>1001</v>
      </c>
      <c r="E814" s="6" t="s">
        <v>16</v>
      </c>
      <c r="F814" s="7">
        <v>45401</v>
      </c>
      <c r="G814" s="6" t="s">
        <v>3102</v>
      </c>
      <c r="H814" s="8">
        <v>134</v>
      </c>
      <c r="I814" s="9">
        <v>34.799999999999997</v>
      </c>
      <c r="J814" s="9">
        <v>459.8</v>
      </c>
      <c r="K814" s="5" t="str">
        <f>VLOOKUP(D814,[1]Clientes!$A$1:$B$1370,2,0)</f>
        <v>NAC0869</v>
      </c>
      <c r="L814" s="5" t="str">
        <f t="shared" si="24"/>
        <v>HGI0122113</v>
      </c>
      <c r="M814" s="5" t="str">
        <f t="shared" si="25"/>
        <v>I</v>
      </c>
      <c r="N814" s="5">
        <f>IF(G814=[1]Clientes!$C$3,[1]Clientes!$D$3,[1]Clientes!$D$2)</f>
        <v>13050505</v>
      </c>
    </row>
    <row r="815" spans="1:14">
      <c r="A815" s="6" t="s">
        <v>3139</v>
      </c>
      <c r="B815" s="7">
        <v>45408</v>
      </c>
      <c r="C815" s="6"/>
      <c r="D815" s="6" t="s">
        <v>1001</v>
      </c>
      <c r="E815" s="6"/>
      <c r="F815" s="7"/>
      <c r="G815" s="6" t="s">
        <v>3102</v>
      </c>
      <c r="H815" s="8"/>
      <c r="I815" s="9">
        <v>-0.1</v>
      </c>
      <c r="J815" s="9">
        <v>-177</v>
      </c>
      <c r="K815" s="5" t="str">
        <f>VLOOKUP(D815,[1]Clientes!$A$1:$B$1370,2,0)</f>
        <v>NAC0869</v>
      </c>
      <c r="L815" s="5" t="str">
        <f t="shared" si="24"/>
        <v>Revisar</v>
      </c>
      <c r="M815" s="5" t="str">
        <f t="shared" si="25"/>
        <v>P</v>
      </c>
      <c r="N815" s="5">
        <f>IF(G815=[1]Clientes!$C$3,[1]Clientes!$D$3,[1]Clientes!$D$2)</f>
        <v>13050505</v>
      </c>
    </row>
    <row r="816" spans="1:14">
      <c r="A816" s="6" t="s">
        <v>3139</v>
      </c>
      <c r="B816" s="7">
        <v>45429</v>
      </c>
      <c r="C816" s="6"/>
      <c r="D816" s="6" t="s">
        <v>1001</v>
      </c>
      <c r="E816" s="6"/>
      <c r="F816" s="7"/>
      <c r="G816" s="6" t="s">
        <v>3102</v>
      </c>
      <c r="H816" s="8"/>
      <c r="I816" s="9">
        <v>-0.2</v>
      </c>
      <c r="J816" s="9">
        <v>-354</v>
      </c>
      <c r="K816" s="5" t="str">
        <f>VLOOKUP(D816,[1]Clientes!$A$1:$B$1370,2,0)</f>
        <v>NAC0869</v>
      </c>
      <c r="L816" s="5" t="str">
        <f t="shared" si="24"/>
        <v>Revisar</v>
      </c>
      <c r="M816" s="5" t="str">
        <f t="shared" si="25"/>
        <v>P</v>
      </c>
      <c r="N816" s="5">
        <f>IF(G816=[1]Clientes!$C$3,[1]Clientes!$D$3,[1]Clientes!$D$2)</f>
        <v>13050505</v>
      </c>
    </row>
    <row r="817" spans="1:14">
      <c r="A817" s="6" t="s">
        <v>7</v>
      </c>
      <c r="B817" s="7">
        <v>45411</v>
      </c>
      <c r="C817" s="6" t="s">
        <v>3941</v>
      </c>
      <c r="D817" s="6" t="s">
        <v>1001</v>
      </c>
      <c r="E817" s="6" t="s">
        <v>16</v>
      </c>
      <c r="F817" s="7">
        <v>45441</v>
      </c>
      <c r="G817" s="6" t="s">
        <v>3102</v>
      </c>
      <c r="H817" s="8">
        <v>94</v>
      </c>
      <c r="I817" s="9">
        <v>87.5</v>
      </c>
      <c r="J817" s="9">
        <v>265</v>
      </c>
      <c r="K817" s="5" t="str">
        <f>VLOOKUP(D817,[1]Clientes!$A$1:$B$1370,2,0)</f>
        <v>NAC0869</v>
      </c>
      <c r="L817" s="5" t="str">
        <f t="shared" si="24"/>
        <v>HGI0123643</v>
      </c>
      <c r="M817" s="5" t="str">
        <f t="shared" si="25"/>
        <v>I</v>
      </c>
      <c r="N817" s="5">
        <f>IF(G817=[1]Clientes!$C$3,[1]Clientes!$D$3,[1]Clientes!$D$2)</f>
        <v>13050505</v>
      </c>
    </row>
    <row r="818" spans="1:14">
      <c r="A818" s="6" t="s">
        <v>7</v>
      </c>
      <c r="B818" s="7">
        <v>45412</v>
      </c>
      <c r="C818" s="6" t="s">
        <v>3942</v>
      </c>
      <c r="D818" s="6" t="s">
        <v>1001</v>
      </c>
      <c r="E818" s="6" t="s">
        <v>16</v>
      </c>
      <c r="F818" s="7">
        <v>45442</v>
      </c>
      <c r="G818" s="6" t="s">
        <v>3102</v>
      </c>
      <c r="H818" s="8">
        <v>93</v>
      </c>
      <c r="I818" s="9">
        <v>51</v>
      </c>
      <c r="J818" s="9">
        <v>877.5</v>
      </c>
      <c r="K818" s="5" t="str">
        <f>VLOOKUP(D818,[1]Clientes!$A$1:$B$1370,2,0)</f>
        <v>NAC0869</v>
      </c>
      <c r="L818" s="5" t="str">
        <f t="shared" si="24"/>
        <v>HGI0123739</v>
      </c>
      <c r="M818" s="5" t="str">
        <f t="shared" si="25"/>
        <v>I</v>
      </c>
      <c r="N818" s="5">
        <f>IF(G818=[1]Clientes!$C$3,[1]Clientes!$D$3,[1]Clientes!$D$2)</f>
        <v>13050505</v>
      </c>
    </row>
    <row r="819" spans="1:14">
      <c r="A819" s="6" t="s">
        <v>3139</v>
      </c>
      <c r="B819" s="7">
        <v>45443</v>
      </c>
      <c r="C819" s="6"/>
      <c r="D819" s="6" t="s">
        <v>1001</v>
      </c>
      <c r="E819" s="6"/>
      <c r="F819" s="7"/>
      <c r="G819" s="6" t="s">
        <v>3102</v>
      </c>
      <c r="H819" s="8"/>
      <c r="I819" s="9">
        <v>-4.4000000000000004</v>
      </c>
      <c r="J819" s="9">
        <v>-4565</v>
      </c>
      <c r="K819" s="5" t="str">
        <f>VLOOKUP(D819,[1]Clientes!$A$1:$B$1370,2,0)</f>
        <v>NAC0869</v>
      </c>
      <c r="L819" s="5" t="str">
        <f t="shared" si="24"/>
        <v>Revisar</v>
      </c>
      <c r="M819" s="5" t="str">
        <f t="shared" si="25"/>
        <v>P</v>
      </c>
      <c r="N819" s="5">
        <f>IF(G819=[1]Clientes!$C$3,[1]Clientes!$D$3,[1]Clientes!$D$2)</f>
        <v>13050505</v>
      </c>
    </row>
    <row r="820" spans="1:14">
      <c r="A820" s="6" t="s">
        <v>3139</v>
      </c>
      <c r="B820" s="7">
        <v>45450</v>
      </c>
      <c r="C820" s="6"/>
      <c r="D820" s="6" t="s">
        <v>1001</v>
      </c>
      <c r="E820" s="6"/>
      <c r="F820" s="7"/>
      <c r="G820" s="6" t="s">
        <v>3102</v>
      </c>
      <c r="H820" s="8"/>
      <c r="I820" s="9">
        <v>-0.2</v>
      </c>
      <c r="J820" s="9">
        <v>-389.5</v>
      </c>
      <c r="K820" s="5" t="str">
        <f>VLOOKUP(D820,[1]Clientes!$A$1:$B$1370,2,0)</f>
        <v>NAC0869</v>
      </c>
      <c r="L820" s="5" t="str">
        <f t="shared" si="24"/>
        <v>Revisar</v>
      </c>
      <c r="M820" s="5" t="str">
        <f t="shared" si="25"/>
        <v>P</v>
      </c>
      <c r="N820" s="5">
        <f>IF(G820=[1]Clientes!$C$3,[1]Clientes!$D$3,[1]Clientes!$D$2)</f>
        <v>13050505</v>
      </c>
    </row>
    <row r="821" spans="1:14">
      <c r="A821" s="6" t="s">
        <v>3139</v>
      </c>
      <c r="B821" s="7">
        <v>45471</v>
      </c>
      <c r="C821" s="6"/>
      <c r="D821" s="6" t="s">
        <v>1001</v>
      </c>
      <c r="E821" s="6"/>
      <c r="F821" s="7"/>
      <c r="G821" s="6" t="s">
        <v>3102</v>
      </c>
      <c r="H821" s="8"/>
      <c r="I821" s="9">
        <v>-0.15</v>
      </c>
      <c r="J821" s="9">
        <v>-425.5</v>
      </c>
      <c r="K821" s="5" t="str">
        <f>VLOOKUP(D821,[1]Clientes!$A$1:$B$1370,2,0)</f>
        <v>NAC0869</v>
      </c>
      <c r="L821" s="5" t="str">
        <f t="shared" si="24"/>
        <v>Revisar</v>
      </c>
      <c r="M821" s="5" t="str">
        <f t="shared" si="25"/>
        <v>P</v>
      </c>
      <c r="N821" s="5">
        <f>IF(G821=[1]Clientes!$C$3,[1]Clientes!$D$3,[1]Clientes!$D$2)</f>
        <v>13050505</v>
      </c>
    </row>
    <row r="822" spans="1:14">
      <c r="A822" s="6" t="s">
        <v>3139</v>
      </c>
      <c r="B822" s="7">
        <v>45485</v>
      </c>
      <c r="C822" s="6"/>
      <c r="D822" s="6" t="s">
        <v>1001</v>
      </c>
      <c r="E822" s="6"/>
      <c r="F822" s="7"/>
      <c r="G822" s="6" t="s">
        <v>3102</v>
      </c>
      <c r="H822" s="8"/>
      <c r="I822" s="9">
        <v>-0.05</v>
      </c>
      <c r="J822" s="9">
        <v>-88.5</v>
      </c>
      <c r="K822" s="5" t="str">
        <f>VLOOKUP(D822,[1]Clientes!$A$1:$B$1370,2,0)</f>
        <v>NAC0869</v>
      </c>
      <c r="L822" s="5" t="str">
        <f t="shared" si="24"/>
        <v>Revisar</v>
      </c>
      <c r="M822" s="5" t="str">
        <f t="shared" si="25"/>
        <v>P</v>
      </c>
      <c r="N822" s="5">
        <f>IF(G822=[1]Clientes!$C$3,[1]Clientes!$D$3,[1]Clientes!$D$2)</f>
        <v>13050505</v>
      </c>
    </row>
    <row r="823" spans="1:14">
      <c r="A823" s="6" t="s">
        <v>7</v>
      </c>
      <c r="B823" s="7">
        <v>45532</v>
      </c>
      <c r="C823" s="6" t="s">
        <v>3943</v>
      </c>
      <c r="D823" s="6" t="s">
        <v>3944</v>
      </c>
      <c r="E823" s="6" t="s">
        <v>213</v>
      </c>
      <c r="F823" s="7">
        <v>45532</v>
      </c>
      <c r="G823" s="6" t="s">
        <v>3102</v>
      </c>
      <c r="H823" s="8">
        <v>3</v>
      </c>
      <c r="I823" s="9">
        <v>1239.8</v>
      </c>
      <c r="J823" s="9">
        <v>1239.8</v>
      </c>
      <c r="K823" s="5" t="str">
        <f>VLOOKUP(D823,[1]Clientes!$A$1:$B$1370,2,0)</f>
        <v>NAC1613</v>
      </c>
      <c r="L823" s="5" t="str">
        <f t="shared" si="24"/>
        <v>HGI0127047</v>
      </c>
      <c r="M823" s="5" t="str">
        <f t="shared" si="25"/>
        <v>I</v>
      </c>
      <c r="N823" s="5">
        <f>IF(G823=[1]Clientes!$C$3,[1]Clientes!$D$3,[1]Clientes!$D$2)</f>
        <v>13050505</v>
      </c>
    </row>
    <row r="824" spans="1:14">
      <c r="A824" s="6" t="s">
        <v>7</v>
      </c>
      <c r="B824" s="7">
        <v>45510</v>
      </c>
      <c r="C824" s="6" t="s">
        <v>3945</v>
      </c>
      <c r="D824" s="6" t="s">
        <v>1009</v>
      </c>
      <c r="E824" s="6" t="s">
        <v>16</v>
      </c>
      <c r="F824" s="7">
        <v>45540</v>
      </c>
      <c r="G824" s="6" t="s">
        <v>3102</v>
      </c>
      <c r="H824" s="8"/>
      <c r="I824" s="9">
        <v>189</v>
      </c>
      <c r="J824" s="9">
        <v>189</v>
      </c>
      <c r="K824" s="5" t="str">
        <f>VLOOKUP(D824,[1]Clientes!$A$1:$B$1370,2,0)</f>
        <v>NAC0871</v>
      </c>
      <c r="L824" s="5" t="str">
        <f t="shared" si="24"/>
        <v>HGI0126254</v>
      </c>
      <c r="M824" s="5" t="str">
        <f t="shared" si="25"/>
        <v>I</v>
      </c>
      <c r="N824" s="5">
        <f>IF(G824=[1]Clientes!$C$3,[1]Clientes!$D$3,[1]Clientes!$D$2)</f>
        <v>13050505</v>
      </c>
    </row>
    <row r="825" spans="1:14">
      <c r="A825" s="6" t="s">
        <v>7</v>
      </c>
      <c r="B825" s="7">
        <v>45511</v>
      </c>
      <c r="C825" s="6" t="s">
        <v>3946</v>
      </c>
      <c r="D825" s="6" t="s">
        <v>1009</v>
      </c>
      <c r="E825" s="6" t="s">
        <v>16</v>
      </c>
      <c r="F825" s="7">
        <v>45541</v>
      </c>
      <c r="G825" s="6" t="s">
        <v>3102</v>
      </c>
      <c r="H825" s="8"/>
      <c r="I825" s="9">
        <v>1575</v>
      </c>
      <c r="J825" s="9">
        <v>1575</v>
      </c>
      <c r="K825" s="5" t="str">
        <f>VLOOKUP(D825,[1]Clientes!$A$1:$B$1370,2,0)</f>
        <v>NAC0871</v>
      </c>
      <c r="L825" s="5" t="str">
        <f t="shared" si="24"/>
        <v>HGI0126297</v>
      </c>
      <c r="M825" s="5" t="str">
        <f t="shared" si="25"/>
        <v>I</v>
      </c>
      <c r="N825" s="5">
        <f>IF(G825=[1]Clientes!$C$3,[1]Clientes!$D$3,[1]Clientes!$D$2)</f>
        <v>13050505</v>
      </c>
    </row>
    <row r="826" spans="1:14">
      <c r="A826" s="6" t="s">
        <v>7</v>
      </c>
      <c r="B826" s="7">
        <v>45513</v>
      </c>
      <c r="C826" s="6" t="s">
        <v>3947</v>
      </c>
      <c r="D826" s="6" t="s">
        <v>1009</v>
      </c>
      <c r="E826" s="6" t="s">
        <v>16</v>
      </c>
      <c r="F826" s="7">
        <v>45543</v>
      </c>
      <c r="G826" s="6" t="s">
        <v>3102</v>
      </c>
      <c r="H826" s="8"/>
      <c r="I826" s="9">
        <v>2410.8000000000002</v>
      </c>
      <c r="J826" s="9">
        <v>2410.8000000000002</v>
      </c>
      <c r="K826" s="5" t="str">
        <f>VLOOKUP(D826,[1]Clientes!$A$1:$B$1370,2,0)</f>
        <v>NAC0871</v>
      </c>
      <c r="L826" s="5" t="str">
        <f t="shared" si="24"/>
        <v>HGI0126348</v>
      </c>
      <c r="M826" s="5" t="str">
        <f t="shared" si="25"/>
        <v>I</v>
      </c>
      <c r="N826" s="5">
        <f>IF(G826=[1]Clientes!$C$3,[1]Clientes!$D$3,[1]Clientes!$D$2)</f>
        <v>13050505</v>
      </c>
    </row>
    <row r="827" spans="1:14">
      <c r="A827" s="6" t="s">
        <v>3139</v>
      </c>
      <c r="B827" s="7">
        <v>45343</v>
      </c>
      <c r="C827" s="6" t="s">
        <v>3948</v>
      </c>
      <c r="D827" s="6" t="s">
        <v>1017</v>
      </c>
      <c r="E827" s="6"/>
      <c r="F827" s="7"/>
      <c r="G827" s="6" t="s">
        <v>3102</v>
      </c>
      <c r="H827" s="8"/>
      <c r="I827" s="9">
        <v>-117.9</v>
      </c>
      <c r="J827" s="9">
        <v>-117.9</v>
      </c>
      <c r="K827" s="5" t="str">
        <f>VLOOKUP(D827,[1]Clientes!$A$1:$B$1370,2,0)</f>
        <v>NAC0879</v>
      </c>
      <c r="L827" s="5" t="str">
        <f t="shared" si="24"/>
        <v>Revisar</v>
      </c>
      <c r="M827" s="5" t="str">
        <f t="shared" si="25"/>
        <v>P</v>
      </c>
      <c r="N827" s="5">
        <f>IF(G827=[1]Clientes!$C$3,[1]Clientes!$D$3,[1]Clientes!$D$2)</f>
        <v>13050505</v>
      </c>
    </row>
    <row r="828" spans="1:14">
      <c r="A828" s="6" t="s">
        <v>7</v>
      </c>
      <c r="B828" s="7">
        <v>45495</v>
      </c>
      <c r="C828" s="6" t="s">
        <v>3949</v>
      </c>
      <c r="D828" s="6" t="s">
        <v>1017</v>
      </c>
      <c r="E828" s="6" t="s">
        <v>16</v>
      </c>
      <c r="F828" s="7">
        <v>45525</v>
      </c>
      <c r="G828" s="6" t="s">
        <v>3102</v>
      </c>
      <c r="H828" s="8">
        <v>10</v>
      </c>
      <c r="I828" s="9">
        <v>668.52</v>
      </c>
      <c r="J828" s="9">
        <v>668.52</v>
      </c>
      <c r="K828" s="5" t="str">
        <f>VLOOKUP(D828,[1]Clientes!$A$1:$B$1370,2,0)</f>
        <v>NAC0879</v>
      </c>
      <c r="L828" s="5" t="str">
        <f t="shared" si="24"/>
        <v>HGI0125826</v>
      </c>
      <c r="M828" s="5" t="str">
        <f t="shared" si="25"/>
        <v>I</v>
      </c>
      <c r="N828" s="5">
        <f>IF(G828=[1]Clientes!$C$3,[1]Clientes!$D$3,[1]Clientes!$D$2)</f>
        <v>13050505</v>
      </c>
    </row>
    <row r="829" spans="1:14">
      <c r="A829" s="6" t="s">
        <v>7</v>
      </c>
      <c r="B829" s="7">
        <v>45029</v>
      </c>
      <c r="C829" s="6" t="s">
        <v>3950</v>
      </c>
      <c r="D829" s="6" t="s">
        <v>1020</v>
      </c>
      <c r="E829" s="6" t="s">
        <v>16</v>
      </c>
      <c r="F829" s="7">
        <v>45059</v>
      </c>
      <c r="G829" s="6" t="s">
        <v>3102</v>
      </c>
      <c r="H829" s="8">
        <v>476</v>
      </c>
      <c r="I829" s="9">
        <v>45.05</v>
      </c>
      <c r="J829" s="9">
        <v>7755.13</v>
      </c>
      <c r="K829" s="5" t="str">
        <f>VLOOKUP(D829,[1]Clientes!$A$1:$B$1370,2,0)</f>
        <v>NAC0880</v>
      </c>
      <c r="L829" s="5" t="str">
        <f t="shared" si="24"/>
        <v>HGI0110804</v>
      </c>
      <c r="M829" s="5" t="str">
        <f t="shared" si="25"/>
        <v>I</v>
      </c>
      <c r="N829" s="5">
        <f>IF(G829=[1]Clientes!$C$3,[1]Clientes!$D$3,[1]Clientes!$D$2)</f>
        <v>13050505</v>
      </c>
    </row>
    <row r="830" spans="1:14">
      <c r="A830" s="6" t="s">
        <v>7</v>
      </c>
      <c r="B830" s="7">
        <v>45093</v>
      </c>
      <c r="C830" s="6" t="s">
        <v>3951</v>
      </c>
      <c r="D830" s="6" t="s">
        <v>1020</v>
      </c>
      <c r="E830" s="6" t="s">
        <v>16</v>
      </c>
      <c r="F830" s="7">
        <v>45123</v>
      </c>
      <c r="G830" s="6" t="s">
        <v>3102</v>
      </c>
      <c r="H830" s="8">
        <v>412</v>
      </c>
      <c r="I830" s="9">
        <v>1357.43</v>
      </c>
      <c r="J830" s="9">
        <v>5509.8</v>
      </c>
      <c r="K830" s="5" t="str">
        <f>VLOOKUP(D830,[1]Clientes!$A$1:$B$1370,2,0)</f>
        <v>NAC0880</v>
      </c>
      <c r="L830" s="5" t="str">
        <f t="shared" si="24"/>
        <v>HGI0113131</v>
      </c>
      <c r="M830" s="5" t="str">
        <f t="shared" si="25"/>
        <v>I</v>
      </c>
      <c r="N830" s="5">
        <f>IF(G830=[1]Clientes!$C$3,[1]Clientes!$D$3,[1]Clientes!$D$2)</f>
        <v>13050505</v>
      </c>
    </row>
    <row r="831" spans="1:14">
      <c r="A831" s="6" t="s">
        <v>7</v>
      </c>
      <c r="B831" s="7">
        <v>45317</v>
      </c>
      <c r="C831" s="6" t="s">
        <v>3952</v>
      </c>
      <c r="D831" s="6" t="s">
        <v>1020</v>
      </c>
      <c r="E831" s="6" t="s">
        <v>16</v>
      </c>
      <c r="F831" s="7">
        <v>45347</v>
      </c>
      <c r="G831" s="6" t="s">
        <v>3102</v>
      </c>
      <c r="H831" s="8">
        <v>188</v>
      </c>
      <c r="I831" s="9">
        <v>431.33</v>
      </c>
      <c r="J831" s="9">
        <v>4854.88</v>
      </c>
      <c r="K831" s="5" t="str">
        <f>VLOOKUP(D831,[1]Clientes!$A$1:$B$1370,2,0)</f>
        <v>NAC0880</v>
      </c>
      <c r="L831" s="5" t="str">
        <f t="shared" si="24"/>
        <v>HGI0119979</v>
      </c>
      <c r="M831" s="5" t="str">
        <f t="shared" si="25"/>
        <v>I</v>
      </c>
      <c r="N831" s="5">
        <f>IF(G831=[1]Clientes!$C$3,[1]Clientes!$D$3,[1]Clientes!$D$2)</f>
        <v>13050505</v>
      </c>
    </row>
    <row r="832" spans="1:14">
      <c r="A832" s="6" t="s">
        <v>7</v>
      </c>
      <c r="B832" s="7">
        <v>45376</v>
      </c>
      <c r="C832" s="6" t="s">
        <v>3953</v>
      </c>
      <c r="D832" s="6" t="s">
        <v>1020</v>
      </c>
      <c r="E832" s="6" t="s">
        <v>16</v>
      </c>
      <c r="F832" s="7">
        <v>45406</v>
      </c>
      <c r="G832" s="6" t="s">
        <v>3102</v>
      </c>
      <c r="H832" s="8">
        <v>129</v>
      </c>
      <c r="I832" s="9">
        <v>389.84</v>
      </c>
      <c r="J832" s="9">
        <v>1533.3</v>
      </c>
      <c r="K832" s="5" t="str">
        <f>VLOOKUP(D832,[1]Clientes!$A$1:$B$1370,2,0)</f>
        <v>NAC0880</v>
      </c>
      <c r="L832" s="5" t="str">
        <f t="shared" si="24"/>
        <v>HGI0122241</v>
      </c>
      <c r="M832" s="5" t="str">
        <f t="shared" si="25"/>
        <v>I</v>
      </c>
      <c r="N832" s="5">
        <f>IF(G832=[1]Clientes!$C$3,[1]Clientes!$D$3,[1]Clientes!$D$2)</f>
        <v>13050505</v>
      </c>
    </row>
    <row r="833" spans="1:14">
      <c r="A833" s="6" t="s">
        <v>7</v>
      </c>
      <c r="B833" s="7">
        <v>45446</v>
      </c>
      <c r="C833" s="6" t="s">
        <v>3954</v>
      </c>
      <c r="D833" s="6" t="s">
        <v>1020</v>
      </c>
      <c r="E833" s="6" t="s">
        <v>16</v>
      </c>
      <c r="F833" s="7">
        <v>45476</v>
      </c>
      <c r="G833" s="6" t="s">
        <v>3102</v>
      </c>
      <c r="H833" s="8">
        <v>59</v>
      </c>
      <c r="I833" s="9">
        <v>11</v>
      </c>
      <c r="J833" s="9">
        <v>9915.52</v>
      </c>
      <c r="K833" s="5" t="str">
        <f>VLOOKUP(D833,[1]Clientes!$A$1:$B$1370,2,0)</f>
        <v>NAC0880</v>
      </c>
      <c r="L833" s="5" t="str">
        <f t="shared" si="24"/>
        <v>HGI0124779</v>
      </c>
      <c r="M833" s="5" t="str">
        <f t="shared" si="25"/>
        <v>I</v>
      </c>
      <c r="N833" s="5">
        <f>IF(G833=[1]Clientes!$C$3,[1]Clientes!$D$3,[1]Clientes!$D$2)</f>
        <v>13050505</v>
      </c>
    </row>
    <row r="834" spans="1:14">
      <c r="A834" s="6" t="s">
        <v>3099</v>
      </c>
      <c r="B834" s="7">
        <v>45519</v>
      </c>
      <c r="C834" s="6" t="s">
        <v>3955</v>
      </c>
      <c r="D834" s="6" t="s">
        <v>1020</v>
      </c>
      <c r="E834" s="6" t="s">
        <v>16</v>
      </c>
      <c r="F834" s="7">
        <v>45549</v>
      </c>
      <c r="G834" s="6" t="s">
        <v>3102</v>
      </c>
      <c r="H834" s="8"/>
      <c r="I834" s="9">
        <v>-532.67999999999995</v>
      </c>
      <c r="J834" s="9">
        <v>-532.67999999999995</v>
      </c>
      <c r="K834" s="5" t="str">
        <f>VLOOKUP(D834,[1]Clientes!$A$1:$B$1370,2,0)</f>
        <v>NAC0880</v>
      </c>
      <c r="L834" s="5" t="str">
        <f t="shared" si="24"/>
        <v>CRM0126490</v>
      </c>
      <c r="M834" s="5" t="str">
        <f t="shared" si="25"/>
        <v>C</v>
      </c>
      <c r="N834" s="5">
        <f>IF(G834=[1]Clientes!$C$3,[1]Clientes!$D$3,[1]Clientes!$D$2)</f>
        <v>13050505</v>
      </c>
    </row>
    <row r="835" spans="1:14">
      <c r="A835" s="6" t="s">
        <v>7</v>
      </c>
      <c r="B835" s="7">
        <v>45502</v>
      </c>
      <c r="C835" s="6" t="s">
        <v>3956</v>
      </c>
      <c r="D835" s="6" t="s">
        <v>1028</v>
      </c>
      <c r="E835" s="6" t="s">
        <v>16</v>
      </c>
      <c r="F835" s="7">
        <v>45532</v>
      </c>
      <c r="G835" s="6" t="s">
        <v>3102</v>
      </c>
      <c r="H835" s="8">
        <v>3</v>
      </c>
      <c r="I835" s="9">
        <v>17.760000000000002</v>
      </c>
      <c r="J835" s="9">
        <v>17.760000000000002</v>
      </c>
      <c r="K835" s="5" t="str">
        <f>VLOOKUP(D835,[1]Clientes!$A$1:$B$1370,2,0)</f>
        <v>NAC0881</v>
      </c>
      <c r="L835" s="5" t="str">
        <f t="shared" ref="L835:L898" si="26">IF(A835="Invoice",
    IF(LEFT(C835,5)="TGDR-", "TGDR"&amp;RIGHT(C835,LEN(C835)-5), "HGI"&amp;C835),
    IF(A835="Credit Memo",
        IF(LEFT(C835,5)="TGDR-", "CRM"&amp;RIGHT(C835,LEN(C835)-5), "CRM"&amp;C835),
        "Revisar")
)</f>
        <v>HGI0126035</v>
      </c>
      <c r="M835" s="5" t="str">
        <f t="shared" ref="M835:M898" si="27">IF(A835="Invoice","I",IF(A835="Credit Memo","C",IF(A835="Payment","P","GJ")))</f>
        <v>I</v>
      </c>
      <c r="N835" s="5">
        <f>IF(G835=[1]Clientes!$C$3,[1]Clientes!$D$3,[1]Clientes!$D$2)</f>
        <v>13050505</v>
      </c>
    </row>
    <row r="836" spans="1:14">
      <c r="A836" s="6" t="s">
        <v>7</v>
      </c>
      <c r="B836" s="7">
        <v>45505</v>
      </c>
      <c r="C836" s="6" t="s">
        <v>3957</v>
      </c>
      <c r="D836" s="6" t="s">
        <v>1028</v>
      </c>
      <c r="E836" s="6" t="s">
        <v>16</v>
      </c>
      <c r="F836" s="7">
        <v>45535</v>
      </c>
      <c r="G836" s="6" t="s">
        <v>3102</v>
      </c>
      <c r="H836" s="8"/>
      <c r="I836" s="9">
        <v>8100</v>
      </c>
      <c r="J836" s="9">
        <v>8100</v>
      </c>
      <c r="K836" s="5" t="str">
        <f>VLOOKUP(D836,[1]Clientes!$A$1:$B$1370,2,0)</f>
        <v>NAC0881</v>
      </c>
      <c r="L836" s="5" t="str">
        <f t="shared" si="26"/>
        <v>HGI0126124</v>
      </c>
      <c r="M836" s="5" t="str">
        <f t="shared" si="27"/>
        <v>I</v>
      </c>
      <c r="N836" s="5">
        <f>IF(G836=[1]Clientes!$C$3,[1]Clientes!$D$3,[1]Clientes!$D$2)</f>
        <v>13050505</v>
      </c>
    </row>
    <row r="837" spans="1:14">
      <c r="A837" s="6" t="s">
        <v>7</v>
      </c>
      <c r="B837" s="7">
        <v>45512</v>
      </c>
      <c r="C837" s="6" t="s">
        <v>3958</v>
      </c>
      <c r="D837" s="6" t="s">
        <v>1028</v>
      </c>
      <c r="E837" s="6" t="s">
        <v>16</v>
      </c>
      <c r="F837" s="7">
        <v>45542</v>
      </c>
      <c r="G837" s="6" t="s">
        <v>3102</v>
      </c>
      <c r="H837" s="8"/>
      <c r="I837" s="9">
        <v>21671.85</v>
      </c>
      <c r="J837" s="9">
        <v>32273.85</v>
      </c>
      <c r="K837" s="5" t="str">
        <f>VLOOKUP(D837,[1]Clientes!$A$1:$B$1370,2,0)</f>
        <v>NAC0881</v>
      </c>
      <c r="L837" s="5" t="str">
        <f t="shared" si="26"/>
        <v>HGI0126321</v>
      </c>
      <c r="M837" s="5" t="str">
        <f t="shared" si="27"/>
        <v>I</v>
      </c>
      <c r="N837" s="5">
        <f>IF(G837=[1]Clientes!$C$3,[1]Clientes!$D$3,[1]Clientes!$D$2)</f>
        <v>13050505</v>
      </c>
    </row>
    <row r="838" spans="1:14">
      <c r="A838" s="6" t="s">
        <v>7</v>
      </c>
      <c r="B838" s="7">
        <v>45517</v>
      </c>
      <c r="C838" s="6" t="s">
        <v>3959</v>
      </c>
      <c r="D838" s="6" t="s">
        <v>1028</v>
      </c>
      <c r="E838" s="6" t="s">
        <v>16</v>
      </c>
      <c r="F838" s="7">
        <v>45547</v>
      </c>
      <c r="G838" s="6" t="s">
        <v>3102</v>
      </c>
      <c r="H838" s="8"/>
      <c r="I838" s="9">
        <v>520</v>
      </c>
      <c r="J838" s="9">
        <v>520</v>
      </c>
      <c r="K838" s="5" t="str">
        <f>VLOOKUP(D838,[1]Clientes!$A$1:$B$1370,2,0)</f>
        <v>NAC0881</v>
      </c>
      <c r="L838" s="5" t="str">
        <f t="shared" si="26"/>
        <v>HGI0126443</v>
      </c>
      <c r="M838" s="5" t="str">
        <f t="shared" si="27"/>
        <v>I</v>
      </c>
      <c r="N838" s="5">
        <f>IF(G838=[1]Clientes!$C$3,[1]Clientes!$D$3,[1]Clientes!$D$2)</f>
        <v>13050505</v>
      </c>
    </row>
    <row r="839" spans="1:14">
      <c r="A839" s="6" t="s">
        <v>7</v>
      </c>
      <c r="B839" s="7">
        <v>45523</v>
      </c>
      <c r="C839" s="6" t="s">
        <v>3960</v>
      </c>
      <c r="D839" s="6" t="s">
        <v>1028</v>
      </c>
      <c r="E839" s="6" t="s">
        <v>16</v>
      </c>
      <c r="F839" s="7">
        <v>45553</v>
      </c>
      <c r="G839" s="6" t="s">
        <v>3102</v>
      </c>
      <c r="H839" s="8"/>
      <c r="I839" s="9">
        <v>3594.2</v>
      </c>
      <c r="J839" s="9">
        <v>3594.2</v>
      </c>
      <c r="K839" s="5" t="str">
        <f>VLOOKUP(D839,[1]Clientes!$A$1:$B$1370,2,0)</f>
        <v>NAC0881</v>
      </c>
      <c r="L839" s="5" t="str">
        <f t="shared" si="26"/>
        <v>HGI0126626</v>
      </c>
      <c r="M839" s="5" t="str">
        <f t="shared" si="27"/>
        <v>I</v>
      </c>
      <c r="N839" s="5">
        <f>IF(G839=[1]Clientes!$C$3,[1]Clientes!$D$3,[1]Clientes!$D$2)</f>
        <v>13050505</v>
      </c>
    </row>
    <row r="840" spans="1:14">
      <c r="A840" s="6" t="s">
        <v>7</v>
      </c>
      <c r="B840" s="7">
        <v>45524</v>
      </c>
      <c r="C840" s="6" t="s">
        <v>3961</v>
      </c>
      <c r="D840" s="6" t="s">
        <v>1028</v>
      </c>
      <c r="E840" s="6" t="s">
        <v>16</v>
      </c>
      <c r="F840" s="7">
        <v>45554</v>
      </c>
      <c r="G840" s="6" t="s">
        <v>3102</v>
      </c>
      <c r="H840" s="8"/>
      <c r="I840" s="9">
        <v>3888</v>
      </c>
      <c r="J840" s="9">
        <v>3888</v>
      </c>
      <c r="K840" s="5" t="str">
        <f>VLOOKUP(D840,[1]Clientes!$A$1:$B$1370,2,0)</f>
        <v>NAC0881</v>
      </c>
      <c r="L840" s="5" t="str">
        <f t="shared" si="26"/>
        <v>HGI0126720</v>
      </c>
      <c r="M840" s="5" t="str">
        <f t="shared" si="27"/>
        <v>I</v>
      </c>
      <c r="N840" s="5">
        <f>IF(G840=[1]Clientes!$C$3,[1]Clientes!$D$3,[1]Clientes!$D$2)</f>
        <v>13050505</v>
      </c>
    </row>
    <row r="841" spans="1:14">
      <c r="A841" s="6" t="s">
        <v>7</v>
      </c>
      <c r="B841" s="7">
        <v>45527</v>
      </c>
      <c r="C841" s="6" t="s">
        <v>3962</v>
      </c>
      <c r="D841" s="6" t="s">
        <v>1028</v>
      </c>
      <c r="E841" s="6" t="s">
        <v>16</v>
      </c>
      <c r="F841" s="7">
        <v>45557</v>
      </c>
      <c r="G841" s="6" t="s">
        <v>3102</v>
      </c>
      <c r="H841" s="8"/>
      <c r="I841" s="9">
        <v>632.4</v>
      </c>
      <c r="J841" s="9">
        <v>632.4</v>
      </c>
      <c r="K841" s="5" t="str">
        <f>VLOOKUP(D841,[1]Clientes!$A$1:$B$1370,2,0)</f>
        <v>NAC0881</v>
      </c>
      <c r="L841" s="5" t="str">
        <f t="shared" si="26"/>
        <v>HGI0126815</v>
      </c>
      <c r="M841" s="5" t="str">
        <f t="shared" si="27"/>
        <v>I</v>
      </c>
      <c r="N841" s="5">
        <f>IF(G841=[1]Clientes!$C$3,[1]Clientes!$D$3,[1]Clientes!$D$2)</f>
        <v>13050505</v>
      </c>
    </row>
    <row r="842" spans="1:14">
      <c r="A842" s="6" t="s">
        <v>7</v>
      </c>
      <c r="B842" s="7">
        <v>45532</v>
      </c>
      <c r="C842" s="6" t="s">
        <v>3963</v>
      </c>
      <c r="D842" s="6" t="s">
        <v>1028</v>
      </c>
      <c r="E842" s="6" t="s">
        <v>16</v>
      </c>
      <c r="F842" s="7">
        <v>45562</v>
      </c>
      <c r="G842" s="6" t="s">
        <v>3102</v>
      </c>
      <c r="H842" s="8"/>
      <c r="I842" s="9">
        <v>4428</v>
      </c>
      <c r="J842" s="9">
        <v>4428</v>
      </c>
      <c r="K842" s="5" t="str">
        <f>VLOOKUP(D842,[1]Clientes!$A$1:$B$1370,2,0)</f>
        <v>NAC0881</v>
      </c>
      <c r="L842" s="5" t="str">
        <f t="shared" si="26"/>
        <v>HGI0127066</v>
      </c>
      <c r="M842" s="5" t="str">
        <f t="shared" si="27"/>
        <v>I</v>
      </c>
      <c r="N842" s="5">
        <f>IF(G842=[1]Clientes!$C$3,[1]Clientes!$D$3,[1]Clientes!$D$2)</f>
        <v>13050505</v>
      </c>
    </row>
    <row r="843" spans="1:14">
      <c r="A843" s="6" t="s">
        <v>3139</v>
      </c>
      <c r="B843" s="7">
        <v>45447</v>
      </c>
      <c r="C843" s="6" t="s">
        <v>3964</v>
      </c>
      <c r="D843" s="6" t="s">
        <v>1038</v>
      </c>
      <c r="E843" s="6"/>
      <c r="F843" s="7"/>
      <c r="G843" s="6" t="s">
        <v>3102</v>
      </c>
      <c r="H843" s="8"/>
      <c r="I843" s="9">
        <v>-0.1</v>
      </c>
      <c r="J843" s="9">
        <v>-25460.63</v>
      </c>
      <c r="K843" s="5" t="str">
        <f>VLOOKUP(D843,[1]Clientes!$A$1:$B$1370,2,0)</f>
        <v>NAC0886</v>
      </c>
      <c r="L843" s="5" t="str">
        <f t="shared" si="26"/>
        <v>Revisar</v>
      </c>
      <c r="M843" s="5" t="str">
        <f t="shared" si="27"/>
        <v>P</v>
      </c>
      <c r="N843" s="5">
        <f>IF(G843=[1]Clientes!$C$3,[1]Clientes!$D$3,[1]Clientes!$D$2)</f>
        <v>13050505</v>
      </c>
    </row>
    <row r="844" spans="1:14">
      <c r="A844" s="6" t="s">
        <v>7</v>
      </c>
      <c r="B844" s="7">
        <v>45310</v>
      </c>
      <c r="C844" s="6" t="s">
        <v>3965</v>
      </c>
      <c r="D844" s="6" t="s">
        <v>1048</v>
      </c>
      <c r="E844" s="6" t="s">
        <v>16</v>
      </c>
      <c r="F844" s="7">
        <v>45340</v>
      </c>
      <c r="G844" s="6" t="s">
        <v>3102</v>
      </c>
      <c r="H844" s="8">
        <v>195</v>
      </c>
      <c r="I844" s="9">
        <v>814.97</v>
      </c>
      <c r="J844" s="9">
        <v>2863.22</v>
      </c>
      <c r="K844" s="5" t="str">
        <f>VLOOKUP(D844,[1]Clientes!$A$1:$B$1370,2,0)</f>
        <v>NAC0894</v>
      </c>
      <c r="L844" s="5" t="str">
        <f t="shared" si="26"/>
        <v>HGI0119505</v>
      </c>
      <c r="M844" s="5" t="str">
        <f t="shared" si="27"/>
        <v>I</v>
      </c>
      <c r="N844" s="5">
        <f>IF(G844=[1]Clientes!$C$3,[1]Clientes!$D$3,[1]Clientes!$D$2)</f>
        <v>13050505</v>
      </c>
    </row>
    <row r="845" spans="1:14">
      <c r="A845" s="6" t="s">
        <v>3139</v>
      </c>
      <c r="B845" s="7">
        <v>45365</v>
      </c>
      <c r="C845" s="6" t="s">
        <v>3966</v>
      </c>
      <c r="D845" s="6" t="s">
        <v>1048</v>
      </c>
      <c r="E845" s="6"/>
      <c r="F845" s="7"/>
      <c r="G845" s="6" t="s">
        <v>3102</v>
      </c>
      <c r="H845" s="8"/>
      <c r="I845" s="9">
        <v>-4.97</v>
      </c>
      <c r="J845" s="9">
        <v>-6411.75</v>
      </c>
      <c r="K845" s="5" t="str">
        <f>VLOOKUP(D845,[1]Clientes!$A$1:$B$1370,2,0)</f>
        <v>NAC0894</v>
      </c>
      <c r="L845" s="5" t="str">
        <f t="shared" si="26"/>
        <v>Revisar</v>
      </c>
      <c r="M845" s="5" t="str">
        <f t="shared" si="27"/>
        <v>P</v>
      </c>
      <c r="N845" s="5">
        <f>IF(G845=[1]Clientes!$C$3,[1]Clientes!$D$3,[1]Clientes!$D$2)</f>
        <v>13050505</v>
      </c>
    </row>
    <row r="846" spans="1:14">
      <c r="A846" s="6" t="s">
        <v>7</v>
      </c>
      <c r="B846" s="7">
        <v>45429</v>
      </c>
      <c r="C846" s="6" t="s">
        <v>3967</v>
      </c>
      <c r="D846" s="6" t="s">
        <v>1048</v>
      </c>
      <c r="E846" s="6" t="s">
        <v>16</v>
      </c>
      <c r="F846" s="7">
        <v>45459</v>
      </c>
      <c r="G846" s="6" t="s">
        <v>3102</v>
      </c>
      <c r="H846" s="8">
        <v>76</v>
      </c>
      <c r="I846" s="9">
        <v>3275.4</v>
      </c>
      <c r="J846" s="9">
        <v>3275.4</v>
      </c>
      <c r="K846" s="5" t="str">
        <f>VLOOKUP(D846,[1]Clientes!$A$1:$B$1370,2,0)</f>
        <v>NAC0894</v>
      </c>
      <c r="L846" s="5" t="str">
        <f t="shared" si="26"/>
        <v>HGI0124396</v>
      </c>
      <c r="M846" s="5" t="str">
        <f t="shared" si="27"/>
        <v>I</v>
      </c>
      <c r="N846" s="5">
        <f>IF(G846=[1]Clientes!$C$3,[1]Clientes!$D$3,[1]Clientes!$D$2)</f>
        <v>13050505</v>
      </c>
    </row>
    <row r="847" spans="1:14">
      <c r="A847" s="6" t="s">
        <v>7</v>
      </c>
      <c r="B847" s="7">
        <v>45448</v>
      </c>
      <c r="C847" s="6" t="s">
        <v>3968</v>
      </c>
      <c r="D847" s="6" t="s">
        <v>1048</v>
      </c>
      <c r="E847" s="6" t="s">
        <v>16</v>
      </c>
      <c r="F847" s="7">
        <v>45478</v>
      </c>
      <c r="G847" s="6" t="s">
        <v>3102</v>
      </c>
      <c r="H847" s="8">
        <v>57</v>
      </c>
      <c r="I847" s="9">
        <v>3090</v>
      </c>
      <c r="J847" s="9">
        <v>3090</v>
      </c>
      <c r="K847" s="5" t="str">
        <f>VLOOKUP(D847,[1]Clientes!$A$1:$B$1370,2,0)</f>
        <v>NAC0894</v>
      </c>
      <c r="L847" s="5" t="str">
        <f t="shared" si="26"/>
        <v>HGI0124846</v>
      </c>
      <c r="M847" s="5" t="str">
        <f t="shared" si="27"/>
        <v>I</v>
      </c>
      <c r="N847" s="5">
        <f>IF(G847=[1]Clientes!$C$3,[1]Clientes!$D$3,[1]Clientes!$D$2)</f>
        <v>13050505</v>
      </c>
    </row>
    <row r="848" spans="1:14">
      <c r="A848" s="6" t="s">
        <v>3139</v>
      </c>
      <c r="B848" s="7">
        <v>45481</v>
      </c>
      <c r="C848" s="6" t="s">
        <v>3969</v>
      </c>
      <c r="D848" s="6" t="s">
        <v>1048</v>
      </c>
      <c r="E848" s="6"/>
      <c r="F848" s="7"/>
      <c r="G848" s="6" t="s">
        <v>3102</v>
      </c>
      <c r="H848" s="8"/>
      <c r="I848" s="9">
        <v>-6180</v>
      </c>
      <c r="J848" s="9">
        <v>-6180</v>
      </c>
      <c r="K848" s="5" t="str">
        <f>VLOOKUP(D848,[1]Clientes!$A$1:$B$1370,2,0)</f>
        <v>NAC0894</v>
      </c>
      <c r="L848" s="5" t="str">
        <f t="shared" si="26"/>
        <v>Revisar</v>
      </c>
      <c r="M848" s="5" t="str">
        <f t="shared" si="27"/>
        <v>P</v>
      </c>
      <c r="N848" s="5">
        <f>IF(G848=[1]Clientes!$C$3,[1]Clientes!$D$3,[1]Clientes!$D$2)</f>
        <v>13050505</v>
      </c>
    </row>
    <row r="849" spans="1:14">
      <c r="A849" s="6" t="s">
        <v>7</v>
      </c>
      <c r="B849" s="7">
        <v>45483</v>
      </c>
      <c r="C849" s="6" t="s">
        <v>3970</v>
      </c>
      <c r="D849" s="6" t="s">
        <v>1048</v>
      </c>
      <c r="E849" s="6" t="s">
        <v>16</v>
      </c>
      <c r="F849" s="7">
        <v>45513</v>
      </c>
      <c r="G849" s="6" t="s">
        <v>3102</v>
      </c>
      <c r="H849" s="8">
        <v>22</v>
      </c>
      <c r="I849" s="9">
        <v>3090</v>
      </c>
      <c r="J849" s="9">
        <v>3090</v>
      </c>
      <c r="K849" s="5" t="str">
        <f>VLOOKUP(D849,[1]Clientes!$A$1:$B$1370,2,0)</f>
        <v>NAC0894</v>
      </c>
      <c r="L849" s="5" t="str">
        <f t="shared" si="26"/>
        <v>HGI0125617</v>
      </c>
      <c r="M849" s="5" t="str">
        <f t="shared" si="27"/>
        <v>I</v>
      </c>
      <c r="N849" s="5">
        <f>IF(G849=[1]Clientes!$C$3,[1]Clientes!$D$3,[1]Clientes!$D$2)</f>
        <v>13050505</v>
      </c>
    </row>
    <row r="850" spans="1:14">
      <c r="A850" s="6" t="s">
        <v>7</v>
      </c>
      <c r="B850" s="7">
        <v>45518</v>
      </c>
      <c r="C850" s="6" t="s">
        <v>3971</v>
      </c>
      <c r="D850" s="6" t="s">
        <v>1048</v>
      </c>
      <c r="E850" s="6" t="s">
        <v>16</v>
      </c>
      <c r="F850" s="7">
        <v>45548</v>
      </c>
      <c r="G850" s="6" t="s">
        <v>3102</v>
      </c>
      <c r="H850" s="8"/>
      <c r="I850" s="9">
        <v>3090</v>
      </c>
      <c r="J850" s="9">
        <v>3090</v>
      </c>
      <c r="K850" s="5" t="str">
        <f>VLOOKUP(D850,[1]Clientes!$A$1:$B$1370,2,0)</f>
        <v>NAC0894</v>
      </c>
      <c r="L850" s="5" t="str">
        <f t="shared" si="26"/>
        <v>HGI0126475</v>
      </c>
      <c r="M850" s="5" t="str">
        <f t="shared" si="27"/>
        <v>I</v>
      </c>
      <c r="N850" s="5">
        <f>IF(G850=[1]Clientes!$C$3,[1]Clientes!$D$3,[1]Clientes!$D$2)</f>
        <v>13050505</v>
      </c>
    </row>
    <row r="851" spans="1:14">
      <c r="A851" s="6" t="s">
        <v>3099</v>
      </c>
      <c r="B851" s="7">
        <v>45314</v>
      </c>
      <c r="C851" s="6" t="s">
        <v>3972</v>
      </c>
      <c r="D851" s="6" t="s">
        <v>1056</v>
      </c>
      <c r="E851" s="6" t="s">
        <v>16</v>
      </c>
      <c r="F851" s="7">
        <v>45344</v>
      </c>
      <c r="G851" s="6" t="s">
        <v>3102</v>
      </c>
      <c r="H851" s="8">
        <v>191</v>
      </c>
      <c r="I851" s="9">
        <v>-56</v>
      </c>
      <c r="J851" s="9">
        <v>-56</v>
      </c>
      <c r="K851" s="5" t="str">
        <f>VLOOKUP(D851,[1]Clientes!$A$1:$B$1370,2,0)</f>
        <v>NAC0897</v>
      </c>
      <c r="L851" s="5" t="str">
        <f t="shared" si="26"/>
        <v>CRM0119673</v>
      </c>
      <c r="M851" s="5" t="str">
        <f t="shared" si="27"/>
        <v>C</v>
      </c>
      <c r="N851" s="5">
        <f>IF(G851=[1]Clientes!$C$3,[1]Clientes!$D$3,[1]Clientes!$D$2)</f>
        <v>13050505</v>
      </c>
    </row>
    <row r="852" spans="1:14">
      <c r="A852" s="6" t="s">
        <v>3099</v>
      </c>
      <c r="B852" s="7">
        <v>45341</v>
      </c>
      <c r="C852" s="6" t="s">
        <v>3973</v>
      </c>
      <c r="D852" s="6" t="s">
        <v>1056</v>
      </c>
      <c r="E852" s="6" t="s">
        <v>16</v>
      </c>
      <c r="F852" s="7">
        <v>45371</v>
      </c>
      <c r="G852" s="6" t="s">
        <v>3102</v>
      </c>
      <c r="H852" s="8">
        <v>164</v>
      </c>
      <c r="I852" s="9">
        <v>-247.5</v>
      </c>
      <c r="J852" s="9">
        <v>-247.5</v>
      </c>
      <c r="K852" s="5" t="str">
        <f>VLOOKUP(D852,[1]Clientes!$A$1:$B$1370,2,0)</f>
        <v>NAC0897</v>
      </c>
      <c r="L852" s="5" t="str">
        <f t="shared" si="26"/>
        <v>CRM0121022</v>
      </c>
      <c r="M852" s="5" t="str">
        <f t="shared" si="27"/>
        <v>C</v>
      </c>
      <c r="N852" s="5">
        <f>IF(G852=[1]Clientes!$C$3,[1]Clientes!$D$3,[1]Clientes!$D$2)</f>
        <v>13050505</v>
      </c>
    </row>
    <row r="853" spans="1:14">
      <c r="A853" s="6" t="s">
        <v>7</v>
      </c>
      <c r="B853" s="7">
        <v>45405</v>
      </c>
      <c r="C853" s="6" t="s">
        <v>3974</v>
      </c>
      <c r="D853" s="6" t="s">
        <v>3975</v>
      </c>
      <c r="E853" s="6" t="s">
        <v>16</v>
      </c>
      <c r="F853" s="7">
        <v>45435</v>
      </c>
      <c r="G853" s="6" t="s">
        <v>3102</v>
      </c>
      <c r="H853" s="8">
        <v>100</v>
      </c>
      <c r="I853" s="9">
        <v>857.75</v>
      </c>
      <c r="J853" s="9">
        <v>857.75</v>
      </c>
      <c r="K853" s="5" t="str">
        <f>VLOOKUP(D853,[1]Clientes!$A$1:$B$1370,2,0)</f>
        <v>NAC0900</v>
      </c>
      <c r="L853" s="5" t="str">
        <f t="shared" si="26"/>
        <v>HGI0123381</v>
      </c>
      <c r="M853" s="5" t="str">
        <f t="shared" si="27"/>
        <v>I</v>
      </c>
      <c r="N853" s="5">
        <f>IF(G853=[1]Clientes!$C$3,[1]Clientes!$D$3,[1]Clientes!$D$2)</f>
        <v>13050505</v>
      </c>
    </row>
    <row r="854" spans="1:14">
      <c r="A854" s="6" t="s">
        <v>7</v>
      </c>
      <c r="B854" s="7">
        <v>45421</v>
      </c>
      <c r="C854" s="6" t="s">
        <v>3976</v>
      </c>
      <c r="D854" s="6" t="s">
        <v>3975</v>
      </c>
      <c r="E854" s="6" t="s">
        <v>16</v>
      </c>
      <c r="F854" s="7">
        <v>45451</v>
      </c>
      <c r="G854" s="6" t="s">
        <v>3102</v>
      </c>
      <c r="H854" s="8">
        <v>84</v>
      </c>
      <c r="I854" s="9">
        <v>942.53</v>
      </c>
      <c r="J854" s="9">
        <v>942.53</v>
      </c>
      <c r="K854" s="5" t="str">
        <f>VLOOKUP(D854,[1]Clientes!$A$1:$B$1370,2,0)</f>
        <v>NAC0900</v>
      </c>
      <c r="L854" s="5" t="str">
        <f t="shared" si="26"/>
        <v>HGI0124176</v>
      </c>
      <c r="M854" s="5" t="str">
        <f t="shared" si="27"/>
        <v>I</v>
      </c>
      <c r="N854" s="5">
        <f>IF(G854=[1]Clientes!$C$3,[1]Clientes!$D$3,[1]Clientes!$D$2)</f>
        <v>13050505</v>
      </c>
    </row>
    <row r="855" spans="1:14">
      <c r="A855" s="6" t="s">
        <v>3099</v>
      </c>
      <c r="B855" s="7">
        <v>45380</v>
      </c>
      <c r="C855" s="6" t="s">
        <v>3977</v>
      </c>
      <c r="D855" s="6" t="s">
        <v>1068</v>
      </c>
      <c r="E855" s="6" t="s">
        <v>213</v>
      </c>
      <c r="F855" s="7">
        <v>45380</v>
      </c>
      <c r="G855" s="6" t="s">
        <v>3102</v>
      </c>
      <c r="H855" s="8">
        <v>155</v>
      </c>
      <c r="I855" s="9">
        <v>-8.93</v>
      </c>
      <c r="J855" s="9">
        <v>-8.93</v>
      </c>
      <c r="K855" s="5" t="str">
        <f>VLOOKUP(D855,[1]Clientes!$A$1:$B$1370,2,0)</f>
        <v>NAC0906</v>
      </c>
      <c r="L855" s="5" t="str">
        <f t="shared" si="26"/>
        <v>CRM0121991</v>
      </c>
      <c r="M855" s="5" t="str">
        <f t="shared" si="27"/>
        <v>C</v>
      </c>
      <c r="N855" s="5">
        <f>IF(G855=[1]Clientes!$C$3,[1]Clientes!$D$3,[1]Clientes!$D$2)</f>
        <v>13050505</v>
      </c>
    </row>
    <row r="856" spans="1:14">
      <c r="A856" s="6" t="s">
        <v>7</v>
      </c>
      <c r="B856" s="7">
        <v>45428</v>
      </c>
      <c r="C856" s="6" t="s">
        <v>3978</v>
      </c>
      <c r="D856" s="6" t="s">
        <v>3979</v>
      </c>
      <c r="E856" s="6" t="s">
        <v>213</v>
      </c>
      <c r="F856" s="7">
        <v>45428</v>
      </c>
      <c r="G856" s="6" t="s">
        <v>3102</v>
      </c>
      <c r="H856" s="8">
        <v>107</v>
      </c>
      <c r="I856" s="9">
        <v>508.5</v>
      </c>
      <c r="J856" s="9">
        <v>508.5</v>
      </c>
      <c r="K856" s="5" t="str">
        <f>VLOOKUP(D856,[1]Clientes!$A$1:$B$1370,2,0)</f>
        <v>CAN0023</v>
      </c>
      <c r="L856" s="5" t="str">
        <f t="shared" si="26"/>
        <v>HGI0124472</v>
      </c>
      <c r="M856" s="5" t="str">
        <f t="shared" si="27"/>
        <v>I</v>
      </c>
      <c r="N856" s="5">
        <f>IF(G856=[1]Clientes!$C$3,[1]Clientes!$D$3,[1]Clientes!$D$2)</f>
        <v>13050505</v>
      </c>
    </row>
    <row r="857" spans="1:14">
      <c r="A857" s="6" t="s">
        <v>3139</v>
      </c>
      <c r="B857" s="7">
        <v>45434</v>
      </c>
      <c r="C857" s="6"/>
      <c r="D857" s="6" t="s">
        <v>3980</v>
      </c>
      <c r="E857" s="6"/>
      <c r="F857" s="7"/>
      <c r="G857" s="6" t="s">
        <v>3102</v>
      </c>
      <c r="H857" s="8"/>
      <c r="I857" s="9">
        <v>-508.5</v>
      </c>
      <c r="J857" s="9">
        <v>-508.5</v>
      </c>
      <c r="K857" s="5" t="str">
        <f>VLOOKUP(D857,[1]Clientes!$A$1:$B$1370,2,0)</f>
        <v>CAN0092</v>
      </c>
      <c r="L857" s="5" t="str">
        <f t="shared" si="26"/>
        <v>Revisar</v>
      </c>
      <c r="M857" s="5" t="str">
        <f t="shared" si="27"/>
        <v>P</v>
      </c>
      <c r="N857" s="5">
        <f>IF(G857=[1]Clientes!$C$3,[1]Clientes!$D$3,[1]Clientes!$D$2)</f>
        <v>13050505</v>
      </c>
    </row>
    <row r="858" spans="1:14">
      <c r="A858" s="6" t="s">
        <v>7</v>
      </c>
      <c r="B858" s="7">
        <v>45371</v>
      </c>
      <c r="C858" s="6" t="s">
        <v>3981</v>
      </c>
      <c r="D858" s="6" t="s">
        <v>1074</v>
      </c>
      <c r="E858" s="6" t="s">
        <v>3275</v>
      </c>
      <c r="F858" s="7">
        <v>45401</v>
      </c>
      <c r="G858" s="6" t="s">
        <v>3102</v>
      </c>
      <c r="H858" s="8">
        <v>134</v>
      </c>
      <c r="I858" s="9">
        <v>354.79</v>
      </c>
      <c r="J858" s="9">
        <v>21033.35</v>
      </c>
      <c r="K858" s="5" t="str">
        <f>VLOOKUP(D858,[1]Clientes!$A$1:$B$1370,2,0)</f>
        <v>NAC0914</v>
      </c>
      <c r="L858" s="5" t="str">
        <f t="shared" si="26"/>
        <v>HGI0122098</v>
      </c>
      <c r="M858" s="5" t="str">
        <f t="shared" si="27"/>
        <v>I</v>
      </c>
      <c r="N858" s="5">
        <f>IF(G858=[1]Clientes!$C$3,[1]Clientes!$D$3,[1]Clientes!$D$2)</f>
        <v>13050505</v>
      </c>
    </row>
    <row r="859" spans="1:14">
      <c r="A859" s="6" t="s">
        <v>7</v>
      </c>
      <c r="B859" s="7">
        <v>45230</v>
      </c>
      <c r="C859" s="6" t="s">
        <v>3982</v>
      </c>
      <c r="D859" s="6" t="s">
        <v>140</v>
      </c>
      <c r="E859" s="6" t="s">
        <v>16</v>
      </c>
      <c r="F859" s="7">
        <v>45260</v>
      </c>
      <c r="G859" s="6" t="s">
        <v>3102</v>
      </c>
      <c r="H859" s="8">
        <v>275</v>
      </c>
      <c r="I859" s="9">
        <v>161.44999999999999</v>
      </c>
      <c r="J859" s="9">
        <v>2467.65</v>
      </c>
      <c r="K859" s="5" t="str">
        <f>VLOOKUP(D859,[1]Clientes!$A$1:$B$1370,2,0)</f>
        <v>CAN0025</v>
      </c>
      <c r="L859" s="5" t="str">
        <f t="shared" si="26"/>
        <v>HGI0116534</v>
      </c>
      <c r="M859" s="5" t="str">
        <f t="shared" si="27"/>
        <v>I</v>
      </c>
      <c r="N859" s="5">
        <f>IF(G859=[1]Clientes!$C$3,[1]Clientes!$D$3,[1]Clientes!$D$2)</f>
        <v>13050505</v>
      </c>
    </row>
    <row r="860" spans="1:14">
      <c r="A860" s="6" t="s">
        <v>7</v>
      </c>
      <c r="B860" s="7">
        <v>45345</v>
      </c>
      <c r="C860" s="6" t="s">
        <v>3983</v>
      </c>
      <c r="D860" s="6" t="s">
        <v>140</v>
      </c>
      <c r="E860" s="6" t="s">
        <v>16</v>
      </c>
      <c r="F860" s="7">
        <v>45375</v>
      </c>
      <c r="G860" s="6" t="s">
        <v>3102</v>
      </c>
      <c r="H860" s="8">
        <v>160</v>
      </c>
      <c r="I860" s="9">
        <v>38.5</v>
      </c>
      <c r="J860" s="9">
        <v>882.75</v>
      </c>
      <c r="K860" s="5" t="str">
        <f>VLOOKUP(D860,[1]Clientes!$A$1:$B$1370,2,0)</f>
        <v>CAN0025</v>
      </c>
      <c r="L860" s="5" t="str">
        <f t="shared" si="26"/>
        <v>HGI0121201</v>
      </c>
      <c r="M860" s="5" t="str">
        <f t="shared" si="27"/>
        <v>I</v>
      </c>
      <c r="N860" s="5">
        <f>IF(G860=[1]Clientes!$C$3,[1]Clientes!$D$3,[1]Clientes!$D$2)</f>
        <v>13050505</v>
      </c>
    </row>
    <row r="861" spans="1:14">
      <c r="A861" s="6" t="s">
        <v>7</v>
      </c>
      <c r="B861" s="7">
        <v>45355</v>
      </c>
      <c r="C861" s="6" t="s">
        <v>3984</v>
      </c>
      <c r="D861" s="6" t="s">
        <v>140</v>
      </c>
      <c r="E861" s="6" t="s">
        <v>16</v>
      </c>
      <c r="F861" s="7">
        <v>45385</v>
      </c>
      <c r="G861" s="6" t="s">
        <v>3102</v>
      </c>
      <c r="H861" s="8">
        <v>150</v>
      </c>
      <c r="I861" s="9">
        <v>2366.91</v>
      </c>
      <c r="J861" s="9">
        <v>20573.91</v>
      </c>
      <c r="K861" s="5" t="str">
        <f>VLOOKUP(D861,[1]Clientes!$A$1:$B$1370,2,0)</f>
        <v>CAN0025</v>
      </c>
      <c r="L861" s="5" t="str">
        <f t="shared" si="26"/>
        <v>HGI0121489</v>
      </c>
      <c r="M861" s="5" t="str">
        <f t="shared" si="27"/>
        <v>I</v>
      </c>
      <c r="N861" s="5">
        <f>IF(G861=[1]Clientes!$C$3,[1]Clientes!$D$3,[1]Clientes!$D$2)</f>
        <v>13050505</v>
      </c>
    </row>
    <row r="862" spans="1:14">
      <c r="A862" s="6" t="s">
        <v>7</v>
      </c>
      <c r="B862" s="7">
        <v>45362</v>
      </c>
      <c r="C862" s="6" t="s">
        <v>3985</v>
      </c>
      <c r="D862" s="6" t="s">
        <v>140</v>
      </c>
      <c r="E862" s="6" t="s">
        <v>16</v>
      </c>
      <c r="F862" s="7">
        <v>45392</v>
      </c>
      <c r="G862" s="6" t="s">
        <v>3102</v>
      </c>
      <c r="H862" s="8">
        <v>143</v>
      </c>
      <c r="I862" s="9">
        <v>1352</v>
      </c>
      <c r="J862" s="9">
        <v>11752</v>
      </c>
      <c r="K862" s="5" t="str">
        <f>VLOOKUP(D862,[1]Clientes!$A$1:$B$1370,2,0)</f>
        <v>CAN0025</v>
      </c>
      <c r="L862" s="5" t="str">
        <f t="shared" si="26"/>
        <v>HGI0121743</v>
      </c>
      <c r="M862" s="5" t="str">
        <f t="shared" si="27"/>
        <v>I</v>
      </c>
      <c r="N862" s="5">
        <f>IF(G862=[1]Clientes!$C$3,[1]Clientes!$D$3,[1]Clientes!$D$2)</f>
        <v>13050505</v>
      </c>
    </row>
    <row r="863" spans="1:14">
      <c r="A863" s="6" t="s">
        <v>7</v>
      </c>
      <c r="B863" s="7">
        <v>45362</v>
      </c>
      <c r="C863" s="6" t="s">
        <v>3986</v>
      </c>
      <c r="D863" s="6" t="s">
        <v>1079</v>
      </c>
      <c r="E863" s="6" t="s">
        <v>16</v>
      </c>
      <c r="F863" s="7">
        <v>45392</v>
      </c>
      <c r="G863" s="6" t="s">
        <v>3102</v>
      </c>
      <c r="H863" s="8">
        <v>143</v>
      </c>
      <c r="I863" s="9">
        <v>276.62</v>
      </c>
      <c r="J863" s="9">
        <v>77679</v>
      </c>
      <c r="K863" s="5" t="str">
        <f>VLOOKUP(D863,[1]Clientes!$A$1:$B$1370,2,0)</f>
        <v>NAC0924</v>
      </c>
      <c r="L863" s="5" t="str">
        <f t="shared" si="26"/>
        <v>HGI0121851</v>
      </c>
      <c r="M863" s="5" t="str">
        <f t="shared" si="27"/>
        <v>I</v>
      </c>
      <c r="N863" s="5">
        <f>IF(G863=[1]Clientes!$C$3,[1]Clientes!$D$3,[1]Clientes!$D$2)</f>
        <v>13050505</v>
      </c>
    </row>
    <row r="864" spans="1:14">
      <c r="A864" s="6" t="s">
        <v>7</v>
      </c>
      <c r="B864" s="7">
        <v>45378</v>
      </c>
      <c r="C864" s="6" t="s">
        <v>3987</v>
      </c>
      <c r="D864" s="6" t="s">
        <v>1079</v>
      </c>
      <c r="E864" s="6" t="s">
        <v>16</v>
      </c>
      <c r="F864" s="7">
        <v>45408</v>
      </c>
      <c r="G864" s="6" t="s">
        <v>3102</v>
      </c>
      <c r="H864" s="8">
        <v>127</v>
      </c>
      <c r="I864" s="9">
        <v>32.159999999999997</v>
      </c>
      <c r="J864" s="9">
        <v>31000</v>
      </c>
      <c r="K864" s="5" t="str">
        <f>VLOOKUP(D864,[1]Clientes!$A$1:$B$1370,2,0)</f>
        <v>NAC0924</v>
      </c>
      <c r="L864" s="5" t="str">
        <f t="shared" si="26"/>
        <v>HGI0122354</v>
      </c>
      <c r="M864" s="5" t="str">
        <f t="shared" si="27"/>
        <v>I</v>
      </c>
      <c r="N864" s="5">
        <f>IF(G864=[1]Clientes!$C$3,[1]Clientes!$D$3,[1]Clientes!$D$2)</f>
        <v>13050505</v>
      </c>
    </row>
    <row r="865" spans="1:14">
      <c r="A865" s="6" t="s">
        <v>7</v>
      </c>
      <c r="B865" s="7">
        <v>45378</v>
      </c>
      <c r="C865" s="6" t="s">
        <v>3988</v>
      </c>
      <c r="D865" s="6" t="s">
        <v>1079</v>
      </c>
      <c r="E865" s="6" t="s">
        <v>16</v>
      </c>
      <c r="F865" s="7">
        <v>45408</v>
      </c>
      <c r="G865" s="6" t="s">
        <v>3102</v>
      </c>
      <c r="H865" s="8">
        <v>127</v>
      </c>
      <c r="I865" s="9">
        <v>27.5</v>
      </c>
      <c r="J865" s="9">
        <v>1045</v>
      </c>
      <c r="K865" s="5" t="str">
        <f>VLOOKUP(D865,[1]Clientes!$A$1:$B$1370,2,0)</f>
        <v>NAC0924</v>
      </c>
      <c r="L865" s="5" t="str">
        <f t="shared" si="26"/>
        <v>HGI0122356</v>
      </c>
      <c r="M865" s="5" t="str">
        <f t="shared" si="27"/>
        <v>I</v>
      </c>
      <c r="N865" s="5">
        <f>IF(G865=[1]Clientes!$C$3,[1]Clientes!$D$3,[1]Clientes!$D$2)</f>
        <v>13050505</v>
      </c>
    </row>
    <row r="866" spans="1:14">
      <c r="A866" s="6" t="s">
        <v>7</v>
      </c>
      <c r="B866" s="7">
        <v>45502</v>
      </c>
      <c r="C866" s="6" t="s">
        <v>3989</v>
      </c>
      <c r="D866" s="6" t="s">
        <v>1079</v>
      </c>
      <c r="E866" s="6" t="s">
        <v>16</v>
      </c>
      <c r="F866" s="7">
        <v>45532</v>
      </c>
      <c r="G866" s="6" t="s">
        <v>3102</v>
      </c>
      <c r="H866" s="8">
        <v>3</v>
      </c>
      <c r="I866" s="9">
        <v>13284</v>
      </c>
      <c r="J866" s="9">
        <v>13284</v>
      </c>
      <c r="K866" s="5" t="str">
        <f>VLOOKUP(D866,[1]Clientes!$A$1:$B$1370,2,0)</f>
        <v>NAC0924</v>
      </c>
      <c r="L866" s="5" t="str">
        <f t="shared" si="26"/>
        <v>HGI0126034</v>
      </c>
      <c r="M866" s="5" t="str">
        <f t="shared" si="27"/>
        <v>I</v>
      </c>
      <c r="N866" s="5">
        <f>IF(G866=[1]Clientes!$C$3,[1]Clientes!$D$3,[1]Clientes!$D$2)</f>
        <v>13050505</v>
      </c>
    </row>
    <row r="867" spans="1:14">
      <c r="A867" s="6" t="s">
        <v>7</v>
      </c>
      <c r="B867" s="7">
        <v>45506</v>
      </c>
      <c r="C867" s="6" t="s">
        <v>3990</v>
      </c>
      <c r="D867" s="6" t="s">
        <v>1079</v>
      </c>
      <c r="E867" s="6" t="s">
        <v>16</v>
      </c>
      <c r="F867" s="7">
        <v>45536</v>
      </c>
      <c r="G867" s="6" t="s">
        <v>3102</v>
      </c>
      <c r="H867" s="8"/>
      <c r="I867" s="9">
        <v>36270</v>
      </c>
      <c r="J867" s="9">
        <v>36270</v>
      </c>
      <c r="K867" s="5" t="str">
        <f>VLOOKUP(D867,[1]Clientes!$A$1:$B$1370,2,0)</f>
        <v>NAC0924</v>
      </c>
      <c r="L867" s="5" t="str">
        <f t="shared" si="26"/>
        <v>HGI0126370</v>
      </c>
      <c r="M867" s="5" t="str">
        <f t="shared" si="27"/>
        <v>I</v>
      </c>
      <c r="N867" s="5">
        <f>IF(G867=[1]Clientes!$C$3,[1]Clientes!$D$3,[1]Clientes!$D$2)</f>
        <v>13050505</v>
      </c>
    </row>
    <row r="868" spans="1:14">
      <c r="A868" s="6" t="s">
        <v>7</v>
      </c>
      <c r="B868" s="7">
        <v>45506</v>
      </c>
      <c r="C868" s="6" t="s">
        <v>3991</v>
      </c>
      <c r="D868" s="6" t="s">
        <v>1079</v>
      </c>
      <c r="E868" s="6" t="s">
        <v>16</v>
      </c>
      <c r="F868" s="7">
        <v>45536</v>
      </c>
      <c r="G868" s="6" t="s">
        <v>3102</v>
      </c>
      <c r="H868" s="8"/>
      <c r="I868" s="9">
        <v>13440.84</v>
      </c>
      <c r="J868" s="9">
        <v>13440.84</v>
      </c>
      <c r="K868" s="5" t="str">
        <f>VLOOKUP(D868,[1]Clientes!$A$1:$B$1370,2,0)</f>
        <v>NAC0924</v>
      </c>
      <c r="L868" s="5" t="str">
        <f t="shared" si="26"/>
        <v>HGI0126371</v>
      </c>
      <c r="M868" s="5" t="str">
        <f t="shared" si="27"/>
        <v>I</v>
      </c>
      <c r="N868" s="5">
        <f>IF(G868=[1]Clientes!$C$3,[1]Clientes!$D$3,[1]Clientes!$D$2)</f>
        <v>13050505</v>
      </c>
    </row>
    <row r="869" spans="1:14">
      <c r="A869" s="6" t="s">
        <v>7</v>
      </c>
      <c r="B869" s="7">
        <v>45530</v>
      </c>
      <c r="C869" s="6" t="s">
        <v>3992</v>
      </c>
      <c r="D869" s="6" t="s">
        <v>1079</v>
      </c>
      <c r="E869" s="6" t="s">
        <v>16</v>
      </c>
      <c r="F869" s="7">
        <v>45560</v>
      </c>
      <c r="G869" s="6" t="s">
        <v>3102</v>
      </c>
      <c r="H869" s="8"/>
      <c r="I869" s="9">
        <v>13438.04</v>
      </c>
      <c r="J869" s="9">
        <v>13438.04</v>
      </c>
      <c r="K869" s="5" t="str">
        <f>VLOOKUP(D869,[1]Clientes!$A$1:$B$1370,2,0)</f>
        <v>NAC0924</v>
      </c>
      <c r="L869" s="5" t="str">
        <f t="shared" si="26"/>
        <v>HGI0126849</v>
      </c>
      <c r="M869" s="5" t="str">
        <f t="shared" si="27"/>
        <v>I</v>
      </c>
      <c r="N869" s="5">
        <f>IF(G869=[1]Clientes!$C$3,[1]Clientes!$D$3,[1]Clientes!$D$2)</f>
        <v>13050505</v>
      </c>
    </row>
    <row r="870" spans="1:14">
      <c r="A870" s="6" t="s">
        <v>7</v>
      </c>
      <c r="B870" s="7">
        <v>45530</v>
      </c>
      <c r="C870" s="6" t="s">
        <v>3993</v>
      </c>
      <c r="D870" s="6" t="s">
        <v>1079</v>
      </c>
      <c r="E870" s="6" t="s">
        <v>16</v>
      </c>
      <c r="F870" s="7">
        <v>45560</v>
      </c>
      <c r="G870" s="6" t="s">
        <v>3102</v>
      </c>
      <c r="H870" s="8"/>
      <c r="I870" s="9">
        <v>32580</v>
      </c>
      <c r="J870" s="9">
        <v>32580</v>
      </c>
      <c r="K870" s="5" t="str">
        <f>VLOOKUP(D870,[1]Clientes!$A$1:$B$1370,2,0)</f>
        <v>NAC0924</v>
      </c>
      <c r="L870" s="5" t="str">
        <f t="shared" si="26"/>
        <v>HGI0126850</v>
      </c>
      <c r="M870" s="5" t="str">
        <f t="shared" si="27"/>
        <v>I</v>
      </c>
      <c r="N870" s="5">
        <f>IF(G870=[1]Clientes!$C$3,[1]Clientes!$D$3,[1]Clientes!$D$2)</f>
        <v>13050505</v>
      </c>
    </row>
    <row r="871" spans="1:14">
      <c r="A871" s="6" t="s">
        <v>7</v>
      </c>
      <c r="B871" s="7">
        <v>45531</v>
      </c>
      <c r="C871" s="6" t="s">
        <v>3994</v>
      </c>
      <c r="D871" s="6" t="s">
        <v>3995</v>
      </c>
      <c r="E871" s="6" t="s">
        <v>213</v>
      </c>
      <c r="F871" s="7">
        <v>45531</v>
      </c>
      <c r="G871" s="6" t="s">
        <v>3102</v>
      </c>
      <c r="H871" s="8">
        <v>4</v>
      </c>
      <c r="I871" s="9">
        <v>12.84</v>
      </c>
      <c r="J871" s="9">
        <v>12.84</v>
      </c>
      <c r="K871" s="5" t="str">
        <f>VLOOKUP(D871,[1]Clientes!$A$1:$B$1370,2,0)</f>
        <v>SH02825</v>
      </c>
      <c r="L871" s="5" t="str">
        <f t="shared" si="26"/>
        <v>HGI0126957</v>
      </c>
      <c r="M871" s="5" t="str">
        <f t="shared" si="27"/>
        <v>I</v>
      </c>
      <c r="N871" s="5">
        <f>IF(G871=[1]Clientes!$C$3,[1]Clientes!$D$3,[1]Clientes!$D$2)</f>
        <v>13050505</v>
      </c>
    </row>
    <row r="872" spans="1:14">
      <c r="A872" s="6" t="s">
        <v>7</v>
      </c>
      <c r="B872" s="7">
        <v>45502</v>
      </c>
      <c r="C872" s="6" t="s">
        <v>3996</v>
      </c>
      <c r="D872" s="6" t="s">
        <v>1094</v>
      </c>
      <c r="E872" s="6" t="s">
        <v>16</v>
      </c>
      <c r="F872" s="7">
        <v>45532</v>
      </c>
      <c r="G872" s="6" t="s">
        <v>3102</v>
      </c>
      <c r="H872" s="8">
        <v>3</v>
      </c>
      <c r="I872" s="9">
        <v>1712.5</v>
      </c>
      <c r="J872" s="9">
        <v>1712.5</v>
      </c>
      <c r="K872" s="5" t="str">
        <f>VLOOKUP(D872,[1]Clientes!$A$1:$B$1370,2,0)</f>
        <v>NAC0929</v>
      </c>
      <c r="L872" s="5" t="str">
        <f t="shared" si="26"/>
        <v>HGI0125999</v>
      </c>
      <c r="M872" s="5" t="str">
        <f t="shared" si="27"/>
        <v>I</v>
      </c>
      <c r="N872" s="5">
        <f>IF(G872=[1]Clientes!$C$3,[1]Clientes!$D$3,[1]Clientes!$D$2)</f>
        <v>13050505</v>
      </c>
    </row>
    <row r="873" spans="1:14">
      <c r="A873" s="6" t="s">
        <v>3099</v>
      </c>
      <c r="B873" s="7">
        <v>45517</v>
      </c>
      <c r="C873" s="6" t="s">
        <v>3997</v>
      </c>
      <c r="D873" s="6" t="s">
        <v>1094</v>
      </c>
      <c r="E873" s="6" t="s">
        <v>16</v>
      </c>
      <c r="F873" s="7">
        <v>45547</v>
      </c>
      <c r="G873" s="6" t="s">
        <v>3102</v>
      </c>
      <c r="H873" s="8"/>
      <c r="I873" s="9">
        <v>-337.5</v>
      </c>
      <c r="J873" s="9">
        <v>-337.5</v>
      </c>
      <c r="K873" s="5" t="str">
        <f>VLOOKUP(D873,[1]Clientes!$A$1:$B$1370,2,0)</f>
        <v>NAC0929</v>
      </c>
      <c r="L873" s="5" t="str">
        <f t="shared" si="26"/>
        <v>CRM0126404</v>
      </c>
      <c r="M873" s="5" t="str">
        <f t="shared" si="27"/>
        <v>C</v>
      </c>
      <c r="N873" s="5">
        <f>IF(G873=[1]Clientes!$C$3,[1]Clientes!$D$3,[1]Clientes!$D$2)</f>
        <v>13050505</v>
      </c>
    </row>
    <row r="874" spans="1:14">
      <c r="A874" s="6" t="s">
        <v>7</v>
      </c>
      <c r="B874" s="7">
        <v>45525</v>
      </c>
      <c r="C874" s="6" t="s">
        <v>3998</v>
      </c>
      <c r="D874" s="6" t="s">
        <v>1094</v>
      </c>
      <c r="E874" s="6" t="s">
        <v>16</v>
      </c>
      <c r="F874" s="7">
        <v>45555</v>
      </c>
      <c r="G874" s="6" t="s">
        <v>3102</v>
      </c>
      <c r="H874" s="8"/>
      <c r="I874" s="9">
        <v>34445</v>
      </c>
      <c r="J874" s="9">
        <v>34445</v>
      </c>
      <c r="K874" s="5" t="str">
        <f>VLOOKUP(D874,[1]Clientes!$A$1:$B$1370,2,0)</f>
        <v>NAC0929</v>
      </c>
      <c r="L874" s="5" t="str">
        <f t="shared" si="26"/>
        <v>HGI0126797</v>
      </c>
      <c r="M874" s="5" t="str">
        <f t="shared" si="27"/>
        <v>I</v>
      </c>
      <c r="N874" s="5">
        <f>IF(G874=[1]Clientes!$C$3,[1]Clientes!$D$3,[1]Clientes!$D$2)</f>
        <v>13050505</v>
      </c>
    </row>
    <row r="875" spans="1:14">
      <c r="A875" s="6" t="s">
        <v>7</v>
      </c>
      <c r="B875" s="7">
        <v>45525</v>
      </c>
      <c r="C875" s="6" t="s">
        <v>3999</v>
      </c>
      <c r="D875" s="6" t="s">
        <v>1094</v>
      </c>
      <c r="E875" s="6" t="s">
        <v>16</v>
      </c>
      <c r="F875" s="7">
        <v>45555</v>
      </c>
      <c r="G875" s="6" t="s">
        <v>3102</v>
      </c>
      <c r="H875" s="8"/>
      <c r="I875" s="9">
        <v>2030</v>
      </c>
      <c r="J875" s="9">
        <v>2030</v>
      </c>
      <c r="K875" s="5" t="str">
        <f>VLOOKUP(D875,[1]Clientes!$A$1:$B$1370,2,0)</f>
        <v>NAC0929</v>
      </c>
      <c r="L875" s="5" t="str">
        <f t="shared" si="26"/>
        <v>HGI0126798</v>
      </c>
      <c r="M875" s="5" t="str">
        <f t="shared" si="27"/>
        <v>I</v>
      </c>
      <c r="N875" s="5">
        <f>IF(G875=[1]Clientes!$C$3,[1]Clientes!$D$3,[1]Clientes!$D$2)</f>
        <v>13050505</v>
      </c>
    </row>
    <row r="876" spans="1:14">
      <c r="A876" s="6" t="s">
        <v>7</v>
      </c>
      <c r="B876" s="7">
        <v>45531</v>
      </c>
      <c r="C876" s="6" t="s">
        <v>4000</v>
      </c>
      <c r="D876" s="6" t="s">
        <v>1094</v>
      </c>
      <c r="E876" s="6" t="s">
        <v>16</v>
      </c>
      <c r="F876" s="7">
        <v>45561</v>
      </c>
      <c r="G876" s="6" t="s">
        <v>3102</v>
      </c>
      <c r="H876" s="8"/>
      <c r="I876" s="9">
        <v>180</v>
      </c>
      <c r="J876" s="9">
        <v>180</v>
      </c>
      <c r="K876" s="5" t="str">
        <f>VLOOKUP(D876,[1]Clientes!$A$1:$B$1370,2,0)</f>
        <v>NAC0929</v>
      </c>
      <c r="L876" s="5" t="str">
        <f t="shared" si="26"/>
        <v>HGI0126898</v>
      </c>
      <c r="M876" s="5" t="str">
        <f t="shared" si="27"/>
        <v>I</v>
      </c>
      <c r="N876" s="5">
        <f>IF(G876=[1]Clientes!$C$3,[1]Clientes!$D$3,[1]Clientes!$D$2)</f>
        <v>13050505</v>
      </c>
    </row>
    <row r="877" spans="1:14">
      <c r="A877" s="6" t="s">
        <v>7</v>
      </c>
      <c r="B877" s="7">
        <v>45531</v>
      </c>
      <c r="C877" s="6" t="s">
        <v>4001</v>
      </c>
      <c r="D877" s="6" t="s">
        <v>1094</v>
      </c>
      <c r="E877" s="6" t="s">
        <v>16</v>
      </c>
      <c r="F877" s="7">
        <v>45561</v>
      </c>
      <c r="G877" s="6" t="s">
        <v>3102</v>
      </c>
      <c r="H877" s="8"/>
      <c r="I877" s="9">
        <v>980</v>
      </c>
      <c r="J877" s="9">
        <v>980</v>
      </c>
      <c r="K877" s="5" t="str">
        <f>VLOOKUP(D877,[1]Clientes!$A$1:$B$1370,2,0)</f>
        <v>NAC0929</v>
      </c>
      <c r="L877" s="5" t="str">
        <f t="shared" si="26"/>
        <v>HGI0126899</v>
      </c>
      <c r="M877" s="5" t="str">
        <f t="shared" si="27"/>
        <v>I</v>
      </c>
      <c r="N877" s="5">
        <f>IF(G877=[1]Clientes!$C$3,[1]Clientes!$D$3,[1]Clientes!$D$2)</f>
        <v>13050505</v>
      </c>
    </row>
    <row r="878" spans="1:14">
      <c r="A878" s="6" t="s">
        <v>7</v>
      </c>
      <c r="B878" s="7">
        <v>45370</v>
      </c>
      <c r="C878" s="6" t="s">
        <v>4002</v>
      </c>
      <c r="D878" s="6" t="s">
        <v>155</v>
      </c>
      <c r="E878" s="6" t="s">
        <v>16</v>
      </c>
      <c r="F878" s="7">
        <v>45400</v>
      </c>
      <c r="G878" s="6" t="s">
        <v>3102</v>
      </c>
      <c r="H878" s="8">
        <v>135</v>
      </c>
      <c r="I878" s="9">
        <v>8855.2800000000007</v>
      </c>
      <c r="J878" s="9">
        <v>26298.21</v>
      </c>
      <c r="K878" s="5" t="str">
        <f>VLOOKUP(D878,[1]Clientes!$A$1:$B$1370,2,0)</f>
        <v>CAN0030</v>
      </c>
      <c r="L878" s="5" t="str">
        <f t="shared" si="26"/>
        <v>HGI0122087</v>
      </c>
      <c r="M878" s="5" t="str">
        <f t="shared" si="27"/>
        <v>I</v>
      </c>
      <c r="N878" s="5">
        <f>IF(G878=[1]Clientes!$C$3,[1]Clientes!$D$3,[1]Clientes!$D$2)</f>
        <v>13050505</v>
      </c>
    </row>
    <row r="879" spans="1:14">
      <c r="A879" s="6" t="s">
        <v>7</v>
      </c>
      <c r="B879" s="7">
        <v>45446</v>
      </c>
      <c r="C879" s="6" t="s">
        <v>4003</v>
      </c>
      <c r="D879" s="6" t="s">
        <v>155</v>
      </c>
      <c r="E879" s="6" t="s">
        <v>16</v>
      </c>
      <c r="F879" s="7">
        <v>45476</v>
      </c>
      <c r="G879" s="6" t="s">
        <v>3102</v>
      </c>
      <c r="H879" s="8">
        <v>59</v>
      </c>
      <c r="I879" s="9">
        <v>885.5</v>
      </c>
      <c r="J879" s="9">
        <v>885.5</v>
      </c>
      <c r="K879" s="5" t="str">
        <f>VLOOKUP(D879,[1]Clientes!$A$1:$B$1370,2,0)</f>
        <v>CAN0030</v>
      </c>
      <c r="L879" s="5" t="str">
        <f t="shared" si="26"/>
        <v>HGI0124780</v>
      </c>
      <c r="M879" s="5" t="str">
        <f t="shared" si="27"/>
        <v>I</v>
      </c>
      <c r="N879" s="5">
        <f>IF(G879=[1]Clientes!$C$3,[1]Clientes!$D$3,[1]Clientes!$D$2)</f>
        <v>13050505</v>
      </c>
    </row>
    <row r="880" spans="1:14">
      <c r="A880" s="6" t="s">
        <v>7</v>
      </c>
      <c r="B880" s="7">
        <v>45513</v>
      </c>
      <c r="C880" s="6" t="s">
        <v>4004</v>
      </c>
      <c r="D880" s="6" t="s">
        <v>155</v>
      </c>
      <c r="E880" s="6" t="s">
        <v>16</v>
      </c>
      <c r="F880" s="7">
        <v>45543</v>
      </c>
      <c r="G880" s="6" t="s">
        <v>3102</v>
      </c>
      <c r="H880" s="8"/>
      <c r="I880" s="9">
        <v>2530.3000000000002</v>
      </c>
      <c r="J880" s="9">
        <v>2530.3000000000002</v>
      </c>
      <c r="K880" s="5" t="str">
        <f>VLOOKUP(D880,[1]Clientes!$A$1:$B$1370,2,0)</f>
        <v>CAN0030</v>
      </c>
      <c r="L880" s="5" t="str">
        <f t="shared" si="26"/>
        <v>HGI0126344</v>
      </c>
      <c r="M880" s="5" t="str">
        <f t="shared" si="27"/>
        <v>I</v>
      </c>
      <c r="N880" s="5">
        <f>IF(G880=[1]Clientes!$C$3,[1]Clientes!$D$3,[1]Clientes!$D$2)</f>
        <v>13050505</v>
      </c>
    </row>
    <row r="881" spans="1:14">
      <c r="A881" s="6" t="s">
        <v>7</v>
      </c>
      <c r="B881" s="7">
        <v>45516</v>
      </c>
      <c r="C881" s="6" t="s">
        <v>4005</v>
      </c>
      <c r="D881" s="6" t="s">
        <v>155</v>
      </c>
      <c r="E881" s="6" t="s">
        <v>16</v>
      </c>
      <c r="F881" s="7">
        <v>45546</v>
      </c>
      <c r="G881" s="6" t="s">
        <v>3102</v>
      </c>
      <c r="H881" s="8"/>
      <c r="I881" s="9">
        <v>20763.75</v>
      </c>
      <c r="J881" s="9">
        <v>20763.75</v>
      </c>
      <c r="K881" s="5" t="str">
        <f>VLOOKUP(D881,[1]Clientes!$A$1:$B$1370,2,0)</f>
        <v>CAN0030</v>
      </c>
      <c r="L881" s="5" t="str">
        <f t="shared" si="26"/>
        <v>HGI0126382</v>
      </c>
      <c r="M881" s="5" t="str">
        <f t="shared" si="27"/>
        <v>I</v>
      </c>
      <c r="N881" s="5">
        <f>IF(G881=[1]Clientes!$C$3,[1]Clientes!$D$3,[1]Clientes!$D$2)</f>
        <v>13050505</v>
      </c>
    </row>
    <row r="882" spans="1:14">
      <c r="A882" s="6" t="s">
        <v>3099</v>
      </c>
      <c r="B882" s="7">
        <v>45521</v>
      </c>
      <c r="C882" s="6" t="s">
        <v>4006</v>
      </c>
      <c r="D882" s="6" t="s">
        <v>155</v>
      </c>
      <c r="E882" s="6" t="s">
        <v>16</v>
      </c>
      <c r="F882" s="7">
        <v>45551</v>
      </c>
      <c r="G882" s="6" t="s">
        <v>3102</v>
      </c>
      <c r="H882" s="8"/>
      <c r="I882" s="9">
        <v>-219.31</v>
      </c>
      <c r="J882" s="9">
        <v>-1906.31</v>
      </c>
      <c r="K882" s="5" t="str">
        <f>VLOOKUP(D882,[1]Clientes!$A$1:$B$1370,2,0)</f>
        <v>CAN0030</v>
      </c>
      <c r="L882" s="5" t="str">
        <f t="shared" si="26"/>
        <v>CRM0126621</v>
      </c>
      <c r="M882" s="5" t="str">
        <f t="shared" si="27"/>
        <v>C</v>
      </c>
      <c r="N882" s="5">
        <f>IF(G882=[1]Clientes!$C$3,[1]Clientes!$D$3,[1]Clientes!$D$2)</f>
        <v>13050505</v>
      </c>
    </row>
    <row r="883" spans="1:14">
      <c r="A883" s="6" t="s">
        <v>7</v>
      </c>
      <c r="B883" s="7">
        <v>45518</v>
      </c>
      <c r="C883" s="6" t="s">
        <v>4007</v>
      </c>
      <c r="D883" s="6" t="s">
        <v>4008</v>
      </c>
      <c r="E883" s="6" t="s">
        <v>3275</v>
      </c>
      <c r="F883" s="7">
        <v>45548</v>
      </c>
      <c r="G883" s="6" t="s">
        <v>3102</v>
      </c>
      <c r="H883" s="8"/>
      <c r="I883" s="9">
        <v>137.08000000000001</v>
      </c>
      <c r="J883" s="9">
        <v>137.08000000000001</v>
      </c>
      <c r="K883" s="5" t="str">
        <f>VLOOKUP(D883,[1]Clientes!$A$1:$B$1485,2,0)</f>
        <v>NAC0947</v>
      </c>
      <c r="L883" s="5" t="str">
        <f t="shared" si="26"/>
        <v>HGI0126481</v>
      </c>
      <c r="M883" s="5" t="str">
        <f t="shared" si="27"/>
        <v>I</v>
      </c>
      <c r="N883" s="5">
        <f>IF(G883=[1]Clientes!$C$3,[1]Clientes!$D$3,[1]Clientes!$D$2)</f>
        <v>13050505</v>
      </c>
    </row>
    <row r="884" spans="1:14">
      <c r="A884" s="6" t="s">
        <v>3099</v>
      </c>
      <c r="B884" s="7">
        <v>45519</v>
      </c>
      <c r="C884" s="6" t="s">
        <v>4009</v>
      </c>
      <c r="D884" s="6" t="s">
        <v>4010</v>
      </c>
      <c r="E884" s="6" t="s">
        <v>3275</v>
      </c>
      <c r="F884" s="7">
        <v>45549</v>
      </c>
      <c r="G884" s="6" t="s">
        <v>3102</v>
      </c>
      <c r="H884" s="8"/>
      <c r="I884" s="9">
        <v>-15.77</v>
      </c>
      <c r="J884" s="9">
        <v>-15.77</v>
      </c>
      <c r="K884" s="5" t="str">
        <f>VLOOKUP(D884,[1]Clientes!$A$1:$B$1485,2,0)</f>
        <v>NAC0945</v>
      </c>
      <c r="L884" s="5" t="str">
        <f t="shared" si="26"/>
        <v>CRM0126497</v>
      </c>
      <c r="M884" s="5" t="str">
        <f t="shared" si="27"/>
        <v>C</v>
      </c>
      <c r="N884" s="5">
        <f>IF(G884=[1]Clientes!$C$3,[1]Clientes!$D$3,[1]Clientes!$D$2)</f>
        <v>13050505</v>
      </c>
    </row>
    <row r="885" spans="1:14">
      <c r="A885" s="6" t="s">
        <v>3099</v>
      </c>
      <c r="B885" s="7">
        <v>45519</v>
      </c>
      <c r="C885" s="6" t="s">
        <v>4011</v>
      </c>
      <c r="D885" s="6" t="s">
        <v>4010</v>
      </c>
      <c r="E885" s="6" t="s">
        <v>3275</v>
      </c>
      <c r="F885" s="7">
        <v>45549</v>
      </c>
      <c r="G885" s="6" t="s">
        <v>3102</v>
      </c>
      <c r="H885" s="8"/>
      <c r="I885" s="9">
        <v>-3.65</v>
      </c>
      <c r="J885" s="9">
        <v>-3.65</v>
      </c>
      <c r="K885" s="5" t="str">
        <f>VLOOKUP(D885,[1]Clientes!$A$1:$B$1485,2,0)</f>
        <v>NAC0945</v>
      </c>
      <c r="L885" s="5" t="str">
        <f t="shared" si="26"/>
        <v>CRM0126498</v>
      </c>
      <c r="M885" s="5" t="str">
        <f t="shared" si="27"/>
        <v>C</v>
      </c>
      <c r="N885" s="5">
        <f>IF(G885=[1]Clientes!$C$3,[1]Clientes!$D$3,[1]Clientes!$D$2)</f>
        <v>13050505</v>
      </c>
    </row>
    <row r="886" spans="1:14">
      <c r="A886" s="6" t="s">
        <v>3099</v>
      </c>
      <c r="B886" s="7">
        <v>45519</v>
      </c>
      <c r="C886" s="6" t="s">
        <v>4012</v>
      </c>
      <c r="D886" s="6" t="s">
        <v>4010</v>
      </c>
      <c r="E886" s="6" t="s">
        <v>3275</v>
      </c>
      <c r="F886" s="7">
        <v>45549</v>
      </c>
      <c r="G886" s="6" t="s">
        <v>3102</v>
      </c>
      <c r="H886" s="8"/>
      <c r="I886" s="9">
        <v>-4.76</v>
      </c>
      <c r="J886" s="9">
        <v>-4.76</v>
      </c>
      <c r="K886" s="5" t="str">
        <f>VLOOKUP(D886,[1]Clientes!$A$1:$B$1485,2,0)</f>
        <v>NAC0945</v>
      </c>
      <c r="L886" s="5" t="str">
        <f t="shared" si="26"/>
        <v>CRM0126500</v>
      </c>
      <c r="M886" s="5" t="str">
        <f t="shared" si="27"/>
        <v>C</v>
      </c>
      <c r="N886" s="5">
        <f>IF(G886=[1]Clientes!$C$3,[1]Clientes!$D$3,[1]Clientes!$D$2)</f>
        <v>13050505</v>
      </c>
    </row>
    <row r="887" spans="1:14">
      <c r="A887" s="6" t="s">
        <v>3099</v>
      </c>
      <c r="B887" s="7">
        <v>45289</v>
      </c>
      <c r="C887" s="6" t="s">
        <v>4013</v>
      </c>
      <c r="D887" s="6" t="s">
        <v>1104</v>
      </c>
      <c r="E887" s="6" t="s">
        <v>213</v>
      </c>
      <c r="F887" s="7">
        <v>45289</v>
      </c>
      <c r="G887" s="6" t="s">
        <v>3102</v>
      </c>
      <c r="H887" s="8">
        <v>246</v>
      </c>
      <c r="I887" s="9">
        <v>-17.95</v>
      </c>
      <c r="J887" s="9">
        <v>-65.13</v>
      </c>
      <c r="K887" s="5" t="str">
        <f>VLOOKUP(D887,[1]Clientes!$A$1:$B$1370,2,0)</f>
        <v>NAC0953</v>
      </c>
      <c r="L887" s="5" t="str">
        <f t="shared" si="26"/>
        <v>CRM0118863</v>
      </c>
      <c r="M887" s="5" t="str">
        <f t="shared" si="27"/>
        <v>C</v>
      </c>
      <c r="N887" s="5">
        <f>IF(G887=[1]Clientes!$C$3,[1]Clientes!$D$3,[1]Clientes!$D$2)</f>
        <v>13050505</v>
      </c>
    </row>
    <row r="888" spans="1:14">
      <c r="A888" s="6" t="s">
        <v>3099</v>
      </c>
      <c r="B888" s="7">
        <v>45289</v>
      </c>
      <c r="C888" s="6" t="s">
        <v>4014</v>
      </c>
      <c r="D888" s="6" t="s">
        <v>1104</v>
      </c>
      <c r="E888" s="6" t="s">
        <v>213</v>
      </c>
      <c r="F888" s="7">
        <v>45289</v>
      </c>
      <c r="G888" s="6" t="s">
        <v>3102</v>
      </c>
      <c r="H888" s="8">
        <v>246</v>
      </c>
      <c r="I888" s="9">
        <v>-19.09</v>
      </c>
      <c r="J888" s="9">
        <v>-19.09</v>
      </c>
      <c r="K888" s="5" t="str">
        <f>VLOOKUP(D888,[1]Clientes!$A$1:$B$1370,2,0)</f>
        <v>NAC0953</v>
      </c>
      <c r="L888" s="5" t="str">
        <f t="shared" si="26"/>
        <v>CRM0118868</v>
      </c>
      <c r="M888" s="5" t="str">
        <f t="shared" si="27"/>
        <v>C</v>
      </c>
      <c r="N888" s="5">
        <f>IF(G888=[1]Clientes!$C$3,[1]Clientes!$D$3,[1]Clientes!$D$2)</f>
        <v>13050505</v>
      </c>
    </row>
    <row r="889" spans="1:14">
      <c r="A889" s="6" t="s">
        <v>3099</v>
      </c>
      <c r="B889" s="7">
        <v>45289</v>
      </c>
      <c r="C889" s="6" t="s">
        <v>4015</v>
      </c>
      <c r="D889" s="6" t="s">
        <v>1104</v>
      </c>
      <c r="E889" s="6" t="s">
        <v>213</v>
      </c>
      <c r="F889" s="7">
        <v>45289</v>
      </c>
      <c r="G889" s="6" t="s">
        <v>3102</v>
      </c>
      <c r="H889" s="8">
        <v>246</v>
      </c>
      <c r="I889" s="9">
        <v>-5.5</v>
      </c>
      <c r="J889" s="9">
        <v>-5.5</v>
      </c>
      <c r="K889" s="5" t="str">
        <f>VLOOKUP(D889,[1]Clientes!$A$1:$B$1370,2,0)</f>
        <v>NAC0953</v>
      </c>
      <c r="L889" s="5" t="str">
        <f t="shared" si="26"/>
        <v>CRM0118870</v>
      </c>
      <c r="M889" s="5" t="str">
        <f t="shared" si="27"/>
        <v>C</v>
      </c>
      <c r="N889" s="5">
        <f>IF(G889=[1]Clientes!$C$3,[1]Clientes!$D$3,[1]Clientes!$D$2)</f>
        <v>13050505</v>
      </c>
    </row>
    <row r="890" spans="1:14">
      <c r="A890" s="6" t="s">
        <v>3099</v>
      </c>
      <c r="B890" s="7">
        <v>45289</v>
      </c>
      <c r="C890" s="6" t="s">
        <v>4016</v>
      </c>
      <c r="D890" s="6" t="s">
        <v>1104</v>
      </c>
      <c r="E890" s="6" t="s">
        <v>16</v>
      </c>
      <c r="F890" s="7">
        <v>45319</v>
      </c>
      <c r="G890" s="6" t="s">
        <v>3102</v>
      </c>
      <c r="H890" s="8">
        <v>216</v>
      </c>
      <c r="I890" s="9">
        <v>-5.25</v>
      </c>
      <c r="J890" s="9">
        <v>-8.56</v>
      </c>
      <c r="K890" s="5" t="str">
        <f>VLOOKUP(D890,[1]Clientes!$A$1:$B$1370,2,0)</f>
        <v>NAC0953</v>
      </c>
      <c r="L890" s="5" t="str">
        <f t="shared" si="26"/>
        <v>CRM0118846</v>
      </c>
      <c r="M890" s="5" t="str">
        <f t="shared" si="27"/>
        <v>C</v>
      </c>
      <c r="N890" s="5">
        <f>IF(G890=[1]Clientes!$C$3,[1]Clientes!$D$3,[1]Clientes!$D$2)</f>
        <v>13050505</v>
      </c>
    </row>
    <row r="891" spans="1:14">
      <c r="A891" s="6" t="s">
        <v>3099</v>
      </c>
      <c r="B891" s="7">
        <v>45322</v>
      </c>
      <c r="C891" s="6" t="s">
        <v>4017</v>
      </c>
      <c r="D891" s="6" t="s">
        <v>1104</v>
      </c>
      <c r="E891" s="6" t="s">
        <v>213</v>
      </c>
      <c r="F891" s="7">
        <v>45322</v>
      </c>
      <c r="G891" s="6" t="s">
        <v>3102</v>
      </c>
      <c r="H891" s="8">
        <v>213</v>
      </c>
      <c r="I891" s="9">
        <v>-7.5</v>
      </c>
      <c r="J891" s="9">
        <v>-7.5</v>
      </c>
      <c r="K891" s="5" t="str">
        <f>VLOOKUP(D891,[1]Clientes!$A$1:$B$1370,2,0)</f>
        <v>NAC0953</v>
      </c>
      <c r="L891" s="5" t="str">
        <f t="shared" si="26"/>
        <v>CRM0120590</v>
      </c>
      <c r="M891" s="5" t="str">
        <f t="shared" si="27"/>
        <v>C</v>
      </c>
      <c r="N891" s="5">
        <f>IF(G891=[1]Clientes!$C$3,[1]Clientes!$D$3,[1]Clientes!$D$2)</f>
        <v>13050505</v>
      </c>
    </row>
    <row r="892" spans="1:14">
      <c r="A892" s="6" t="s">
        <v>3099</v>
      </c>
      <c r="B892" s="7">
        <v>45321</v>
      </c>
      <c r="C892" s="6" t="s">
        <v>4018</v>
      </c>
      <c r="D892" s="6" t="s">
        <v>1104</v>
      </c>
      <c r="E892" s="6" t="s">
        <v>16</v>
      </c>
      <c r="F892" s="7">
        <v>45351</v>
      </c>
      <c r="G892" s="6" t="s">
        <v>3102</v>
      </c>
      <c r="H892" s="8">
        <v>184</v>
      </c>
      <c r="I892" s="9">
        <v>-229.15</v>
      </c>
      <c r="J892" s="9">
        <v>-229.15</v>
      </c>
      <c r="K892" s="5" t="str">
        <f>VLOOKUP(D892,[1]Clientes!$A$1:$B$1370,2,0)</f>
        <v>NAC0953</v>
      </c>
      <c r="L892" s="5" t="str">
        <f t="shared" si="26"/>
        <v>CRM0120159</v>
      </c>
      <c r="M892" s="5" t="str">
        <f t="shared" si="27"/>
        <v>C</v>
      </c>
      <c r="N892" s="5">
        <f>IF(G892=[1]Clientes!$C$3,[1]Clientes!$D$3,[1]Clientes!$D$2)</f>
        <v>13050505</v>
      </c>
    </row>
    <row r="893" spans="1:14">
      <c r="A893" s="6" t="s">
        <v>3099</v>
      </c>
      <c r="B893" s="7">
        <v>45330</v>
      </c>
      <c r="C893" s="6" t="s">
        <v>4019</v>
      </c>
      <c r="D893" s="6" t="s">
        <v>1104</v>
      </c>
      <c r="E893" s="6" t="s">
        <v>16</v>
      </c>
      <c r="F893" s="7">
        <v>45360</v>
      </c>
      <c r="G893" s="6" t="s">
        <v>3102</v>
      </c>
      <c r="H893" s="8">
        <v>175</v>
      </c>
      <c r="I893" s="9">
        <v>-288.62</v>
      </c>
      <c r="J893" s="9">
        <v>-288.62</v>
      </c>
      <c r="K893" s="5" t="str">
        <f>VLOOKUP(D893,[1]Clientes!$A$1:$B$1370,2,0)</f>
        <v>NAC0953</v>
      </c>
      <c r="L893" s="5" t="str">
        <f t="shared" si="26"/>
        <v>CRM0120744</v>
      </c>
      <c r="M893" s="5" t="str">
        <f t="shared" si="27"/>
        <v>C</v>
      </c>
      <c r="N893" s="5">
        <f>IF(G893=[1]Clientes!$C$3,[1]Clientes!$D$3,[1]Clientes!$D$2)</f>
        <v>13050505</v>
      </c>
    </row>
    <row r="894" spans="1:14">
      <c r="A894" s="6" t="s">
        <v>3099</v>
      </c>
      <c r="B894" s="7" t="s">
        <v>4020</v>
      </c>
      <c r="C894" s="6" t="s">
        <v>4021</v>
      </c>
      <c r="D894" s="6" t="s">
        <v>1104</v>
      </c>
      <c r="E894" s="6" t="s">
        <v>213</v>
      </c>
      <c r="F894" s="7">
        <v>45380</v>
      </c>
      <c r="G894" s="6" t="s">
        <v>3102</v>
      </c>
      <c r="H894" s="8">
        <v>155</v>
      </c>
      <c r="I894" s="9">
        <v>-2.17</v>
      </c>
      <c r="J894" s="9">
        <v>-2.17</v>
      </c>
      <c r="K894" s="5" t="str">
        <f>VLOOKUP(D894,[1]Clientes!$A$1:$B$1370,2,0)</f>
        <v>NAC0953</v>
      </c>
      <c r="L894" s="5" t="str">
        <f t="shared" si="26"/>
        <v>CRM0122592</v>
      </c>
      <c r="M894" s="5" t="str">
        <f t="shared" si="27"/>
        <v>C</v>
      </c>
      <c r="N894" s="5">
        <f>IF(G894=[1]Clientes!$C$3,[1]Clientes!$D$3,[1]Clientes!$D$2)</f>
        <v>13050505</v>
      </c>
    </row>
    <row r="895" spans="1:14">
      <c r="A895" s="6" t="s">
        <v>3099</v>
      </c>
      <c r="B895" s="7">
        <v>45412</v>
      </c>
      <c r="C895" s="6" t="s">
        <v>4022</v>
      </c>
      <c r="D895" s="6" t="s">
        <v>1104</v>
      </c>
      <c r="E895" s="6" t="s">
        <v>213</v>
      </c>
      <c r="F895" s="7">
        <v>45412</v>
      </c>
      <c r="G895" s="6" t="s">
        <v>3102</v>
      </c>
      <c r="H895" s="8">
        <v>123</v>
      </c>
      <c r="I895" s="9">
        <v>-8.49</v>
      </c>
      <c r="J895" s="9">
        <v>-8.49</v>
      </c>
      <c r="K895" s="5" t="str">
        <f>VLOOKUP(D895,[1]Clientes!$A$1:$B$1370,2,0)</f>
        <v>NAC0953</v>
      </c>
      <c r="L895" s="5" t="str">
        <f t="shared" si="26"/>
        <v>CRM0123948</v>
      </c>
      <c r="M895" s="5" t="str">
        <f t="shared" si="27"/>
        <v>C</v>
      </c>
      <c r="N895" s="5">
        <f>IF(G895=[1]Clientes!$C$3,[1]Clientes!$D$3,[1]Clientes!$D$2)</f>
        <v>13050505</v>
      </c>
    </row>
    <row r="896" spans="1:14">
      <c r="A896" s="6" t="s">
        <v>3099</v>
      </c>
      <c r="B896" s="7">
        <v>45412</v>
      </c>
      <c r="C896" s="6" t="s">
        <v>4023</v>
      </c>
      <c r="D896" s="6" t="s">
        <v>1104</v>
      </c>
      <c r="E896" s="6" t="s">
        <v>213</v>
      </c>
      <c r="F896" s="7">
        <v>45412</v>
      </c>
      <c r="G896" s="6" t="s">
        <v>3102</v>
      </c>
      <c r="H896" s="8">
        <v>123</v>
      </c>
      <c r="I896" s="9">
        <v>-8.8699999999999992</v>
      </c>
      <c r="J896" s="9">
        <v>-8.8699999999999992</v>
      </c>
      <c r="K896" s="5" t="str">
        <f>VLOOKUP(D896,[1]Clientes!$A$1:$B$1370,2,0)</f>
        <v>NAC0953</v>
      </c>
      <c r="L896" s="5" t="str">
        <f t="shared" si="26"/>
        <v>CRM0123949</v>
      </c>
      <c r="M896" s="5" t="str">
        <f t="shared" si="27"/>
        <v>C</v>
      </c>
      <c r="N896" s="5">
        <f>IF(G896=[1]Clientes!$C$3,[1]Clientes!$D$3,[1]Clientes!$D$2)</f>
        <v>13050505</v>
      </c>
    </row>
    <row r="897" spans="1:14">
      <c r="A897" s="6" t="s">
        <v>3099</v>
      </c>
      <c r="B897" s="7">
        <v>45454</v>
      </c>
      <c r="C897" s="6" t="s">
        <v>4024</v>
      </c>
      <c r="D897" s="6" t="s">
        <v>1104</v>
      </c>
      <c r="E897" s="6" t="s">
        <v>213</v>
      </c>
      <c r="F897" s="7">
        <v>45454</v>
      </c>
      <c r="G897" s="6" t="s">
        <v>3102</v>
      </c>
      <c r="H897" s="8">
        <v>81</v>
      </c>
      <c r="I897" s="9">
        <v>-48</v>
      </c>
      <c r="J897" s="9">
        <v>-48</v>
      </c>
      <c r="K897" s="5" t="str">
        <f>VLOOKUP(D897,[1]Clientes!$A$1:$B$1370,2,0)</f>
        <v>NAC0953</v>
      </c>
      <c r="L897" s="5" t="str">
        <f t="shared" si="26"/>
        <v>CRM0124999</v>
      </c>
      <c r="M897" s="5" t="str">
        <f t="shared" si="27"/>
        <v>C</v>
      </c>
      <c r="N897" s="5">
        <f>IF(G897=[1]Clientes!$C$3,[1]Clientes!$D$3,[1]Clientes!$D$2)</f>
        <v>13050505</v>
      </c>
    </row>
    <row r="898" spans="1:14">
      <c r="A898" s="6" t="s">
        <v>3099</v>
      </c>
      <c r="B898" s="7">
        <v>45460</v>
      </c>
      <c r="C898" s="6" t="s">
        <v>4025</v>
      </c>
      <c r="D898" s="6" t="s">
        <v>1104</v>
      </c>
      <c r="E898" s="6" t="s">
        <v>213</v>
      </c>
      <c r="F898" s="7">
        <v>45460</v>
      </c>
      <c r="G898" s="6" t="s">
        <v>3102</v>
      </c>
      <c r="H898" s="8">
        <v>75</v>
      </c>
      <c r="I898" s="9">
        <v>-96</v>
      </c>
      <c r="J898" s="9">
        <v>-96</v>
      </c>
      <c r="K898" s="5" t="str">
        <f>VLOOKUP(D898,[1]Clientes!$A$1:$B$1370,2,0)</f>
        <v>NAC0953</v>
      </c>
      <c r="L898" s="5" t="str">
        <f t="shared" si="26"/>
        <v>CRM0125100</v>
      </c>
      <c r="M898" s="5" t="str">
        <f t="shared" si="27"/>
        <v>C</v>
      </c>
      <c r="N898" s="5">
        <f>IF(G898=[1]Clientes!$C$3,[1]Clientes!$D$3,[1]Clientes!$D$2)</f>
        <v>13050505</v>
      </c>
    </row>
    <row r="899" spans="1:14">
      <c r="A899" s="6" t="s">
        <v>7</v>
      </c>
      <c r="B899" s="7">
        <v>45204</v>
      </c>
      <c r="C899" s="6" t="s">
        <v>4026</v>
      </c>
      <c r="D899" s="6" t="s">
        <v>1137</v>
      </c>
      <c r="E899" s="6" t="s">
        <v>16</v>
      </c>
      <c r="F899" s="7">
        <v>45234</v>
      </c>
      <c r="G899" s="6" t="s">
        <v>3102</v>
      </c>
      <c r="H899" s="8">
        <v>301</v>
      </c>
      <c r="I899" s="9">
        <v>429</v>
      </c>
      <c r="J899" s="9">
        <v>452.63</v>
      </c>
      <c r="K899" s="5" t="str">
        <f>VLOOKUP(D899,[1]Clientes!$A$1:$B$1370,2,0)</f>
        <v>NAC0971</v>
      </c>
      <c r="L899" s="5" t="str">
        <f t="shared" ref="L899:L962" si="28">IF(A899="Invoice",
    IF(LEFT(C899,5)="TGDR-", "TGDR"&amp;RIGHT(C899,LEN(C899)-5), "HGI"&amp;C899),
    IF(A899="Credit Memo",
        IF(LEFT(C899,5)="TGDR-", "CRM"&amp;RIGHT(C899,LEN(C899)-5), "CRM"&amp;C899),
        "Revisar")
)</f>
        <v>HGI0115721</v>
      </c>
      <c r="M899" s="5" t="str">
        <f t="shared" ref="M899:M962" si="29">IF(A899="Invoice","I",IF(A899="Credit Memo","C",IF(A899="Payment","P","GJ")))</f>
        <v>I</v>
      </c>
      <c r="N899" s="5">
        <f>IF(G899=[1]Clientes!$C$3,[1]Clientes!$D$3,[1]Clientes!$D$2)</f>
        <v>13050505</v>
      </c>
    </row>
    <row r="900" spans="1:14">
      <c r="A900" s="6" t="s">
        <v>3099</v>
      </c>
      <c r="B900" s="7">
        <v>45519</v>
      </c>
      <c r="C900" s="6" t="s">
        <v>4027</v>
      </c>
      <c r="D900" s="6" t="s">
        <v>1137</v>
      </c>
      <c r="E900" s="6" t="s">
        <v>16</v>
      </c>
      <c r="F900" s="7">
        <v>45549</v>
      </c>
      <c r="G900" s="6" t="s">
        <v>3102</v>
      </c>
      <c r="H900" s="8"/>
      <c r="I900" s="9">
        <v>-0.03</v>
      </c>
      <c r="J900" s="9">
        <v>-700.98</v>
      </c>
      <c r="K900" s="5" t="str">
        <f>VLOOKUP(D900,[1]Clientes!$A$1:$B$1370,2,0)</f>
        <v>NAC0971</v>
      </c>
      <c r="L900" s="5" t="str">
        <f t="shared" si="28"/>
        <v>CRM0126511</v>
      </c>
      <c r="M900" s="5" t="str">
        <f t="shared" si="29"/>
        <v>C</v>
      </c>
      <c r="N900" s="5">
        <f>IF(G900=[1]Clientes!$C$3,[1]Clientes!$D$3,[1]Clientes!$D$2)</f>
        <v>13050505</v>
      </c>
    </row>
    <row r="901" spans="1:14">
      <c r="A901" s="6" t="s">
        <v>7</v>
      </c>
      <c r="B901" s="7">
        <v>45532</v>
      </c>
      <c r="C901" s="6" t="s">
        <v>4028</v>
      </c>
      <c r="D901" s="6" t="s">
        <v>1137</v>
      </c>
      <c r="E901" s="6" t="s">
        <v>16</v>
      </c>
      <c r="F901" s="7">
        <v>45562</v>
      </c>
      <c r="G901" s="6" t="s">
        <v>3102</v>
      </c>
      <c r="H901" s="8"/>
      <c r="I901" s="9">
        <v>408</v>
      </c>
      <c r="J901" s="9">
        <v>408</v>
      </c>
      <c r="K901" s="5" t="str">
        <f>VLOOKUP(D901,[1]Clientes!$A$1:$B$1370,2,0)</f>
        <v>NAC0971</v>
      </c>
      <c r="L901" s="5" t="str">
        <f t="shared" si="28"/>
        <v>HGI0127007</v>
      </c>
      <c r="M901" s="5" t="str">
        <f t="shared" si="29"/>
        <v>I</v>
      </c>
      <c r="N901" s="5">
        <f>IF(G901=[1]Clientes!$C$3,[1]Clientes!$D$3,[1]Clientes!$D$2)</f>
        <v>13050505</v>
      </c>
    </row>
    <row r="902" spans="1:14">
      <c r="A902" s="6" t="s">
        <v>7</v>
      </c>
      <c r="B902" s="7">
        <v>45240</v>
      </c>
      <c r="C902" s="6" t="s">
        <v>4029</v>
      </c>
      <c r="D902" s="6" t="s">
        <v>1150</v>
      </c>
      <c r="E902" s="6" t="s">
        <v>16</v>
      </c>
      <c r="F902" s="7">
        <v>45270</v>
      </c>
      <c r="G902" s="6" t="s">
        <v>3102</v>
      </c>
      <c r="H902" s="8">
        <v>265</v>
      </c>
      <c r="I902" s="9">
        <v>217.86</v>
      </c>
      <c r="J902" s="9">
        <v>2858.16</v>
      </c>
      <c r="K902" s="5" t="str">
        <f>VLOOKUP(D902,[1]Clientes!$A$1:$B$1370,2,0)</f>
        <v>NAC0972</v>
      </c>
      <c r="L902" s="5" t="str">
        <f t="shared" si="28"/>
        <v>HGI0117118</v>
      </c>
      <c r="M902" s="5" t="str">
        <f t="shared" si="29"/>
        <v>I</v>
      </c>
      <c r="N902" s="5">
        <f>IF(G902=[1]Clientes!$C$3,[1]Clientes!$D$3,[1]Clientes!$D$2)</f>
        <v>13050505</v>
      </c>
    </row>
    <row r="903" spans="1:14">
      <c r="A903" s="6" t="s">
        <v>3099</v>
      </c>
      <c r="B903" s="7">
        <v>45519</v>
      </c>
      <c r="C903" s="6" t="s">
        <v>4030</v>
      </c>
      <c r="D903" s="6" t="s">
        <v>1154</v>
      </c>
      <c r="E903" s="6" t="s">
        <v>213</v>
      </c>
      <c r="F903" s="7">
        <v>45519</v>
      </c>
      <c r="G903" s="6" t="s">
        <v>3102</v>
      </c>
      <c r="H903" s="8">
        <v>16</v>
      </c>
      <c r="I903" s="9">
        <v>-9.48</v>
      </c>
      <c r="J903" s="9">
        <v>-9.48</v>
      </c>
      <c r="K903" s="5" t="str">
        <f>VLOOKUP(D903,[1]Clientes!$A$1:$B$1370,2,0)</f>
        <v>NAC0978</v>
      </c>
      <c r="L903" s="5" t="str">
        <f t="shared" si="28"/>
        <v>CRM0126486</v>
      </c>
      <c r="M903" s="5" t="str">
        <f t="shared" si="29"/>
        <v>C</v>
      </c>
      <c r="N903" s="5">
        <f>IF(G903=[1]Clientes!$C$3,[1]Clientes!$D$3,[1]Clientes!$D$2)</f>
        <v>13050505</v>
      </c>
    </row>
    <row r="904" spans="1:14">
      <c r="A904" s="6" t="s">
        <v>7</v>
      </c>
      <c r="B904" s="7">
        <v>45519</v>
      </c>
      <c r="C904" s="6" t="s">
        <v>4031</v>
      </c>
      <c r="D904" s="6" t="s">
        <v>4032</v>
      </c>
      <c r="E904" s="6" t="s">
        <v>16</v>
      </c>
      <c r="F904" s="7">
        <v>45549</v>
      </c>
      <c r="G904" s="6" t="s">
        <v>3102</v>
      </c>
      <c r="H904" s="8"/>
      <c r="I904" s="9">
        <v>670.94</v>
      </c>
      <c r="J904" s="9">
        <v>670.94</v>
      </c>
      <c r="K904" s="5" t="str">
        <f>VLOOKUP(D904,[1]Clientes!$A$1:$B$1370,2,0)</f>
        <v>NAC0979</v>
      </c>
      <c r="L904" s="5" t="str">
        <f t="shared" si="28"/>
        <v>HGI0126531</v>
      </c>
      <c r="M904" s="5" t="str">
        <f t="shared" si="29"/>
        <v>I</v>
      </c>
      <c r="N904" s="5">
        <f>IF(G904=[1]Clientes!$C$3,[1]Clientes!$D$3,[1]Clientes!$D$2)</f>
        <v>13050505</v>
      </c>
    </row>
    <row r="905" spans="1:14">
      <c r="A905" s="6" t="s">
        <v>7</v>
      </c>
      <c r="B905" s="7">
        <v>45148</v>
      </c>
      <c r="C905" s="6" t="s">
        <v>4033</v>
      </c>
      <c r="D905" s="6" t="s">
        <v>4034</v>
      </c>
      <c r="E905" s="6" t="s">
        <v>213</v>
      </c>
      <c r="F905" s="7">
        <v>45148</v>
      </c>
      <c r="G905" s="6" t="s">
        <v>3102</v>
      </c>
      <c r="H905" s="8">
        <v>387</v>
      </c>
      <c r="I905" s="9">
        <v>8.93</v>
      </c>
      <c r="J905" s="9">
        <v>157.78</v>
      </c>
      <c r="K905" s="5" t="str">
        <f>VLOOKUP(D905,[1]Clientes!$A$1:$B$1370,2,0)</f>
        <v>NAC0986</v>
      </c>
      <c r="L905" s="5" t="str">
        <f t="shared" si="28"/>
        <v>HGI0114294</v>
      </c>
      <c r="M905" s="5" t="str">
        <f t="shared" si="29"/>
        <v>I</v>
      </c>
      <c r="N905" s="5">
        <f>IF(G905=[1]Clientes!$C$3,[1]Clientes!$D$3,[1]Clientes!$D$2)</f>
        <v>13050505</v>
      </c>
    </row>
    <row r="906" spans="1:14">
      <c r="A906" s="6" t="s">
        <v>7</v>
      </c>
      <c r="B906" s="7">
        <v>45187</v>
      </c>
      <c r="C906" s="6" t="s">
        <v>4035</v>
      </c>
      <c r="D906" s="6" t="s">
        <v>4034</v>
      </c>
      <c r="E906" s="6" t="s">
        <v>213</v>
      </c>
      <c r="F906" s="7">
        <v>45187</v>
      </c>
      <c r="G906" s="6" t="s">
        <v>3102</v>
      </c>
      <c r="H906" s="8">
        <v>348</v>
      </c>
      <c r="I906" s="9">
        <v>2.72</v>
      </c>
      <c r="J906" s="9">
        <v>141.41</v>
      </c>
      <c r="K906" s="5" t="str">
        <f>VLOOKUP(D906,[1]Clientes!$A$1:$B$1370,2,0)</f>
        <v>NAC0986</v>
      </c>
      <c r="L906" s="5" t="str">
        <f t="shared" si="28"/>
        <v>HGI0115128</v>
      </c>
      <c r="M906" s="5" t="str">
        <f t="shared" si="29"/>
        <v>I</v>
      </c>
      <c r="N906" s="5">
        <f>IF(G906=[1]Clientes!$C$3,[1]Clientes!$D$3,[1]Clientes!$D$2)</f>
        <v>13050505</v>
      </c>
    </row>
    <row r="907" spans="1:14">
      <c r="A907" s="6" t="s">
        <v>7</v>
      </c>
      <c r="B907" s="7">
        <v>45208</v>
      </c>
      <c r="C907" s="6" t="s">
        <v>4036</v>
      </c>
      <c r="D907" s="6" t="s">
        <v>4034</v>
      </c>
      <c r="E907" s="6" t="s">
        <v>213</v>
      </c>
      <c r="F907" s="7">
        <v>45208</v>
      </c>
      <c r="G907" s="6" t="s">
        <v>3102</v>
      </c>
      <c r="H907" s="8">
        <v>327</v>
      </c>
      <c r="I907" s="9">
        <v>4.43</v>
      </c>
      <c r="J907" s="9">
        <v>58.11</v>
      </c>
      <c r="K907" s="5" t="str">
        <f>VLOOKUP(D907,[1]Clientes!$A$1:$B$1370,2,0)</f>
        <v>NAC0986</v>
      </c>
      <c r="L907" s="5" t="str">
        <f t="shared" si="28"/>
        <v>HGI0115818</v>
      </c>
      <c r="M907" s="5" t="str">
        <f t="shared" si="29"/>
        <v>I</v>
      </c>
      <c r="N907" s="5">
        <f>IF(G907=[1]Clientes!$C$3,[1]Clientes!$D$3,[1]Clientes!$D$2)</f>
        <v>13050505</v>
      </c>
    </row>
    <row r="908" spans="1:14">
      <c r="A908" s="6" t="s">
        <v>7</v>
      </c>
      <c r="B908" s="7">
        <v>45244</v>
      </c>
      <c r="C908" s="6" t="s">
        <v>4037</v>
      </c>
      <c r="D908" s="6" t="s">
        <v>4034</v>
      </c>
      <c r="E908" s="6" t="s">
        <v>213</v>
      </c>
      <c r="F908" s="7">
        <v>45244</v>
      </c>
      <c r="G908" s="6" t="s">
        <v>3102</v>
      </c>
      <c r="H908" s="8">
        <v>291</v>
      </c>
      <c r="I908" s="9">
        <v>10.37</v>
      </c>
      <c r="J908" s="9">
        <v>173.75</v>
      </c>
      <c r="K908" s="5" t="str">
        <f>VLOOKUP(D908,[1]Clientes!$A$1:$B$1370,2,0)</f>
        <v>NAC0986</v>
      </c>
      <c r="L908" s="5" t="str">
        <f t="shared" si="28"/>
        <v>HGI0117245</v>
      </c>
      <c r="M908" s="5" t="str">
        <f t="shared" si="29"/>
        <v>I</v>
      </c>
      <c r="N908" s="5">
        <f>IF(G908=[1]Clientes!$C$3,[1]Clientes!$D$3,[1]Clientes!$D$2)</f>
        <v>13050505</v>
      </c>
    </row>
    <row r="909" spans="1:14">
      <c r="A909" s="6" t="s">
        <v>7</v>
      </c>
      <c r="B909" s="7">
        <v>45246</v>
      </c>
      <c r="C909" s="6" t="s">
        <v>4038</v>
      </c>
      <c r="D909" s="6" t="s">
        <v>4034</v>
      </c>
      <c r="E909" s="6" t="s">
        <v>213</v>
      </c>
      <c r="F909" s="7">
        <v>45246</v>
      </c>
      <c r="G909" s="6" t="s">
        <v>3102</v>
      </c>
      <c r="H909" s="8">
        <v>289</v>
      </c>
      <c r="I909" s="9">
        <v>5.22</v>
      </c>
      <c r="J909" s="9">
        <v>74.819999999999993</v>
      </c>
      <c r="K909" s="5" t="str">
        <f>VLOOKUP(D909,[1]Clientes!$A$1:$B$1370,2,0)</f>
        <v>NAC0986</v>
      </c>
      <c r="L909" s="5" t="str">
        <f t="shared" si="28"/>
        <v>HGI0117388</v>
      </c>
      <c r="M909" s="5" t="str">
        <f t="shared" si="29"/>
        <v>I</v>
      </c>
      <c r="N909" s="5">
        <f>IF(G909=[1]Clientes!$C$3,[1]Clientes!$D$3,[1]Clientes!$D$2)</f>
        <v>13050505</v>
      </c>
    </row>
    <row r="910" spans="1:14">
      <c r="A910" s="6" t="s">
        <v>7</v>
      </c>
      <c r="B910" s="7">
        <v>45259</v>
      </c>
      <c r="C910" s="6" t="s">
        <v>4039</v>
      </c>
      <c r="D910" s="6" t="s">
        <v>4034</v>
      </c>
      <c r="E910" s="6" t="s">
        <v>213</v>
      </c>
      <c r="F910" s="7">
        <v>45259</v>
      </c>
      <c r="G910" s="6" t="s">
        <v>3102</v>
      </c>
      <c r="H910" s="8">
        <v>276</v>
      </c>
      <c r="I910" s="9">
        <v>21.12</v>
      </c>
      <c r="J910" s="9">
        <v>497.85</v>
      </c>
      <c r="K910" s="5" t="str">
        <f>VLOOKUP(D910,[1]Clientes!$A$1:$B$1370,2,0)</f>
        <v>NAC0986</v>
      </c>
      <c r="L910" s="5" t="str">
        <f t="shared" si="28"/>
        <v>HGI0117798</v>
      </c>
      <c r="M910" s="5" t="str">
        <f t="shared" si="29"/>
        <v>I</v>
      </c>
      <c r="N910" s="5">
        <f>IF(G910=[1]Clientes!$C$3,[1]Clientes!$D$3,[1]Clientes!$D$2)</f>
        <v>13050505</v>
      </c>
    </row>
    <row r="911" spans="1:14">
      <c r="A911" s="6" t="s">
        <v>7</v>
      </c>
      <c r="B911" s="7">
        <v>45272</v>
      </c>
      <c r="C911" s="6" t="s">
        <v>4040</v>
      </c>
      <c r="D911" s="6" t="s">
        <v>4034</v>
      </c>
      <c r="E911" s="6" t="s">
        <v>213</v>
      </c>
      <c r="F911" s="7">
        <v>45272</v>
      </c>
      <c r="G911" s="6" t="s">
        <v>3102</v>
      </c>
      <c r="H911" s="8">
        <v>263</v>
      </c>
      <c r="I911" s="9">
        <v>187.26</v>
      </c>
      <c r="J911" s="9">
        <v>187.26</v>
      </c>
      <c r="K911" s="5" t="str">
        <f>VLOOKUP(D911,[1]Clientes!$A$1:$B$1370,2,0)</f>
        <v>NAC0986</v>
      </c>
      <c r="L911" s="5" t="str">
        <f t="shared" si="28"/>
        <v>HGI0118224</v>
      </c>
      <c r="M911" s="5" t="str">
        <f t="shared" si="29"/>
        <v>I</v>
      </c>
      <c r="N911" s="5">
        <f>IF(G911=[1]Clientes!$C$3,[1]Clientes!$D$3,[1]Clientes!$D$2)</f>
        <v>13050505</v>
      </c>
    </row>
    <row r="912" spans="1:14">
      <c r="A912" s="6" t="s">
        <v>7</v>
      </c>
      <c r="B912" s="7">
        <v>45286</v>
      </c>
      <c r="C912" s="6" t="s">
        <v>4041</v>
      </c>
      <c r="D912" s="6" t="s">
        <v>4034</v>
      </c>
      <c r="E912" s="6" t="s">
        <v>213</v>
      </c>
      <c r="F912" s="7">
        <v>45286</v>
      </c>
      <c r="G912" s="6" t="s">
        <v>3102</v>
      </c>
      <c r="H912" s="8">
        <v>249</v>
      </c>
      <c r="I912" s="9">
        <v>15.58</v>
      </c>
      <c r="J912" s="9">
        <v>250.72</v>
      </c>
      <c r="K912" s="5" t="str">
        <f>VLOOKUP(D912,[1]Clientes!$A$1:$B$1370,2,0)</f>
        <v>NAC0986</v>
      </c>
      <c r="L912" s="5" t="str">
        <f t="shared" si="28"/>
        <v>HGI0118598</v>
      </c>
      <c r="M912" s="5" t="str">
        <f t="shared" si="29"/>
        <v>I</v>
      </c>
      <c r="N912" s="5">
        <f>IF(G912=[1]Clientes!$C$3,[1]Clientes!$D$3,[1]Clientes!$D$2)</f>
        <v>13050505</v>
      </c>
    </row>
    <row r="913" spans="1:14">
      <c r="A913" s="6" t="s">
        <v>7</v>
      </c>
      <c r="B913" s="7">
        <v>45293</v>
      </c>
      <c r="C913" s="6" t="s">
        <v>4042</v>
      </c>
      <c r="D913" s="6" t="s">
        <v>4034</v>
      </c>
      <c r="E913" s="6" t="s">
        <v>213</v>
      </c>
      <c r="F913" s="7">
        <v>45293</v>
      </c>
      <c r="G913" s="6" t="s">
        <v>3102</v>
      </c>
      <c r="H913" s="8">
        <v>242</v>
      </c>
      <c r="I913" s="9">
        <v>13.51</v>
      </c>
      <c r="J913" s="9">
        <v>268.31</v>
      </c>
      <c r="K913" s="5" t="str">
        <f>VLOOKUP(D913,[1]Clientes!$A$1:$B$1370,2,0)</f>
        <v>NAC0986</v>
      </c>
      <c r="L913" s="5" t="str">
        <f t="shared" si="28"/>
        <v>HGI0118747</v>
      </c>
      <c r="M913" s="5" t="str">
        <f t="shared" si="29"/>
        <v>I</v>
      </c>
      <c r="N913" s="5">
        <f>IF(G913=[1]Clientes!$C$3,[1]Clientes!$D$3,[1]Clientes!$D$2)</f>
        <v>13050505</v>
      </c>
    </row>
    <row r="914" spans="1:14">
      <c r="A914" s="6" t="s">
        <v>7</v>
      </c>
      <c r="B914" s="7">
        <v>45307</v>
      </c>
      <c r="C914" s="6" t="s">
        <v>4043</v>
      </c>
      <c r="D914" s="6" t="s">
        <v>4034</v>
      </c>
      <c r="E914" s="6" t="s">
        <v>213</v>
      </c>
      <c r="F914" s="7">
        <v>45307</v>
      </c>
      <c r="G914" s="6" t="s">
        <v>3102</v>
      </c>
      <c r="H914" s="8">
        <v>228</v>
      </c>
      <c r="I914" s="9">
        <v>10.31</v>
      </c>
      <c r="J914" s="9">
        <v>221.55</v>
      </c>
      <c r="K914" s="5" t="str">
        <f>VLOOKUP(D914,[1]Clientes!$A$1:$B$1370,2,0)</f>
        <v>NAC0986</v>
      </c>
      <c r="L914" s="5" t="str">
        <f t="shared" si="28"/>
        <v>HGI0119374</v>
      </c>
      <c r="M914" s="5" t="str">
        <f t="shared" si="29"/>
        <v>I</v>
      </c>
      <c r="N914" s="5">
        <f>IF(G914=[1]Clientes!$C$3,[1]Clientes!$D$3,[1]Clientes!$D$2)</f>
        <v>13050505</v>
      </c>
    </row>
    <row r="915" spans="1:14">
      <c r="A915" s="6" t="s">
        <v>7</v>
      </c>
      <c r="B915" s="7">
        <v>45320</v>
      </c>
      <c r="C915" s="6" t="s">
        <v>4044</v>
      </c>
      <c r="D915" s="6" t="s">
        <v>4034</v>
      </c>
      <c r="E915" s="6" t="s">
        <v>213</v>
      </c>
      <c r="F915" s="7">
        <v>45320</v>
      </c>
      <c r="G915" s="6" t="s">
        <v>3102</v>
      </c>
      <c r="H915" s="8">
        <v>215</v>
      </c>
      <c r="I915" s="9">
        <v>20.22</v>
      </c>
      <c r="J915" s="9">
        <v>489.15</v>
      </c>
      <c r="K915" s="5" t="str">
        <f>VLOOKUP(D915,[1]Clientes!$A$1:$B$1370,2,0)</f>
        <v>NAC0986</v>
      </c>
      <c r="L915" s="5" t="str">
        <f t="shared" si="28"/>
        <v>HGI0120061</v>
      </c>
      <c r="M915" s="5" t="str">
        <f t="shared" si="29"/>
        <v>I</v>
      </c>
      <c r="N915" s="5">
        <f>IF(G915=[1]Clientes!$C$3,[1]Clientes!$D$3,[1]Clientes!$D$2)</f>
        <v>13050505</v>
      </c>
    </row>
    <row r="916" spans="1:14">
      <c r="A916" s="6" t="s">
        <v>7</v>
      </c>
      <c r="B916" s="7">
        <v>45324</v>
      </c>
      <c r="C916" s="6" t="s">
        <v>4045</v>
      </c>
      <c r="D916" s="6" t="s">
        <v>4034</v>
      </c>
      <c r="E916" s="6" t="s">
        <v>213</v>
      </c>
      <c r="F916" s="7">
        <v>45324</v>
      </c>
      <c r="G916" s="6" t="s">
        <v>3102</v>
      </c>
      <c r="H916" s="8">
        <v>211</v>
      </c>
      <c r="I916" s="9">
        <v>13.22</v>
      </c>
      <c r="J916" s="9">
        <v>173.33</v>
      </c>
      <c r="K916" s="5" t="str">
        <f>VLOOKUP(D916,[1]Clientes!$A$1:$B$1370,2,0)</f>
        <v>NAC0986</v>
      </c>
      <c r="L916" s="5" t="str">
        <f t="shared" si="28"/>
        <v>HGI0120388</v>
      </c>
      <c r="M916" s="5" t="str">
        <f t="shared" si="29"/>
        <v>I</v>
      </c>
      <c r="N916" s="5">
        <f>IF(G916=[1]Clientes!$C$3,[1]Clientes!$D$3,[1]Clientes!$D$2)</f>
        <v>13050505</v>
      </c>
    </row>
    <row r="917" spans="1:14">
      <c r="A917" s="6" t="s">
        <v>7</v>
      </c>
      <c r="B917" s="7">
        <v>45328</v>
      </c>
      <c r="C917" s="6" t="s">
        <v>4046</v>
      </c>
      <c r="D917" s="6" t="s">
        <v>4034</v>
      </c>
      <c r="E917" s="6" t="s">
        <v>213</v>
      </c>
      <c r="F917" s="7">
        <v>45328</v>
      </c>
      <c r="G917" s="6" t="s">
        <v>3102</v>
      </c>
      <c r="H917" s="8">
        <v>207</v>
      </c>
      <c r="I917" s="9">
        <v>39.39</v>
      </c>
      <c r="J917" s="9">
        <v>509.65</v>
      </c>
      <c r="K917" s="5" t="str">
        <f>VLOOKUP(D917,[1]Clientes!$A$1:$B$1370,2,0)</f>
        <v>NAC0986</v>
      </c>
      <c r="L917" s="5" t="str">
        <f t="shared" si="28"/>
        <v>HGI0120564</v>
      </c>
      <c r="M917" s="5" t="str">
        <f t="shared" si="29"/>
        <v>I</v>
      </c>
      <c r="N917" s="5">
        <f>IF(G917=[1]Clientes!$C$3,[1]Clientes!$D$3,[1]Clientes!$D$2)</f>
        <v>13050505</v>
      </c>
    </row>
    <row r="918" spans="1:14">
      <c r="A918" s="6" t="s">
        <v>7</v>
      </c>
      <c r="B918" s="7">
        <v>45378</v>
      </c>
      <c r="C918" s="6" t="s">
        <v>4047</v>
      </c>
      <c r="D918" s="6" t="s">
        <v>4034</v>
      </c>
      <c r="E918" s="6" t="s">
        <v>213</v>
      </c>
      <c r="F918" s="7">
        <v>45378</v>
      </c>
      <c r="G918" s="6" t="s">
        <v>3102</v>
      </c>
      <c r="H918" s="8">
        <v>157</v>
      </c>
      <c r="I918" s="9">
        <v>100</v>
      </c>
      <c r="J918" s="9">
        <v>213.46</v>
      </c>
      <c r="K918" s="5" t="str">
        <f>VLOOKUP(D918,[1]Clientes!$A$1:$B$1370,2,0)</f>
        <v>NAC0986</v>
      </c>
      <c r="L918" s="5" t="str">
        <f t="shared" si="28"/>
        <v>HGI0122380</v>
      </c>
      <c r="M918" s="5" t="str">
        <f t="shared" si="29"/>
        <v>I</v>
      </c>
      <c r="N918" s="5">
        <f>IF(G918=[1]Clientes!$C$3,[1]Clientes!$D$3,[1]Clientes!$D$2)</f>
        <v>13050505</v>
      </c>
    </row>
    <row r="919" spans="1:14">
      <c r="A919" s="6" t="s">
        <v>7</v>
      </c>
      <c r="B919" s="7">
        <v>45383</v>
      </c>
      <c r="C919" s="6" t="s">
        <v>4048</v>
      </c>
      <c r="D919" s="6" t="s">
        <v>4034</v>
      </c>
      <c r="E919" s="6" t="s">
        <v>213</v>
      </c>
      <c r="F919" s="7">
        <v>45383</v>
      </c>
      <c r="G919" s="6" t="s">
        <v>3102</v>
      </c>
      <c r="H919" s="8">
        <v>152</v>
      </c>
      <c r="I919" s="9">
        <v>178.61</v>
      </c>
      <c r="J919" s="9">
        <v>178.61</v>
      </c>
      <c r="K919" s="5" t="str">
        <f>VLOOKUP(D919,[1]Clientes!$A$1:$B$1370,2,0)</f>
        <v>NAC0986</v>
      </c>
      <c r="L919" s="5" t="str">
        <f t="shared" si="28"/>
        <v>HGI0122502</v>
      </c>
      <c r="M919" s="5" t="str">
        <f t="shared" si="29"/>
        <v>I</v>
      </c>
      <c r="N919" s="5">
        <f>IF(G919=[1]Clientes!$C$3,[1]Clientes!$D$3,[1]Clientes!$D$2)</f>
        <v>13050505</v>
      </c>
    </row>
    <row r="920" spans="1:14">
      <c r="A920" s="6" t="s">
        <v>7</v>
      </c>
      <c r="B920" s="7">
        <v>45383</v>
      </c>
      <c r="C920" s="6" t="s">
        <v>4049</v>
      </c>
      <c r="D920" s="6" t="s">
        <v>4034</v>
      </c>
      <c r="E920" s="6" t="s">
        <v>213</v>
      </c>
      <c r="F920" s="7">
        <v>45383</v>
      </c>
      <c r="G920" s="6" t="s">
        <v>3102</v>
      </c>
      <c r="H920" s="8">
        <v>152</v>
      </c>
      <c r="I920" s="9">
        <v>623</v>
      </c>
      <c r="J920" s="9">
        <v>623</v>
      </c>
      <c r="K920" s="5" t="str">
        <f>VLOOKUP(D920,[1]Clientes!$A$1:$B$1370,2,0)</f>
        <v>NAC0986</v>
      </c>
      <c r="L920" s="5" t="str">
        <f t="shared" si="28"/>
        <v>HGI0122506</v>
      </c>
      <c r="M920" s="5" t="str">
        <f t="shared" si="29"/>
        <v>I</v>
      </c>
      <c r="N920" s="5">
        <f>IF(G920=[1]Clientes!$C$3,[1]Clientes!$D$3,[1]Clientes!$D$2)</f>
        <v>13050505</v>
      </c>
    </row>
    <row r="921" spans="1:14">
      <c r="A921" s="6" t="s">
        <v>7</v>
      </c>
      <c r="B921" s="7">
        <v>45386</v>
      </c>
      <c r="C921" s="6" t="s">
        <v>4050</v>
      </c>
      <c r="D921" s="6" t="s">
        <v>4034</v>
      </c>
      <c r="E921" s="6" t="s">
        <v>213</v>
      </c>
      <c r="F921" s="7">
        <v>45386</v>
      </c>
      <c r="G921" s="6" t="s">
        <v>3102</v>
      </c>
      <c r="H921" s="8">
        <v>149</v>
      </c>
      <c r="I921" s="9">
        <v>315.95999999999998</v>
      </c>
      <c r="J921" s="9">
        <v>315.95999999999998</v>
      </c>
      <c r="K921" s="5" t="str">
        <f>VLOOKUP(D921,[1]Clientes!$A$1:$B$1370,2,0)</f>
        <v>NAC0986</v>
      </c>
      <c r="L921" s="5" t="str">
        <f t="shared" si="28"/>
        <v>HGI0122639</v>
      </c>
      <c r="M921" s="5" t="str">
        <f t="shared" si="29"/>
        <v>I</v>
      </c>
      <c r="N921" s="5">
        <f>IF(G921=[1]Clientes!$C$3,[1]Clientes!$D$3,[1]Clientes!$D$2)</f>
        <v>13050505</v>
      </c>
    </row>
    <row r="922" spans="1:14">
      <c r="A922" s="6" t="s">
        <v>7</v>
      </c>
      <c r="B922" s="7">
        <v>45392</v>
      </c>
      <c r="C922" s="6" t="s">
        <v>4051</v>
      </c>
      <c r="D922" s="6" t="s">
        <v>4034</v>
      </c>
      <c r="E922" s="6" t="s">
        <v>213</v>
      </c>
      <c r="F922" s="7">
        <v>45392</v>
      </c>
      <c r="G922" s="6" t="s">
        <v>3102</v>
      </c>
      <c r="H922" s="8">
        <v>143</v>
      </c>
      <c r="I922" s="9">
        <v>257.26</v>
      </c>
      <c r="J922" s="9">
        <v>257.26</v>
      </c>
      <c r="K922" s="5" t="str">
        <f>VLOOKUP(D922,[1]Clientes!$A$1:$B$1370,2,0)</f>
        <v>NAC0986</v>
      </c>
      <c r="L922" s="5" t="str">
        <f t="shared" si="28"/>
        <v>HGI0122856</v>
      </c>
      <c r="M922" s="5" t="str">
        <f t="shared" si="29"/>
        <v>I</v>
      </c>
      <c r="N922" s="5">
        <f>IF(G922=[1]Clientes!$C$3,[1]Clientes!$D$3,[1]Clientes!$D$2)</f>
        <v>13050505</v>
      </c>
    </row>
    <row r="923" spans="1:14">
      <c r="A923" s="6" t="s">
        <v>7</v>
      </c>
      <c r="B923" s="7">
        <v>45404</v>
      </c>
      <c r="C923" s="6" t="s">
        <v>4052</v>
      </c>
      <c r="D923" s="6" t="s">
        <v>4034</v>
      </c>
      <c r="E923" s="6" t="s">
        <v>213</v>
      </c>
      <c r="F923" s="7">
        <v>45404</v>
      </c>
      <c r="G923" s="6" t="s">
        <v>3102</v>
      </c>
      <c r="H923" s="8">
        <v>131</v>
      </c>
      <c r="I923" s="9">
        <v>5.32</v>
      </c>
      <c r="J923" s="9">
        <v>109.57</v>
      </c>
      <c r="K923" s="5" t="str">
        <f>VLOOKUP(D923,[1]Clientes!$A$1:$B$1370,2,0)</f>
        <v>NAC0986</v>
      </c>
      <c r="L923" s="5" t="str">
        <f t="shared" si="28"/>
        <v>HGI0123340</v>
      </c>
      <c r="M923" s="5" t="str">
        <f t="shared" si="29"/>
        <v>I</v>
      </c>
      <c r="N923" s="5">
        <f>IF(G923=[1]Clientes!$C$3,[1]Clientes!$D$3,[1]Clientes!$D$2)</f>
        <v>13050505</v>
      </c>
    </row>
    <row r="924" spans="1:14">
      <c r="A924" s="6" t="s">
        <v>7</v>
      </c>
      <c r="B924" s="7">
        <v>45405</v>
      </c>
      <c r="C924" s="6" t="s">
        <v>4053</v>
      </c>
      <c r="D924" s="6" t="s">
        <v>4034</v>
      </c>
      <c r="E924" s="6" t="s">
        <v>213</v>
      </c>
      <c r="F924" s="7">
        <v>45405</v>
      </c>
      <c r="G924" s="6" t="s">
        <v>3102</v>
      </c>
      <c r="H924" s="8">
        <v>130</v>
      </c>
      <c r="I924" s="9">
        <v>173.55</v>
      </c>
      <c r="J924" s="9">
        <v>173.55</v>
      </c>
      <c r="K924" s="5" t="str">
        <f>VLOOKUP(D924,[1]Clientes!$A$1:$B$1370,2,0)</f>
        <v>NAC0986</v>
      </c>
      <c r="L924" s="5" t="str">
        <f t="shared" si="28"/>
        <v>HGI0123394</v>
      </c>
      <c r="M924" s="5" t="str">
        <f t="shared" si="29"/>
        <v>I</v>
      </c>
      <c r="N924" s="5">
        <f>IF(G924=[1]Clientes!$C$3,[1]Clientes!$D$3,[1]Clientes!$D$2)</f>
        <v>13050505</v>
      </c>
    </row>
    <row r="925" spans="1:14">
      <c r="A925" s="6" t="s">
        <v>7</v>
      </c>
      <c r="B925" s="7">
        <v>45406</v>
      </c>
      <c r="C925" s="6" t="s">
        <v>4054</v>
      </c>
      <c r="D925" s="6" t="s">
        <v>4034</v>
      </c>
      <c r="E925" s="6" t="s">
        <v>213</v>
      </c>
      <c r="F925" s="7">
        <v>45406</v>
      </c>
      <c r="G925" s="6" t="s">
        <v>3102</v>
      </c>
      <c r="H925" s="8">
        <v>129</v>
      </c>
      <c r="I925" s="9">
        <v>135.55000000000001</v>
      </c>
      <c r="J925" s="9">
        <v>135.55000000000001</v>
      </c>
      <c r="K925" s="5" t="str">
        <f>VLOOKUP(D925,[1]Clientes!$A$1:$B$1370,2,0)</f>
        <v>NAC0986</v>
      </c>
      <c r="L925" s="5" t="str">
        <f t="shared" si="28"/>
        <v>HGI0123467</v>
      </c>
      <c r="M925" s="5" t="str">
        <f t="shared" si="29"/>
        <v>I</v>
      </c>
      <c r="N925" s="5">
        <f>IF(G925=[1]Clientes!$C$3,[1]Clientes!$D$3,[1]Clientes!$D$2)</f>
        <v>13050505</v>
      </c>
    </row>
    <row r="926" spans="1:14">
      <c r="A926" s="6" t="s">
        <v>7</v>
      </c>
      <c r="B926" s="7">
        <v>45407</v>
      </c>
      <c r="C926" s="6" t="s">
        <v>4055</v>
      </c>
      <c r="D926" s="6" t="s">
        <v>4034</v>
      </c>
      <c r="E926" s="6" t="s">
        <v>213</v>
      </c>
      <c r="F926" s="7">
        <v>45407</v>
      </c>
      <c r="G926" s="6" t="s">
        <v>3102</v>
      </c>
      <c r="H926" s="8">
        <v>128</v>
      </c>
      <c r="I926" s="9">
        <v>307.5</v>
      </c>
      <c r="J926" s="9">
        <v>307.5</v>
      </c>
      <c r="K926" s="5" t="str">
        <f>VLOOKUP(D926,[1]Clientes!$A$1:$B$1370,2,0)</f>
        <v>NAC0986</v>
      </c>
      <c r="L926" s="5" t="str">
        <f t="shared" si="28"/>
        <v>HGI0123513</v>
      </c>
      <c r="M926" s="5" t="str">
        <f t="shared" si="29"/>
        <v>I</v>
      </c>
      <c r="N926" s="5">
        <f>IF(G926=[1]Clientes!$C$3,[1]Clientes!$D$3,[1]Clientes!$D$2)</f>
        <v>13050505</v>
      </c>
    </row>
    <row r="927" spans="1:14">
      <c r="A927" s="6" t="s">
        <v>7</v>
      </c>
      <c r="B927" s="7">
        <v>45419</v>
      </c>
      <c r="C927" s="6" t="s">
        <v>4056</v>
      </c>
      <c r="D927" s="6" t="s">
        <v>4034</v>
      </c>
      <c r="E927" s="6" t="s">
        <v>213</v>
      </c>
      <c r="F927" s="7">
        <v>45419</v>
      </c>
      <c r="G927" s="6" t="s">
        <v>3102</v>
      </c>
      <c r="H927" s="8">
        <v>116</v>
      </c>
      <c r="I927" s="9">
        <v>14</v>
      </c>
      <c r="J927" s="9">
        <v>273.39999999999998</v>
      </c>
      <c r="K927" s="5" t="str">
        <f>VLOOKUP(D927,[1]Clientes!$A$1:$B$1370,2,0)</f>
        <v>NAC0986</v>
      </c>
      <c r="L927" s="5" t="str">
        <f t="shared" si="28"/>
        <v>HGI0124081</v>
      </c>
      <c r="M927" s="5" t="str">
        <f t="shared" si="29"/>
        <v>I</v>
      </c>
      <c r="N927" s="5">
        <f>IF(G927=[1]Clientes!$C$3,[1]Clientes!$D$3,[1]Clientes!$D$2)</f>
        <v>13050505</v>
      </c>
    </row>
    <row r="928" spans="1:14">
      <c r="A928" s="6" t="s">
        <v>7</v>
      </c>
      <c r="B928" s="7">
        <v>45419</v>
      </c>
      <c r="C928" s="6" t="s">
        <v>4057</v>
      </c>
      <c r="D928" s="6" t="s">
        <v>4034</v>
      </c>
      <c r="E928" s="6" t="s">
        <v>213</v>
      </c>
      <c r="F928" s="7">
        <v>45419</v>
      </c>
      <c r="G928" s="6" t="s">
        <v>3102</v>
      </c>
      <c r="H928" s="8">
        <v>116</v>
      </c>
      <c r="I928" s="9">
        <v>31.45</v>
      </c>
      <c r="J928" s="9">
        <v>412.21</v>
      </c>
      <c r="K928" s="5" t="str">
        <f>VLOOKUP(D928,[1]Clientes!$A$1:$B$1370,2,0)</f>
        <v>NAC0986</v>
      </c>
      <c r="L928" s="5" t="str">
        <f t="shared" si="28"/>
        <v>HGI0124087</v>
      </c>
      <c r="M928" s="5" t="str">
        <f t="shared" si="29"/>
        <v>I</v>
      </c>
      <c r="N928" s="5">
        <f>IF(G928=[1]Clientes!$C$3,[1]Clientes!$D$3,[1]Clientes!$D$2)</f>
        <v>13050505</v>
      </c>
    </row>
    <row r="929" spans="1:14">
      <c r="A929" s="6" t="s">
        <v>7</v>
      </c>
      <c r="B929" s="7">
        <v>45441</v>
      </c>
      <c r="C929" s="6" t="s">
        <v>4058</v>
      </c>
      <c r="D929" s="6" t="s">
        <v>4034</v>
      </c>
      <c r="E929" s="6" t="s">
        <v>213</v>
      </c>
      <c r="F929" s="7">
        <v>45441</v>
      </c>
      <c r="G929" s="6" t="s">
        <v>3102</v>
      </c>
      <c r="H929" s="8">
        <v>94</v>
      </c>
      <c r="I929" s="9">
        <v>171.88</v>
      </c>
      <c r="J929" s="9">
        <v>171.88</v>
      </c>
      <c r="K929" s="5" t="str">
        <f>VLOOKUP(D929,[1]Clientes!$A$1:$B$1370,2,0)</f>
        <v>NAC0986</v>
      </c>
      <c r="L929" s="5" t="str">
        <f t="shared" si="28"/>
        <v>HGI0124672</v>
      </c>
      <c r="M929" s="5" t="str">
        <f t="shared" si="29"/>
        <v>I</v>
      </c>
      <c r="N929" s="5">
        <f>IF(G929=[1]Clientes!$C$3,[1]Clientes!$D$3,[1]Clientes!$D$2)</f>
        <v>13050505</v>
      </c>
    </row>
    <row r="930" spans="1:14">
      <c r="A930" s="6" t="s">
        <v>7</v>
      </c>
      <c r="B930" s="7">
        <v>45447</v>
      </c>
      <c r="C930" s="6" t="s">
        <v>4059</v>
      </c>
      <c r="D930" s="6" t="s">
        <v>4034</v>
      </c>
      <c r="E930" s="6" t="s">
        <v>213</v>
      </c>
      <c r="F930" s="7">
        <v>45447</v>
      </c>
      <c r="G930" s="6" t="s">
        <v>3102</v>
      </c>
      <c r="H930" s="8">
        <v>88</v>
      </c>
      <c r="I930" s="9">
        <v>398.75</v>
      </c>
      <c r="J930" s="9">
        <v>398.75</v>
      </c>
      <c r="K930" s="5" t="str">
        <f>VLOOKUP(D930,[1]Clientes!$A$1:$B$1370,2,0)</f>
        <v>NAC0986</v>
      </c>
      <c r="L930" s="5" t="str">
        <f t="shared" si="28"/>
        <v>HGI0124810</v>
      </c>
      <c r="M930" s="5" t="str">
        <f t="shared" si="29"/>
        <v>I</v>
      </c>
      <c r="N930" s="5">
        <f>IF(G930=[1]Clientes!$C$3,[1]Clientes!$D$3,[1]Clientes!$D$2)</f>
        <v>13050505</v>
      </c>
    </row>
    <row r="931" spans="1:14">
      <c r="A931" s="6" t="s">
        <v>3265</v>
      </c>
      <c r="B931" s="7">
        <v>45471</v>
      </c>
      <c r="C931" s="6" t="s">
        <v>4060</v>
      </c>
      <c r="D931" s="6" t="s">
        <v>4034</v>
      </c>
      <c r="E931" s="6"/>
      <c r="F931" s="7"/>
      <c r="G931" s="6" t="s">
        <v>3102</v>
      </c>
      <c r="H931" s="8"/>
      <c r="I931" s="9">
        <v>-5694.68</v>
      </c>
      <c r="J931" s="9">
        <v>-92931.68</v>
      </c>
      <c r="K931" s="5" t="str">
        <f>VLOOKUP(D931,[1]Clientes!$A$1:$B$1370,2,0)</f>
        <v>NAC0986</v>
      </c>
      <c r="L931" s="5" t="str">
        <f t="shared" si="28"/>
        <v>Revisar</v>
      </c>
      <c r="M931" s="5" t="str">
        <f t="shared" si="29"/>
        <v>GJ</v>
      </c>
      <c r="N931" s="5">
        <f>IF(G931=[1]Clientes!$C$3,[1]Clientes!$D$3,[1]Clientes!$D$2)</f>
        <v>13050505</v>
      </c>
    </row>
    <row r="932" spans="1:14">
      <c r="A932" s="6" t="s">
        <v>3265</v>
      </c>
      <c r="B932" s="7">
        <v>45519</v>
      </c>
      <c r="C932" s="6" t="s">
        <v>3336</v>
      </c>
      <c r="D932" s="6" t="s">
        <v>4034</v>
      </c>
      <c r="E932" s="6"/>
      <c r="F932" s="7"/>
      <c r="G932" s="6" t="s">
        <v>3102</v>
      </c>
      <c r="H932" s="8"/>
      <c r="I932" s="9">
        <v>295.49</v>
      </c>
      <c r="J932" s="9">
        <v>295.49</v>
      </c>
      <c r="K932" s="5" t="str">
        <f>VLOOKUP(D932,[1]Clientes!$A$1:$B$1370,2,0)</f>
        <v>NAC0986</v>
      </c>
      <c r="L932" s="5" t="str">
        <f t="shared" si="28"/>
        <v>Revisar</v>
      </c>
      <c r="M932" s="5" t="str">
        <f t="shared" si="29"/>
        <v>GJ</v>
      </c>
      <c r="N932" s="5">
        <f>IF(G932=[1]Clientes!$C$3,[1]Clientes!$D$3,[1]Clientes!$D$2)</f>
        <v>13050505</v>
      </c>
    </row>
    <row r="933" spans="1:14">
      <c r="A933" s="6" t="s">
        <v>3099</v>
      </c>
      <c r="B933" s="7">
        <v>45532</v>
      </c>
      <c r="C933" s="6" t="s">
        <v>4061</v>
      </c>
      <c r="D933" s="6" t="s">
        <v>4034</v>
      </c>
      <c r="E933" s="6" t="s">
        <v>213</v>
      </c>
      <c r="F933" s="7">
        <v>45532</v>
      </c>
      <c r="G933" s="6" t="s">
        <v>3102</v>
      </c>
      <c r="H933" s="8">
        <v>3</v>
      </c>
      <c r="I933" s="9">
        <v>-10.31</v>
      </c>
      <c r="J933" s="9">
        <v>-10.31</v>
      </c>
      <c r="K933" s="5" t="str">
        <f>VLOOKUP(D933,[1]Clientes!$A$1:$B$1370,2,0)</f>
        <v>NAC0986</v>
      </c>
      <c r="L933" s="5" t="str">
        <f t="shared" si="28"/>
        <v>CRM0126930</v>
      </c>
      <c r="M933" s="5" t="str">
        <f t="shared" si="29"/>
        <v>C</v>
      </c>
      <c r="N933" s="5">
        <f>IF(G933=[1]Clientes!$C$3,[1]Clientes!$D$3,[1]Clientes!$D$2)</f>
        <v>13050505</v>
      </c>
    </row>
    <row r="934" spans="1:14">
      <c r="A934" s="6" t="s">
        <v>3099</v>
      </c>
      <c r="B934" s="7">
        <v>45532</v>
      </c>
      <c r="C934" s="6" t="s">
        <v>4062</v>
      </c>
      <c r="D934" s="6" t="s">
        <v>4034</v>
      </c>
      <c r="E934" s="6" t="s">
        <v>213</v>
      </c>
      <c r="F934" s="7">
        <v>45532</v>
      </c>
      <c r="G934" s="6" t="s">
        <v>3102</v>
      </c>
      <c r="H934" s="8">
        <v>3</v>
      </c>
      <c r="I934" s="9">
        <v>-10.37</v>
      </c>
      <c r="J934" s="9">
        <v>-10.37</v>
      </c>
      <c r="K934" s="5" t="str">
        <f>VLOOKUP(D934,[1]Clientes!$A$1:$B$1370,2,0)</f>
        <v>NAC0986</v>
      </c>
      <c r="L934" s="5" t="str">
        <f t="shared" si="28"/>
        <v>CRM0126931</v>
      </c>
      <c r="M934" s="5" t="str">
        <f t="shared" si="29"/>
        <v>C</v>
      </c>
      <c r="N934" s="5">
        <f>IF(G934=[1]Clientes!$C$3,[1]Clientes!$D$3,[1]Clientes!$D$2)</f>
        <v>13050505</v>
      </c>
    </row>
    <row r="935" spans="1:14">
      <c r="A935" s="6" t="s">
        <v>3099</v>
      </c>
      <c r="B935" s="7">
        <v>45532</v>
      </c>
      <c r="C935" s="6" t="s">
        <v>4063</v>
      </c>
      <c r="D935" s="6" t="s">
        <v>4034</v>
      </c>
      <c r="E935" s="6" t="s">
        <v>213</v>
      </c>
      <c r="F935" s="7">
        <v>45532</v>
      </c>
      <c r="G935" s="6" t="s">
        <v>3102</v>
      </c>
      <c r="H935" s="8">
        <v>3</v>
      </c>
      <c r="I935" s="9">
        <v>-5.22</v>
      </c>
      <c r="J935" s="9">
        <v>-5.22</v>
      </c>
      <c r="K935" s="5" t="str">
        <f>VLOOKUP(D935,[1]Clientes!$A$1:$B$1370,2,0)</f>
        <v>NAC0986</v>
      </c>
      <c r="L935" s="5" t="str">
        <f t="shared" si="28"/>
        <v>CRM0126938</v>
      </c>
      <c r="M935" s="5" t="str">
        <f t="shared" si="29"/>
        <v>C</v>
      </c>
      <c r="N935" s="5">
        <f>IF(G935=[1]Clientes!$C$3,[1]Clientes!$D$3,[1]Clientes!$D$2)</f>
        <v>13050505</v>
      </c>
    </row>
    <row r="936" spans="1:14">
      <c r="A936" s="6" t="s">
        <v>3099</v>
      </c>
      <c r="B936" s="7">
        <v>45532</v>
      </c>
      <c r="C936" s="6" t="s">
        <v>4064</v>
      </c>
      <c r="D936" s="6" t="s">
        <v>4034</v>
      </c>
      <c r="E936" s="6" t="s">
        <v>213</v>
      </c>
      <c r="F936" s="7">
        <v>45532</v>
      </c>
      <c r="G936" s="6" t="s">
        <v>3102</v>
      </c>
      <c r="H936" s="8">
        <v>3</v>
      </c>
      <c r="I936" s="9">
        <v>-21.12</v>
      </c>
      <c r="J936" s="9">
        <v>-21.12</v>
      </c>
      <c r="K936" s="5" t="str">
        <f>VLOOKUP(D936,[1]Clientes!$A$1:$B$1370,2,0)</f>
        <v>NAC0986</v>
      </c>
      <c r="L936" s="5" t="str">
        <f t="shared" si="28"/>
        <v>CRM0126942</v>
      </c>
      <c r="M936" s="5" t="str">
        <f t="shared" si="29"/>
        <v>C</v>
      </c>
      <c r="N936" s="5">
        <f>IF(G936=[1]Clientes!$C$3,[1]Clientes!$D$3,[1]Clientes!$D$2)</f>
        <v>13050505</v>
      </c>
    </row>
    <row r="937" spans="1:14">
      <c r="A937" s="6" t="s">
        <v>3099</v>
      </c>
      <c r="B937" s="7">
        <v>45532</v>
      </c>
      <c r="C937" s="6" t="s">
        <v>4065</v>
      </c>
      <c r="D937" s="6" t="s">
        <v>4034</v>
      </c>
      <c r="E937" s="6" t="s">
        <v>213</v>
      </c>
      <c r="F937" s="7">
        <v>45532</v>
      </c>
      <c r="G937" s="6" t="s">
        <v>3102</v>
      </c>
      <c r="H937" s="8">
        <v>3</v>
      </c>
      <c r="I937" s="9">
        <v>-20.22</v>
      </c>
      <c r="J937" s="9">
        <v>-20.22</v>
      </c>
      <c r="K937" s="5" t="str">
        <f>VLOOKUP(D937,[1]Clientes!$A$1:$B$1370,2,0)</f>
        <v>NAC0986</v>
      </c>
      <c r="L937" s="5" t="str">
        <f t="shared" si="28"/>
        <v>CRM0126943</v>
      </c>
      <c r="M937" s="5" t="str">
        <f t="shared" si="29"/>
        <v>C</v>
      </c>
      <c r="N937" s="5">
        <f>IF(G937=[1]Clientes!$C$3,[1]Clientes!$D$3,[1]Clientes!$D$2)</f>
        <v>13050505</v>
      </c>
    </row>
    <row r="938" spans="1:14">
      <c r="A938" s="6" t="s">
        <v>3099</v>
      </c>
      <c r="B938" s="7">
        <v>45532</v>
      </c>
      <c r="C938" s="6" t="s">
        <v>4066</v>
      </c>
      <c r="D938" s="6" t="s">
        <v>4034</v>
      </c>
      <c r="E938" s="6" t="s">
        <v>213</v>
      </c>
      <c r="F938" s="7">
        <v>45532</v>
      </c>
      <c r="G938" s="6" t="s">
        <v>3102</v>
      </c>
      <c r="H938" s="8">
        <v>3</v>
      </c>
      <c r="I938" s="9">
        <v>-14</v>
      </c>
      <c r="J938" s="9">
        <v>-14</v>
      </c>
      <c r="K938" s="5" t="str">
        <f>VLOOKUP(D938,[1]Clientes!$A$1:$B$1370,2,0)</f>
        <v>NAC0986</v>
      </c>
      <c r="L938" s="5" t="str">
        <f t="shared" si="28"/>
        <v>CRM0127024</v>
      </c>
      <c r="M938" s="5" t="str">
        <f t="shared" si="29"/>
        <v>C</v>
      </c>
      <c r="N938" s="5">
        <f>IF(G938=[1]Clientes!$C$3,[1]Clientes!$D$3,[1]Clientes!$D$2)</f>
        <v>13050505</v>
      </c>
    </row>
    <row r="939" spans="1:14">
      <c r="A939" s="6" t="s">
        <v>3099</v>
      </c>
      <c r="B939" s="7">
        <v>45532</v>
      </c>
      <c r="C939" s="6" t="s">
        <v>4067</v>
      </c>
      <c r="D939" s="6" t="s">
        <v>4034</v>
      </c>
      <c r="E939" s="6" t="s">
        <v>213</v>
      </c>
      <c r="F939" s="7">
        <v>45532</v>
      </c>
      <c r="G939" s="6" t="s">
        <v>3102</v>
      </c>
      <c r="H939" s="8">
        <v>3</v>
      </c>
      <c r="I939" s="9">
        <v>-13.51</v>
      </c>
      <c r="J939" s="9">
        <v>-13.51</v>
      </c>
      <c r="K939" s="5" t="str">
        <f>VLOOKUP(D939,[1]Clientes!$A$1:$B$1370,2,0)</f>
        <v>NAC0986</v>
      </c>
      <c r="L939" s="5" t="str">
        <f t="shared" si="28"/>
        <v>CRM0127025</v>
      </c>
      <c r="M939" s="5" t="str">
        <f t="shared" si="29"/>
        <v>C</v>
      </c>
      <c r="N939" s="5">
        <f>IF(G939=[1]Clientes!$C$3,[1]Clientes!$D$3,[1]Clientes!$D$2)</f>
        <v>13050505</v>
      </c>
    </row>
    <row r="940" spans="1:14">
      <c r="A940" s="6" t="s">
        <v>3099</v>
      </c>
      <c r="B940" s="7">
        <v>45532</v>
      </c>
      <c r="C940" s="6" t="s">
        <v>4068</v>
      </c>
      <c r="D940" s="6" t="s">
        <v>4034</v>
      </c>
      <c r="E940" s="6" t="s">
        <v>213</v>
      </c>
      <c r="F940" s="7">
        <v>45532</v>
      </c>
      <c r="G940" s="6" t="s">
        <v>3102</v>
      </c>
      <c r="H940" s="8">
        <v>3</v>
      </c>
      <c r="I940" s="9">
        <v>-15.58</v>
      </c>
      <c r="J940" s="9">
        <v>-15.58</v>
      </c>
      <c r="K940" s="5" t="str">
        <f>VLOOKUP(D940,[1]Clientes!$A$1:$B$1370,2,0)</f>
        <v>NAC0986</v>
      </c>
      <c r="L940" s="5" t="str">
        <f t="shared" si="28"/>
        <v>CRM0127030</v>
      </c>
      <c r="M940" s="5" t="str">
        <f t="shared" si="29"/>
        <v>C</v>
      </c>
      <c r="N940" s="5">
        <f>IF(G940=[1]Clientes!$C$3,[1]Clientes!$D$3,[1]Clientes!$D$2)</f>
        <v>13050505</v>
      </c>
    </row>
    <row r="941" spans="1:14">
      <c r="A941" s="6" t="s">
        <v>3099</v>
      </c>
      <c r="B941" s="7">
        <v>45532</v>
      </c>
      <c r="C941" s="6" t="s">
        <v>4069</v>
      </c>
      <c r="D941" s="6" t="s">
        <v>4034</v>
      </c>
      <c r="E941" s="6" t="s">
        <v>213</v>
      </c>
      <c r="F941" s="7">
        <v>45532</v>
      </c>
      <c r="G941" s="6" t="s">
        <v>3102</v>
      </c>
      <c r="H941" s="8">
        <v>3</v>
      </c>
      <c r="I941" s="9">
        <v>-39.39</v>
      </c>
      <c r="J941" s="9">
        <v>-39.39</v>
      </c>
      <c r="K941" s="5" t="str">
        <f>VLOOKUP(D941,[1]Clientes!$A$1:$B$1370,2,0)</f>
        <v>NAC0986</v>
      </c>
      <c r="L941" s="5" t="str">
        <f t="shared" si="28"/>
        <v>CRM0127032</v>
      </c>
      <c r="M941" s="5" t="str">
        <f t="shared" si="29"/>
        <v>C</v>
      </c>
      <c r="N941" s="5">
        <f>IF(G941=[1]Clientes!$C$3,[1]Clientes!$D$3,[1]Clientes!$D$2)</f>
        <v>13050505</v>
      </c>
    </row>
    <row r="942" spans="1:14">
      <c r="A942" s="6" t="s">
        <v>3099</v>
      </c>
      <c r="B942" s="7">
        <v>45532</v>
      </c>
      <c r="C942" s="6" t="s">
        <v>4070</v>
      </c>
      <c r="D942" s="6" t="s">
        <v>4034</v>
      </c>
      <c r="E942" s="6" t="s">
        <v>213</v>
      </c>
      <c r="F942" s="7">
        <v>45532</v>
      </c>
      <c r="G942" s="6" t="s">
        <v>3102</v>
      </c>
      <c r="H942" s="8">
        <v>3</v>
      </c>
      <c r="I942" s="9">
        <v>-31.45</v>
      </c>
      <c r="J942" s="9">
        <v>-31.45</v>
      </c>
      <c r="K942" s="5" t="str">
        <f>VLOOKUP(D942,[1]Clientes!$A$1:$B$1370,2,0)</f>
        <v>NAC0986</v>
      </c>
      <c r="L942" s="5" t="str">
        <f t="shared" si="28"/>
        <v>CRM0127033</v>
      </c>
      <c r="M942" s="5" t="str">
        <f t="shared" si="29"/>
        <v>C</v>
      </c>
      <c r="N942" s="5">
        <f>IF(G942=[1]Clientes!$C$3,[1]Clientes!$D$3,[1]Clientes!$D$2)</f>
        <v>13050505</v>
      </c>
    </row>
    <row r="943" spans="1:14">
      <c r="A943" s="6" t="s">
        <v>3099</v>
      </c>
      <c r="B943" s="7">
        <v>45532</v>
      </c>
      <c r="C943" s="6" t="s">
        <v>4071</v>
      </c>
      <c r="D943" s="6" t="s">
        <v>4034</v>
      </c>
      <c r="E943" s="6" t="s">
        <v>213</v>
      </c>
      <c r="F943" s="7">
        <v>45532</v>
      </c>
      <c r="G943" s="6" t="s">
        <v>3102</v>
      </c>
      <c r="H943" s="8">
        <v>3</v>
      </c>
      <c r="I943" s="9">
        <v>-13.22</v>
      </c>
      <c r="J943" s="9">
        <v>-13.22</v>
      </c>
      <c r="K943" s="5" t="str">
        <f>VLOOKUP(D943,[1]Clientes!$A$1:$B$1370,2,0)</f>
        <v>NAC0986</v>
      </c>
      <c r="L943" s="5" t="str">
        <f t="shared" si="28"/>
        <v>CRM0127034</v>
      </c>
      <c r="M943" s="5" t="str">
        <f t="shared" si="29"/>
        <v>C</v>
      </c>
      <c r="N943" s="5">
        <f>IF(G943=[1]Clientes!$C$3,[1]Clientes!$D$3,[1]Clientes!$D$2)</f>
        <v>13050505</v>
      </c>
    </row>
    <row r="944" spans="1:14">
      <c r="A944" s="6" t="s">
        <v>3099</v>
      </c>
      <c r="B944" s="7">
        <v>45532</v>
      </c>
      <c r="C944" s="6" t="s">
        <v>4072</v>
      </c>
      <c r="D944" s="6" t="s">
        <v>4034</v>
      </c>
      <c r="E944" s="6" t="s">
        <v>213</v>
      </c>
      <c r="F944" s="7">
        <v>45532</v>
      </c>
      <c r="G944" s="6" t="s">
        <v>3102</v>
      </c>
      <c r="H944" s="8">
        <v>3</v>
      </c>
      <c r="I944" s="9">
        <v>-8.93</v>
      </c>
      <c r="J944" s="9">
        <v>-8.93</v>
      </c>
      <c r="K944" s="5" t="str">
        <f>VLOOKUP(D944,[1]Clientes!$A$1:$B$1370,2,0)</f>
        <v>NAC0986</v>
      </c>
      <c r="L944" s="5" t="str">
        <f t="shared" si="28"/>
        <v>CRM0127035</v>
      </c>
      <c r="M944" s="5" t="str">
        <f t="shared" si="29"/>
        <v>C</v>
      </c>
      <c r="N944" s="5">
        <f>IF(G944=[1]Clientes!$C$3,[1]Clientes!$D$3,[1]Clientes!$D$2)</f>
        <v>13050505</v>
      </c>
    </row>
    <row r="945" spans="1:14">
      <c r="A945" s="6" t="s">
        <v>3099</v>
      </c>
      <c r="B945" s="7">
        <v>45532</v>
      </c>
      <c r="C945" s="6" t="s">
        <v>4073</v>
      </c>
      <c r="D945" s="6" t="s">
        <v>4034</v>
      </c>
      <c r="E945" s="6" t="s">
        <v>213</v>
      </c>
      <c r="F945" s="7">
        <v>45532</v>
      </c>
      <c r="G945" s="6" t="s">
        <v>3102</v>
      </c>
      <c r="H945" s="8">
        <v>3</v>
      </c>
      <c r="I945" s="9">
        <v>-4.43</v>
      </c>
      <c r="J945" s="9">
        <v>-4.43</v>
      </c>
      <c r="K945" s="5" t="str">
        <f>VLOOKUP(D945,[1]Clientes!$A$1:$B$1370,2,0)</f>
        <v>NAC0986</v>
      </c>
      <c r="L945" s="5" t="str">
        <f t="shared" si="28"/>
        <v>CRM0127036</v>
      </c>
      <c r="M945" s="5" t="str">
        <f t="shared" si="29"/>
        <v>C</v>
      </c>
      <c r="N945" s="5">
        <f>IF(G945=[1]Clientes!$C$3,[1]Clientes!$D$3,[1]Clientes!$D$2)</f>
        <v>13050505</v>
      </c>
    </row>
    <row r="946" spans="1:14">
      <c r="A946" s="6" t="s">
        <v>3099</v>
      </c>
      <c r="B946" s="7">
        <v>45532</v>
      </c>
      <c r="C946" s="6" t="s">
        <v>4074</v>
      </c>
      <c r="D946" s="6" t="s">
        <v>4034</v>
      </c>
      <c r="E946" s="6" t="s">
        <v>213</v>
      </c>
      <c r="F946" s="7">
        <v>45532</v>
      </c>
      <c r="G946" s="6" t="s">
        <v>3102</v>
      </c>
      <c r="H946" s="8">
        <v>3</v>
      </c>
      <c r="I946" s="9">
        <v>-5.32</v>
      </c>
      <c r="J946" s="9">
        <v>-5.32</v>
      </c>
      <c r="K946" s="5" t="str">
        <f>VLOOKUP(D946,[1]Clientes!$A$1:$B$1370,2,0)</f>
        <v>NAC0986</v>
      </c>
      <c r="L946" s="5" t="str">
        <f t="shared" si="28"/>
        <v>CRM0127037</v>
      </c>
      <c r="M946" s="5" t="str">
        <f t="shared" si="29"/>
        <v>C</v>
      </c>
      <c r="N946" s="5">
        <f>IF(G946=[1]Clientes!$C$3,[1]Clientes!$D$3,[1]Clientes!$D$2)</f>
        <v>13050505</v>
      </c>
    </row>
    <row r="947" spans="1:14">
      <c r="A947" s="6" t="s">
        <v>3265</v>
      </c>
      <c r="B947" s="7">
        <v>44926</v>
      </c>
      <c r="C947" s="6" t="s">
        <v>3557</v>
      </c>
      <c r="D947" s="6" t="s">
        <v>4075</v>
      </c>
      <c r="E947" s="6"/>
      <c r="F947" s="7"/>
      <c r="G947" s="6" t="s">
        <v>3478</v>
      </c>
      <c r="H947" s="8"/>
      <c r="I947" s="9">
        <v>2040.5</v>
      </c>
      <c r="J947" s="9">
        <v>2040.5</v>
      </c>
      <c r="K947" s="5" t="str">
        <f>VLOOKUP(D947,[1]Clientes!$A$1:$B$1370,2,0)</f>
        <v>NAC0987</v>
      </c>
      <c r="L947" s="5" t="str">
        <f t="shared" si="28"/>
        <v>Revisar</v>
      </c>
      <c r="M947" s="5" t="str">
        <f t="shared" si="29"/>
        <v>GJ</v>
      </c>
      <c r="N947" s="5">
        <f>IF(G947=[1]Clientes!$C$3,[1]Clientes!$D$3,[1]Clientes!$D$2)</f>
        <v>13050101</v>
      </c>
    </row>
    <row r="948" spans="1:14">
      <c r="A948" s="6" t="s">
        <v>7</v>
      </c>
      <c r="B948" s="7">
        <v>45197</v>
      </c>
      <c r="C948" s="6" t="s">
        <v>4076</v>
      </c>
      <c r="D948" s="6" t="s">
        <v>1157</v>
      </c>
      <c r="E948" s="6" t="s">
        <v>16</v>
      </c>
      <c r="F948" s="7">
        <v>45227</v>
      </c>
      <c r="G948" s="6" t="s">
        <v>3102</v>
      </c>
      <c r="H948" s="8">
        <v>308</v>
      </c>
      <c r="I948" s="9">
        <v>9360</v>
      </c>
      <c r="J948" s="9">
        <v>9360</v>
      </c>
      <c r="K948" s="5" t="str">
        <f>VLOOKUP(D948,[1]Clientes!$A$1:$B$1370,2,0)</f>
        <v>NAC0988</v>
      </c>
      <c r="L948" s="5" t="str">
        <f t="shared" si="28"/>
        <v>HGI0115442</v>
      </c>
      <c r="M948" s="5" t="str">
        <f t="shared" si="29"/>
        <v>I</v>
      </c>
      <c r="N948" s="5">
        <f>IF(G948=[1]Clientes!$C$3,[1]Clientes!$D$3,[1]Clientes!$D$2)</f>
        <v>13050505</v>
      </c>
    </row>
    <row r="949" spans="1:14">
      <c r="A949" s="6" t="s">
        <v>7</v>
      </c>
      <c r="B949" s="7">
        <v>45219</v>
      </c>
      <c r="C949" s="6" t="s">
        <v>4077</v>
      </c>
      <c r="D949" s="6" t="s">
        <v>1157</v>
      </c>
      <c r="E949" s="6" t="s">
        <v>16</v>
      </c>
      <c r="F949" s="7">
        <v>45249</v>
      </c>
      <c r="G949" s="6" t="s">
        <v>3102</v>
      </c>
      <c r="H949" s="8">
        <v>286</v>
      </c>
      <c r="I949" s="9">
        <v>1000</v>
      </c>
      <c r="J949" s="9">
        <v>27526.720000000001</v>
      </c>
      <c r="K949" s="5" t="str">
        <f>VLOOKUP(D949,[1]Clientes!$A$1:$B$1370,2,0)</f>
        <v>NAC0988</v>
      </c>
      <c r="L949" s="5" t="str">
        <f t="shared" si="28"/>
        <v>HGI0116245</v>
      </c>
      <c r="M949" s="5" t="str">
        <f t="shared" si="29"/>
        <v>I</v>
      </c>
      <c r="N949" s="5">
        <f>IF(G949=[1]Clientes!$C$3,[1]Clientes!$D$3,[1]Clientes!$D$2)</f>
        <v>13050505</v>
      </c>
    </row>
    <row r="950" spans="1:14">
      <c r="A950" s="6" t="s">
        <v>7</v>
      </c>
      <c r="B950" s="7">
        <v>45229</v>
      </c>
      <c r="C950" s="6" t="s">
        <v>4078</v>
      </c>
      <c r="D950" s="6" t="s">
        <v>1157</v>
      </c>
      <c r="E950" s="6" t="s">
        <v>16</v>
      </c>
      <c r="F950" s="7">
        <v>45259</v>
      </c>
      <c r="G950" s="6" t="s">
        <v>3102</v>
      </c>
      <c r="H950" s="8">
        <v>276</v>
      </c>
      <c r="I950" s="9">
        <v>250</v>
      </c>
      <c r="J950" s="9">
        <v>25181.25</v>
      </c>
      <c r="K950" s="5" t="str">
        <f>VLOOKUP(D950,[1]Clientes!$A$1:$B$1370,2,0)</f>
        <v>NAC0988</v>
      </c>
      <c r="L950" s="5" t="str">
        <f t="shared" si="28"/>
        <v>HGI0116571</v>
      </c>
      <c r="M950" s="5" t="str">
        <f t="shared" si="29"/>
        <v>I</v>
      </c>
      <c r="N950" s="5">
        <f>IF(G950=[1]Clientes!$C$3,[1]Clientes!$D$3,[1]Clientes!$D$2)</f>
        <v>13050505</v>
      </c>
    </row>
    <row r="951" spans="1:14">
      <c r="A951" s="6" t="s">
        <v>3099</v>
      </c>
      <c r="B951" s="7">
        <v>45251</v>
      </c>
      <c r="C951" s="6" t="s">
        <v>4079</v>
      </c>
      <c r="D951" s="6" t="s">
        <v>1157</v>
      </c>
      <c r="E951" s="6" t="s">
        <v>16</v>
      </c>
      <c r="F951" s="7">
        <v>45281</v>
      </c>
      <c r="G951" s="6" t="s">
        <v>3102</v>
      </c>
      <c r="H951" s="8">
        <v>254</v>
      </c>
      <c r="I951" s="9">
        <v>-770</v>
      </c>
      <c r="J951" s="9">
        <v>-770</v>
      </c>
      <c r="K951" s="5" t="str">
        <f>VLOOKUP(D951,[1]Clientes!$A$1:$B$1370,2,0)</f>
        <v>NAC0988</v>
      </c>
      <c r="L951" s="5" t="str">
        <f t="shared" si="28"/>
        <v>CRM0117557</v>
      </c>
      <c r="M951" s="5" t="str">
        <f t="shared" si="29"/>
        <v>C</v>
      </c>
      <c r="N951" s="5">
        <f>IF(G951=[1]Clientes!$C$3,[1]Clientes!$D$3,[1]Clientes!$D$2)</f>
        <v>13050505</v>
      </c>
    </row>
    <row r="952" spans="1:14">
      <c r="A952" s="6" t="s">
        <v>7</v>
      </c>
      <c r="B952" s="7">
        <v>45259</v>
      </c>
      <c r="C952" s="6" t="s">
        <v>4080</v>
      </c>
      <c r="D952" s="6" t="s">
        <v>1157</v>
      </c>
      <c r="E952" s="6" t="s">
        <v>16</v>
      </c>
      <c r="F952" s="7">
        <v>45289</v>
      </c>
      <c r="G952" s="6" t="s">
        <v>3102</v>
      </c>
      <c r="H952" s="8">
        <v>246</v>
      </c>
      <c r="I952" s="9">
        <v>1650</v>
      </c>
      <c r="J952" s="9">
        <v>8865</v>
      </c>
      <c r="K952" s="5" t="str">
        <f>VLOOKUP(D952,[1]Clientes!$A$1:$B$1370,2,0)</f>
        <v>NAC0988</v>
      </c>
      <c r="L952" s="5" t="str">
        <f t="shared" si="28"/>
        <v>HGI0117773</v>
      </c>
      <c r="M952" s="5" t="str">
        <f t="shared" si="29"/>
        <v>I</v>
      </c>
      <c r="N952" s="5">
        <f>IF(G952=[1]Clientes!$C$3,[1]Clientes!$D$3,[1]Clientes!$D$2)</f>
        <v>13050505</v>
      </c>
    </row>
    <row r="953" spans="1:14">
      <c r="A953" s="6" t="s">
        <v>7</v>
      </c>
      <c r="B953" s="7">
        <v>45426</v>
      </c>
      <c r="C953" s="6" t="s">
        <v>4081</v>
      </c>
      <c r="D953" s="6" t="s">
        <v>1157</v>
      </c>
      <c r="E953" s="6" t="s">
        <v>16</v>
      </c>
      <c r="F953" s="7">
        <v>45456</v>
      </c>
      <c r="G953" s="6" t="s">
        <v>3102</v>
      </c>
      <c r="H953" s="8">
        <v>79</v>
      </c>
      <c r="I953" s="9">
        <v>106</v>
      </c>
      <c r="J953" s="9">
        <v>8553.6</v>
      </c>
      <c r="K953" s="5" t="str">
        <f>VLOOKUP(D953,[1]Clientes!$A$1:$B$1370,2,0)</f>
        <v>NAC0988</v>
      </c>
      <c r="L953" s="5" t="str">
        <f t="shared" si="28"/>
        <v>HGI0124313</v>
      </c>
      <c r="M953" s="5" t="str">
        <f t="shared" si="29"/>
        <v>I</v>
      </c>
      <c r="N953" s="5">
        <f>IF(G953=[1]Clientes!$C$3,[1]Clientes!$D$3,[1]Clientes!$D$2)</f>
        <v>13050505</v>
      </c>
    </row>
    <row r="954" spans="1:14">
      <c r="A954" s="6" t="s">
        <v>7</v>
      </c>
      <c r="B954" s="7">
        <v>45520</v>
      </c>
      <c r="C954" s="6" t="s">
        <v>4082</v>
      </c>
      <c r="D954" s="6" t="s">
        <v>1157</v>
      </c>
      <c r="E954" s="6" t="s">
        <v>16</v>
      </c>
      <c r="F954" s="7">
        <v>45550</v>
      </c>
      <c r="G954" s="6" t="s">
        <v>3102</v>
      </c>
      <c r="H954" s="8"/>
      <c r="I954" s="9">
        <v>34940.800000000003</v>
      </c>
      <c r="J954" s="9">
        <v>34940.800000000003</v>
      </c>
      <c r="K954" s="5" t="str">
        <f>VLOOKUP(D954,[1]Clientes!$A$1:$B$1370,2,0)</f>
        <v>NAC0988</v>
      </c>
      <c r="L954" s="5" t="str">
        <f t="shared" si="28"/>
        <v>HGI0126597</v>
      </c>
      <c r="M954" s="5" t="str">
        <f t="shared" si="29"/>
        <v>I</v>
      </c>
      <c r="N954" s="5">
        <f>IF(G954=[1]Clientes!$C$3,[1]Clientes!$D$3,[1]Clientes!$D$2)</f>
        <v>13050505</v>
      </c>
    </row>
    <row r="955" spans="1:14">
      <c r="A955" s="6" t="s">
        <v>7</v>
      </c>
      <c r="B955" s="7">
        <v>45520</v>
      </c>
      <c r="C955" s="6" t="s">
        <v>4083</v>
      </c>
      <c r="D955" s="6" t="s">
        <v>1157</v>
      </c>
      <c r="E955" s="6" t="s">
        <v>16</v>
      </c>
      <c r="F955" s="7">
        <v>45550</v>
      </c>
      <c r="G955" s="6" t="s">
        <v>3102</v>
      </c>
      <c r="H955" s="8"/>
      <c r="I955" s="9">
        <v>21264.2</v>
      </c>
      <c r="J955" s="9">
        <v>21264.2</v>
      </c>
      <c r="K955" s="5" t="str">
        <f>VLOOKUP(D955,[1]Clientes!$A$1:$B$1370,2,0)</f>
        <v>NAC0988</v>
      </c>
      <c r="L955" s="5" t="str">
        <f t="shared" si="28"/>
        <v>HGI0126605</v>
      </c>
      <c r="M955" s="5" t="str">
        <f t="shared" si="29"/>
        <v>I</v>
      </c>
      <c r="N955" s="5">
        <f>IF(G955=[1]Clientes!$C$3,[1]Clientes!$D$3,[1]Clientes!$D$2)</f>
        <v>13050505</v>
      </c>
    </row>
    <row r="956" spans="1:14">
      <c r="A956" s="6" t="s">
        <v>7</v>
      </c>
      <c r="B956" s="7">
        <v>45520</v>
      </c>
      <c r="C956" s="6" t="s">
        <v>4084</v>
      </c>
      <c r="D956" s="6" t="s">
        <v>1157</v>
      </c>
      <c r="E956" s="6" t="s">
        <v>16</v>
      </c>
      <c r="F956" s="7">
        <v>45550</v>
      </c>
      <c r="G956" s="6" t="s">
        <v>3102</v>
      </c>
      <c r="H956" s="8"/>
      <c r="I956" s="9">
        <v>8985.6</v>
      </c>
      <c r="J956" s="9">
        <v>8985.6</v>
      </c>
      <c r="K956" s="5" t="str">
        <f>VLOOKUP(D956,[1]Clientes!$A$1:$B$1370,2,0)</f>
        <v>NAC0988</v>
      </c>
      <c r="L956" s="5" t="str">
        <f t="shared" si="28"/>
        <v>HGI0126620</v>
      </c>
      <c r="M956" s="5" t="str">
        <f t="shared" si="29"/>
        <v>I</v>
      </c>
      <c r="N956" s="5">
        <f>IF(G956=[1]Clientes!$C$3,[1]Clientes!$D$3,[1]Clientes!$D$2)</f>
        <v>13050505</v>
      </c>
    </row>
    <row r="957" spans="1:14">
      <c r="A957" s="6" t="s">
        <v>7</v>
      </c>
      <c r="B957" s="7">
        <v>45511</v>
      </c>
      <c r="C957" s="6" t="s">
        <v>4085</v>
      </c>
      <c r="D957" s="6" t="s">
        <v>1173</v>
      </c>
      <c r="E957" s="6" t="s">
        <v>16</v>
      </c>
      <c r="F957" s="7">
        <v>45541</v>
      </c>
      <c r="G957" s="6" t="s">
        <v>3102</v>
      </c>
      <c r="H957" s="8"/>
      <c r="I957" s="9">
        <v>22.08</v>
      </c>
      <c r="J957" s="9">
        <v>22.08</v>
      </c>
      <c r="K957" s="5" t="str">
        <f>VLOOKUP(D957,[1]Clientes!$A$1:$B$1370,2,0)</f>
        <v>NAC0995</v>
      </c>
      <c r="L957" s="5" t="str">
        <f t="shared" si="28"/>
        <v>HGI0126296</v>
      </c>
      <c r="M957" s="5" t="str">
        <f t="shared" si="29"/>
        <v>I</v>
      </c>
      <c r="N957" s="5">
        <f>IF(G957=[1]Clientes!$C$3,[1]Clientes!$D$3,[1]Clientes!$D$2)</f>
        <v>13050505</v>
      </c>
    </row>
    <row r="958" spans="1:14">
      <c r="A958" s="6" t="s">
        <v>7</v>
      </c>
      <c r="B958" s="7">
        <v>45526</v>
      </c>
      <c r="C958" s="6" t="s">
        <v>4086</v>
      </c>
      <c r="D958" s="6" t="s">
        <v>1173</v>
      </c>
      <c r="E958" s="6" t="s">
        <v>16</v>
      </c>
      <c r="F958" s="7">
        <v>45556</v>
      </c>
      <c r="G958" s="6" t="s">
        <v>3102</v>
      </c>
      <c r="H958" s="8"/>
      <c r="I958" s="9">
        <v>406.25</v>
      </c>
      <c r="J958" s="9">
        <v>406.25</v>
      </c>
      <c r="K958" s="5" t="str">
        <f>VLOOKUP(D958,[1]Clientes!$A$1:$B$1370,2,0)</f>
        <v>NAC0995</v>
      </c>
      <c r="L958" s="5" t="str">
        <f t="shared" si="28"/>
        <v>HGI0126760</v>
      </c>
      <c r="M958" s="5" t="str">
        <f t="shared" si="29"/>
        <v>I</v>
      </c>
      <c r="N958" s="5">
        <f>IF(G958=[1]Clientes!$C$3,[1]Clientes!$D$3,[1]Clientes!$D$2)</f>
        <v>13050505</v>
      </c>
    </row>
    <row r="959" spans="1:14">
      <c r="A959" s="6" t="s">
        <v>7</v>
      </c>
      <c r="B959" s="7">
        <v>45526</v>
      </c>
      <c r="C959" s="6" t="s">
        <v>4087</v>
      </c>
      <c r="D959" s="6" t="s">
        <v>1173</v>
      </c>
      <c r="E959" s="6" t="s">
        <v>16</v>
      </c>
      <c r="F959" s="7">
        <v>45556</v>
      </c>
      <c r="G959" s="6" t="s">
        <v>3102</v>
      </c>
      <c r="H959" s="8"/>
      <c r="I959" s="9">
        <v>135</v>
      </c>
      <c r="J959" s="9">
        <v>135</v>
      </c>
      <c r="K959" s="5" t="str">
        <f>VLOOKUP(D959,[1]Clientes!$A$1:$B$1370,2,0)</f>
        <v>NAC0995</v>
      </c>
      <c r="L959" s="5" t="str">
        <f t="shared" si="28"/>
        <v>HGI0126799</v>
      </c>
      <c r="M959" s="5" t="str">
        <f t="shared" si="29"/>
        <v>I</v>
      </c>
      <c r="N959" s="5">
        <f>IF(G959=[1]Clientes!$C$3,[1]Clientes!$D$3,[1]Clientes!$D$2)</f>
        <v>13050505</v>
      </c>
    </row>
    <row r="960" spans="1:14">
      <c r="A960" s="6" t="s">
        <v>3139</v>
      </c>
      <c r="B960" s="7">
        <v>45531</v>
      </c>
      <c r="C960" s="6"/>
      <c r="D960" s="6" t="s">
        <v>4088</v>
      </c>
      <c r="E960" s="6"/>
      <c r="F960" s="7"/>
      <c r="G960" s="6" t="s">
        <v>3102</v>
      </c>
      <c r="H960" s="8"/>
      <c r="I960" s="9">
        <v>-9742.2000000000007</v>
      </c>
      <c r="J960" s="9">
        <v>-9742.2000000000007</v>
      </c>
      <c r="K960" s="5" t="str">
        <f>VLOOKUP(D960,[1]Clientes!$A$1:$B$1485,2,0)</f>
        <v>NAC0996</v>
      </c>
      <c r="L960" s="5" t="str">
        <f t="shared" si="28"/>
        <v>Revisar</v>
      </c>
      <c r="M960" s="5" t="str">
        <f t="shared" si="29"/>
        <v>P</v>
      </c>
      <c r="N960" s="5">
        <f>IF(G960=[1]Clientes!$C$3,[1]Clientes!$D$3,[1]Clientes!$D$2)</f>
        <v>13050505</v>
      </c>
    </row>
    <row r="961" spans="1:14">
      <c r="A961" s="6" t="s">
        <v>7</v>
      </c>
      <c r="B961" s="7">
        <v>45532</v>
      </c>
      <c r="C961" s="6" t="s">
        <v>4089</v>
      </c>
      <c r="D961" s="6" t="s">
        <v>4090</v>
      </c>
      <c r="E961" s="6" t="s">
        <v>213</v>
      </c>
      <c r="F961" s="7">
        <v>45532</v>
      </c>
      <c r="G961" s="6" t="s">
        <v>3102</v>
      </c>
      <c r="H961" s="8">
        <v>3</v>
      </c>
      <c r="I961" s="9">
        <v>96</v>
      </c>
      <c r="J961" s="9">
        <v>96</v>
      </c>
      <c r="K961" s="5" t="str">
        <f>VLOOKUP(D961,[1]Clientes!$A$1:$B$1370,2,0)</f>
        <v>NAC1002</v>
      </c>
      <c r="L961" s="5" t="str">
        <f t="shared" si="28"/>
        <v>HGI0127054</v>
      </c>
      <c r="M961" s="5" t="str">
        <f t="shared" si="29"/>
        <v>I</v>
      </c>
      <c r="N961" s="5">
        <f>IF(G961=[1]Clientes!$C$3,[1]Clientes!$D$3,[1]Clientes!$D$2)</f>
        <v>13050505</v>
      </c>
    </row>
    <row r="962" spans="1:14">
      <c r="A962" s="6" t="s">
        <v>7</v>
      </c>
      <c r="B962" s="7">
        <v>45526</v>
      </c>
      <c r="C962" s="6" t="s">
        <v>4091</v>
      </c>
      <c r="D962" s="6" t="s">
        <v>4092</v>
      </c>
      <c r="E962" s="6" t="s">
        <v>213</v>
      </c>
      <c r="F962" s="7">
        <v>45526</v>
      </c>
      <c r="G962" s="6" t="s">
        <v>3102</v>
      </c>
      <c r="H962" s="8">
        <v>9</v>
      </c>
      <c r="I962" s="9">
        <v>263.51</v>
      </c>
      <c r="J962" s="9">
        <v>263.51</v>
      </c>
      <c r="K962" s="5" t="str">
        <f>VLOOKUP(D962,[1]Clientes!$A$1:$B$1370,2,0)</f>
        <v>SH02751</v>
      </c>
      <c r="L962" s="5" t="str">
        <f t="shared" si="28"/>
        <v>HGI0126777</v>
      </c>
      <c r="M962" s="5" t="str">
        <f t="shared" si="29"/>
        <v>I</v>
      </c>
      <c r="N962" s="5">
        <f>IF(G962=[1]Clientes!$C$3,[1]Clientes!$D$3,[1]Clientes!$D$2)</f>
        <v>13050505</v>
      </c>
    </row>
    <row r="963" spans="1:14">
      <c r="A963" s="6" t="s">
        <v>3099</v>
      </c>
      <c r="B963" s="7">
        <v>45322</v>
      </c>
      <c r="C963" s="6" t="s">
        <v>4093</v>
      </c>
      <c r="D963" s="6" t="s">
        <v>1183</v>
      </c>
      <c r="E963" s="6" t="s">
        <v>16</v>
      </c>
      <c r="F963" s="7">
        <v>45352</v>
      </c>
      <c r="G963" s="6" t="s">
        <v>3102</v>
      </c>
      <c r="H963" s="8">
        <v>183</v>
      </c>
      <c r="I963" s="9">
        <v>-1440</v>
      </c>
      <c r="J963" s="9">
        <v>-1440</v>
      </c>
      <c r="K963" s="5" t="str">
        <f>VLOOKUP(D963,[1]Clientes!$A$1:$B$1370,2,0)</f>
        <v>NAC1007</v>
      </c>
      <c r="L963" s="5" t="str">
        <f t="shared" ref="L963:L1026" si="30">IF(A963="Invoice",
    IF(LEFT(C963,5)="TGDR-", "TGDR"&amp;RIGHT(C963,LEN(C963)-5), "HGI"&amp;C963),
    IF(A963="Credit Memo",
        IF(LEFT(C963,5)="TGDR-", "CRM"&amp;RIGHT(C963,LEN(C963)-5), "CRM"&amp;C963),
        "Revisar")
)</f>
        <v>CRM0120162</v>
      </c>
      <c r="M963" s="5" t="str">
        <f t="shared" ref="M963:M1026" si="31">IF(A963="Invoice","I",IF(A963="Credit Memo","C",IF(A963="Payment","P","GJ")))</f>
        <v>C</v>
      </c>
      <c r="N963" s="5">
        <f>IF(G963=[1]Clientes!$C$3,[1]Clientes!$D$3,[1]Clientes!$D$2)</f>
        <v>13050505</v>
      </c>
    </row>
    <row r="964" spans="1:14">
      <c r="A964" s="6" t="s">
        <v>7</v>
      </c>
      <c r="B964" s="7">
        <v>45532</v>
      </c>
      <c r="C964" s="6" t="s">
        <v>4094</v>
      </c>
      <c r="D964" s="6" t="s">
        <v>4095</v>
      </c>
      <c r="E964" s="6" t="s">
        <v>16</v>
      </c>
      <c r="F964" s="7">
        <v>45562</v>
      </c>
      <c r="G964" s="6" t="s">
        <v>3102</v>
      </c>
      <c r="H964" s="8"/>
      <c r="I964" s="9">
        <v>18060.5</v>
      </c>
      <c r="J964" s="9">
        <v>18060.5</v>
      </c>
      <c r="K964" s="5" t="str">
        <f>VLOOKUP(D964,[1]Clientes!$A$1:$B$1370,2,0)</f>
        <v>NAC1009</v>
      </c>
      <c r="L964" s="5" t="str">
        <f t="shared" si="30"/>
        <v>HGI0127062</v>
      </c>
      <c r="M964" s="5" t="str">
        <f t="shared" si="31"/>
        <v>I</v>
      </c>
      <c r="N964" s="5">
        <f>IF(G964=[1]Clientes!$C$3,[1]Clientes!$D$3,[1]Clientes!$D$2)</f>
        <v>13050505</v>
      </c>
    </row>
    <row r="965" spans="1:14">
      <c r="A965" s="6" t="s">
        <v>7</v>
      </c>
      <c r="B965" s="7">
        <v>45532</v>
      </c>
      <c r="C965" s="6" t="s">
        <v>4096</v>
      </c>
      <c r="D965" s="6" t="s">
        <v>4097</v>
      </c>
      <c r="E965" s="6" t="s">
        <v>213</v>
      </c>
      <c r="F965" s="7">
        <v>45532</v>
      </c>
      <c r="G965" s="6" t="s">
        <v>3102</v>
      </c>
      <c r="H965" s="8">
        <v>3</v>
      </c>
      <c r="I965" s="9">
        <v>278.67</v>
      </c>
      <c r="J965" s="9">
        <v>278.67</v>
      </c>
      <c r="K965" s="5" t="str">
        <f>VLOOKUP(D965,[1]Clientes!$A$1:$B$1370,2,0)</f>
        <v>SH02832</v>
      </c>
      <c r="L965" s="5" t="str">
        <f t="shared" si="30"/>
        <v>HGI0127012</v>
      </c>
      <c r="M965" s="5" t="str">
        <f t="shared" si="31"/>
        <v>I</v>
      </c>
      <c r="N965" s="5">
        <f>IF(G965=[1]Clientes!$C$3,[1]Clientes!$D$3,[1]Clientes!$D$2)</f>
        <v>13050505</v>
      </c>
    </row>
    <row r="966" spans="1:14">
      <c r="A966" s="6" t="s">
        <v>7</v>
      </c>
      <c r="B966" s="7">
        <v>45510</v>
      </c>
      <c r="C966" s="6" t="s">
        <v>4098</v>
      </c>
      <c r="D966" s="6" t="s">
        <v>4099</v>
      </c>
      <c r="E966" s="6" t="s">
        <v>16</v>
      </c>
      <c r="F966" s="7">
        <v>45540</v>
      </c>
      <c r="G966" s="6" t="s">
        <v>3102</v>
      </c>
      <c r="H966" s="8"/>
      <c r="I966" s="9">
        <v>1380</v>
      </c>
      <c r="J966" s="9">
        <v>1380</v>
      </c>
      <c r="K966" s="5" t="str">
        <f>VLOOKUP(D966,[1]Clientes!$A$1:$B$1485,2,0)</f>
        <v>NAC1017</v>
      </c>
      <c r="L966" s="5" t="str">
        <f t="shared" si="30"/>
        <v>HGI0126252</v>
      </c>
      <c r="M966" s="5" t="str">
        <f t="shared" si="31"/>
        <v>I</v>
      </c>
      <c r="N966" s="5">
        <f>IF(G966=[1]Clientes!$C$3,[1]Clientes!$D$3,[1]Clientes!$D$2)</f>
        <v>13050505</v>
      </c>
    </row>
    <row r="967" spans="1:14">
      <c r="A967" s="6" t="s">
        <v>7</v>
      </c>
      <c r="B967" s="7">
        <v>45519</v>
      </c>
      <c r="C967" s="6" t="s">
        <v>4100</v>
      </c>
      <c r="D967" s="6" t="s">
        <v>4099</v>
      </c>
      <c r="E967" s="6" t="s">
        <v>16</v>
      </c>
      <c r="F967" s="7">
        <v>45549</v>
      </c>
      <c r="G967" s="6" t="s">
        <v>3102</v>
      </c>
      <c r="H967" s="8"/>
      <c r="I967" s="9">
        <v>7514</v>
      </c>
      <c r="J967" s="9">
        <v>7514</v>
      </c>
      <c r="K967" s="5" t="str">
        <f>VLOOKUP(D967,[1]Clientes!$A$1:$B$1485,2,0)</f>
        <v>NAC1017</v>
      </c>
      <c r="L967" s="5" t="str">
        <f t="shared" si="30"/>
        <v>HGI0126532</v>
      </c>
      <c r="M967" s="5" t="str">
        <f t="shared" si="31"/>
        <v>I</v>
      </c>
      <c r="N967" s="5">
        <f>IF(G967=[1]Clientes!$C$3,[1]Clientes!$D$3,[1]Clientes!$D$2)</f>
        <v>13050505</v>
      </c>
    </row>
    <row r="968" spans="1:14">
      <c r="A968" s="6" t="s">
        <v>7</v>
      </c>
      <c r="B968" s="7">
        <v>45519</v>
      </c>
      <c r="C968" s="6" t="s">
        <v>4101</v>
      </c>
      <c r="D968" s="6" t="s">
        <v>4099</v>
      </c>
      <c r="E968" s="6" t="s">
        <v>16</v>
      </c>
      <c r="F968" s="7">
        <v>45549</v>
      </c>
      <c r="G968" s="6" t="s">
        <v>3102</v>
      </c>
      <c r="H968" s="8"/>
      <c r="I968" s="9">
        <v>4600</v>
      </c>
      <c r="J968" s="9">
        <v>4600</v>
      </c>
      <c r="K968" s="5" t="str">
        <f>VLOOKUP(D968,[1]Clientes!$A$1:$B$1485,2,0)</f>
        <v>NAC1017</v>
      </c>
      <c r="L968" s="5" t="str">
        <f t="shared" si="30"/>
        <v>HGI0126540</v>
      </c>
      <c r="M968" s="5" t="str">
        <f t="shared" si="31"/>
        <v>I</v>
      </c>
      <c r="N968" s="5">
        <f>IF(G968=[1]Clientes!$C$3,[1]Clientes!$D$3,[1]Clientes!$D$2)</f>
        <v>13050505</v>
      </c>
    </row>
    <row r="969" spans="1:14">
      <c r="A969" s="6" t="s">
        <v>7</v>
      </c>
      <c r="B969" s="7">
        <v>45367</v>
      </c>
      <c r="C969" s="6" t="s">
        <v>4102</v>
      </c>
      <c r="D969" s="6" t="s">
        <v>4103</v>
      </c>
      <c r="E969" s="6" t="s">
        <v>16</v>
      </c>
      <c r="F969" s="7">
        <v>45397</v>
      </c>
      <c r="G969" s="6" t="s">
        <v>3102</v>
      </c>
      <c r="H969" s="8">
        <v>138</v>
      </c>
      <c r="I969" s="9">
        <v>196.77</v>
      </c>
      <c r="J969" s="9">
        <v>2735.73</v>
      </c>
      <c r="K969" s="5" t="str">
        <f>VLOOKUP(D969,[1]Clientes!$A$1:$B$1485,2,0)</f>
        <v>NAC1616</v>
      </c>
      <c r="L969" s="5" t="str">
        <f t="shared" si="30"/>
        <v>HGI0121999</v>
      </c>
      <c r="M969" s="5" t="str">
        <f t="shared" si="31"/>
        <v>I</v>
      </c>
      <c r="N969" s="5">
        <f>IF(G969=[1]Clientes!$C$3,[1]Clientes!$D$3,[1]Clientes!$D$2)</f>
        <v>13050505</v>
      </c>
    </row>
    <row r="970" spans="1:14">
      <c r="A970" s="6" t="s">
        <v>7</v>
      </c>
      <c r="B970" s="7">
        <v>45512</v>
      </c>
      <c r="C970" s="6" t="s">
        <v>4104</v>
      </c>
      <c r="D970" s="6" t="s">
        <v>4105</v>
      </c>
      <c r="E970" s="6" t="s">
        <v>16</v>
      </c>
      <c r="F970" s="7">
        <v>45542</v>
      </c>
      <c r="G970" s="6" t="s">
        <v>3102</v>
      </c>
      <c r="H970" s="8"/>
      <c r="I970" s="9">
        <v>700</v>
      </c>
      <c r="J970" s="9">
        <v>700</v>
      </c>
      <c r="K970" s="5" t="str">
        <f>VLOOKUP(D970,[1]Clientes!$A$1:$B$1485,2,0)</f>
        <v>NAC1015</v>
      </c>
      <c r="L970" s="5" t="str">
        <f t="shared" si="30"/>
        <v>HGI0126338</v>
      </c>
      <c r="M970" s="5" t="str">
        <f t="shared" si="31"/>
        <v>I</v>
      </c>
      <c r="N970" s="5">
        <f>IF(G970=[1]Clientes!$C$3,[1]Clientes!$D$3,[1]Clientes!$D$2)</f>
        <v>13050505</v>
      </c>
    </row>
    <row r="971" spans="1:14">
      <c r="A971" s="6" t="s">
        <v>7</v>
      </c>
      <c r="B971" s="7">
        <v>45519</v>
      </c>
      <c r="C971" s="6" t="s">
        <v>4106</v>
      </c>
      <c r="D971" s="6" t="s">
        <v>4105</v>
      </c>
      <c r="E971" s="6" t="s">
        <v>16</v>
      </c>
      <c r="F971" s="7">
        <v>45549</v>
      </c>
      <c r="G971" s="6" t="s">
        <v>3102</v>
      </c>
      <c r="H971" s="8"/>
      <c r="I971" s="9">
        <v>6936</v>
      </c>
      <c r="J971" s="9">
        <v>6936</v>
      </c>
      <c r="K971" s="5" t="str">
        <f>VLOOKUP(D971,[1]Clientes!$A$1:$B$1485,2,0)</f>
        <v>NAC1015</v>
      </c>
      <c r="L971" s="5" t="str">
        <f t="shared" si="30"/>
        <v>HGI0126536</v>
      </c>
      <c r="M971" s="5" t="str">
        <f t="shared" si="31"/>
        <v>I</v>
      </c>
      <c r="N971" s="5">
        <f>IF(G971=[1]Clientes!$C$3,[1]Clientes!$D$3,[1]Clientes!$D$2)</f>
        <v>13050505</v>
      </c>
    </row>
    <row r="972" spans="1:14">
      <c r="A972" s="6" t="s">
        <v>7</v>
      </c>
      <c r="B972" s="7">
        <v>45526</v>
      </c>
      <c r="C972" s="6" t="s">
        <v>4107</v>
      </c>
      <c r="D972" s="6" t="s">
        <v>4105</v>
      </c>
      <c r="E972" s="6" t="s">
        <v>16</v>
      </c>
      <c r="F972" s="7">
        <v>45556</v>
      </c>
      <c r="G972" s="6" t="s">
        <v>3102</v>
      </c>
      <c r="H972" s="8"/>
      <c r="I972" s="9">
        <v>1156</v>
      </c>
      <c r="J972" s="9">
        <v>1156</v>
      </c>
      <c r="K972" s="5" t="str">
        <f>VLOOKUP(D972,[1]Clientes!$A$1:$B$1485,2,0)</f>
        <v>NAC1015</v>
      </c>
      <c r="L972" s="5" t="str">
        <f t="shared" si="30"/>
        <v>HGI0126764</v>
      </c>
      <c r="M972" s="5" t="str">
        <f t="shared" si="31"/>
        <v>I</v>
      </c>
      <c r="N972" s="5">
        <f>IF(G972=[1]Clientes!$C$3,[1]Clientes!$D$3,[1]Clientes!$D$2)</f>
        <v>13050505</v>
      </c>
    </row>
    <row r="973" spans="1:14">
      <c r="A973" s="6" t="s">
        <v>7</v>
      </c>
      <c r="B973" s="7">
        <v>45532</v>
      </c>
      <c r="C973" s="6" t="s">
        <v>4108</v>
      </c>
      <c r="D973" s="6" t="s">
        <v>1203</v>
      </c>
      <c r="E973" s="6" t="s">
        <v>16</v>
      </c>
      <c r="F973" s="7">
        <v>45562</v>
      </c>
      <c r="G973" s="6" t="s">
        <v>3102</v>
      </c>
      <c r="H973" s="8"/>
      <c r="I973" s="9">
        <v>845</v>
      </c>
      <c r="J973" s="9">
        <v>845</v>
      </c>
      <c r="K973" s="5" t="str">
        <f>VLOOKUP(D973,[1]Clientes!$A$1:$B$1370,2,0)</f>
        <v>NAC1021</v>
      </c>
      <c r="L973" s="5" t="str">
        <f t="shared" si="30"/>
        <v>HGI0126992</v>
      </c>
      <c r="M973" s="5" t="str">
        <f t="shared" si="31"/>
        <v>I</v>
      </c>
      <c r="N973" s="5">
        <f>IF(G973=[1]Clientes!$C$3,[1]Clientes!$D$3,[1]Clientes!$D$2)</f>
        <v>13050505</v>
      </c>
    </row>
    <row r="974" spans="1:14">
      <c r="A974" s="6" t="s">
        <v>7</v>
      </c>
      <c r="B974" s="7">
        <v>45532</v>
      </c>
      <c r="C974" s="6" t="s">
        <v>4109</v>
      </c>
      <c r="D974" s="6" t="s">
        <v>4110</v>
      </c>
      <c r="E974" s="6" t="s">
        <v>213</v>
      </c>
      <c r="F974" s="7">
        <v>45532</v>
      </c>
      <c r="G974" s="6" t="s">
        <v>3102</v>
      </c>
      <c r="H974" s="8">
        <v>3</v>
      </c>
      <c r="I974" s="9">
        <v>11.81</v>
      </c>
      <c r="J974" s="9">
        <v>11.81</v>
      </c>
      <c r="K974" s="5" t="str">
        <f>VLOOKUP(D974,[1]Clientes!$A$1:$B$1485,2,0)</f>
        <v>SH02834</v>
      </c>
      <c r="L974" s="5" t="str">
        <f t="shared" si="30"/>
        <v>HGI0127053</v>
      </c>
      <c r="M974" s="5" t="str">
        <f t="shared" si="31"/>
        <v>I</v>
      </c>
      <c r="N974" s="5">
        <f>IF(G974=[1]Clientes!$C$3,[1]Clientes!$D$3,[1]Clientes!$D$2)</f>
        <v>13050505</v>
      </c>
    </row>
    <row r="975" spans="1:14">
      <c r="A975" s="6" t="s">
        <v>3139</v>
      </c>
      <c r="B975" s="7">
        <v>44823</v>
      </c>
      <c r="C975" s="6" t="s">
        <v>4111</v>
      </c>
      <c r="D975" s="6" t="s">
        <v>1212</v>
      </c>
      <c r="E975" s="6"/>
      <c r="F975" s="7"/>
      <c r="G975" s="6" t="s">
        <v>3102</v>
      </c>
      <c r="H975" s="8"/>
      <c r="I975" s="9">
        <v>-2408</v>
      </c>
      <c r="J975" s="9">
        <v>-2408</v>
      </c>
      <c r="K975" s="5" t="str">
        <f>VLOOKUP(D975,[1]Clientes!$A$1:$B$1370,2,0)</f>
        <v>NAC1027</v>
      </c>
      <c r="L975" s="5" t="str">
        <f t="shared" si="30"/>
        <v>Revisar</v>
      </c>
      <c r="M975" s="5" t="str">
        <f t="shared" si="31"/>
        <v>P</v>
      </c>
      <c r="N975" s="5">
        <f>IF(G975=[1]Clientes!$C$3,[1]Clientes!$D$3,[1]Clientes!$D$2)</f>
        <v>13050505</v>
      </c>
    </row>
    <row r="976" spans="1:14">
      <c r="A976" s="6" t="s">
        <v>7</v>
      </c>
      <c r="B976" s="7">
        <v>45523</v>
      </c>
      <c r="C976" s="6" t="s">
        <v>4112</v>
      </c>
      <c r="D976" s="6" t="s">
        <v>1212</v>
      </c>
      <c r="E976" s="6" t="s">
        <v>16</v>
      </c>
      <c r="F976" s="7">
        <v>45553</v>
      </c>
      <c r="G976" s="6" t="s">
        <v>3102</v>
      </c>
      <c r="H976" s="8"/>
      <c r="I976" s="9">
        <v>2293.5</v>
      </c>
      <c r="J976" s="9">
        <v>2293.5</v>
      </c>
      <c r="K976" s="5" t="str">
        <f>VLOOKUP(D976,[1]Clientes!$A$1:$B$1370,2,0)</f>
        <v>NAC1027</v>
      </c>
      <c r="L976" s="5" t="str">
        <f t="shared" si="30"/>
        <v>HGI0126672</v>
      </c>
      <c r="M976" s="5" t="str">
        <f t="shared" si="31"/>
        <v>I</v>
      </c>
      <c r="N976" s="5">
        <f>IF(G976=[1]Clientes!$C$3,[1]Clientes!$D$3,[1]Clientes!$D$2)</f>
        <v>13050505</v>
      </c>
    </row>
    <row r="977" spans="1:14">
      <c r="A977" s="6" t="s">
        <v>7</v>
      </c>
      <c r="B977" s="7">
        <v>45531</v>
      </c>
      <c r="C977" s="6" t="s">
        <v>4113</v>
      </c>
      <c r="D977" s="6" t="s">
        <v>1212</v>
      </c>
      <c r="E977" s="6" t="s">
        <v>16</v>
      </c>
      <c r="F977" s="7">
        <v>45561</v>
      </c>
      <c r="G977" s="6" t="s">
        <v>3102</v>
      </c>
      <c r="H977" s="8"/>
      <c r="I977" s="9">
        <v>163.80000000000001</v>
      </c>
      <c r="J977" s="9">
        <v>163.80000000000001</v>
      </c>
      <c r="K977" s="5" t="str">
        <f>VLOOKUP(D977,[1]Clientes!$A$1:$B$1370,2,0)</f>
        <v>NAC1027</v>
      </c>
      <c r="L977" s="5" t="str">
        <f t="shared" si="30"/>
        <v>HGI0126904</v>
      </c>
      <c r="M977" s="5" t="str">
        <f t="shared" si="31"/>
        <v>I</v>
      </c>
      <c r="N977" s="5">
        <f>IF(G977=[1]Clientes!$C$3,[1]Clientes!$D$3,[1]Clientes!$D$2)</f>
        <v>13050505</v>
      </c>
    </row>
    <row r="978" spans="1:14">
      <c r="A978" s="6" t="s">
        <v>3099</v>
      </c>
      <c r="B978" s="7">
        <v>45253</v>
      </c>
      <c r="C978" s="6" t="s">
        <v>4114</v>
      </c>
      <c r="D978" s="6" t="s">
        <v>4115</v>
      </c>
      <c r="E978" s="6" t="s">
        <v>1216</v>
      </c>
      <c r="F978" s="7">
        <v>45343</v>
      </c>
      <c r="G978" s="6" t="s">
        <v>3102</v>
      </c>
      <c r="H978" s="8">
        <v>192</v>
      </c>
      <c r="I978" s="9">
        <v>-500</v>
      </c>
      <c r="J978" s="9">
        <v>-500</v>
      </c>
      <c r="K978" s="5" t="str">
        <f>VLOOKUP(D978,[1]Clientes!$A$1:$B$1485,2,0)</f>
        <v>NAC1032</v>
      </c>
      <c r="L978" s="5" t="str">
        <f t="shared" si="30"/>
        <v>CRM0117650</v>
      </c>
      <c r="M978" s="5" t="str">
        <f t="shared" si="31"/>
        <v>C</v>
      </c>
      <c r="N978" s="5">
        <f>IF(G978=[1]Clientes!$C$3,[1]Clientes!$D$3,[1]Clientes!$D$2)</f>
        <v>13050505</v>
      </c>
    </row>
    <row r="979" spans="1:14">
      <c r="A979" s="6" t="s">
        <v>7</v>
      </c>
      <c r="B979" s="7">
        <v>45306</v>
      </c>
      <c r="C979" s="6" t="s">
        <v>4116</v>
      </c>
      <c r="D979" s="6" t="s">
        <v>4115</v>
      </c>
      <c r="E979" s="6" t="s">
        <v>1216</v>
      </c>
      <c r="F979" s="7">
        <v>45396</v>
      </c>
      <c r="G979" s="6" t="s">
        <v>3102</v>
      </c>
      <c r="H979" s="8">
        <v>139</v>
      </c>
      <c r="I979" s="9">
        <v>27132</v>
      </c>
      <c r="J979" s="9">
        <v>27132</v>
      </c>
      <c r="K979" s="5" t="str">
        <f>VLOOKUP(D979,[1]Clientes!$A$1:$B$1485,2,0)</f>
        <v>NAC1032</v>
      </c>
      <c r="L979" s="5" t="str">
        <f t="shared" si="30"/>
        <v>HGI0119289</v>
      </c>
      <c r="M979" s="5" t="str">
        <f t="shared" si="31"/>
        <v>I</v>
      </c>
      <c r="N979" s="5">
        <f>IF(G979=[1]Clientes!$C$3,[1]Clientes!$D$3,[1]Clientes!$D$2)</f>
        <v>13050505</v>
      </c>
    </row>
    <row r="980" spans="1:14">
      <c r="A980" s="6" t="s">
        <v>7</v>
      </c>
      <c r="B980" s="7">
        <v>45307</v>
      </c>
      <c r="C980" s="6" t="s">
        <v>4117</v>
      </c>
      <c r="D980" s="6" t="s">
        <v>4115</v>
      </c>
      <c r="E980" s="6" t="s">
        <v>1216</v>
      </c>
      <c r="F980" s="7">
        <v>45397</v>
      </c>
      <c r="G980" s="6" t="s">
        <v>3102</v>
      </c>
      <c r="H980" s="8">
        <v>138</v>
      </c>
      <c r="I980" s="9">
        <v>541.82000000000005</v>
      </c>
      <c r="J980" s="9">
        <v>4182</v>
      </c>
      <c r="K980" s="5" t="str">
        <f>VLOOKUP(D980,[1]Clientes!$A$1:$B$1485,2,0)</f>
        <v>NAC1032</v>
      </c>
      <c r="L980" s="5" t="str">
        <f t="shared" si="30"/>
        <v>HGI0119391</v>
      </c>
      <c r="M980" s="5" t="str">
        <f t="shared" si="31"/>
        <v>I</v>
      </c>
      <c r="N980" s="5">
        <f>IF(G980=[1]Clientes!$C$3,[1]Clientes!$D$3,[1]Clientes!$D$2)</f>
        <v>13050505</v>
      </c>
    </row>
    <row r="981" spans="1:14">
      <c r="A981" s="6" t="s">
        <v>7</v>
      </c>
      <c r="B981" s="7">
        <v>45328</v>
      </c>
      <c r="C981" s="6" t="s">
        <v>4118</v>
      </c>
      <c r="D981" s="6" t="s">
        <v>4115</v>
      </c>
      <c r="E981" s="6" t="s">
        <v>1216</v>
      </c>
      <c r="F981" s="7">
        <v>45418</v>
      </c>
      <c r="G981" s="6" t="s">
        <v>3102</v>
      </c>
      <c r="H981" s="8">
        <v>117</v>
      </c>
      <c r="I981" s="9">
        <v>30.96</v>
      </c>
      <c r="J981" s="9">
        <v>1254.5999999999999</v>
      </c>
      <c r="K981" s="5" t="str">
        <f>VLOOKUP(D981,[1]Clientes!$A$1:$B$1485,2,0)</f>
        <v>NAC1032</v>
      </c>
      <c r="L981" s="5" t="str">
        <f t="shared" si="30"/>
        <v>HGI0120603</v>
      </c>
      <c r="M981" s="5" t="str">
        <f t="shared" si="31"/>
        <v>I</v>
      </c>
      <c r="N981" s="5">
        <f>IF(G981=[1]Clientes!$C$3,[1]Clientes!$D$3,[1]Clientes!$D$2)</f>
        <v>13050505</v>
      </c>
    </row>
    <row r="982" spans="1:14">
      <c r="A982" s="6" t="s">
        <v>7</v>
      </c>
      <c r="B982" s="7">
        <v>45455</v>
      </c>
      <c r="C982" s="6" t="s">
        <v>4119</v>
      </c>
      <c r="D982" s="6" t="s">
        <v>4115</v>
      </c>
      <c r="E982" s="6" t="s">
        <v>1216</v>
      </c>
      <c r="F982" s="7">
        <v>45545</v>
      </c>
      <c r="G982" s="6" t="s">
        <v>3102</v>
      </c>
      <c r="H982" s="8"/>
      <c r="I982" s="9">
        <v>7740</v>
      </c>
      <c r="J982" s="9">
        <v>7740</v>
      </c>
      <c r="K982" s="5" t="str">
        <f>VLOOKUP(D982,[1]Clientes!$A$1:$B$1485,2,0)</f>
        <v>NAC1032</v>
      </c>
      <c r="L982" s="5" t="str">
        <f t="shared" si="30"/>
        <v>HGI0125013</v>
      </c>
      <c r="M982" s="5" t="str">
        <f t="shared" si="31"/>
        <v>I</v>
      </c>
      <c r="N982" s="5">
        <f>IF(G982=[1]Clientes!$C$3,[1]Clientes!$D$3,[1]Clientes!$D$2)</f>
        <v>13050505</v>
      </c>
    </row>
    <row r="983" spans="1:14">
      <c r="A983" s="6" t="s">
        <v>7</v>
      </c>
      <c r="B983" s="7">
        <v>45488</v>
      </c>
      <c r="C983" s="6" t="s">
        <v>4120</v>
      </c>
      <c r="D983" s="6" t="s">
        <v>4115</v>
      </c>
      <c r="E983" s="6" t="s">
        <v>1216</v>
      </c>
      <c r="F983" s="7">
        <v>45578</v>
      </c>
      <c r="G983" s="6" t="s">
        <v>3102</v>
      </c>
      <c r="H983" s="8"/>
      <c r="I983" s="9">
        <v>7740</v>
      </c>
      <c r="J983" s="9">
        <v>7740</v>
      </c>
      <c r="K983" s="5" t="str">
        <f>VLOOKUP(D983,[1]Clientes!$A$1:$B$1485,2,0)</f>
        <v>NAC1032</v>
      </c>
      <c r="L983" s="5" t="str">
        <f t="shared" si="30"/>
        <v>HGI0125702</v>
      </c>
      <c r="M983" s="5" t="str">
        <f t="shared" si="31"/>
        <v>I</v>
      </c>
      <c r="N983" s="5">
        <f>IF(G983=[1]Clientes!$C$3,[1]Clientes!$D$3,[1]Clientes!$D$2)</f>
        <v>13050505</v>
      </c>
    </row>
    <row r="984" spans="1:14">
      <c r="A984" s="6" t="s">
        <v>7</v>
      </c>
      <c r="B984" s="7">
        <v>45504</v>
      </c>
      <c r="C984" s="6" t="s">
        <v>4121</v>
      </c>
      <c r="D984" s="6" t="s">
        <v>4115</v>
      </c>
      <c r="E984" s="6" t="s">
        <v>1216</v>
      </c>
      <c r="F984" s="7">
        <v>45594</v>
      </c>
      <c r="G984" s="6" t="s">
        <v>3102</v>
      </c>
      <c r="H984" s="8"/>
      <c r="I984" s="9">
        <v>1304</v>
      </c>
      <c r="J984" s="9">
        <v>1304</v>
      </c>
      <c r="K984" s="5" t="str">
        <f>VLOOKUP(D984,[1]Clientes!$A$1:$B$1485,2,0)</f>
        <v>NAC1032</v>
      </c>
      <c r="L984" s="5" t="str">
        <f t="shared" si="30"/>
        <v>HGI0126097</v>
      </c>
      <c r="M984" s="5" t="str">
        <f t="shared" si="31"/>
        <v>I</v>
      </c>
      <c r="N984" s="5">
        <f>IF(G984=[1]Clientes!$C$3,[1]Clientes!$D$3,[1]Clientes!$D$2)</f>
        <v>13050505</v>
      </c>
    </row>
    <row r="985" spans="1:14">
      <c r="A985" s="6" t="s">
        <v>7</v>
      </c>
      <c r="B985" s="7">
        <v>45513</v>
      </c>
      <c r="C985" s="6" t="s">
        <v>4122</v>
      </c>
      <c r="D985" s="6" t="s">
        <v>4115</v>
      </c>
      <c r="E985" s="6" t="s">
        <v>1216</v>
      </c>
      <c r="F985" s="7">
        <v>45603</v>
      </c>
      <c r="G985" s="6" t="s">
        <v>3102</v>
      </c>
      <c r="H985" s="8"/>
      <c r="I985" s="9">
        <v>7740</v>
      </c>
      <c r="J985" s="9">
        <v>7740</v>
      </c>
      <c r="K985" s="5" t="str">
        <f>VLOOKUP(D985,[1]Clientes!$A$1:$B$1485,2,0)</f>
        <v>NAC1032</v>
      </c>
      <c r="L985" s="5" t="str">
        <f t="shared" si="30"/>
        <v>HGI0126373</v>
      </c>
      <c r="M985" s="5" t="str">
        <f t="shared" si="31"/>
        <v>I</v>
      </c>
      <c r="N985" s="5">
        <f>IF(G985=[1]Clientes!$C$3,[1]Clientes!$D$3,[1]Clientes!$D$2)</f>
        <v>13050505</v>
      </c>
    </row>
    <row r="986" spans="1:14">
      <c r="A986" s="6" t="s">
        <v>7</v>
      </c>
      <c r="B986" s="7">
        <v>45239</v>
      </c>
      <c r="C986" s="6" t="s">
        <v>4123</v>
      </c>
      <c r="D986" s="6" t="s">
        <v>4124</v>
      </c>
      <c r="E986" s="6" t="s">
        <v>1216</v>
      </c>
      <c r="F986" s="7">
        <v>45329</v>
      </c>
      <c r="G986" s="6" t="s">
        <v>3102</v>
      </c>
      <c r="H986" s="8">
        <v>206</v>
      </c>
      <c r="I986" s="9">
        <v>3875.54</v>
      </c>
      <c r="J986" s="9">
        <v>37616</v>
      </c>
      <c r="K986" s="5" t="str">
        <f>VLOOKUP(D986,[1]Clientes!$A$1:$B$1485,2,0)</f>
        <v>NAC1038</v>
      </c>
      <c r="L986" s="5" t="str">
        <f t="shared" si="30"/>
        <v>HGI0117102</v>
      </c>
      <c r="M986" s="5" t="str">
        <f t="shared" si="31"/>
        <v>I</v>
      </c>
      <c r="N986" s="5">
        <f>IF(G986=[1]Clientes!$C$3,[1]Clientes!$D$3,[1]Clientes!$D$2)</f>
        <v>13050505</v>
      </c>
    </row>
    <row r="987" spans="1:14">
      <c r="A987" s="6" t="s">
        <v>7</v>
      </c>
      <c r="B987" s="7">
        <v>45314</v>
      </c>
      <c r="C987" s="6" t="s">
        <v>4125</v>
      </c>
      <c r="D987" s="6" t="s">
        <v>4124</v>
      </c>
      <c r="E987" s="6" t="s">
        <v>1216</v>
      </c>
      <c r="F987" s="7">
        <v>45404</v>
      </c>
      <c r="G987" s="6" t="s">
        <v>3102</v>
      </c>
      <c r="H987" s="8">
        <v>131</v>
      </c>
      <c r="I987" s="9">
        <v>984</v>
      </c>
      <c r="J987" s="9">
        <v>14843</v>
      </c>
      <c r="K987" s="5" t="str">
        <f>VLOOKUP(D987,[1]Clientes!$A$1:$B$1485,2,0)</f>
        <v>NAC1038</v>
      </c>
      <c r="L987" s="5" t="str">
        <f t="shared" si="30"/>
        <v>HGI0119682</v>
      </c>
      <c r="M987" s="5" t="str">
        <f t="shared" si="31"/>
        <v>I</v>
      </c>
      <c r="N987" s="5">
        <f>IF(G987=[1]Clientes!$C$3,[1]Clientes!$D$3,[1]Clientes!$D$2)</f>
        <v>13050505</v>
      </c>
    </row>
    <row r="988" spans="1:14">
      <c r="A988" s="6" t="s">
        <v>7</v>
      </c>
      <c r="B988" s="7">
        <v>45393</v>
      </c>
      <c r="C988" s="6" t="s">
        <v>4126</v>
      </c>
      <c r="D988" s="6" t="s">
        <v>4124</v>
      </c>
      <c r="E988" s="6" t="s">
        <v>1216</v>
      </c>
      <c r="F988" s="7">
        <v>45483</v>
      </c>
      <c r="G988" s="6" t="s">
        <v>3102</v>
      </c>
      <c r="H988" s="8">
        <v>52</v>
      </c>
      <c r="I988" s="9">
        <v>235.92</v>
      </c>
      <c r="J988" s="9">
        <v>10572.4</v>
      </c>
      <c r="K988" s="5" t="str">
        <f>VLOOKUP(D988,[1]Clientes!$A$1:$B$1485,2,0)</f>
        <v>NAC1038</v>
      </c>
      <c r="L988" s="5" t="str">
        <f t="shared" si="30"/>
        <v>HGI0122925</v>
      </c>
      <c r="M988" s="5" t="str">
        <f t="shared" si="31"/>
        <v>I</v>
      </c>
      <c r="N988" s="5">
        <f>IF(G988=[1]Clientes!$C$3,[1]Clientes!$D$3,[1]Clientes!$D$2)</f>
        <v>13050505</v>
      </c>
    </row>
    <row r="989" spans="1:14">
      <c r="A989" s="6" t="s">
        <v>7</v>
      </c>
      <c r="B989" s="7">
        <v>45447</v>
      </c>
      <c r="C989" s="6" t="s">
        <v>4127</v>
      </c>
      <c r="D989" s="6" t="s">
        <v>4124</v>
      </c>
      <c r="E989" s="6" t="s">
        <v>1216</v>
      </c>
      <c r="F989" s="7">
        <v>45537</v>
      </c>
      <c r="G989" s="6" t="s">
        <v>3102</v>
      </c>
      <c r="H989" s="8"/>
      <c r="I989" s="9">
        <v>10516.6</v>
      </c>
      <c r="J989" s="9">
        <v>10516.6</v>
      </c>
      <c r="K989" s="5" t="str">
        <f>VLOOKUP(D989,[1]Clientes!$A$1:$B$1485,2,0)</f>
        <v>NAC1038</v>
      </c>
      <c r="L989" s="5" t="str">
        <f t="shared" si="30"/>
        <v>HGI0124811</v>
      </c>
      <c r="M989" s="5" t="str">
        <f t="shared" si="31"/>
        <v>I</v>
      </c>
      <c r="N989" s="5">
        <f>IF(G989=[1]Clientes!$C$3,[1]Clientes!$D$3,[1]Clientes!$D$2)</f>
        <v>13050505</v>
      </c>
    </row>
    <row r="990" spans="1:14">
      <c r="A990" s="6" t="s">
        <v>7</v>
      </c>
      <c r="B990" s="7">
        <v>45464</v>
      </c>
      <c r="C990" s="6" t="s">
        <v>4128</v>
      </c>
      <c r="D990" s="6" t="s">
        <v>4124</v>
      </c>
      <c r="E990" s="6" t="s">
        <v>1216</v>
      </c>
      <c r="F990" s="7">
        <v>45554</v>
      </c>
      <c r="G990" s="6" t="s">
        <v>3102</v>
      </c>
      <c r="H990" s="8"/>
      <c r="I990" s="9">
        <v>8914.6</v>
      </c>
      <c r="J990" s="9">
        <v>8914.6</v>
      </c>
      <c r="K990" s="5" t="str">
        <f>VLOOKUP(D990,[1]Clientes!$A$1:$B$1485,2,0)</f>
        <v>NAC1038</v>
      </c>
      <c r="L990" s="5" t="str">
        <f t="shared" si="30"/>
        <v>HGI0125246</v>
      </c>
      <c r="M990" s="5" t="str">
        <f t="shared" si="31"/>
        <v>I</v>
      </c>
      <c r="N990" s="5">
        <f>IF(G990=[1]Clientes!$C$3,[1]Clientes!$D$3,[1]Clientes!$D$2)</f>
        <v>13050505</v>
      </c>
    </row>
    <row r="991" spans="1:14">
      <c r="A991" s="6" t="s">
        <v>7</v>
      </c>
      <c r="B991" s="7">
        <v>45488</v>
      </c>
      <c r="C991" s="6" t="s">
        <v>4129</v>
      </c>
      <c r="D991" s="6" t="s">
        <v>4124</v>
      </c>
      <c r="E991" s="6" t="s">
        <v>1216</v>
      </c>
      <c r="F991" s="7">
        <v>45578</v>
      </c>
      <c r="G991" s="6" t="s">
        <v>3102</v>
      </c>
      <c r="H991" s="8"/>
      <c r="I991" s="9">
        <v>8536</v>
      </c>
      <c r="J991" s="9">
        <v>8536</v>
      </c>
      <c r="K991" s="5" t="str">
        <f>VLOOKUP(D991,[1]Clientes!$A$1:$B$1485,2,0)</f>
        <v>NAC1038</v>
      </c>
      <c r="L991" s="5" t="str">
        <f t="shared" si="30"/>
        <v>HGI0125703</v>
      </c>
      <c r="M991" s="5" t="str">
        <f t="shared" si="31"/>
        <v>I</v>
      </c>
      <c r="N991" s="5">
        <f>IF(G991=[1]Clientes!$C$3,[1]Clientes!$D$3,[1]Clientes!$D$2)</f>
        <v>13050505</v>
      </c>
    </row>
    <row r="992" spans="1:14">
      <c r="A992" s="6" t="s">
        <v>7</v>
      </c>
      <c r="B992" s="7">
        <v>45517</v>
      </c>
      <c r="C992" s="6" t="s">
        <v>4130</v>
      </c>
      <c r="D992" s="6" t="s">
        <v>4124</v>
      </c>
      <c r="E992" s="6" t="s">
        <v>1216</v>
      </c>
      <c r="F992" s="7">
        <v>45607</v>
      </c>
      <c r="G992" s="6" t="s">
        <v>3102</v>
      </c>
      <c r="H992" s="8"/>
      <c r="I992" s="9">
        <v>289</v>
      </c>
      <c r="J992" s="9">
        <v>289</v>
      </c>
      <c r="K992" s="5" t="str">
        <f>VLOOKUP(D992,[1]Clientes!$A$1:$B$1485,2,0)</f>
        <v>NAC1038</v>
      </c>
      <c r="L992" s="5" t="str">
        <f t="shared" si="30"/>
        <v>HGI0126439</v>
      </c>
      <c r="M992" s="5" t="str">
        <f t="shared" si="31"/>
        <v>I</v>
      </c>
      <c r="N992" s="5">
        <f>IF(G992=[1]Clientes!$C$3,[1]Clientes!$D$3,[1]Clientes!$D$2)</f>
        <v>13050505</v>
      </c>
    </row>
    <row r="993" spans="1:14">
      <c r="A993" s="6" t="s">
        <v>7</v>
      </c>
      <c r="B993" s="7">
        <v>45520</v>
      </c>
      <c r="C993" s="6" t="s">
        <v>4131</v>
      </c>
      <c r="D993" s="6" t="s">
        <v>4124</v>
      </c>
      <c r="E993" s="6" t="s">
        <v>1216</v>
      </c>
      <c r="F993" s="7">
        <v>45610</v>
      </c>
      <c r="G993" s="6" t="s">
        <v>3102</v>
      </c>
      <c r="H993" s="8"/>
      <c r="I993" s="9">
        <v>9392.7999999999993</v>
      </c>
      <c r="J993" s="9">
        <v>9392.7999999999993</v>
      </c>
      <c r="K993" s="5" t="str">
        <f>VLOOKUP(D993,[1]Clientes!$A$1:$B$1485,2,0)</f>
        <v>NAC1038</v>
      </c>
      <c r="L993" s="5" t="str">
        <f t="shared" si="30"/>
        <v>HGI0126659</v>
      </c>
      <c r="M993" s="5" t="str">
        <f t="shared" si="31"/>
        <v>I</v>
      </c>
      <c r="N993" s="5">
        <f>IF(G993=[1]Clientes!$C$3,[1]Clientes!$D$3,[1]Clientes!$D$2)</f>
        <v>13050505</v>
      </c>
    </row>
    <row r="994" spans="1:14">
      <c r="A994" s="6" t="s">
        <v>7</v>
      </c>
      <c r="B994" s="7">
        <v>45532</v>
      </c>
      <c r="C994" s="6" t="s">
        <v>4132</v>
      </c>
      <c r="D994" s="6" t="s">
        <v>4124</v>
      </c>
      <c r="E994" s="6" t="s">
        <v>1216</v>
      </c>
      <c r="F994" s="7">
        <v>45622</v>
      </c>
      <c r="G994" s="6" t="s">
        <v>3102</v>
      </c>
      <c r="H994" s="8"/>
      <c r="I994" s="9">
        <v>8858.7999999999993</v>
      </c>
      <c r="J994" s="9">
        <v>8858.7999999999993</v>
      </c>
      <c r="K994" s="5" t="str">
        <f>VLOOKUP(D994,[1]Clientes!$A$1:$B$1485,2,0)</f>
        <v>NAC1038</v>
      </c>
      <c r="L994" s="5" t="str">
        <f t="shared" si="30"/>
        <v>HGI0127067</v>
      </c>
      <c r="M994" s="5" t="str">
        <f t="shared" si="31"/>
        <v>I</v>
      </c>
      <c r="N994" s="5">
        <f>IF(G994=[1]Clientes!$C$3,[1]Clientes!$D$3,[1]Clientes!$D$2)</f>
        <v>13050505</v>
      </c>
    </row>
    <row r="995" spans="1:14">
      <c r="A995" s="6" t="s">
        <v>3099</v>
      </c>
      <c r="B995" s="7">
        <v>45043</v>
      </c>
      <c r="C995" s="6" t="s">
        <v>4133</v>
      </c>
      <c r="D995" s="6" t="s">
        <v>4134</v>
      </c>
      <c r="E995" s="6" t="s">
        <v>1216</v>
      </c>
      <c r="F995" s="7">
        <v>45133</v>
      </c>
      <c r="G995" s="6" t="s">
        <v>3102</v>
      </c>
      <c r="H995" s="8">
        <v>402</v>
      </c>
      <c r="I995" s="9">
        <v>-0.2</v>
      </c>
      <c r="J995" s="9">
        <v>-81.25</v>
      </c>
      <c r="K995" s="5" t="str">
        <f>VLOOKUP(D995,[1]Clientes!$A$1:$B$1485,2,0)</f>
        <v>NAC1035</v>
      </c>
      <c r="L995" s="5" t="str">
        <f t="shared" si="30"/>
        <v>CRM0111465</v>
      </c>
      <c r="M995" s="5" t="str">
        <f t="shared" si="31"/>
        <v>C</v>
      </c>
      <c r="N995" s="5">
        <f>IF(G995=[1]Clientes!$C$3,[1]Clientes!$D$3,[1]Clientes!$D$2)</f>
        <v>13050505</v>
      </c>
    </row>
    <row r="996" spans="1:14">
      <c r="A996" s="6" t="s">
        <v>7</v>
      </c>
      <c r="B996" s="7">
        <v>45244</v>
      </c>
      <c r="C996" s="6" t="s">
        <v>4135</v>
      </c>
      <c r="D996" s="6" t="s">
        <v>4134</v>
      </c>
      <c r="E996" s="6" t="s">
        <v>1216</v>
      </c>
      <c r="F996" s="7">
        <v>45334</v>
      </c>
      <c r="G996" s="6" t="s">
        <v>3102</v>
      </c>
      <c r="H996" s="8">
        <v>201</v>
      </c>
      <c r="I996" s="9">
        <v>569.5</v>
      </c>
      <c r="J996" s="9">
        <v>21899.1</v>
      </c>
      <c r="K996" s="5" t="str">
        <f>VLOOKUP(D996,[1]Clientes!$A$1:$B$1485,2,0)</f>
        <v>NAC1035</v>
      </c>
      <c r="L996" s="5" t="str">
        <f t="shared" si="30"/>
        <v>HGI0117329</v>
      </c>
      <c r="M996" s="5" t="str">
        <f t="shared" si="31"/>
        <v>I</v>
      </c>
      <c r="N996" s="5">
        <f>IF(G996=[1]Clientes!$C$3,[1]Clientes!$D$3,[1]Clientes!$D$2)</f>
        <v>13050505</v>
      </c>
    </row>
    <row r="997" spans="1:14">
      <c r="A997" s="6" t="s">
        <v>7</v>
      </c>
      <c r="B997" s="7">
        <v>45265</v>
      </c>
      <c r="C997" s="6" t="s">
        <v>4136</v>
      </c>
      <c r="D997" s="6" t="s">
        <v>4134</v>
      </c>
      <c r="E997" s="6" t="s">
        <v>1216</v>
      </c>
      <c r="F997" s="7">
        <v>45355</v>
      </c>
      <c r="G997" s="6" t="s">
        <v>3102</v>
      </c>
      <c r="H997" s="8">
        <v>180</v>
      </c>
      <c r="I997" s="9">
        <v>116.38</v>
      </c>
      <c r="J997" s="9">
        <v>10815</v>
      </c>
      <c r="K997" s="5" t="str">
        <f>VLOOKUP(D997,[1]Clientes!$A$1:$B$1485,2,0)</f>
        <v>NAC1035</v>
      </c>
      <c r="L997" s="5" t="str">
        <f t="shared" si="30"/>
        <v>HGI0118100</v>
      </c>
      <c r="M997" s="5" t="str">
        <f t="shared" si="31"/>
        <v>I</v>
      </c>
      <c r="N997" s="5">
        <f>IF(G997=[1]Clientes!$C$3,[1]Clientes!$D$3,[1]Clientes!$D$2)</f>
        <v>13050505</v>
      </c>
    </row>
    <row r="998" spans="1:14">
      <c r="A998" s="6" t="s">
        <v>7</v>
      </c>
      <c r="B998" s="7">
        <v>45321</v>
      </c>
      <c r="C998" s="6" t="s">
        <v>4137</v>
      </c>
      <c r="D998" s="6" t="s">
        <v>4134</v>
      </c>
      <c r="E998" s="6" t="s">
        <v>1216</v>
      </c>
      <c r="F998" s="7">
        <v>45411</v>
      </c>
      <c r="G998" s="6" t="s">
        <v>3102</v>
      </c>
      <c r="H998" s="8">
        <v>124</v>
      </c>
      <c r="I998" s="9">
        <v>313</v>
      </c>
      <c r="J998" s="9">
        <v>313</v>
      </c>
      <c r="K998" s="5" t="str">
        <f>VLOOKUP(D998,[1]Clientes!$A$1:$B$1485,2,0)</f>
        <v>NAC1035</v>
      </c>
      <c r="L998" s="5" t="str">
        <f t="shared" si="30"/>
        <v>HGI0120084</v>
      </c>
      <c r="M998" s="5" t="str">
        <f t="shared" si="31"/>
        <v>I</v>
      </c>
      <c r="N998" s="5">
        <f>IF(G998=[1]Clientes!$C$3,[1]Clientes!$D$3,[1]Clientes!$D$2)</f>
        <v>13050505</v>
      </c>
    </row>
    <row r="999" spans="1:14">
      <c r="A999" s="6" t="s">
        <v>7</v>
      </c>
      <c r="B999" s="7">
        <v>45348</v>
      </c>
      <c r="C999" s="6" t="s">
        <v>4138</v>
      </c>
      <c r="D999" s="6" t="s">
        <v>4134</v>
      </c>
      <c r="E999" s="6" t="s">
        <v>1216</v>
      </c>
      <c r="F999" s="7">
        <v>45438</v>
      </c>
      <c r="G999" s="6" t="s">
        <v>3102</v>
      </c>
      <c r="H999" s="8">
        <v>97</v>
      </c>
      <c r="I999" s="9">
        <v>61.92</v>
      </c>
      <c r="J999" s="9">
        <v>12804</v>
      </c>
      <c r="K999" s="5" t="str">
        <f>VLOOKUP(D999,[1]Clientes!$A$1:$B$1485,2,0)</f>
        <v>NAC1035</v>
      </c>
      <c r="L999" s="5" t="str">
        <f t="shared" si="30"/>
        <v>HGI0121276</v>
      </c>
      <c r="M999" s="5" t="str">
        <f t="shared" si="31"/>
        <v>I</v>
      </c>
      <c r="N999" s="5">
        <f>IF(G999=[1]Clientes!$C$3,[1]Clientes!$D$3,[1]Clientes!$D$2)</f>
        <v>13050505</v>
      </c>
    </row>
    <row r="1000" spans="1:14">
      <c r="A1000" s="6" t="s">
        <v>7</v>
      </c>
      <c r="B1000" s="7">
        <v>45399</v>
      </c>
      <c r="C1000" s="6" t="s">
        <v>4139</v>
      </c>
      <c r="D1000" s="6" t="s">
        <v>4134</v>
      </c>
      <c r="E1000" s="6" t="s">
        <v>1216</v>
      </c>
      <c r="F1000" s="7">
        <v>45489</v>
      </c>
      <c r="G1000" s="6" t="s">
        <v>3102</v>
      </c>
      <c r="H1000" s="8">
        <v>46</v>
      </c>
      <c r="I1000" s="9">
        <v>288.39999999999998</v>
      </c>
      <c r="J1000" s="9">
        <v>1356.9</v>
      </c>
      <c r="K1000" s="5" t="str">
        <f>VLOOKUP(D1000,[1]Clientes!$A$1:$B$1485,2,0)</f>
        <v>NAC1035</v>
      </c>
      <c r="L1000" s="5" t="str">
        <f t="shared" si="30"/>
        <v>HGI0123143</v>
      </c>
      <c r="M1000" s="5" t="str">
        <f t="shared" si="31"/>
        <v>I</v>
      </c>
      <c r="N1000" s="5">
        <f>IF(G1000=[1]Clientes!$C$3,[1]Clientes!$D$3,[1]Clientes!$D$2)</f>
        <v>13050505</v>
      </c>
    </row>
    <row r="1001" spans="1:14">
      <c r="A1001" s="6" t="s">
        <v>3099</v>
      </c>
      <c r="B1001" s="7">
        <v>45424</v>
      </c>
      <c r="C1001" s="6" t="s">
        <v>4140</v>
      </c>
      <c r="D1001" s="6" t="s">
        <v>4134</v>
      </c>
      <c r="E1001" s="6" t="s">
        <v>1216</v>
      </c>
      <c r="F1001" s="7">
        <v>45514</v>
      </c>
      <c r="G1001" s="6" t="s">
        <v>3102</v>
      </c>
      <c r="H1001" s="8">
        <v>21</v>
      </c>
      <c r="I1001" s="9">
        <v>-1402.13</v>
      </c>
      <c r="J1001" s="9">
        <v>-1402.13</v>
      </c>
      <c r="K1001" s="5" t="str">
        <f>VLOOKUP(D1001,[1]Clientes!$A$1:$B$1485,2,0)</f>
        <v>NAC1035</v>
      </c>
      <c r="L1001" s="5" t="str">
        <f t="shared" si="30"/>
        <v>CRM0124223</v>
      </c>
      <c r="M1001" s="5" t="str">
        <f t="shared" si="31"/>
        <v>C</v>
      </c>
      <c r="N1001" s="5">
        <f>IF(G1001=[1]Clientes!$C$3,[1]Clientes!$D$3,[1]Clientes!$D$2)</f>
        <v>13050505</v>
      </c>
    </row>
    <row r="1002" spans="1:14">
      <c r="A1002" s="6" t="s">
        <v>7</v>
      </c>
      <c r="B1002" s="7">
        <v>45426</v>
      </c>
      <c r="C1002" s="6" t="s">
        <v>4141</v>
      </c>
      <c r="D1002" s="6" t="s">
        <v>4134</v>
      </c>
      <c r="E1002" s="6" t="s">
        <v>1216</v>
      </c>
      <c r="F1002" s="7">
        <v>45516</v>
      </c>
      <c r="G1002" s="6" t="s">
        <v>3102</v>
      </c>
      <c r="H1002" s="8">
        <v>19</v>
      </c>
      <c r="I1002" s="9">
        <v>289</v>
      </c>
      <c r="J1002" s="9">
        <v>315.73</v>
      </c>
      <c r="K1002" s="5" t="str">
        <f>VLOOKUP(D1002,[1]Clientes!$A$1:$B$1485,2,0)</f>
        <v>NAC1035</v>
      </c>
      <c r="L1002" s="5" t="str">
        <f t="shared" si="30"/>
        <v>HGI0124315</v>
      </c>
      <c r="M1002" s="5" t="str">
        <f t="shared" si="31"/>
        <v>I</v>
      </c>
      <c r="N1002" s="5">
        <f>IF(G1002=[1]Clientes!$C$3,[1]Clientes!$D$3,[1]Clientes!$D$2)</f>
        <v>13050505</v>
      </c>
    </row>
    <row r="1003" spans="1:14">
      <c r="A1003" s="6" t="s">
        <v>7</v>
      </c>
      <c r="B1003" s="7">
        <v>45428</v>
      </c>
      <c r="C1003" s="6" t="s">
        <v>4142</v>
      </c>
      <c r="D1003" s="6" t="s">
        <v>4134</v>
      </c>
      <c r="E1003" s="6" t="s">
        <v>1216</v>
      </c>
      <c r="F1003" s="7">
        <v>45518</v>
      </c>
      <c r="G1003" s="6" t="s">
        <v>3102</v>
      </c>
      <c r="H1003" s="8">
        <v>17</v>
      </c>
      <c r="I1003" s="9">
        <v>11335.8</v>
      </c>
      <c r="J1003" s="9">
        <v>12384.37</v>
      </c>
      <c r="K1003" s="5" t="str">
        <f>VLOOKUP(D1003,[1]Clientes!$A$1:$B$1485,2,0)</f>
        <v>NAC1035</v>
      </c>
      <c r="L1003" s="5" t="str">
        <f t="shared" si="30"/>
        <v>HGI0124359</v>
      </c>
      <c r="M1003" s="5" t="str">
        <f t="shared" si="31"/>
        <v>I</v>
      </c>
      <c r="N1003" s="5">
        <f>IF(G1003=[1]Clientes!$C$3,[1]Clientes!$D$3,[1]Clientes!$D$2)</f>
        <v>13050505</v>
      </c>
    </row>
    <row r="1004" spans="1:14">
      <c r="A1004" s="6" t="s">
        <v>7</v>
      </c>
      <c r="B1004" s="7">
        <v>45440</v>
      </c>
      <c r="C1004" s="6" t="s">
        <v>4143</v>
      </c>
      <c r="D1004" s="6" t="s">
        <v>4134</v>
      </c>
      <c r="E1004" s="6" t="s">
        <v>1216</v>
      </c>
      <c r="F1004" s="7">
        <v>45530</v>
      </c>
      <c r="G1004" s="6" t="s">
        <v>3102</v>
      </c>
      <c r="H1004" s="8">
        <v>5</v>
      </c>
      <c r="I1004" s="9">
        <v>12499.1</v>
      </c>
      <c r="J1004" s="9">
        <v>13655.27</v>
      </c>
      <c r="K1004" s="5" t="str">
        <f>VLOOKUP(D1004,[1]Clientes!$A$1:$B$1485,2,0)</f>
        <v>NAC1035</v>
      </c>
      <c r="L1004" s="5" t="str">
        <f t="shared" si="30"/>
        <v>HGI0124616</v>
      </c>
      <c r="M1004" s="5" t="str">
        <f t="shared" si="31"/>
        <v>I</v>
      </c>
      <c r="N1004" s="5">
        <f>IF(G1004=[1]Clientes!$C$3,[1]Clientes!$D$3,[1]Clientes!$D$2)</f>
        <v>13050505</v>
      </c>
    </row>
    <row r="1005" spans="1:14">
      <c r="A1005" s="6" t="s">
        <v>7</v>
      </c>
      <c r="B1005" s="7">
        <v>45448</v>
      </c>
      <c r="C1005" s="6" t="s">
        <v>4144</v>
      </c>
      <c r="D1005" s="6" t="s">
        <v>4134</v>
      </c>
      <c r="E1005" s="6" t="s">
        <v>1216</v>
      </c>
      <c r="F1005" s="7">
        <v>45538</v>
      </c>
      <c r="G1005" s="6" t="s">
        <v>3102</v>
      </c>
      <c r="H1005" s="8"/>
      <c r="I1005" s="9">
        <v>13348.5</v>
      </c>
      <c r="J1005" s="9">
        <v>13348.5</v>
      </c>
      <c r="K1005" s="5" t="str">
        <f>VLOOKUP(D1005,[1]Clientes!$A$1:$B$1485,2,0)</f>
        <v>NAC1035</v>
      </c>
      <c r="L1005" s="5" t="str">
        <f t="shared" si="30"/>
        <v>HGI0124842</v>
      </c>
      <c r="M1005" s="5" t="str">
        <f t="shared" si="31"/>
        <v>I</v>
      </c>
      <c r="N1005" s="5">
        <f>IF(G1005=[1]Clientes!$C$3,[1]Clientes!$D$3,[1]Clientes!$D$2)</f>
        <v>13050505</v>
      </c>
    </row>
    <row r="1006" spans="1:14">
      <c r="A1006" s="6" t="s">
        <v>7</v>
      </c>
      <c r="B1006" s="7">
        <v>45453</v>
      </c>
      <c r="C1006" s="6" t="s">
        <v>4145</v>
      </c>
      <c r="D1006" s="6" t="s">
        <v>4134</v>
      </c>
      <c r="E1006" s="6" t="s">
        <v>1216</v>
      </c>
      <c r="F1006" s="7">
        <v>45543</v>
      </c>
      <c r="G1006" s="6" t="s">
        <v>3102</v>
      </c>
      <c r="H1006" s="8"/>
      <c r="I1006" s="9">
        <v>8924</v>
      </c>
      <c r="J1006" s="9">
        <v>8924</v>
      </c>
      <c r="K1006" s="5" t="str">
        <f>VLOOKUP(D1006,[1]Clientes!$A$1:$B$1485,2,0)</f>
        <v>NAC1035</v>
      </c>
      <c r="L1006" s="5" t="str">
        <f t="shared" si="30"/>
        <v>HGI0124949</v>
      </c>
      <c r="M1006" s="5" t="str">
        <f t="shared" si="31"/>
        <v>I</v>
      </c>
      <c r="N1006" s="5">
        <f>IF(G1006=[1]Clientes!$C$3,[1]Clientes!$D$3,[1]Clientes!$D$2)</f>
        <v>13050505</v>
      </c>
    </row>
    <row r="1007" spans="1:14">
      <c r="A1007" s="6" t="s">
        <v>7</v>
      </c>
      <c r="B1007" s="7">
        <v>45453</v>
      </c>
      <c r="C1007" s="6" t="s">
        <v>4146</v>
      </c>
      <c r="D1007" s="6" t="s">
        <v>4134</v>
      </c>
      <c r="E1007" s="6" t="s">
        <v>1216</v>
      </c>
      <c r="F1007" s="7">
        <v>45543</v>
      </c>
      <c r="G1007" s="6" t="s">
        <v>3102</v>
      </c>
      <c r="H1007" s="8"/>
      <c r="I1007" s="9">
        <v>11312.3</v>
      </c>
      <c r="J1007" s="9">
        <v>11312.3</v>
      </c>
      <c r="K1007" s="5" t="str">
        <f>VLOOKUP(D1007,[1]Clientes!$A$1:$B$1485,2,0)</f>
        <v>NAC1035</v>
      </c>
      <c r="L1007" s="5" t="str">
        <f t="shared" si="30"/>
        <v>HGI0124977</v>
      </c>
      <c r="M1007" s="5" t="str">
        <f t="shared" si="31"/>
        <v>I</v>
      </c>
      <c r="N1007" s="5">
        <f>IF(G1007=[1]Clientes!$C$3,[1]Clientes!$D$3,[1]Clientes!$D$2)</f>
        <v>13050505</v>
      </c>
    </row>
    <row r="1008" spans="1:14">
      <c r="A1008" s="6" t="s">
        <v>7</v>
      </c>
      <c r="B1008" s="7">
        <v>45460</v>
      </c>
      <c r="C1008" s="6" t="s">
        <v>4147</v>
      </c>
      <c r="D1008" s="6" t="s">
        <v>4134</v>
      </c>
      <c r="E1008" s="6" t="s">
        <v>1216</v>
      </c>
      <c r="F1008" s="7">
        <v>45550</v>
      </c>
      <c r="G1008" s="6" t="s">
        <v>3102</v>
      </c>
      <c r="H1008" s="8"/>
      <c r="I1008" s="9">
        <v>9261.15</v>
      </c>
      <c r="J1008" s="9">
        <v>9261.15</v>
      </c>
      <c r="K1008" s="5" t="str">
        <f>VLOOKUP(D1008,[1]Clientes!$A$1:$B$1485,2,0)</f>
        <v>NAC1035</v>
      </c>
      <c r="L1008" s="5" t="str">
        <f t="shared" si="30"/>
        <v>HGI0125119</v>
      </c>
      <c r="M1008" s="5" t="str">
        <f t="shared" si="31"/>
        <v>I</v>
      </c>
      <c r="N1008" s="5">
        <f>IF(G1008=[1]Clientes!$C$3,[1]Clientes!$D$3,[1]Clientes!$D$2)</f>
        <v>13050505</v>
      </c>
    </row>
    <row r="1009" spans="1:14">
      <c r="A1009" s="6" t="s">
        <v>7</v>
      </c>
      <c r="B1009" s="7">
        <v>45460</v>
      </c>
      <c r="C1009" s="6" t="s">
        <v>4148</v>
      </c>
      <c r="D1009" s="6" t="s">
        <v>4134</v>
      </c>
      <c r="E1009" s="6" t="s">
        <v>1216</v>
      </c>
      <c r="F1009" s="7">
        <v>45550</v>
      </c>
      <c r="G1009" s="6" t="s">
        <v>3102</v>
      </c>
      <c r="H1009" s="8"/>
      <c r="I1009" s="9">
        <v>289</v>
      </c>
      <c r="J1009" s="9">
        <v>289</v>
      </c>
      <c r="K1009" s="5" t="str">
        <f>VLOOKUP(D1009,[1]Clientes!$A$1:$B$1485,2,0)</f>
        <v>NAC1035</v>
      </c>
      <c r="L1009" s="5" t="str">
        <f t="shared" si="30"/>
        <v>HGI0125120</v>
      </c>
      <c r="M1009" s="5" t="str">
        <f t="shared" si="31"/>
        <v>I</v>
      </c>
      <c r="N1009" s="5">
        <f>IF(G1009=[1]Clientes!$C$3,[1]Clientes!$D$3,[1]Clientes!$D$2)</f>
        <v>13050505</v>
      </c>
    </row>
    <row r="1010" spans="1:14">
      <c r="A1010" s="6" t="s">
        <v>7</v>
      </c>
      <c r="B1010" s="7">
        <v>45464</v>
      </c>
      <c r="C1010" s="6" t="s">
        <v>4149</v>
      </c>
      <c r="D1010" s="6" t="s">
        <v>4134</v>
      </c>
      <c r="E1010" s="6" t="s">
        <v>1216</v>
      </c>
      <c r="F1010" s="7">
        <v>45554</v>
      </c>
      <c r="G1010" s="6" t="s">
        <v>3102</v>
      </c>
      <c r="H1010" s="8"/>
      <c r="I1010" s="9">
        <v>8135.5</v>
      </c>
      <c r="J1010" s="9">
        <v>8135.5</v>
      </c>
      <c r="K1010" s="5" t="str">
        <f>VLOOKUP(D1010,[1]Clientes!$A$1:$B$1485,2,0)</f>
        <v>NAC1035</v>
      </c>
      <c r="L1010" s="5" t="str">
        <f t="shared" si="30"/>
        <v>HGI0125230</v>
      </c>
      <c r="M1010" s="5" t="str">
        <f t="shared" si="31"/>
        <v>I</v>
      </c>
      <c r="N1010" s="5">
        <f>IF(G1010=[1]Clientes!$C$3,[1]Clientes!$D$3,[1]Clientes!$D$2)</f>
        <v>13050505</v>
      </c>
    </row>
    <row r="1011" spans="1:14">
      <c r="A1011" s="6" t="s">
        <v>7</v>
      </c>
      <c r="B1011" s="7">
        <v>45464</v>
      </c>
      <c r="C1011" s="6" t="s">
        <v>4150</v>
      </c>
      <c r="D1011" s="6" t="s">
        <v>4134</v>
      </c>
      <c r="E1011" s="6" t="s">
        <v>1216</v>
      </c>
      <c r="F1011" s="7">
        <v>45554</v>
      </c>
      <c r="G1011" s="6" t="s">
        <v>3102</v>
      </c>
      <c r="H1011" s="8"/>
      <c r="I1011" s="9">
        <v>7210</v>
      </c>
      <c r="J1011" s="9">
        <v>7210</v>
      </c>
      <c r="K1011" s="5" t="str">
        <f>VLOOKUP(D1011,[1]Clientes!$A$1:$B$1485,2,0)</f>
        <v>NAC1035</v>
      </c>
      <c r="L1011" s="5" t="str">
        <f t="shared" si="30"/>
        <v>HGI0125245</v>
      </c>
      <c r="M1011" s="5" t="str">
        <f t="shared" si="31"/>
        <v>I</v>
      </c>
      <c r="N1011" s="5">
        <f>IF(G1011=[1]Clientes!$C$3,[1]Clientes!$D$3,[1]Clientes!$D$2)</f>
        <v>13050505</v>
      </c>
    </row>
    <row r="1012" spans="1:14">
      <c r="A1012" s="6" t="s">
        <v>7</v>
      </c>
      <c r="B1012" s="7">
        <v>45471</v>
      </c>
      <c r="C1012" s="6" t="s">
        <v>4151</v>
      </c>
      <c r="D1012" s="6" t="s">
        <v>4134</v>
      </c>
      <c r="E1012" s="6" t="s">
        <v>1216</v>
      </c>
      <c r="F1012" s="7">
        <v>45561</v>
      </c>
      <c r="G1012" s="6" t="s">
        <v>3102</v>
      </c>
      <c r="H1012" s="8"/>
      <c r="I1012" s="9">
        <v>12649.3</v>
      </c>
      <c r="J1012" s="9">
        <v>13813.3</v>
      </c>
      <c r="K1012" s="5" t="str">
        <f>VLOOKUP(D1012,[1]Clientes!$A$1:$B$1485,2,0)</f>
        <v>NAC1035</v>
      </c>
      <c r="L1012" s="5" t="str">
        <f t="shared" si="30"/>
        <v>HGI0125366</v>
      </c>
      <c r="M1012" s="5" t="str">
        <f t="shared" si="31"/>
        <v>I</v>
      </c>
      <c r="N1012" s="5">
        <f>IF(G1012=[1]Clientes!$C$3,[1]Clientes!$D$3,[1]Clientes!$D$2)</f>
        <v>13050505</v>
      </c>
    </row>
    <row r="1013" spans="1:14">
      <c r="A1013" s="6" t="s">
        <v>7</v>
      </c>
      <c r="B1013" s="7">
        <v>45478</v>
      </c>
      <c r="C1013" s="6" t="s">
        <v>4152</v>
      </c>
      <c r="D1013" s="6" t="s">
        <v>4134</v>
      </c>
      <c r="E1013" s="6" t="s">
        <v>1216</v>
      </c>
      <c r="F1013" s="7">
        <v>45568</v>
      </c>
      <c r="G1013" s="6" t="s">
        <v>3102</v>
      </c>
      <c r="H1013" s="8"/>
      <c r="I1013" s="9">
        <v>16134</v>
      </c>
      <c r="J1013" s="9">
        <v>17506.7</v>
      </c>
      <c r="K1013" s="5" t="str">
        <f>VLOOKUP(D1013,[1]Clientes!$A$1:$B$1485,2,0)</f>
        <v>NAC1035</v>
      </c>
      <c r="L1013" s="5" t="str">
        <f t="shared" si="30"/>
        <v>HGI0125520</v>
      </c>
      <c r="M1013" s="5" t="str">
        <f t="shared" si="31"/>
        <v>I</v>
      </c>
      <c r="N1013" s="5">
        <f>IF(G1013=[1]Clientes!$C$3,[1]Clientes!$D$3,[1]Clientes!$D$2)</f>
        <v>13050505</v>
      </c>
    </row>
    <row r="1014" spans="1:14">
      <c r="A1014" s="6" t="s">
        <v>7</v>
      </c>
      <c r="B1014" s="7">
        <v>45491</v>
      </c>
      <c r="C1014" s="6" t="s">
        <v>4153</v>
      </c>
      <c r="D1014" s="6" t="s">
        <v>4134</v>
      </c>
      <c r="E1014" s="6" t="s">
        <v>1216</v>
      </c>
      <c r="F1014" s="7">
        <v>45581</v>
      </c>
      <c r="G1014" s="6" t="s">
        <v>3102</v>
      </c>
      <c r="H1014" s="8"/>
      <c r="I1014" s="9">
        <v>12575</v>
      </c>
      <c r="J1014" s="9">
        <v>12575</v>
      </c>
      <c r="K1014" s="5" t="str">
        <f>VLOOKUP(D1014,[1]Clientes!$A$1:$B$1485,2,0)</f>
        <v>NAC1035</v>
      </c>
      <c r="L1014" s="5" t="str">
        <f t="shared" si="30"/>
        <v>HGI0125770</v>
      </c>
      <c r="M1014" s="5" t="str">
        <f t="shared" si="31"/>
        <v>I</v>
      </c>
      <c r="N1014" s="5">
        <f>IF(G1014=[1]Clientes!$C$3,[1]Clientes!$D$3,[1]Clientes!$D$2)</f>
        <v>13050505</v>
      </c>
    </row>
    <row r="1015" spans="1:14">
      <c r="A1015" s="6" t="s">
        <v>7</v>
      </c>
      <c r="B1015" s="7">
        <v>45495</v>
      </c>
      <c r="C1015" s="6" t="s">
        <v>4154</v>
      </c>
      <c r="D1015" s="6" t="s">
        <v>4134</v>
      </c>
      <c r="E1015" s="6" t="s">
        <v>1216</v>
      </c>
      <c r="F1015" s="7">
        <v>45585</v>
      </c>
      <c r="G1015" s="6" t="s">
        <v>3102</v>
      </c>
      <c r="H1015" s="8"/>
      <c r="I1015" s="9">
        <v>8190.5</v>
      </c>
      <c r="J1015" s="9">
        <v>8190.5</v>
      </c>
      <c r="K1015" s="5" t="str">
        <f>VLOOKUP(D1015,[1]Clientes!$A$1:$B$1485,2,0)</f>
        <v>NAC1035</v>
      </c>
      <c r="L1015" s="5" t="str">
        <f t="shared" si="30"/>
        <v>HGI0125828</v>
      </c>
      <c r="M1015" s="5" t="str">
        <f t="shared" si="31"/>
        <v>I</v>
      </c>
      <c r="N1015" s="5">
        <f>IF(G1015=[1]Clientes!$C$3,[1]Clientes!$D$3,[1]Clientes!$D$2)</f>
        <v>13050505</v>
      </c>
    </row>
    <row r="1016" spans="1:14">
      <c r="A1016" s="6" t="s">
        <v>7</v>
      </c>
      <c r="B1016" s="7">
        <v>45504</v>
      </c>
      <c r="C1016" s="6" t="s">
        <v>4155</v>
      </c>
      <c r="D1016" s="6" t="s">
        <v>4134</v>
      </c>
      <c r="E1016" s="6" t="s">
        <v>1216</v>
      </c>
      <c r="F1016" s="7">
        <v>45594</v>
      </c>
      <c r="G1016" s="6" t="s">
        <v>3102</v>
      </c>
      <c r="H1016" s="8"/>
      <c r="I1016" s="9">
        <v>6037.92</v>
      </c>
      <c r="J1016" s="9">
        <v>6037.92</v>
      </c>
      <c r="K1016" s="5" t="str">
        <f>VLOOKUP(D1016,[1]Clientes!$A$1:$B$1485,2,0)</f>
        <v>NAC1035</v>
      </c>
      <c r="L1016" s="5" t="str">
        <f t="shared" si="30"/>
        <v>HGI0126096</v>
      </c>
      <c r="M1016" s="5" t="str">
        <f t="shared" si="31"/>
        <v>I</v>
      </c>
      <c r="N1016" s="5">
        <f>IF(G1016=[1]Clientes!$C$3,[1]Clientes!$D$3,[1]Clientes!$D$2)</f>
        <v>13050505</v>
      </c>
    </row>
    <row r="1017" spans="1:14">
      <c r="A1017" s="6" t="s">
        <v>7</v>
      </c>
      <c r="B1017" s="7">
        <v>45505</v>
      </c>
      <c r="C1017" s="6" t="s">
        <v>4156</v>
      </c>
      <c r="D1017" s="6" t="s">
        <v>4134</v>
      </c>
      <c r="E1017" s="6" t="s">
        <v>1216</v>
      </c>
      <c r="F1017" s="7">
        <v>45595</v>
      </c>
      <c r="G1017" s="6" t="s">
        <v>3102</v>
      </c>
      <c r="H1017" s="8"/>
      <c r="I1017" s="9">
        <v>7210</v>
      </c>
      <c r="J1017" s="9">
        <v>7210</v>
      </c>
      <c r="K1017" s="5" t="str">
        <f>VLOOKUP(D1017,[1]Clientes!$A$1:$B$1485,2,0)</f>
        <v>NAC1035</v>
      </c>
      <c r="L1017" s="5" t="str">
        <f t="shared" si="30"/>
        <v>HGI0126129</v>
      </c>
      <c r="M1017" s="5" t="str">
        <f t="shared" si="31"/>
        <v>I</v>
      </c>
      <c r="N1017" s="5">
        <f>IF(G1017=[1]Clientes!$C$3,[1]Clientes!$D$3,[1]Clientes!$D$2)</f>
        <v>13050505</v>
      </c>
    </row>
    <row r="1018" spans="1:14">
      <c r="A1018" s="6" t="s">
        <v>7</v>
      </c>
      <c r="B1018" s="7">
        <v>45505</v>
      </c>
      <c r="C1018" s="6" t="s">
        <v>4157</v>
      </c>
      <c r="D1018" s="6" t="s">
        <v>4134</v>
      </c>
      <c r="E1018" s="6" t="s">
        <v>1216</v>
      </c>
      <c r="F1018" s="7">
        <v>45595</v>
      </c>
      <c r="G1018" s="6" t="s">
        <v>3102</v>
      </c>
      <c r="H1018" s="8"/>
      <c r="I1018" s="9">
        <v>315.73</v>
      </c>
      <c r="J1018" s="9">
        <v>315.73</v>
      </c>
      <c r="K1018" s="5" t="str">
        <f>VLOOKUP(D1018,[1]Clientes!$A$1:$B$1485,2,0)</f>
        <v>NAC1035</v>
      </c>
      <c r="L1018" s="5" t="str">
        <f t="shared" si="30"/>
        <v>HGI0126130</v>
      </c>
      <c r="M1018" s="5" t="str">
        <f t="shared" si="31"/>
        <v>I</v>
      </c>
      <c r="N1018" s="5">
        <f>IF(G1018=[1]Clientes!$C$3,[1]Clientes!$D$3,[1]Clientes!$D$2)</f>
        <v>13050505</v>
      </c>
    </row>
    <row r="1019" spans="1:14">
      <c r="A1019" s="6" t="s">
        <v>7</v>
      </c>
      <c r="B1019" s="7">
        <v>45516</v>
      </c>
      <c r="C1019" s="6" t="s">
        <v>4158</v>
      </c>
      <c r="D1019" s="6" t="s">
        <v>4134</v>
      </c>
      <c r="E1019" s="6" t="s">
        <v>1216</v>
      </c>
      <c r="F1019" s="7">
        <v>45606</v>
      </c>
      <c r="G1019" s="6" t="s">
        <v>3102</v>
      </c>
      <c r="H1019" s="8"/>
      <c r="I1019" s="9">
        <v>14713.67</v>
      </c>
      <c r="J1019" s="9">
        <v>14713.67</v>
      </c>
      <c r="K1019" s="5" t="str">
        <f>VLOOKUP(D1019,[1]Clientes!$A$1:$B$1485,2,0)</f>
        <v>NAC1035</v>
      </c>
      <c r="L1019" s="5" t="str">
        <f t="shared" si="30"/>
        <v>HGI0126431</v>
      </c>
      <c r="M1019" s="5" t="str">
        <f t="shared" si="31"/>
        <v>I</v>
      </c>
      <c r="N1019" s="5">
        <f>IF(G1019=[1]Clientes!$C$3,[1]Clientes!$D$3,[1]Clientes!$D$2)</f>
        <v>13050505</v>
      </c>
    </row>
    <row r="1020" spans="1:14">
      <c r="A1020" s="6" t="s">
        <v>7</v>
      </c>
      <c r="B1020" s="7">
        <v>45524</v>
      </c>
      <c r="C1020" s="6" t="s">
        <v>4159</v>
      </c>
      <c r="D1020" s="6" t="s">
        <v>4134</v>
      </c>
      <c r="E1020" s="6" t="s">
        <v>1216</v>
      </c>
      <c r="F1020" s="7">
        <v>45614</v>
      </c>
      <c r="G1020" s="6" t="s">
        <v>3102</v>
      </c>
      <c r="H1020" s="8"/>
      <c r="I1020" s="9">
        <v>9351.2999999999993</v>
      </c>
      <c r="J1020" s="9">
        <v>9351.2999999999993</v>
      </c>
      <c r="K1020" s="5" t="str">
        <f>VLOOKUP(D1020,[1]Clientes!$A$1:$B$1485,2,0)</f>
        <v>NAC1035</v>
      </c>
      <c r="L1020" s="5" t="str">
        <f t="shared" si="30"/>
        <v>HGI0126723</v>
      </c>
      <c r="M1020" s="5" t="str">
        <f t="shared" si="31"/>
        <v>I</v>
      </c>
      <c r="N1020" s="5">
        <f>IF(G1020=[1]Clientes!$C$3,[1]Clientes!$D$3,[1]Clientes!$D$2)</f>
        <v>13050505</v>
      </c>
    </row>
    <row r="1021" spans="1:14">
      <c r="A1021" s="6" t="s">
        <v>3099</v>
      </c>
      <c r="B1021" s="7">
        <v>45532</v>
      </c>
      <c r="C1021" s="6" t="s">
        <v>4160</v>
      </c>
      <c r="D1021" s="6" t="s">
        <v>4134</v>
      </c>
      <c r="E1021" s="6" t="s">
        <v>1216</v>
      </c>
      <c r="F1021" s="7">
        <v>45622</v>
      </c>
      <c r="G1021" s="6" t="s">
        <v>3102</v>
      </c>
      <c r="H1021" s="8"/>
      <c r="I1021" s="9">
        <v>-26.73</v>
      </c>
      <c r="J1021" s="9">
        <v>-26.73</v>
      </c>
      <c r="K1021" s="5" t="str">
        <f>VLOOKUP(D1021,[1]Clientes!$A$1:$B$1485,2,0)</f>
        <v>NAC1035</v>
      </c>
      <c r="L1021" s="5" t="str">
        <f t="shared" si="30"/>
        <v>CRM0126922</v>
      </c>
      <c r="M1021" s="5" t="str">
        <f t="shared" si="31"/>
        <v>C</v>
      </c>
      <c r="N1021" s="5">
        <f>IF(G1021=[1]Clientes!$C$3,[1]Clientes!$D$3,[1]Clientes!$D$2)</f>
        <v>13050505</v>
      </c>
    </row>
    <row r="1022" spans="1:14">
      <c r="A1022" s="6" t="s">
        <v>7</v>
      </c>
      <c r="B1022" s="7">
        <v>45264</v>
      </c>
      <c r="C1022" s="6" t="s">
        <v>4161</v>
      </c>
      <c r="D1022" s="6" t="s">
        <v>4162</v>
      </c>
      <c r="E1022" s="6" t="s">
        <v>1216</v>
      </c>
      <c r="F1022" s="7">
        <v>45354</v>
      </c>
      <c r="G1022" s="6" t="s">
        <v>3102</v>
      </c>
      <c r="H1022" s="8">
        <v>181</v>
      </c>
      <c r="I1022" s="9">
        <v>990</v>
      </c>
      <c r="J1022" s="9">
        <v>990</v>
      </c>
      <c r="K1022" s="5" t="str">
        <f>VLOOKUP(D1022,[1]Clientes!$A$1:$B$1485,2,0)</f>
        <v>NAC1039</v>
      </c>
      <c r="L1022" s="5" t="str">
        <f t="shared" si="30"/>
        <v>HGI0117996</v>
      </c>
      <c r="M1022" s="5" t="str">
        <f t="shared" si="31"/>
        <v>I</v>
      </c>
      <c r="N1022" s="5">
        <f>IF(G1022=[1]Clientes!$C$3,[1]Clientes!$D$3,[1]Clientes!$D$2)</f>
        <v>13050505</v>
      </c>
    </row>
    <row r="1023" spans="1:14">
      <c r="A1023" s="6" t="s">
        <v>7</v>
      </c>
      <c r="B1023" s="7">
        <v>45334</v>
      </c>
      <c r="C1023" s="6" t="s">
        <v>4163</v>
      </c>
      <c r="D1023" s="6" t="s">
        <v>4162</v>
      </c>
      <c r="E1023" s="6" t="s">
        <v>1216</v>
      </c>
      <c r="F1023" s="7">
        <v>45424</v>
      </c>
      <c r="G1023" s="6" t="s">
        <v>3102</v>
      </c>
      <c r="H1023" s="8">
        <v>111</v>
      </c>
      <c r="I1023" s="9">
        <v>200</v>
      </c>
      <c r="J1023" s="9">
        <v>7785</v>
      </c>
      <c r="K1023" s="5" t="str">
        <f>VLOOKUP(D1023,[1]Clientes!$A$1:$B$1485,2,0)</f>
        <v>NAC1039</v>
      </c>
      <c r="L1023" s="5" t="str">
        <f t="shared" si="30"/>
        <v>HGI0120849</v>
      </c>
      <c r="M1023" s="5" t="str">
        <f t="shared" si="31"/>
        <v>I</v>
      </c>
      <c r="N1023" s="5">
        <f>IF(G1023=[1]Clientes!$C$3,[1]Clientes!$D$3,[1]Clientes!$D$2)</f>
        <v>13050505</v>
      </c>
    </row>
    <row r="1024" spans="1:14">
      <c r="A1024" s="6" t="s">
        <v>7</v>
      </c>
      <c r="B1024" s="7">
        <v>45401</v>
      </c>
      <c r="C1024" s="6" t="s">
        <v>4164</v>
      </c>
      <c r="D1024" s="6" t="s">
        <v>4162</v>
      </c>
      <c r="E1024" s="6" t="s">
        <v>1216</v>
      </c>
      <c r="F1024" s="7">
        <v>45491</v>
      </c>
      <c r="G1024" s="6" t="s">
        <v>3102</v>
      </c>
      <c r="H1024" s="8">
        <v>44</v>
      </c>
      <c r="I1024" s="9">
        <v>108.99</v>
      </c>
      <c r="J1024" s="9">
        <v>7785</v>
      </c>
      <c r="K1024" s="5" t="str">
        <f>VLOOKUP(D1024,[1]Clientes!$A$1:$B$1485,2,0)</f>
        <v>NAC1039</v>
      </c>
      <c r="L1024" s="5" t="str">
        <f t="shared" si="30"/>
        <v>HGI0123299</v>
      </c>
      <c r="M1024" s="5" t="str">
        <f t="shared" si="31"/>
        <v>I</v>
      </c>
      <c r="N1024" s="5">
        <f>IF(G1024=[1]Clientes!$C$3,[1]Clientes!$D$3,[1]Clientes!$D$2)</f>
        <v>13050505</v>
      </c>
    </row>
    <row r="1025" spans="1:14">
      <c r="A1025" s="6" t="s">
        <v>7</v>
      </c>
      <c r="B1025" s="7">
        <v>45436</v>
      </c>
      <c r="C1025" s="6" t="s">
        <v>4165</v>
      </c>
      <c r="D1025" s="6" t="s">
        <v>4162</v>
      </c>
      <c r="E1025" s="6" t="s">
        <v>1216</v>
      </c>
      <c r="F1025" s="7">
        <v>45526</v>
      </c>
      <c r="G1025" s="6" t="s">
        <v>3102</v>
      </c>
      <c r="H1025" s="8">
        <v>9</v>
      </c>
      <c r="I1025" s="9">
        <v>7785</v>
      </c>
      <c r="J1025" s="9">
        <v>7785</v>
      </c>
      <c r="K1025" s="5" t="str">
        <f>VLOOKUP(D1025,[1]Clientes!$A$1:$B$1485,2,0)</f>
        <v>NAC1039</v>
      </c>
      <c r="L1025" s="5" t="str">
        <f t="shared" si="30"/>
        <v>HGI0124576</v>
      </c>
      <c r="M1025" s="5" t="str">
        <f t="shared" si="31"/>
        <v>I</v>
      </c>
      <c r="N1025" s="5">
        <f>IF(G1025=[1]Clientes!$C$3,[1]Clientes!$D$3,[1]Clientes!$D$2)</f>
        <v>13050505</v>
      </c>
    </row>
    <row r="1026" spans="1:14">
      <c r="A1026" s="6" t="s">
        <v>7</v>
      </c>
      <c r="B1026" s="7">
        <v>45453</v>
      </c>
      <c r="C1026" s="6" t="s">
        <v>4166</v>
      </c>
      <c r="D1026" s="6" t="s">
        <v>4162</v>
      </c>
      <c r="E1026" s="6" t="s">
        <v>1216</v>
      </c>
      <c r="F1026" s="7">
        <v>45543</v>
      </c>
      <c r="G1026" s="6" t="s">
        <v>3102</v>
      </c>
      <c r="H1026" s="8"/>
      <c r="I1026" s="9">
        <v>5658</v>
      </c>
      <c r="J1026" s="9">
        <v>5658</v>
      </c>
      <c r="K1026" s="5" t="str">
        <f>VLOOKUP(D1026,[1]Clientes!$A$1:$B$1485,2,0)</f>
        <v>NAC1039</v>
      </c>
      <c r="L1026" s="5" t="str">
        <f t="shared" si="30"/>
        <v>HGI0124955</v>
      </c>
      <c r="M1026" s="5" t="str">
        <f t="shared" si="31"/>
        <v>I</v>
      </c>
      <c r="N1026" s="5">
        <f>IF(G1026=[1]Clientes!$C$3,[1]Clientes!$D$3,[1]Clientes!$D$2)</f>
        <v>13050505</v>
      </c>
    </row>
    <row r="1027" spans="1:14">
      <c r="A1027" s="6" t="s">
        <v>7</v>
      </c>
      <c r="B1027" s="7">
        <v>45474</v>
      </c>
      <c r="C1027" s="6" t="s">
        <v>4167</v>
      </c>
      <c r="D1027" s="6" t="s">
        <v>4162</v>
      </c>
      <c r="E1027" s="6" t="s">
        <v>1216</v>
      </c>
      <c r="F1027" s="7">
        <v>45564</v>
      </c>
      <c r="G1027" s="6" t="s">
        <v>3102</v>
      </c>
      <c r="H1027" s="8"/>
      <c r="I1027" s="9">
        <v>13443</v>
      </c>
      <c r="J1027" s="9">
        <v>13443</v>
      </c>
      <c r="K1027" s="5" t="str">
        <f>VLOOKUP(D1027,[1]Clientes!$A$1:$B$1485,2,0)</f>
        <v>NAC1039</v>
      </c>
      <c r="L1027" s="5" t="str">
        <f t="shared" ref="L1027:L1090" si="32">IF(A1027="Invoice",
    IF(LEFT(C1027,5)="TGDR-", "TGDR"&amp;RIGHT(C1027,LEN(C1027)-5), "HGI"&amp;C1027),
    IF(A1027="Credit Memo",
        IF(LEFT(C1027,5)="TGDR-", "CRM"&amp;RIGHT(C1027,LEN(C1027)-5), "CRM"&amp;C1027),
        "Revisar")
)</f>
        <v>HGI0125399</v>
      </c>
      <c r="M1027" s="5" t="str">
        <f t="shared" ref="M1027:M1090" si="33">IF(A1027="Invoice","I",IF(A1027="Credit Memo","C",IF(A1027="Payment","P","GJ")))</f>
        <v>I</v>
      </c>
      <c r="N1027" s="5">
        <f>IF(G1027=[1]Clientes!$C$3,[1]Clientes!$D$3,[1]Clientes!$D$2)</f>
        <v>13050505</v>
      </c>
    </row>
    <row r="1028" spans="1:14">
      <c r="A1028" s="6" t="s">
        <v>7</v>
      </c>
      <c r="B1028" s="7">
        <v>45502</v>
      </c>
      <c r="C1028" s="6" t="s">
        <v>4168</v>
      </c>
      <c r="D1028" s="6" t="s">
        <v>4162</v>
      </c>
      <c r="E1028" s="6" t="s">
        <v>1216</v>
      </c>
      <c r="F1028" s="7">
        <v>45592</v>
      </c>
      <c r="G1028" s="6" t="s">
        <v>3102</v>
      </c>
      <c r="H1028" s="8"/>
      <c r="I1028" s="9">
        <v>7785</v>
      </c>
      <c r="J1028" s="9">
        <v>7785</v>
      </c>
      <c r="K1028" s="5" t="str">
        <f>VLOOKUP(D1028,[1]Clientes!$A$1:$B$1485,2,0)</f>
        <v>NAC1039</v>
      </c>
      <c r="L1028" s="5" t="str">
        <f t="shared" si="32"/>
        <v>HGI0126005</v>
      </c>
      <c r="M1028" s="5" t="str">
        <f t="shared" si="33"/>
        <v>I</v>
      </c>
      <c r="N1028" s="5">
        <f>IF(G1028=[1]Clientes!$C$3,[1]Clientes!$D$3,[1]Clientes!$D$2)</f>
        <v>13050505</v>
      </c>
    </row>
    <row r="1029" spans="1:14">
      <c r="A1029" s="6" t="s">
        <v>7</v>
      </c>
      <c r="B1029" s="7">
        <v>45513</v>
      </c>
      <c r="C1029" s="6" t="s">
        <v>4169</v>
      </c>
      <c r="D1029" s="6" t="s">
        <v>4162</v>
      </c>
      <c r="E1029" s="6" t="s">
        <v>1216</v>
      </c>
      <c r="F1029" s="7">
        <v>45603</v>
      </c>
      <c r="G1029" s="6" t="s">
        <v>3102</v>
      </c>
      <c r="H1029" s="8"/>
      <c r="I1029" s="9">
        <v>289</v>
      </c>
      <c r="J1029" s="9">
        <v>289</v>
      </c>
      <c r="K1029" s="5" t="str">
        <f>VLOOKUP(D1029,[1]Clientes!$A$1:$B$1485,2,0)</f>
        <v>NAC1039</v>
      </c>
      <c r="L1029" s="5" t="str">
        <f t="shared" si="32"/>
        <v>HGI0126350</v>
      </c>
      <c r="M1029" s="5" t="str">
        <f t="shared" si="33"/>
        <v>I</v>
      </c>
      <c r="N1029" s="5">
        <f>IF(G1029=[1]Clientes!$C$3,[1]Clientes!$D$3,[1]Clientes!$D$2)</f>
        <v>13050505</v>
      </c>
    </row>
    <row r="1030" spans="1:14">
      <c r="A1030" s="6" t="s">
        <v>7</v>
      </c>
      <c r="B1030" s="7">
        <v>45531</v>
      </c>
      <c r="C1030" s="6" t="s">
        <v>4170</v>
      </c>
      <c r="D1030" s="6" t="s">
        <v>4162</v>
      </c>
      <c r="E1030" s="6" t="s">
        <v>1216</v>
      </c>
      <c r="F1030" s="7">
        <v>45621</v>
      </c>
      <c r="G1030" s="6" t="s">
        <v>3102</v>
      </c>
      <c r="H1030" s="8"/>
      <c r="I1030" s="9">
        <v>19443.5</v>
      </c>
      <c r="J1030" s="9">
        <v>19443.5</v>
      </c>
      <c r="K1030" s="5" t="str">
        <f>VLOOKUP(D1030,[1]Clientes!$A$1:$B$1485,2,0)</f>
        <v>NAC1039</v>
      </c>
      <c r="L1030" s="5" t="str">
        <f t="shared" si="32"/>
        <v>HGI0127060</v>
      </c>
      <c r="M1030" s="5" t="str">
        <f t="shared" si="33"/>
        <v>I</v>
      </c>
      <c r="N1030" s="5">
        <f>IF(G1030=[1]Clientes!$C$3,[1]Clientes!$D$3,[1]Clientes!$D$2)</f>
        <v>13050505</v>
      </c>
    </row>
    <row r="1031" spans="1:14">
      <c r="A1031" s="6" t="s">
        <v>7</v>
      </c>
      <c r="B1031" s="7">
        <v>45225</v>
      </c>
      <c r="C1031" s="6" t="s">
        <v>4171</v>
      </c>
      <c r="D1031" s="6" t="s">
        <v>4172</v>
      </c>
      <c r="E1031" s="6" t="s">
        <v>1216</v>
      </c>
      <c r="F1031" s="7">
        <v>45315</v>
      </c>
      <c r="G1031" s="6" t="s">
        <v>3102</v>
      </c>
      <c r="H1031" s="8">
        <v>220</v>
      </c>
      <c r="I1031" s="9">
        <v>108.36</v>
      </c>
      <c r="J1031" s="9">
        <v>15300</v>
      </c>
      <c r="K1031" s="5" t="str">
        <f>VLOOKUP(D1031,[1]Clientes!$A$1:$B$1485,2,0)</f>
        <v>NAC1031</v>
      </c>
      <c r="L1031" s="5" t="str">
        <f t="shared" si="32"/>
        <v>HGI0116685</v>
      </c>
      <c r="M1031" s="5" t="str">
        <f t="shared" si="33"/>
        <v>I</v>
      </c>
      <c r="N1031" s="5">
        <f>IF(G1031=[1]Clientes!$C$3,[1]Clientes!$D$3,[1]Clientes!$D$2)</f>
        <v>13050505</v>
      </c>
    </row>
    <row r="1032" spans="1:14">
      <c r="A1032" s="6" t="s">
        <v>7</v>
      </c>
      <c r="B1032" s="7">
        <v>45239</v>
      </c>
      <c r="C1032" s="6" t="s">
        <v>4173</v>
      </c>
      <c r="D1032" s="6" t="s">
        <v>4172</v>
      </c>
      <c r="E1032" s="6" t="s">
        <v>1216</v>
      </c>
      <c r="F1032" s="7">
        <v>45329</v>
      </c>
      <c r="G1032" s="6" t="s">
        <v>3102</v>
      </c>
      <c r="H1032" s="8">
        <v>206</v>
      </c>
      <c r="I1032" s="9">
        <v>627.08000000000004</v>
      </c>
      <c r="J1032" s="9">
        <v>11591</v>
      </c>
      <c r="K1032" s="5" t="str">
        <f>VLOOKUP(D1032,[1]Clientes!$A$1:$B$1485,2,0)</f>
        <v>NAC1031</v>
      </c>
      <c r="L1032" s="5" t="str">
        <f t="shared" si="32"/>
        <v>HGI0117153</v>
      </c>
      <c r="M1032" s="5" t="str">
        <f t="shared" si="33"/>
        <v>I</v>
      </c>
      <c r="N1032" s="5">
        <f>IF(G1032=[1]Clientes!$C$3,[1]Clientes!$D$3,[1]Clientes!$D$2)</f>
        <v>13050505</v>
      </c>
    </row>
    <row r="1033" spans="1:14">
      <c r="A1033" s="6" t="s">
        <v>3265</v>
      </c>
      <c r="B1033" s="7">
        <v>45436</v>
      </c>
      <c r="C1033" s="6" t="s">
        <v>3557</v>
      </c>
      <c r="D1033" s="6" t="s">
        <v>4172</v>
      </c>
      <c r="E1033" s="6"/>
      <c r="F1033" s="7"/>
      <c r="G1033" s="6" t="s">
        <v>3102</v>
      </c>
      <c r="H1033" s="8"/>
      <c r="I1033" s="9">
        <v>-239.7</v>
      </c>
      <c r="J1033" s="9">
        <v>-239.7</v>
      </c>
      <c r="K1033" s="5" t="str">
        <f>VLOOKUP(D1033,[1]Clientes!$A$1:$B$1485,2,0)</f>
        <v>NAC1031</v>
      </c>
      <c r="L1033" s="5" t="str">
        <f t="shared" si="32"/>
        <v>Revisar</v>
      </c>
      <c r="M1033" s="5" t="str">
        <f t="shared" si="33"/>
        <v>GJ</v>
      </c>
      <c r="N1033" s="5">
        <f>IF(G1033=[1]Clientes!$C$3,[1]Clientes!$D$3,[1]Clientes!$D$2)</f>
        <v>13050505</v>
      </c>
    </row>
    <row r="1034" spans="1:14">
      <c r="A1034" s="6" t="s">
        <v>3099</v>
      </c>
      <c r="B1034" s="7">
        <v>45260</v>
      </c>
      <c r="C1034" s="6" t="s">
        <v>4174</v>
      </c>
      <c r="D1034" s="6" t="s">
        <v>1215</v>
      </c>
      <c r="E1034" s="6" t="s">
        <v>213</v>
      </c>
      <c r="F1034" s="7">
        <v>45260</v>
      </c>
      <c r="G1034" s="6" t="s">
        <v>3102</v>
      </c>
      <c r="H1034" s="8">
        <v>275</v>
      </c>
      <c r="I1034" s="9">
        <v>-3.33</v>
      </c>
      <c r="J1034" s="9">
        <v>-3.33</v>
      </c>
      <c r="K1034" s="5" t="str">
        <f>VLOOKUP(D1034,[1]Clientes!$A$1:$B$1370,2,0)</f>
        <v>NAC1040</v>
      </c>
      <c r="L1034" s="5" t="str">
        <f t="shared" si="32"/>
        <v>CRM0117911</v>
      </c>
      <c r="M1034" s="5" t="str">
        <f t="shared" si="33"/>
        <v>C</v>
      </c>
      <c r="N1034" s="5">
        <f>IF(G1034=[1]Clientes!$C$3,[1]Clientes!$D$3,[1]Clientes!$D$2)</f>
        <v>13050505</v>
      </c>
    </row>
    <row r="1035" spans="1:14">
      <c r="A1035" s="6" t="s">
        <v>3099</v>
      </c>
      <c r="B1035" s="7">
        <v>45260</v>
      </c>
      <c r="C1035" s="6" t="s">
        <v>4175</v>
      </c>
      <c r="D1035" s="6" t="s">
        <v>1215</v>
      </c>
      <c r="E1035" s="6" t="s">
        <v>213</v>
      </c>
      <c r="F1035" s="7">
        <v>45260</v>
      </c>
      <c r="G1035" s="6" t="s">
        <v>3102</v>
      </c>
      <c r="H1035" s="8">
        <v>275</v>
      </c>
      <c r="I1035" s="9">
        <v>-3.33</v>
      </c>
      <c r="J1035" s="9">
        <v>-3.33</v>
      </c>
      <c r="K1035" s="5" t="str">
        <f>VLOOKUP(D1035,[1]Clientes!$A$1:$B$1370,2,0)</f>
        <v>NAC1040</v>
      </c>
      <c r="L1035" s="5" t="str">
        <f t="shared" si="32"/>
        <v>CRM0117918</v>
      </c>
      <c r="M1035" s="5" t="str">
        <f t="shared" si="33"/>
        <v>C</v>
      </c>
      <c r="N1035" s="5">
        <f>IF(G1035=[1]Clientes!$C$3,[1]Clientes!$D$3,[1]Clientes!$D$2)</f>
        <v>13050505</v>
      </c>
    </row>
    <row r="1036" spans="1:14">
      <c r="A1036" s="6" t="s">
        <v>3099</v>
      </c>
      <c r="B1036" s="7">
        <v>45260</v>
      </c>
      <c r="C1036" s="6" t="s">
        <v>4176</v>
      </c>
      <c r="D1036" s="6" t="s">
        <v>1215</v>
      </c>
      <c r="E1036" s="6" t="s">
        <v>213</v>
      </c>
      <c r="F1036" s="7">
        <v>45260</v>
      </c>
      <c r="G1036" s="6" t="s">
        <v>3102</v>
      </c>
      <c r="H1036" s="8">
        <v>275</v>
      </c>
      <c r="I1036" s="9">
        <v>-3.33</v>
      </c>
      <c r="J1036" s="9">
        <v>-3.33</v>
      </c>
      <c r="K1036" s="5" t="str">
        <f>VLOOKUP(D1036,[1]Clientes!$A$1:$B$1370,2,0)</f>
        <v>NAC1040</v>
      </c>
      <c r="L1036" s="5" t="str">
        <f t="shared" si="32"/>
        <v>CRM0117919</v>
      </c>
      <c r="M1036" s="5" t="str">
        <f t="shared" si="33"/>
        <v>C</v>
      </c>
      <c r="N1036" s="5">
        <f>IF(G1036=[1]Clientes!$C$3,[1]Clientes!$D$3,[1]Clientes!$D$2)</f>
        <v>13050505</v>
      </c>
    </row>
    <row r="1037" spans="1:14">
      <c r="A1037" s="6" t="s">
        <v>3099</v>
      </c>
      <c r="B1037" s="7">
        <v>45260</v>
      </c>
      <c r="C1037" s="6" t="s">
        <v>4177</v>
      </c>
      <c r="D1037" s="6" t="s">
        <v>1215</v>
      </c>
      <c r="E1037" s="6" t="s">
        <v>213</v>
      </c>
      <c r="F1037" s="7">
        <v>45260</v>
      </c>
      <c r="G1037" s="6" t="s">
        <v>3102</v>
      </c>
      <c r="H1037" s="8">
        <v>275</v>
      </c>
      <c r="I1037" s="9">
        <v>-3.33</v>
      </c>
      <c r="J1037" s="9">
        <v>-3.33</v>
      </c>
      <c r="K1037" s="5" t="str">
        <f>VLOOKUP(D1037,[1]Clientes!$A$1:$B$1370,2,0)</f>
        <v>NAC1040</v>
      </c>
      <c r="L1037" s="5" t="str">
        <f t="shared" si="32"/>
        <v>CRM0117920</v>
      </c>
      <c r="M1037" s="5" t="str">
        <f t="shared" si="33"/>
        <v>C</v>
      </c>
      <c r="N1037" s="5">
        <f>IF(G1037=[1]Clientes!$C$3,[1]Clientes!$D$3,[1]Clientes!$D$2)</f>
        <v>13050505</v>
      </c>
    </row>
    <row r="1038" spans="1:14">
      <c r="A1038" s="6" t="s">
        <v>3099</v>
      </c>
      <c r="B1038" s="7">
        <v>45260</v>
      </c>
      <c r="C1038" s="6" t="s">
        <v>4178</v>
      </c>
      <c r="D1038" s="6" t="s">
        <v>1215</v>
      </c>
      <c r="E1038" s="6" t="s">
        <v>213</v>
      </c>
      <c r="F1038" s="7">
        <v>45260</v>
      </c>
      <c r="G1038" s="6" t="s">
        <v>3102</v>
      </c>
      <c r="H1038" s="8">
        <v>275</v>
      </c>
      <c r="I1038" s="9">
        <v>-3.33</v>
      </c>
      <c r="J1038" s="9">
        <v>-3.33</v>
      </c>
      <c r="K1038" s="5" t="str">
        <f>VLOOKUP(D1038,[1]Clientes!$A$1:$B$1370,2,0)</f>
        <v>NAC1040</v>
      </c>
      <c r="L1038" s="5" t="str">
        <f t="shared" si="32"/>
        <v>CRM0117921</v>
      </c>
      <c r="M1038" s="5" t="str">
        <f t="shared" si="33"/>
        <v>C</v>
      </c>
      <c r="N1038" s="5">
        <f>IF(G1038=[1]Clientes!$C$3,[1]Clientes!$D$3,[1]Clientes!$D$2)</f>
        <v>13050505</v>
      </c>
    </row>
    <row r="1039" spans="1:14">
      <c r="A1039" s="6" t="s">
        <v>3099</v>
      </c>
      <c r="B1039" s="7">
        <v>45260</v>
      </c>
      <c r="C1039" s="6" t="s">
        <v>4179</v>
      </c>
      <c r="D1039" s="6" t="s">
        <v>1215</v>
      </c>
      <c r="E1039" s="6" t="s">
        <v>213</v>
      </c>
      <c r="F1039" s="7">
        <v>45260</v>
      </c>
      <c r="G1039" s="6" t="s">
        <v>3102</v>
      </c>
      <c r="H1039" s="8">
        <v>275</v>
      </c>
      <c r="I1039" s="9">
        <v>-3.33</v>
      </c>
      <c r="J1039" s="9">
        <v>-3.33</v>
      </c>
      <c r="K1039" s="5" t="str">
        <f>VLOOKUP(D1039,[1]Clientes!$A$1:$B$1370,2,0)</f>
        <v>NAC1040</v>
      </c>
      <c r="L1039" s="5" t="str">
        <f t="shared" si="32"/>
        <v>CRM0117922</v>
      </c>
      <c r="M1039" s="5" t="str">
        <f t="shared" si="33"/>
        <v>C</v>
      </c>
      <c r="N1039" s="5">
        <f>IF(G1039=[1]Clientes!$C$3,[1]Clientes!$D$3,[1]Clientes!$D$2)</f>
        <v>13050505</v>
      </c>
    </row>
    <row r="1040" spans="1:14">
      <c r="A1040" s="6" t="s">
        <v>3099</v>
      </c>
      <c r="B1040" s="7">
        <v>45260</v>
      </c>
      <c r="C1040" s="6" t="s">
        <v>4180</v>
      </c>
      <c r="D1040" s="6" t="s">
        <v>1215</v>
      </c>
      <c r="E1040" s="6" t="s">
        <v>213</v>
      </c>
      <c r="F1040" s="7">
        <v>45260</v>
      </c>
      <c r="G1040" s="6" t="s">
        <v>3102</v>
      </c>
      <c r="H1040" s="8">
        <v>275</v>
      </c>
      <c r="I1040" s="9">
        <v>-3.33</v>
      </c>
      <c r="J1040" s="9">
        <v>-3.33</v>
      </c>
      <c r="K1040" s="5" t="str">
        <f>VLOOKUP(D1040,[1]Clientes!$A$1:$B$1370,2,0)</f>
        <v>NAC1040</v>
      </c>
      <c r="L1040" s="5" t="str">
        <f t="shared" si="32"/>
        <v>CRM0117923</v>
      </c>
      <c r="M1040" s="5" t="str">
        <f t="shared" si="33"/>
        <v>C</v>
      </c>
      <c r="N1040" s="5">
        <f>IF(G1040=[1]Clientes!$C$3,[1]Clientes!$D$3,[1]Clientes!$D$2)</f>
        <v>13050505</v>
      </c>
    </row>
    <row r="1041" spans="1:14">
      <c r="A1041" s="6" t="s">
        <v>3099</v>
      </c>
      <c r="B1041" s="7">
        <v>45260</v>
      </c>
      <c r="C1041" s="6" t="s">
        <v>4181</v>
      </c>
      <c r="D1041" s="6" t="s">
        <v>1215</v>
      </c>
      <c r="E1041" s="6" t="s">
        <v>213</v>
      </c>
      <c r="F1041" s="7">
        <v>45260</v>
      </c>
      <c r="G1041" s="6" t="s">
        <v>3102</v>
      </c>
      <c r="H1041" s="8">
        <v>275</v>
      </c>
      <c r="I1041" s="9">
        <v>-3.33</v>
      </c>
      <c r="J1041" s="9">
        <v>-3.33</v>
      </c>
      <c r="K1041" s="5" t="str">
        <f>VLOOKUP(D1041,[1]Clientes!$A$1:$B$1370,2,0)</f>
        <v>NAC1040</v>
      </c>
      <c r="L1041" s="5" t="str">
        <f t="shared" si="32"/>
        <v>CRM0117924</v>
      </c>
      <c r="M1041" s="5" t="str">
        <f t="shared" si="33"/>
        <v>C</v>
      </c>
      <c r="N1041" s="5">
        <f>IF(G1041=[1]Clientes!$C$3,[1]Clientes!$D$3,[1]Clientes!$D$2)</f>
        <v>13050505</v>
      </c>
    </row>
    <row r="1042" spans="1:14">
      <c r="A1042" s="6" t="s">
        <v>3099</v>
      </c>
      <c r="B1042" s="7">
        <v>45260</v>
      </c>
      <c r="C1042" s="6" t="s">
        <v>4182</v>
      </c>
      <c r="D1042" s="6" t="s">
        <v>1215</v>
      </c>
      <c r="E1042" s="6" t="s">
        <v>213</v>
      </c>
      <c r="F1042" s="7">
        <v>45260</v>
      </c>
      <c r="G1042" s="6" t="s">
        <v>3102</v>
      </c>
      <c r="H1042" s="8">
        <v>275</v>
      </c>
      <c r="I1042" s="9">
        <v>-3.33</v>
      </c>
      <c r="J1042" s="9">
        <v>-3.33</v>
      </c>
      <c r="K1042" s="5" t="str">
        <f>VLOOKUP(D1042,[1]Clientes!$A$1:$B$1370,2,0)</f>
        <v>NAC1040</v>
      </c>
      <c r="L1042" s="5" t="str">
        <f t="shared" si="32"/>
        <v>CRM0117968</v>
      </c>
      <c r="M1042" s="5" t="str">
        <f t="shared" si="33"/>
        <v>C</v>
      </c>
      <c r="N1042" s="5">
        <f>IF(G1042=[1]Clientes!$C$3,[1]Clientes!$D$3,[1]Clientes!$D$2)</f>
        <v>13050505</v>
      </c>
    </row>
    <row r="1043" spans="1:14">
      <c r="A1043" s="6" t="s">
        <v>3099</v>
      </c>
      <c r="B1043" s="7">
        <v>45260</v>
      </c>
      <c r="C1043" s="6" t="s">
        <v>4183</v>
      </c>
      <c r="D1043" s="6" t="s">
        <v>1215</v>
      </c>
      <c r="E1043" s="6" t="s">
        <v>213</v>
      </c>
      <c r="F1043" s="7">
        <v>45260</v>
      </c>
      <c r="G1043" s="6" t="s">
        <v>3102</v>
      </c>
      <c r="H1043" s="8">
        <v>275</v>
      </c>
      <c r="I1043" s="9">
        <v>-3.33</v>
      </c>
      <c r="J1043" s="9">
        <v>-3.33</v>
      </c>
      <c r="K1043" s="5" t="str">
        <f>VLOOKUP(D1043,[1]Clientes!$A$1:$B$1370,2,0)</f>
        <v>NAC1040</v>
      </c>
      <c r="L1043" s="5" t="str">
        <f t="shared" si="32"/>
        <v>CRM0117969</v>
      </c>
      <c r="M1043" s="5" t="str">
        <f t="shared" si="33"/>
        <v>C</v>
      </c>
      <c r="N1043" s="5">
        <f>IF(G1043=[1]Clientes!$C$3,[1]Clientes!$D$3,[1]Clientes!$D$2)</f>
        <v>13050505</v>
      </c>
    </row>
    <row r="1044" spans="1:14">
      <c r="A1044" s="6" t="s">
        <v>3099</v>
      </c>
      <c r="B1044" s="7">
        <v>45260</v>
      </c>
      <c r="C1044" s="6" t="s">
        <v>4184</v>
      </c>
      <c r="D1044" s="6" t="s">
        <v>1215</v>
      </c>
      <c r="E1044" s="6" t="s">
        <v>213</v>
      </c>
      <c r="F1044" s="7">
        <v>45260</v>
      </c>
      <c r="G1044" s="6" t="s">
        <v>3102</v>
      </c>
      <c r="H1044" s="8">
        <v>275</v>
      </c>
      <c r="I1044" s="9">
        <v>-3.33</v>
      </c>
      <c r="J1044" s="9">
        <v>-3.33</v>
      </c>
      <c r="K1044" s="5" t="str">
        <f>VLOOKUP(D1044,[1]Clientes!$A$1:$B$1370,2,0)</f>
        <v>NAC1040</v>
      </c>
      <c r="L1044" s="5" t="str">
        <f t="shared" si="32"/>
        <v>CRM0117970</v>
      </c>
      <c r="M1044" s="5" t="str">
        <f t="shared" si="33"/>
        <v>C</v>
      </c>
      <c r="N1044" s="5">
        <f>IF(G1044=[1]Clientes!$C$3,[1]Clientes!$D$3,[1]Clientes!$D$2)</f>
        <v>13050505</v>
      </c>
    </row>
    <row r="1045" spans="1:14">
      <c r="A1045" s="6" t="s">
        <v>3099</v>
      </c>
      <c r="B1045" s="7">
        <v>45260</v>
      </c>
      <c r="C1045" s="6" t="s">
        <v>4185</v>
      </c>
      <c r="D1045" s="6" t="s">
        <v>1215</v>
      </c>
      <c r="E1045" s="6" t="s">
        <v>213</v>
      </c>
      <c r="F1045" s="7">
        <v>45260</v>
      </c>
      <c r="G1045" s="6" t="s">
        <v>3102</v>
      </c>
      <c r="H1045" s="8">
        <v>275</v>
      </c>
      <c r="I1045" s="9">
        <v>-3.33</v>
      </c>
      <c r="J1045" s="9">
        <v>-3.33</v>
      </c>
      <c r="K1045" s="5" t="str">
        <f>VLOOKUP(D1045,[1]Clientes!$A$1:$B$1370,2,0)</f>
        <v>NAC1040</v>
      </c>
      <c r="L1045" s="5" t="str">
        <f t="shared" si="32"/>
        <v>CRM0117971</v>
      </c>
      <c r="M1045" s="5" t="str">
        <f t="shared" si="33"/>
        <v>C</v>
      </c>
      <c r="N1045" s="5">
        <f>IF(G1045=[1]Clientes!$C$3,[1]Clientes!$D$3,[1]Clientes!$D$2)</f>
        <v>13050505</v>
      </c>
    </row>
    <row r="1046" spans="1:14">
      <c r="A1046" s="6" t="s">
        <v>3099</v>
      </c>
      <c r="B1046" s="7">
        <v>45260</v>
      </c>
      <c r="C1046" s="6" t="s">
        <v>4186</v>
      </c>
      <c r="D1046" s="6" t="s">
        <v>1215</v>
      </c>
      <c r="E1046" s="6" t="s">
        <v>213</v>
      </c>
      <c r="F1046" s="7">
        <v>45260</v>
      </c>
      <c r="G1046" s="6" t="s">
        <v>3102</v>
      </c>
      <c r="H1046" s="8">
        <v>275</v>
      </c>
      <c r="I1046" s="9">
        <v>-3.33</v>
      </c>
      <c r="J1046" s="9">
        <v>-3.33</v>
      </c>
      <c r="K1046" s="5" t="str">
        <f>VLOOKUP(D1046,[1]Clientes!$A$1:$B$1370,2,0)</f>
        <v>NAC1040</v>
      </c>
      <c r="L1046" s="5" t="str">
        <f t="shared" si="32"/>
        <v>CRM0117972</v>
      </c>
      <c r="M1046" s="5" t="str">
        <f t="shared" si="33"/>
        <v>C</v>
      </c>
      <c r="N1046" s="5">
        <f>IF(G1046=[1]Clientes!$C$3,[1]Clientes!$D$3,[1]Clientes!$D$2)</f>
        <v>13050505</v>
      </c>
    </row>
    <row r="1047" spans="1:14">
      <c r="A1047" s="6" t="s">
        <v>3099</v>
      </c>
      <c r="B1047" s="7">
        <v>45260</v>
      </c>
      <c r="C1047" s="6" t="s">
        <v>4187</v>
      </c>
      <c r="D1047" s="6" t="s">
        <v>1215</v>
      </c>
      <c r="E1047" s="6" t="s">
        <v>213</v>
      </c>
      <c r="F1047" s="7">
        <v>45260</v>
      </c>
      <c r="G1047" s="6" t="s">
        <v>3102</v>
      </c>
      <c r="H1047" s="8">
        <v>275</v>
      </c>
      <c r="I1047" s="9">
        <v>-3.33</v>
      </c>
      <c r="J1047" s="9">
        <v>-3.33</v>
      </c>
      <c r="K1047" s="5" t="str">
        <f>VLOOKUP(D1047,[1]Clientes!$A$1:$B$1370,2,0)</f>
        <v>NAC1040</v>
      </c>
      <c r="L1047" s="5" t="str">
        <f t="shared" si="32"/>
        <v>CRM0117973</v>
      </c>
      <c r="M1047" s="5" t="str">
        <f t="shared" si="33"/>
        <v>C</v>
      </c>
      <c r="N1047" s="5">
        <f>IF(G1047=[1]Clientes!$C$3,[1]Clientes!$D$3,[1]Clientes!$D$2)</f>
        <v>13050505</v>
      </c>
    </row>
    <row r="1048" spans="1:14">
      <c r="A1048" s="6" t="s">
        <v>3099</v>
      </c>
      <c r="B1048" s="7">
        <v>45260</v>
      </c>
      <c r="C1048" s="6" t="s">
        <v>4188</v>
      </c>
      <c r="D1048" s="6" t="s">
        <v>1215</v>
      </c>
      <c r="E1048" s="6" t="s">
        <v>213</v>
      </c>
      <c r="F1048" s="7">
        <v>45260</v>
      </c>
      <c r="G1048" s="6" t="s">
        <v>3102</v>
      </c>
      <c r="H1048" s="8">
        <v>275</v>
      </c>
      <c r="I1048" s="9">
        <v>-3.33</v>
      </c>
      <c r="J1048" s="9">
        <v>-3.33</v>
      </c>
      <c r="K1048" s="5" t="str">
        <f>VLOOKUP(D1048,[1]Clientes!$A$1:$B$1370,2,0)</f>
        <v>NAC1040</v>
      </c>
      <c r="L1048" s="5" t="str">
        <f t="shared" si="32"/>
        <v>CRM0117974</v>
      </c>
      <c r="M1048" s="5" t="str">
        <f t="shared" si="33"/>
        <v>C</v>
      </c>
      <c r="N1048" s="5">
        <f>IF(G1048=[1]Clientes!$C$3,[1]Clientes!$D$3,[1]Clientes!$D$2)</f>
        <v>13050505</v>
      </c>
    </row>
    <row r="1049" spans="1:14">
      <c r="A1049" s="6" t="s">
        <v>3099</v>
      </c>
      <c r="B1049" s="7">
        <v>45260</v>
      </c>
      <c r="C1049" s="6" t="s">
        <v>4189</v>
      </c>
      <c r="D1049" s="6" t="s">
        <v>1215</v>
      </c>
      <c r="E1049" s="6" t="s">
        <v>213</v>
      </c>
      <c r="F1049" s="7">
        <v>45260</v>
      </c>
      <c r="G1049" s="6" t="s">
        <v>3102</v>
      </c>
      <c r="H1049" s="8">
        <v>275</v>
      </c>
      <c r="I1049" s="9">
        <v>-3.33</v>
      </c>
      <c r="J1049" s="9">
        <v>-3.33</v>
      </c>
      <c r="K1049" s="5" t="str">
        <f>VLOOKUP(D1049,[1]Clientes!$A$1:$B$1370,2,0)</f>
        <v>NAC1040</v>
      </c>
      <c r="L1049" s="5" t="str">
        <f t="shared" si="32"/>
        <v>CRM0117976</v>
      </c>
      <c r="M1049" s="5" t="str">
        <f t="shared" si="33"/>
        <v>C</v>
      </c>
      <c r="N1049" s="5">
        <f>IF(G1049=[1]Clientes!$C$3,[1]Clientes!$D$3,[1]Clientes!$D$2)</f>
        <v>13050505</v>
      </c>
    </row>
    <row r="1050" spans="1:14">
      <c r="A1050" s="6" t="s">
        <v>3099</v>
      </c>
      <c r="B1050" s="7">
        <v>45260</v>
      </c>
      <c r="C1050" s="6" t="s">
        <v>4190</v>
      </c>
      <c r="D1050" s="6" t="s">
        <v>1215</v>
      </c>
      <c r="E1050" s="6" t="s">
        <v>213</v>
      </c>
      <c r="F1050" s="7">
        <v>45260</v>
      </c>
      <c r="G1050" s="6" t="s">
        <v>3102</v>
      </c>
      <c r="H1050" s="8">
        <v>275</v>
      </c>
      <c r="I1050" s="9">
        <v>-3.33</v>
      </c>
      <c r="J1050" s="9">
        <v>-3.33</v>
      </c>
      <c r="K1050" s="5" t="str">
        <f>VLOOKUP(D1050,[1]Clientes!$A$1:$B$1370,2,0)</f>
        <v>NAC1040</v>
      </c>
      <c r="L1050" s="5" t="str">
        <f t="shared" si="32"/>
        <v>CRM0117977</v>
      </c>
      <c r="M1050" s="5" t="str">
        <f t="shared" si="33"/>
        <v>C</v>
      </c>
      <c r="N1050" s="5">
        <f>IF(G1050=[1]Clientes!$C$3,[1]Clientes!$D$3,[1]Clientes!$D$2)</f>
        <v>13050505</v>
      </c>
    </row>
    <row r="1051" spans="1:14">
      <c r="A1051" s="6" t="s">
        <v>3099</v>
      </c>
      <c r="B1051" s="7">
        <v>45260</v>
      </c>
      <c r="C1051" s="6" t="s">
        <v>4191</v>
      </c>
      <c r="D1051" s="6" t="s">
        <v>1215</v>
      </c>
      <c r="E1051" s="6" t="s">
        <v>213</v>
      </c>
      <c r="F1051" s="7">
        <v>45260</v>
      </c>
      <c r="G1051" s="6" t="s">
        <v>3102</v>
      </c>
      <c r="H1051" s="8">
        <v>275</v>
      </c>
      <c r="I1051" s="9">
        <v>-3.33</v>
      </c>
      <c r="J1051" s="9">
        <v>-3.33</v>
      </c>
      <c r="K1051" s="5" t="str">
        <f>VLOOKUP(D1051,[1]Clientes!$A$1:$B$1370,2,0)</f>
        <v>NAC1040</v>
      </c>
      <c r="L1051" s="5" t="str">
        <f t="shared" si="32"/>
        <v>CRM0117978</v>
      </c>
      <c r="M1051" s="5" t="str">
        <f t="shared" si="33"/>
        <v>C</v>
      </c>
      <c r="N1051" s="5">
        <f>IF(G1051=[1]Clientes!$C$3,[1]Clientes!$D$3,[1]Clientes!$D$2)</f>
        <v>13050505</v>
      </c>
    </row>
    <row r="1052" spans="1:14">
      <c r="A1052" s="6" t="s">
        <v>3099</v>
      </c>
      <c r="B1052" s="7">
        <v>45260</v>
      </c>
      <c r="C1052" s="6" t="s">
        <v>4192</v>
      </c>
      <c r="D1052" s="6" t="s">
        <v>1215</v>
      </c>
      <c r="E1052" s="6" t="s">
        <v>213</v>
      </c>
      <c r="F1052" s="7">
        <v>45260</v>
      </c>
      <c r="G1052" s="6" t="s">
        <v>3102</v>
      </c>
      <c r="H1052" s="8">
        <v>275</v>
      </c>
      <c r="I1052" s="9">
        <v>-3.33</v>
      </c>
      <c r="J1052" s="9">
        <v>-3.33</v>
      </c>
      <c r="K1052" s="5" t="str">
        <f>VLOOKUP(D1052,[1]Clientes!$A$1:$B$1370,2,0)</f>
        <v>NAC1040</v>
      </c>
      <c r="L1052" s="5" t="str">
        <f t="shared" si="32"/>
        <v>CRM0117979</v>
      </c>
      <c r="M1052" s="5" t="str">
        <f t="shared" si="33"/>
        <v>C</v>
      </c>
      <c r="N1052" s="5">
        <f>IF(G1052=[1]Clientes!$C$3,[1]Clientes!$D$3,[1]Clientes!$D$2)</f>
        <v>13050505</v>
      </c>
    </row>
    <row r="1053" spans="1:14">
      <c r="A1053" s="6" t="s">
        <v>3099</v>
      </c>
      <c r="B1053" s="7">
        <v>45260</v>
      </c>
      <c r="C1053" s="6" t="s">
        <v>4193</v>
      </c>
      <c r="D1053" s="6" t="s">
        <v>1215</v>
      </c>
      <c r="E1053" s="6" t="s">
        <v>213</v>
      </c>
      <c r="F1053" s="7">
        <v>45260</v>
      </c>
      <c r="G1053" s="6" t="s">
        <v>3102</v>
      </c>
      <c r="H1053" s="8">
        <v>275</v>
      </c>
      <c r="I1053" s="9">
        <v>-3.33</v>
      </c>
      <c r="J1053" s="9">
        <v>-3.33</v>
      </c>
      <c r="K1053" s="5" t="str">
        <f>VLOOKUP(D1053,[1]Clientes!$A$1:$B$1370,2,0)</f>
        <v>NAC1040</v>
      </c>
      <c r="L1053" s="5" t="str">
        <f t="shared" si="32"/>
        <v>CRM0117980</v>
      </c>
      <c r="M1053" s="5" t="str">
        <f t="shared" si="33"/>
        <v>C</v>
      </c>
      <c r="N1053" s="5">
        <f>IF(G1053=[1]Clientes!$C$3,[1]Clientes!$D$3,[1]Clientes!$D$2)</f>
        <v>13050505</v>
      </c>
    </row>
    <row r="1054" spans="1:14">
      <c r="A1054" s="6" t="s">
        <v>3099</v>
      </c>
      <c r="B1054" s="7">
        <v>45260</v>
      </c>
      <c r="C1054" s="6" t="s">
        <v>4194</v>
      </c>
      <c r="D1054" s="6" t="s">
        <v>1215</v>
      </c>
      <c r="E1054" s="6" t="s">
        <v>213</v>
      </c>
      <c r="F1054" s="7">
        <v>45260</v>
      </c>
      <c r="G1054" s="6" t="s">
        <v>3102</v>
      </c>
      <c r="H1054" s="8">
        <v>275</v>
      </c>
      <c r="I1054" s="9">
        <v>-3.33</v>
      </c>
      <c r="J1054" s="9">
        <v>-3.33</v>
      </c>
      <c r="K1054" s="5" t="str">
        <f>VLOOKUP(D1054,[1]Clientes!$A$1:$B$1370,2,0)</f>
        <v>NAC1040</v>
      </c>
      <c r="L1054" s="5" t="str">
        <f t="shared" si="32"/>
        <v>CRM0117981</v>
      </c>
      <c r="M1054" s="5" t="str">
        <f t="shared" si="33"/>
        <v>C</v>
      </c>
      <c r="N1054" s="5">
        <f>IF(G1054=[1]Clientes!$C$3,[1]Clientes!$D$3,[1]Clientes!$D$2)</f>
        <v>13050505</v>
      </c>
    </row>
    <row r="1055" spans="1:14">
      <c r="A1055" s="6" t="s">
        <v>3099</v>
      </c>
      <c r="B1055" s="7">
        <v>45260</v>
      </c>
      <c r="C1055" s="6" t="s">
        <v>4195</v>
      </c>
      <c r="D1055" s="6" t="s">
        <v>1215</v>
      </c>
      <c r="E1055" s="6" t="s">
        <v>213</v>
      </c>
      <c r="F1055" s="7">
        <v>45260</v>
      </c>
      <c r="G1055" s="6" t="s">
        <v>3102</v>
      </c>
      <c r="H1055" s="8">
        <v>275</v>
      </c>
      <c r="I1055" s="9">
        <v>-3.33</v>
      </c>
      <c r="J1055" s="9">
        <v>-3.33</v>
      </c>
      <c r="K1055" s="5" t="str">
        <f>VLOOKUP(D1055,[1]Clientes!$A$1:$B$1370,2,0)</f>
        <v>NAC1040</v>
      </c>
      <c r="L1055" s="5" t="str">
        <f t="shared" si="32"/>
        <v>CRM0117982</v>
      </c>
      <c r="M1055" s="5" t="str">
        <f t="shared" si="33"/>
        <v>C</v>
      </c>
      <c r="N1055" s="5">
        <f>IF(G1055=[1]Clientes!$C$3,[1]Clientes!$D$3,[1]Clientes!$D$2)</f>
        <v>13050505</v>
      </c>
    </row>
    <row r="1056" spans="1:14">
      <c r="A1056" s="6" t="s">
        <v>3099</v>
      </c>
      <c r="B1056" s="7">
        <v>45260</v>
      </c>
      <c r="C1056" s="6" t="s">
        <v>4196</v>
      </c>
      <c r="D1056" s="6" t="s">
        <v>1215</v>
      </c>
      <c r="E1056" s="6" t="s">
        <v>213</v>
      </c>
      <c r="F1056" s="7">
        <v>45260</v>
      </c>
      <c r="G1056" s="6" t="s">
        <v>3102</v>
      </c>
      <c r="H1056" s="8">
        <v>275</v>
      </c>
      <c r="I1056" s="9">
        <v>-3.33</v>
      </c>
      <c r="J1056" s="9">
        <v>-3.33</v>
      </c>
      <c r="K1056" s="5" t="str">
        <f>VLOOKUP(D1056,[1]Clientes!$A$1:$B$1370,2,0)</f>
        <v>NAC1040</v>
      </c>
      <c r="L1056" s="5" t="str">
        <f t="shared" si="32"/>
        <v>CRM0117983</v>
      </c>
      <c r="M1056" s="5" t="str">
        <f t="shared" si="33"/>
        <v>C</v>
      </c>
      <c r="N1056" s="5">
        <f>IF(G1056=[1]Clientes!$C$3,[1]Clientes!$D$3,[1]Clientes!$D$2)</f>
        <v>13050505</v>
      </c>
    </row>
    <row r="1057" spans="1:14">
      <c r="A1057" s="6" t="s">
        <v>3099</v>
      </c>
      <c r="B1057" s="7">
        <v>45260</v>
      </c>
      <c r="C1057" s="6" t="s">
        <v>4197</v>
      </c>
      <c r="D1057" s="6" t="s">
        <v>1215</v>
      </c>
      <c r="E1057" s="6" t="s">
        <v>213</v>
      </c>
      <c r="F1057" s="7">
        <v>45260</v>
      </c>
      <c r="G1057" s="6" t="s">
        <v>3102</v>
      </c>
      <c r="H1057" s="8">
        <v>275</v>
      </c>
      <c r="I1057" s="9">
        <v>-3.33</v>
      </c>
      <c r="J1057" s="9">
        <v>-3.33</v>
      </c>
      <c r="K1057" s="5" t="str">
        <f>VLOOKUP(D1057,[1]Clientes!$A$1:$B$1370,2,0)</f>
        <v>NAC1040</v>
      </c>
      <c r="L1057" s="5" t="str">
        <f t="shared" si="32"/>
        <v>CRM0117984</v>
      </c>
      <c r="M1057" s="5" t="str">
        <f t="shared" si="33"/>
        <v>C</v>
      </c>
      <c r="N1057" s="5">
        <f>IF(G1057=[1]Clientes!$C$3,[1]Clientes!$D$3,[1]Clientes!$D$2)</f>
        <v>13050505</v>
      </c>
    </row>
    <row r="1058" spans="1:14">
      <c r="A1058" s="6" t="s">
        <v>3099</v>
      </c>
      <c r="B1058" s="7">
        <v>45260</v>
      </c>
      <c r="C1058" s="6" t="s">
        <v>4198</v>
      </c>
      <c r="D1058" s="6" t="s">
        <v>1215</v>
      </c>
      <c r="E1058" s="6" t="s">
        <v>213</v>
      </c>
      <c r="F1058" s="7">
        <v>45260</v>
      </c>
      <c r="G1058" s="6" t="s">
        <v>3102</v>
      </c>
      <c r="H1058" s="8">
        <v>275</v>
      </c>
      <c r="I1058" s="9">
        <v>-3.33</v>
      </c>
      <c r="J1058" s="9">
        <v>-3.33</v>
      </c>
      <c r="K1058" s="5" t="str">
        <f>VLOOKUP(D1058,[1]Clientes!$A$1:$B$1370,2,0)</f>
        <v>NAC1040</v>
      </c>
      <c r="L1058" s="5" t="str">
        <f t="shared" si="32"/>
        <v>CRM0117985</v>
      </c>
      <c r="M1058" s="5" t="str">
        <f t="shared" si="33"/>
        <v>C</v>
      </c>
      <c r="N1058" s="5">
        <f>IF(G1058=[1]Clientes!$C$3,[1]Clientes!$D$3,[1]Clientes!$D$2)</f>
        <v>13050505</v>
      </c>
    </row>
    <row r="1059" spans="1:14">
      <c r="A1059" s="6" t="s">
        <v>3099</v>
      </c>
      <c r="B1059" s="7">
        <v>45260</v>
      </c>
      <c r="C1059" s="6" t="s">
        <v>4199</v>
      </c>
      <c r="D1059" s="6" t="s">
        <v>1215</v>
      </c>
      <c r="E1059" s="6" t="s">
        <v>213</v>
      </c>
      <c r="F1059" s="7">
        <v>45260</v>
      </c>
      <c r="G1059" s="6" t="s">
        <v>3102</v>
      </c>
      <c r="H1059" s="8">
        <v>275</v>
      </c>
      <c r="I1059" s="9">
        <v>-3.33</v>
      </c>
      <c r="J1059" s="9">
        <v>-3.33</v>
      </c>
      <c r="K1059" s="5" t="str">
        <f>VLOOKUP(D1059,[1]Clientes!$A$1:$B$1370,2,0)</f>
        <v>NAC1040</v>
      </c>
      <c r="L1059" s="5" t="str">
        <f t="shared" si="32"/>
        <v>CRM0118020</v>
      </c>
      <c r="M1059" s="5" t="str">
        <f t="shared" si="33"/>
        <v>C</v>
      </c>
      <c r="N1059" s="5">
        <f>IF(G1059=[1]Clientes!$C$3,[1]Clientes!$D$3,[1]Clientes!$D$2)</f>
        <v>13050505</v>
      </c>
    </row>
    <row r="1060" spans="1:14">
      <c r="A1060" s="6" t="s">
        <v>3099</v>
      </c>
      <c r="B1060" s="7">
        <v>45260</v>
      </c>
      <c r="C1060" s="6" t="s">
        <v>4200</v>
      </c>
      <c r="D1060" s="6" t="s">
        <v>1215</v>
      </c>
      <c r="E1060" s="6" t="s">
        <v>213</v>
      </c>
      <c r="F1060" s="7">
        <v>45260</v>
      </c>
      <c r="G1060" s="6" t="s">
        <v>3102</v>
      </c>
      <c r="H1060" s="8">
        <v>275</v>
      </c>
      <c r="I1060" s="9">
        <v>-3.33</v>
      </c>
      <c r="J1060" s="9">
        <v>-3.33</v>
      </c>
      <c r="K1060" s="5" t="str">
        <f>VLOOKUP(D1060,[1]Clientes!$A$1:$B$1370,2,0)</f>
        <v>NAC1040</v>
      </c>
      <c r="L1060" s="5" t="str">
        <f t="shared" si="32"/>
        <v>CRM0118021</v>
      </c>
      <c r="M1060" s="5" t="str">
        <f t="shared" si="33"/>
        <v>C</v>
      </c>
      <c r="N1060" s="5">
        <f>IF(G1060=[1]Clientes!$C$3,[1]Clientes!$D$3,[1]Clientes!$D$2)</f>
        <v>13050505</v>
      </c>
    </row>
    <row r="1061" spans="1:14">
      <c r="A1061" s="6" t="s">
        <v>3099</v>
      </c>
      <c r="B1061" s="7">
        <v>45260</v>
      </c>
      <c r="C1061" s="6" t="s">
        <v>4201</v>
      </c>
      <c r="D1061" s="6" t="s">
        <v>1215</v>
      </c>
      <c r="E1061" s="6" t="s">
        <v>213</v>
      </c>
      <c r="F1061" s="7">
        <v>45260</v>
      </c>
      <c r="G1061" s="6" t="s">
        <v>3102</v>
      </c>
      <c r="H1061" s="8">
        <v>275</v>
      </c>
      <c r="I1061" s="9">
        <v>-3.33</v>
      </c>
      <c r="J1061" s="9">
        <v>-3.33</v>
      </c>
      <c r="K1061" s="5" t="str">
        <f>VLOOKUP(D1061,[1]Clientes!$A$1:$B$1370,2,0)</f>
        <v>NAC1040</v>
      </c>
      <c r="L1061" s="5" t="str">
        <f t="shared" si="32"/>
        <v>CRM0118022</v>
      </c>
      <c r="M1061" s="5" t="str">
        <f t="shared" si="33"/>
        <v>C</v>
      </c>
      <c r="N1061" s="5">
        <f>IF(G1061=[1]Clientes!$C$3,[1]Clientes!$D$3,[1]Clientes!$D$2)</f>
        <v>13050505</v>
      </c>
    </row>
    <row r="1062" spans="1:14">
      <c r="A1062" s="6" t="s">
        <v>3099</v>
      </c>
      <c r="B1062" s="7">
        <v>45260</v>
      </c>
      <c r="C1062" s="6" t="s">
        <v>4202</v>
      </c>
      <c r="D1062" s="6" t="s">
        <v>1215</v>
      </c>
      <c r="E1062" s="6" t="s">
        <v>213</v>
      </c>
      <c r="F1062" s="7">
        <v>45260</v>
      </c>
      <c r="G1062" s="6" t="s">
        <v>3102</v>
      </c>
      <c r="H1062" s="8">
        <v>275</v>
      </c>
      <c r="I1062" s="9">
        <v>-3.33</v>
      </c>
      <c r="J1062" s="9">
        <v>-3.33</v>
      </c>
      <c r="K1062" s="5" t="str">
        <f>VLOOKUP(D1062,[1]Clientes!$A$1:$B$1370,2,0)</f>
        <v>NAC1040</v>
      </c>
      <c r="L1062" s="5" t="str">
        <f t="shared" si="32"/>
        <v>CRM0118023</v>
      </c>
      <c r="M1062" s="5" t="str">
        <f t="shared" si="33"/>
        <v>C</v>
      </c>
      <c r="N1062" s="5">
        <f>IF(G1062=[1]Clientes!$C$3,[1]Clientes!$D$3,[1]Clientes!$D$2)</f>
        <v>13050505</v>
      </c>
    </row>
    <row r="1063" spans="1:14">
      <c r="A1063" s="6" t="s">
        <v>3099</v>
      </c>
      <c r="B1063" s="7">
        <v>45260</v>
      </c>
      <c r="C1063" s="6" t="s">
        <v>4203</v>
      </c>
      <c r="D1063" s="6" t="s">
        <v>1215</v>
      </c>
      <c r="E1063" s="6" t="s">
        <v>213</v>
      </c>
      <c r="F1063" s="7">
        <v>45260</v>
      </c>
      <c r="G1063" s="6" t="s">
        <v>3102</v>
      </c>
      <c r="H1063" s="8">
        <v>275</v>
      </c>
      <c r="I1063" s="9">
        <v>-3.33</v>
      </c>
      <c r="J1063" s="9">
        <v>-3.33</v>
      </c>
      <c r="K1063" s="5" t="str">
        <f>VLOOKUP(D1063,[1]Clientes!$A$1:$B$1370,2,0)</f>
        <v>NAC1040</v>
      </c>
      <c r="L1063" s="5" t="str">
        <f t="shared" si="32"/>
        <v>CRM0118024</v>
      </c>
      <c r="M1063" s="5" t="str">
        <f t="shared" si="33"/>
        <v>C</v>
      </c>
      <c r="N1063" s="5">
        <f>IF(G1063=[1]Clientes!$C$3,[1]Clientes!$D$3,[1]Clientes!$D$2)</f>
        <v>13050505</v>
      </c>
    </row>
    <row r="1064" spans="1:14">
      <c r="A1064" s="6" t="s">
        <v>3099</v>
      </c>
      <c r="B1064" s="7">
        <v>45260</v>
      </c>
      <c r="C1064" s="6" t="s">
        <v>4204</v>
      </c>
      <c r="D1064" s="6" t="s">
        <v>1215</v>
      </c>
      <c r="E1064" s="6" t="s">
        <v>213</v>
      </c>
      <c r="F1064" s="7">
        <v>45260</v>
      </c>
      <c r="G1064" s="6" t="s">
        <v>3102</v>
      </c>
      <c r="H1064" s="8">
        <v>275</v>
      </c>
      <c r="I1064" s="9">
        <v>-3.33</v>
      </c>
      <c r="J1064" s="9">
        <v>-3.33</v>
      </c>
      <c r="K1064" s="5" t="str">
        <f>VLOOKUP(D1064,[1]Clientes!$A$1:$B$1370,2,0)</f>
        <v>NAC1040</v>
      </c>
      <c r="L1064" s="5" t="str">
        <f t="shared" si="32"/>
        <v>CRM0118025</v>
      </c>
      <c r="M1064" s="5" t="str">
        <f t="shared" si="33"/>
        <v>C</v>
      </c>
      <c r="N1064" s="5">
        <f>IF(G1064=[1]Clientes!$C$3,[1]Clientes!$D$3,[1]Clientes!$D$2)</f>
        <v>13050505</v>
      </c>
    </row>
    <row r="1065" spans="1:14">
      <c r="A1065" s="6" t="s">
        <v>3099</v>
      </c>
      <c r="B1065" s="7">
        <v>45260</v>
      </c>
      <c r="C1065" s="6" t="s">
        <v>4205</v>
      </c>
      <c r="D1065" s="6" t="s">
        <v>1215</v>
      </c>
      <c r="E1065" s="6" t="s">
        <v>213</v>
      </c>
      <c r="F1065" s="7">
        <v>45260</v>
      </c>
      <c r="G1065" s="6" t="s">
        <v>3102</v>
      </c>
      <c r="H1065" s="8">
        <v>275</v>
      </c>
      <c r="I1065" s="9">
        <v>-3.33</v>
      </c>
      <c r="J1065" s="9">
        <v>-3.33</v>
      </c>
      <c r="K1065" s="5" t="str">
        <f>VLOOKUP(D1065,[1]Clientes!$A$1:$B$1370,2,0)</f>
        <v>NAC1040</v>
      </c>
      <c r="L1065" s="5" t="str">
        <f t="shared" si="32"/>
        <v>CRM0118026</v>
      </c>
      <c r="M1065" s="5" t="str">
        <f t="shared" si="33"/>
        <v>C</v>
      </c>
      <c r="N1065" s="5">
        <f>IF(G1065=[1]Clientes!$C$3,[1]Clientes!$D$3,[1]Clientes!$D$2)</f>
        <v>13050505</v>
      </c>
    </row>
    <row r="1066" spans="1:14">
      <c r="A1066" s="6" t="s">
        <v>3099</v>
      </c>
      <c r="B1066" s="7">
        <v>45260</v>
      </c>
      <c r="C1066" s="6" t="s">
        <v>4206</v>
      </c>
      <c r="D1066" s="6" t="s">
        <v>1215</v>
      </c>
      <c r="E1066" s="6" t="s">
        <v>213</v>
      </c>
      <c r="F1066" s="7">
        <v>45260</v>
      </c>
      <c r="G1066" s="6" t="s">
        <v>3102</v>
      </c>
      <c r="H1066" s="8">
        <v>275</v>
      </c>
      <c r="I1066" s="9">
        <v>-3.33</v>
      </c>
      <c r="J1066" s="9">
        <v>-3.33</v>
      </c>
      <c r="K1066" s="5" t="str">
        <f>VLOOKUP(D1066,[1]Clientes!$A$1:$B$1370,2,0)</f>
        <v>NAC1040</v>
      </c>
      <c r="L1066" s="5" t="str">
        <f t="shared" si="32"/>
        <v>CRM0118027</v>
      </c>
      <c r="M1066" s="5" t="str">
        <f t="shared" si="33"/>
        <v>C</v>
      </c>
      <c r="N1066" s="5">
        <f>IF(G1066=[1]Clientes!$C$3,[1]Clientes!$D$3,[1]Clientes!$D$2)</f>
        <v>13050505</v>
      </c>
    </row>
    <row r="1067" spans="1:14">
      <c r="A1067" s="6" t="s">
        <v>3099</v>
      </c>
      <c r="B1067" s="7">
        <v>45260</v>
      </c>
      <c r="C1067" s="6" t="s">
        <v>4207</v>
      </c>
      <c r="D1067" s="6" t="s">
        <v>1215</v>
      </c>
      <c r="E1067" s="6" t="s">
        <v>213</v>
      </c>
      <c r="F1067" s="7">
        <v>45260</v>
      </c>
      <c r="G1067" s="6" t="s">
        <v>3102</v>
      </c>
      <c r="H1067" s="8">
        <v>275</v>
      </c>
      <c r="I1067" s="9">
        <v>-3.33</v>
      </c>
      <c r="J1067" s="9">
        <v>-3.33</v>
      </c>
      <c r="K1067" s="5" t="str">
        <f>VLOOKUP(D1067,[1]Clientes!$A$1:$B$1370,2,0)</f>
        <v>NAC1040</v>
      </c>
      <c r="L1067" s="5" t="str">
        <f t="shared" si="32"/>
        <v>CRM0118028</v>
      </c>
      <c r="M1067" s="5" t="str">
        <f t="shared" si="33"/>
        <v>C</v>
      </c>
      <c r="N1067" s="5">
        <f>IF(G1067=[1]Clientes!$C$3,[1]Clientes!$D$3,[1]Clientes!$D$2)</f>
        <v>13050505</v>
      </c>
    </row>
    <row r="1068" spans="1:14">
      <c r="A1068" s="6" t="s">
        <v>3099</v>
      </c>
      <c r="B1068" s="7">
        <v>45260</v>
      </c>
      <c r="C1068" s="6" t="s">
        <v>4208</v>
      </c>
      <c r="D1068" s="6" t="s">
        <v>1215</v>
      </c>
      <c r="E1068" s="6" t="s">
        <v>213</v>
      </c>
      <c r="F1068" s="7">
        <v>45260</v>
      </c>
      <c r="G1068" s="6" t="s">
        <v>3102</v>
      </c>
      <c r="H1068" s="8">
        <v>275</v>
      </c>
      <c r="I1068" s="9">
        <v>-3.33</v>
      </c>
      <c r="J1068" s="9">
        <v>-3.33</v>
      </c>
      <c r="K1068" s="5" t="str">
        <f>VLOOKUP(D1068,[1]Clientes!$A$1:$B$1370,2,0)</f>
        <v>NAC1040</v>
      </c>
      <c r="L1068" s="5" t="str">
        <f t="shared" si="32"/>
        <v>CRM0118029</v>
      </c>
      <c r="M1068" s="5" t="str">
        <f t="shared" si="33"/>
        <v>C</v>
      </c>
      <c r="N1068" s="5">
        <f>IF(G1068=[1]Clientes!$C$3,[1]Clientes!$D$3,[1]Clientes!$D$2)</f>
        <v>13050505</v>
      </c>
    </row>
    <row r="1069" spans="1:14">
      <c r="A1069" s="6" t="s">
        <v>3099</v>
      </c>
      <c r="B1069" s="7">
        <v>45260</v>
      </c>
      <c r="C1069" s="6" t="s">
        <v>4209</v>
      </c>
      <c r="D1069" s="6" t="s">
        <v>1215</v>
      </c>
      <c r="E1069" s="6" t="s">
        <v>213</v>
      </c>
      <c r="F1069" s="7">
        <v>45260</v>
      </c>
      <c r="G1069" s="6" t="s">
        <v>3102</v>
      </c>
      <c r="H1069" s="8">
        <v>275</v>
      </c>
      <c r="I1069" s="9">
        <v>-3.33</v>
      </c>
      <c r="J1069" s="9">
        <v>-3.33</v>
      </c>
      <c r="K1069" s="5" t="str">
        <f>VLOOKUP(D1069,[1]Clientes!$A$1:$B$1370,2,0)</f>
        <v>NAC1040</v>
      </c>
      <c r="L1069" s="5" t="str">
        <f t="shared" si="32"/>
        <v>CRM0118034</v>
      </c>
      <c r="M1069" s="5" t="str">
        <f t="shared" si="33"/>
        <v>C</v>
      </c>
      <c r="N1069" s="5">
        <f>IF(G1069=[1]Clientes!$C$3,[1]Clientes!$D$3,[1]Clientes!$D$2)</f>
        <v>13050505</v>
      </c>
    </row>
    <row r="1070" spans="1:14">
      <c r="A1070" s="6" t="s">
        <v>3099</v>
      </c>
      <c r="B1070" s="7">
        <v>45260</v>
      </c>
      <c r="C1070" s="6" t="s">
        <v>4210</v>
      </c>
      <c r="D1070" s="6" t="s">
        <v>1215</v>
      </c>
      <c r="E1070" s="6" t="s">
        <v>213</v>
      </c>
      <c r="F1070" s="7">
        <v>45260</v>
      </c>
      <c r="G1070" s="6" t="s">
        <v>3102</v>
      </c>
      <c r="H1070" s="8">
        <v>275</v>
      </c>
      <c r="I1070" s="9">
        <v>-3.33</v>
      </c>
      <c r="J1070" s="9">
        <v>-3.33</v>
      </c>
      <c r="K1070" s="5" t="str">
        <f>VLOOKUP(D1070,[1]Clientes!$A$1:$B$1370,2,0)</f>
        <v>NAC1040</v>
      </c>
      <c r="L1070" s="5" t="str">
        <f t="shared" si="32"/>
        <v>CRM0118035</v>
      </c>
      <c r="M1070" s="5" t="str">
        <f t="shared" si="33"/>
        <v>C</v>
      </c>
      <c r="N1070" s="5">
        <f>IF(G1070=[1]Clientes!$C$3,[1]Clientes!$D$3,[1]Clientes!$D$2)</f>
        <v>13050505</v>
      </c>
    </row>
    <row r="1071" spans="1:14">
      <c r="A1071" s="6" t="s">
        <v>3099</v>
      </c>
      <c r="B1071" s="7">
        <v>45260</v>
      </c>
      <c r="C1071" s="6" t="s">
        <v>4211</v>
      </c>
      <c r="D1071" s="6" t="s">
        <v>1215</v>
      </c>
      <c r="E1071" s="6" t="s">
        <v>213</v>
      </c>
      <c r="F1071" s="7">
        <v>45260</v>
      </c>
      <c r="G1071" s="6" t="s">
        <v>3102</v>
      </c>
      <c r="H1071" s="8">
        <v>275</v>
      </c>
      <c r="I1071" s="9">
        <v>-3.33</v>
      </c>
      <c r="J1071" s="9">
        <v>-3.33</v>
      </c>
      <c r="K1071" s="5" t="str">
        <f>VLOOKUP(D1071,[1]Clientes!$A$1:$B$1370,2,0)</f>
        <v>NAC1040</v>
      </c>
      <c r="L1071" s="5" t="str">
        <f t="shared" si="32"/>
        <v>CRM0118036</v>
      </c>
      <c r="M1071" s="5" t="str">
        <f t="shared" si="33"/>
        <v>C</v>
      </c>
      <c r="N1071" s="5">
        <f>IF(G1071=[1]Clientes!$C$3,[1]Clientes!$D$3,[1]Clientes!$D$2)</f>
        <v>13050505</v>
      </c>
    </row>
    <row r="1072" spans="1:14">
      <c r="A1072" s="6" t="s">
        <v>3099</v>
      </c>
      <c r="B1072" s="7">
        <v>45260</v>
      </c>
      <c r="C1072" s="6" t="s">
        <v>4212</v>
      </c>
      <c r="D1072" s="6" t="s">
        <v>1215</v>
      </c>
      <c r="E1072" s="6" t="s">
        <v>213</v>
      </c>
      <c r="F1072" s="7">
        <v>45260</v>
      </c>
      <c r="G1072" s="6" t="s">
        <v>3102</v>
      </c>
      <c r="H1072" s="8">
        <v>275</v>
      </c>
      <c r="I1072" s="9">
        <v>-3.33</v>
      </c>
      <c r="J1072" s="9">
        <v>-3.33</v>
      </c>
      <c r="K1072" s="5" t="str">
        <f>VLOOKUP(D1072,[1]Clientes!$A$1:$B$1370,2,0)</f>
        <v>NAC1040</v>
      </c>
      <c r="L1072" s="5" t="str">
        <f t="shared" si="32"/>
        <v>CRM0118037</v>
      </c>
      <c r="M1072" s="5" t="str">
        <f t="shared" si="33"/>
        <v>C</v>
      </c>
      <c r="N1072" s="5">
        <f>IF(G1072=[1]Clientes!$C$3,[1]Clientes!$D$3,[1]Clientes!$D$2)</f>
        <v>13050505</v>
      </c>
    </row>
    <row r="1073" spans="1:14">
      <c r="A1073" s="6" t="s">
        <v>3099</v>
      </c>
      <c r="B1073" s="7">
        <v>45260</v>
      </c>
      <c r="C1073" s="6" t="s">
        <v>4213</v>
      </c>
      <c r="D1073" s="6" t="s">
        <v>1215</v>
      </c>
      <c r="E1073" s="6" t="s">
        <v>213</v>
      </c>
      <c r="F1073" s="7">
        <v>45260</v>
      </c>
      <c r="G1073" s="6" t="s">
        <v>3102</v>
      </c>
      <c r="H1073" s="8">
        <v>275</v>
      </c>
      <c r="I1073" s="9">
        <v>-3.33</v>
      </c>
      <c r="J1073" s="9">
        <v>-3.33</v>
      </c>
      <c r="K1073" s="5" t="str">
        <f>VLOOKUP(D1073,[1]Clientes!$A$1:$B$1370,2,0)</f>
        <v>NAC1040</v>
      </c>
      <c r="L1073" s="5" t="str">
        <f t="shared" si="32"/>
        <v>CRM0118038</v>
      </c>
      <c r="M1073" s="5" t="str">
        <f t="shared" si="33"/>
        <v>C</v>
      </c>
      <c r="N1073" s="5">
        <f>IF(G1073=[1]Clientes!$C$3,[1]Clientes!$D$3,[1]Clientes!$D$2)</f>
        <v>13050505</v>
      </c>
    </row>
    <row r="1074" spans="1:14">
      <c r="A1074" s="6" t="s">
        <v>3099</v>
      </c>
      <c r="B1074" s="7">
        <v>45260</v>
      </c>
      <c r="C1074" s="6" t="s">
        <v>4214</v>
      </c>
      <c r="D1074" s="6" t="s">
        <v>1215</v>
      </c>
      <c r="E1074" s="6" t="s">
        <v>213</v>
      </c>
      <c r="F1074" s="7">
        <v>45260</v>
      </c>
      <c r="G1074" s="6" t="s">
        <v>3102</v>
      </c>
      <c r="H1074" s="8">
        <v>275</v>
      </c>
      <c r="I1074" s="9">
        <v>-3.33</v>
      </c>
      <c r="J1074" s="9">
        <v>-3.33</v>
      </c>
      <c r="K1074" s="5" t="str">
        <f>VLOOKUP(D1074,[1]Clientes!$A$1:$B$1370,2,0)</f>
        <v>NAC1040</v>
      </c>
      <c r="L1074" s="5" t="str">
        <f t="shared" si="32"/>
        <v>CRM0118039</v>
      </c>
      <c r="M1074" s="5" t="str">
        <f t="shared" si="33"/>
        <v>C</v>
      </c>
      <c r="N1074" s="5">
        <f>IF(G1074=[1]Clientes!$C$3,[1]Clientes!$D$3,[1]Clientes!$D$2)</f>
        <v>13050505</v>
      </c>
    </row>
    <row r="1075" spans="1:14">
      <c r="A1075" s="6" t="s">
        <v>3099</v>
      </c>
      <c r="B1075" s="7">
        <v>45260</v>
      </c>
      <c r="C1075" s="6" t="s">
        <v>4215</v>
      </c>
      <c r="D1075" s="6" t="s">
        <v>1215</v>
      </c>
      <c r="E1075" s="6" t="s">
        <v>213</v>
      </c>
      <c r="F1075" s="7">
        <v>45260</v>
      </c>
      <c r="G1075" s="6" t="s">
        <v>3102</v>
      </c>
      <c r="H1075" s="8">
        <v>275</v>
      </c>
      <c r="I1075" s="9">
        <v>-3.33</v>
      </c>
      <c r="J1075" s="9">
        <v>-3.33</v>
      </c>
      <c r="K1075" s="5" t="str">
        <f>VLOOKUP(D1075,[1]Clientes!$A$1:$B$1370,2,0)</f>
        <v>NAC1040</v>
      </c>
      <c r="L1075" s="5" t="str">
        <f t="shared" si="32"/>
        <v>CRM0118040</v>
      </c>
      <c r="M1075" s="5" t="str">
        <f t="shared" si="33"/>
        <v>C</v>
      </c>
      <c r="N1075" s="5">
        <f>IF(G1075=[1]Clientes!$C$3,[1]Clientes!$D$3,[1]Clientes!$D$2)</f>
        <v>13050505</v>
      </c>
    </row>
    <row r="1076" spans="1:14">
      <c r="A1076" s="6" t="s">
        <v>3099</v>
      </c>
      <c r="B1076" s="7">
        <v>45260</v>
      </c>
      <c r="C1076" s="6" t="s">
        <v>4216</v>
      </c>
      <c r="D1076" s="6" t="s">
        <v>1215</v>
      </c>
      <c r="E1076" s="6" t="s">
        <v>213</v>
      </c>
      <c r="F1076" s="7">
        <v>45260</v>
      </c>
      <c r="G1076" s="6" t="s">
        <v>3102</v>
      </c>
      <c r="H1076" s="8">
        <v>275</v>
      </c>
      <c r="I1076" s="9">
        <v>-3.33</v>
      </c>
      <c r="J1076" s="9">
        <v>-3.33</v>
      </c>
      <c r="K1076" s="5" t="str">
        <f>VLOOKUP(D1076,[1]Clientes!$A$1:$B$1370,2,0)</f>
        <v>NAC1040</v>
      </c>
      <c r="L1076" s="5" t="str">
        <f t="shared" si="32"/>
        <v>CRM0118041</v>
      </c>
      <c r="M1076" s="5" t="str">
        <f t="shared" si="33"/>
        <v>C</v>
      </c>
      <c r="N1076" s="5">
        <f>IF(G1076=[1]Clientes!$C$3,[1]Clientes!$D$3,[1]Clientes!$D$2)</f>
        <v>13050505</v>
      </c>
    </row>
    <row r="1077" spans="1:14">
      <c r="A1077" s="6" t="s">
        <v>3099</v>
      </c>
      <c r="B1077" s="7">
        <v>45260</v>
      </c>
      <c r="C1077" s="6" t="s">
        <v>4217</v>
      </c>
      <c r="D1077" s="6" t="s">
        <v>1215</v>
      </c>
      <c r="E1077" s="6" t="s">
        <v>213</v>
      </c>
      <c r="F1077" s="7">
        <v>45260</v>
      </c>
      <c r="G1077" s="6" t="s">
        <v>3102</v>
      </c>
      <c r="H1077" s="8">
        <v>275</v>
      </c>
      <c r="I1077" s="9">
        <v>-3.33</v>
      </c>
      <c r="J1077" s="9">
        <v>-3.33</v>
      </c>
      <c r="K1077" s="5" t="str">
        <f>VLOOKUP(D1077,[1]Clientes!$A$1:$B$1370,2,0)</f>
        <v>NAC1040</v>
      </c>
      <c r="L1077" s="5" t="str">
        <f t="shared" si="32"/>
        <v>CRM0118042</v>
      </c>
      <c r="M1077" s="5" t="str">
        <f t="shared" si="33"/>
        <v>C</v>
      </c>
      <c r="N1077" s="5">
        <f>IF(G1077=[1]Clientes!$C$3,[1]Clientes!$D$3,[1]Clientes!$D$2)</f>
        <v>13050505</v>
      </c>
    </row>
    <row r="1078" spans="1:14">
      <c r="A1078" s="6" t="s">
        <v>3099</v>
      </c>
      <c r="B1078" s="7">
        <v>45289</v>
      </c>
      <c r="C1078" s="6" t="s">
        <v>4218</v>
      </c>
      <c r="D1078" s="6" t="s">
        <v>1215</v>
      </c>
      <c r="E1078" s="6" t="s">
        <v>213</v>
      </c>
      <c r="F1078" s="7">
        <v>45289</v>
      </c>
      <c r="G1078" s="6" t="s">
        <v>3102</v>
      </c>
      <c r="H1078" s="8">
        <v>246</v>
      </c>
      <c r="I1078" s="9">
        <v>-3.33</v>
      </c>
      <c r="J1078" s="9">
        <v>-3.33</v>
      </c>
      <c r="K1078" s="5" t="str">
        <f>VLOOKUP(D1078,[1]Clientes!$A$1:$B$1370,2,0)</f>
        <v>NAC1040</v>
      </c>
      <c r="L1078" s="5" t="str">
        <f t="shared" si="32"/>
        <v>CRM0118860</v>
      </c>
      <c r="M1078" s="5" t="str">
        <f t="shared" si="33"/>
        <v>C</v>
      </c>
      <c r="N1078" s="5">
        <f>IF(G1078=[1]Clientes!$C$3,[1]Clientes!$D$3,[1]Clientes!$D$2)</f>
        <v>13050505</v>
      </c>
    </row>
    <row r="1079" spans="1:14">
      <c r="A1079" s="6" t="s">
        <v>3139</v>
      </c>
      <c r="B1079" s="7">
        <v>45336</v>
      </c>
      <c r="C1079" s="6"/>
      <c r="D1079" s="6" t="s">
        <v>1215</v>
      </c>
      <c r="E1079" s="6"/>
      <c r="F1079" s="7"/>
      <c r="G1079" s="6" t="s">
        <v>3102</v>
      </c>
      <c r="H1079" s="8"/>
      <c r="I1079" s="9">
        <v>-27229.62</v>
      </c>
      <c r="J1079" s="9">
        <v>-27229.62</v>
      </c>
      <c r="K1079" s="5" t="str">
        <f>VLOOKUP(D1079,[1]Clientes!$A$1:$B$1370,2,0)</f>
        <v>NAC1040</v>
      </c>
      <c r="L1079" s="5" t="str">
        <f t="shared" si="32"/>
        <v>Revisar</v>
      </c>
      <c r="M1079" s="5" t="str">
        <f t="shared" si="33"/>
        <v>P</v>
      </c>
      <c r="N1079" s="5">
        <f>IF(G1079=[1]Clientes!$C$3,[1]Clientes!$D$3,[1]Clientes!$D$2)</f>
        <v>13050505</v>
      </c>
    </row>
    <row r="1080" spans="1:14">
      <c r="A1080" s="6" t="s">
        <v>7</v>
      </c>
      <c r="B1080" s="7">
        <v>45532</v>
      </c>
      <c r="C1080" s="6" t="s">
        <v>4219</v>
      </c>
      <c r="D1080" s="6" t="s">
        <v>4220</v>
      </c>
      <c r="E1080" s="6" t="s">
        <v>213</v>
      </c>
      <c r="F1080" s="7">
        <v>45532</v>
      </c>
      <c r="G1080" s="6" t="s">
        <v>3102</v>
      </c>
      <c r="H1080" s="8">
        <v>3</v>
      </c>
      <c r="I1080" s="9">
        <v>52.94</v>
      </c>
      <c r="J1080" s="9">
        <v>52.94</v>
      </c>
      <c r="K1080" s="5" t="str">
        <f>VLOOKUP(D1080,[1]Clientes!$A$1:$B$1370,2,0)</f>
        <v>SH02821</v>
      </c>
      <c r="L1080" s="5" t="str">
        <f t="shared" si="32"/>
        <v>HGI0127022</v>
      </c>
      <c r="M1080" s="5" t="str">
        <f t="shared" si="33"/>
        <v>I</v>
      </c>
      <c r="N1080" s="5">
        <f>IF(G1080=[1]Clientes!$C$3,[1]Clientes!$D$3,[1]Clientes!$D$2)</f>
        <v>13050505</v>
      </c>
    </row>
    <row r="1081" spans="1:14">
      <c r="A1081" s="6" t="s">
        <v>7</v>
      </c>
      <c r="B1081" s="7">
        <v>45415</v>
      </c>
      <c r="C1081" s="6" t="s">
        <v>4221</v>
      </c>
      <c r="D1081" s="6" t="s">
        <v>1300</v>
      </c>
      <c r="E1081" s="6" t="s">
        <v>16</v>
      </c>
      <c r="F1081" s="7">
        <v>45445</v>
      </c>
      <c r="G1081" s="6" t="s">
        <v>3102</v>
      </c>
      <c r="H1081" s="8">
        <v>90</v>
      </c>
      <c r="I1081" s="9">
        <v>756</v>
      </c>
      <c r="J1081" s="9">
        <v>756</v>
      </c>
      <c r="K1081" s="5" t="str">
        <f>VLOOKUP(D1081,[1]Clientes!$A$1:$B$1370,2,0)</f>
        <v>NAC1054</v>
      </c>
      <c r="L1081" s="5" t="str">
        <f t="shared" si="32"/>
        <v>HGI0123888</v>
      </c>
      <c r="M1081" s="5" t="str">
        <f t="shared" si="33"/>
        <v>I</v>
      </c>
      <c r="N1081" s="5">
        <f>IF(G1081=[1]Clientes!$C$3,[1]Clientes!$D$3,[1]Clientes!$D$2)</f>
        <v>13050505</v>
      </c>
    </row>
    <row r="1082" spans="1:14">
      <c r="A1082" s="6" t="s">
        <v>7</v>
      </c>
      <c r="B1082" s="7">
        <v>45527</v>
      </c>
      <c r="C1082" s="6" t="s">
        <v>4222</v>
      </c>
      <c r="D1082" s="6" t="s">
        <v>1300</v>
      </c>
      <c r="E1082" s="6" t="s">
        <v>16</v>
      </c>
      <c r="F1082" s="7">
        <v>45557</v>
      </c>
      <c r="G1082" s="6" t="s">
        <v>3102</v>
      </c>
      <c r="H1082" s="8"/>
      <c r="I1082" s="9">
        <v>328</v>
      </c>
      <c r="J1082" s="9">
        <v>328</v>
      </c>
      <c r="K1082" s="5" t="str">
        <f>VLOOKUP(D1082,[1]Clientes!$A$1:$B$1370,2,0)</f>
        <v>NAC1054</v>
      </c>
      <c r="L1082" s="5" t="str">
        <f t="shared" si="32"/>
        <v>HGI0126818</v>
      </c>
      <c r="M1082" s="5" t="str">
        <f t="shared" si="33"/>
        <v>I</v>
      </c>
      <c r="N1082" s="5">
        <f>IF(G1082=[1]Clientes!$C$3,[1]Clientes!$D$3,[1]Clientes!$D$2)</f>
        <v>13050505</v>
      </c>
    </row>
    <row r="1083" spans="1:14">
      <c r="A1083" s="6" t="s">
        <v>7</v>
      </c>
      <c r="B1083" s="7">
        <v>45532</v>
      </c>
      <c r="C1083" s="6" t="s">
        <v>4223</v>
      </c>
      <c r="D1083" s="6" t="s">
        <v>1300</v>
      </c>
      <c r="E1083" s="6" t="s">
        <v>16</v>
      </c>
      <c r="F1083" s="7">
        <v>45562</v>
      </c>
      <c r="G1083" s="6" t="s">
        <v>3102</v>
      </c>
      <c r="H1083" s="8"/>
      <c r="I1083" s="9">
        <v>132.30000000000001</v>
      </c>
      <c r="J1083" s="9">
        <v>132.30000000000001</v>
      </c>
      <c r="K1083" s="5" t="str">
        <f>VLOOKUP(D1083,[1]Clientes!$A$1:$B$1370,2,0)</f>
        <v>NAC1054</v>
      </c>
      <c r="L1083" s="5" t="str">
        <f t="shared" si="32"/>
        <v>HGI0126996</v>
      </c>
      <c r="M1083" s="5" t="str">
        <f t="shared" si="33"/>
        <v>I</v>
      </c>
      <c r="N1083" s="5">
        <f>IF(G1083=[1]Clientes!$C$3,[1]Clientes!$D$3,[1]Clientes!$D$2)</f>
        <v>13050505</v>
      </c>
    </row>
    <row r="1084" spans="1:14">
      <c r="A1084" s="6" t="s">
        <v>7</v>
      </c>
      <c r="B1084" s="7">
        <v>45523</v>
      </c>
      <c r="C1084" s="6" t="s">
        <v>4224</v>
      </c>
      <c r="D1084" s="6" t="s">
        <v>1305</v>
      </c>
      <c r="E1084" s="6" t="s">
        <v>16</v>
      </c>
      <c r="F1084" s="7">
        <v>45553</v>
      </c>
      <c r="G1084" s="6" t="s">
        <v>3102</v>
      </c>
      <c r="H1084" s="8"/>
      <c r="I1084" s="9">
        <v>362</v>
      </c>
      <c r="J1084" s="9">
        <v>362</v>
      </c>
      <c r="K1084" s="5" t="str">
        <f>VLOOKUP(D1084,[1]Clientes!$A$1:$B$1370,2,0)</f>
        <v>NAC1056</v>
      </c>
      <c r="L1084" s="5" t="str">
        <f t="shared" si="32"/>
        <v>HGI0126648</v>
      </c>
      <c r="M1084" s="5" t="str">
        <f t="shared" si="33"/>
        <v>I</v>
      </c>
      <c r="N1084" s="5">
        <f>IF(G1084=[1]Clientes!$C$3,[1]Clientes!$D$3,[1]Clientes!$D$2)</f>
        <v>13050505</v>
      </c>
    </row>
    <row r="1085" spans="1:14">
      <c r="A1085" s="6" t="s">
        <v>7</v>
      </c>
      <c r="B1085" s="7">
        <v>45530</v>
      </c>
      <c r="C1085" s="6" t="s">
        <v>4225</v>
      </c>
      <c r="D1085" s="6" t="s">
        <v>4226</v>
      </c>
      <c r="E1085" s="6" t="s">
        <v>16</v>
      </c>
      <c r="F1085" s="7">
        <v>45560</v>
      </c>
      <c r="G1085" s="6" t="s">
        <v>3102</v>
      </c>
      <c r="H1085" s="8"/>
      <c r="I1085" s="9">
        <v>3641</v>
      </c>
      <c r="J1085" s="9">
        <v>3641</v>
      </c>
      <c r="K1085" s="5" t="str">
        <f>VLOOKUP(D1085,[1]Clientes!$A$1:$B$1370,2,0)</f>
        <v>NAC1061</v>
      </c>
      <c r="L1085" s="5" t="str">
        <f t="shared" si="32"/>
        <v>HGI0126888</v>
      </c>
      <c r="M1085" s="5" t="str">
        <f t="shared" si="33"/>
        <v>I</v>
      </c>
      <c r="N1085" s="5">
        <f>IF(G1085=[1]Clientes!$C$3,[1]Clientes!$D$3,[1]Clientes!$D$2)</f>
        <v>13050505</v>
      </c>
    </row>
    <row r="1086" spans="1:14">
      <c r="A1086" s="6" t="s">
        <v>7</v>
      </c>
      <c r="B1086" s="7">
        <v>45519</v>
      </c>
      <c r="C1086" s="6" t="s">
        <v>4227</v>
      </c>
      <c r="D1086" s="6" t="s">
        <v>4228</v>
      </c>
      <c r="E1086" s="6" t="s">
        <v>16</v>
      </c>
      <c r="F1086" s="7">
        <v>45549</v>
      </c>
      <c r="G1086" s="6" t="s">
        <v>3102</v>
      </c>
      <c r="H1086" s="8"/>
      <c r="I1086" s="9">
        <v>13275.3</v>
      </c>
      <c r="J1086" s="9">
        <v>13275.3</v>
      </c>
      <c r="K1086" s="5" t="str">
        <f>VLOOKUP(D1086,[1]Clientes!$A$1:$B$1370,2,0)</f>
        <v>NAC1069</v>
      </c>
      <c r="L1086" s="5" t="str">
        <f t="shared" si="32"/>
        <v>HGI0126539</v>
      </c>
      <c r="M1086" s="5" t="str">
        <f t="shared" si="33"/>
        <v>I</v>
      </c>
      <c r="N1086" s="5">
        <f>IF(G1086=[1]Clientes!$C$3,[1]Clientes!$D$3,[1]Clientes!$D$2)</f>
        <v>13050505</v>
      </c>
    </row>
    <row r="1087" spans="1:14">
      <c r="A1087" s="6" t="s">
        <v>7</v>
      </c>
      <c r="B1087" s="7">
        <v>45526</v>
      </c>
      <c r="C1087" s="6" t="s">
        <v>4229</v>
      </c>
      <c r="D1087" s="6" t="s">
        <v>4230</v>
      </c>
      <c r="E1087" s="6" t="s">
        <v>213</v>
      </c>
      <c r="F1087" s="7">
        <v>45526</v>
      </c>
      <c r="G1087" s="6" t="s">
        <v>3102</v>
      </c>
      <c r="H1087" s="8">
        <v>9</v>
      </c>
      <c r="I1087" s="9">
        <v>96.01</v>
      </c>
      <c r="J1087" s="9">
        <v>96.01</v>
      </c>
      <c r="K1087" s="5" t="str">
        <f>VLOOKUP(D1087,[1]Clientes!$A$1:$B$1370,2,0)</f>
        <v>SH02826</v>
      </c>
      <c r="L1087" s="5" t="str">
        <f t="shared" si="32"/>
        <v>HGI0126773</v>
      </c>
      <c r="M1087" s="5" t="str">
        <f t="shared" si="33"/>
        <v>I</v>
      </c>
      <c r="N1087" s="5">
        <f>IF(G1087=[1]Clientes!$C$3,[1]Clientes!$D$3,[1]Clientes!$D$2)</f>
        <v>13050505</v>
      </c>
    </row>
    <row r="1088" spans="1:14">
      <c r="A1088" s="6" t="s">
        <v>7</v>
      </c>
      <c r="B1088" s="7">
        <v>45516</v>
      </c>
      <c r="C1088" s="6" t="s">
        <v>4231</v>
      </c>
      <c r="D1088" s="6" t="s">
        <v>1311</v>
      </c>
      <c r="E1088" s="6" t="s">
        <v>16</v>
      </c>
      <c r="F1088" s="7">
        <v>45546</v>
      </c>
      <c r="G1088" s="6" t="s">
        <v>3102</v>
      </c>
      <c r="H1088" s="8"/>
      <c r="I1088" s="9">
        <v>121.4</v>
      </c>
      <c r="J1088" s="9">
        <v>121.4</v>
      </c>
      <c r="K1088" s="5" t="str">
        <f>VLOOKUP(D1088,[1]Clientes!$A$1:$B$1370,2,0)</f>
        <v>NAC1074</v>
      </c>
      <c r="L1088" s="5" t="str">
        <f t="shared" si="32"/>
        <v>HGI0126462</v>
      </c>
      <c r="M1088" s="5" t="str">
        <f t="shared" si="33"/>
        <v>I</v>
      </c>
      <c r="N1088" s="5">
        <f>IF(G1088=[1]Clientes!$C$3,[1]Clientes!$D$3,[1]Clientes!$D$2)</f>
        <v>13050505</v>
      </c>
    </row>
    <row r="1089" spans="1:14">
      <c r="A1089" s="6" t="s">
        <v>7</v>
      </c>
      <c r="B1089" s="7">
        <v>45166</v>
      </c>
      <c r="C1089" s="6" t="s">
        <v>4232</v>
      </c>
      <c r="D1089" s="6" t="s">
        <v>160</v>
      </c>
      <c r="E1089" s="6" t="s">
        <v>16</v>
      </c>
      <c r="F1089" s="7">
        <v>45196</v>
      </c>
      <c r="G1089" s="6" t="s">
        <v>3102</v>
      </c>
      <c r="H1089" s="8">
        <v>339</v>
      </c>
      <c r="I1089" s="9">
        <v>374.36</v>
      </c>
      <c r="J1089" s="9">
        <v>3208.7</v>
      </c>
      <c r="K1089" s="5" t="str">
        <f>VLOOKUP(D1089,[1]Clientes!$A$1:$B$1370,2,0)</f>
        <v>CAN0035</v>
      </c>
      <c r="L1089" s="5" t="str">
        <f t="shared" si="32"/>
        <v>HGI0114672</v>
      </c>
      <c r="M1089" s="5" t="str">
        <f t="shared" si="33"/>
        <v>I</v>
      </c>
      <c r="N1089" s="5">
        <f>IF(G1089=[1]Clientes!$C$3,[1]Clientes!$D$3,[1]Clientes!$D$2)</f>
        <v>13050505</v>
      </c>
    </row>
    <row r="1090" spans="1:14">
      <c r="A1090" s="6" t="s">
        <v>7</v>
      </c>
      <c r="B1090" s="7">
        <v>45503</v>
      </c>
      <c r="C1090" s="6" t="s">
        <v>4233</v>
      </c>
      <c r="D1090" s="6" t="s">
        <v>160</v>
      </c>
      <c r="E1090" s="6" t="s">
        <v>16</v>
      </c>
      <c r="F1090" s="7">
        <v>45533</v>
      </c>
      <c r="G1090" s="6" t="s">
        <v>3102</v>
      </c>
      <c r="H1090" s="8">
        <v>2</v>
      </c>
      <c r="I1090" s="9">
        <v>2489</v>
      </c>
      <c r="J1090" s="9">
        <v>2489</v>
      </c>
      <c r="K1090" s="5" t="str">
        <f>VLOOKUP(D1090,[1]Clientes!$A$1:$B$1370,2,0)</f>
        <v>CAN0035</v>
      </c>
      <c r="L1090" s="5" t="str">
        <f t="shared" si="32"/>
        <v>HGI0126042</v>
      </c>
      <c r="M1090" s="5" t="str">
        <f t="shared" si="33"/>
        <v>I</v>
      </c>
      <c r="N1090" s="5">
        <f>IF(G1090=[1]Clientes!$C$3,[1]Clientes!$D$3,[1]Clientes!$D$2)</f>
        <v>13050505</v>
      </c>
    </row>
    <row r="1091" spans="1:14">
      <c r="A1091" s="6" t="s">
        <v>7</v>
      </c>
      <c r="B1091" s="7">
        <v>45513</v>
      </c>
      <c r="C1091" s="6" t="s">
        <v>4234</v>
      </c>
      <c r="D1091" s="6" t="s">
        <v>1313</v>
      </c>
      <c r="E1091" s="6" t="s">
        <v>16</v>
      </c>
      <c r="F1091" s="7">
        <v>45543</v>
      </c>
      <c r="G1091" s="6" t="s">
        <v>3102</v>
      </c>
      <c r="H1091" s="8"/>
      <c r="I1091" s="9">
        <v>3538</v>
      </c>
      <c r="J1091" s="9">
        <v>3538</v>
      </c>
      <c r="K1091" s="5" t="str">
        <f>VLOOKUP(D1091,[1]Clientes!$A$1:$B$1370,2,0)</f>
        <v>NAC1077</v>
      </c>
      <c r="L1091" s="5" t="str">
        <f t="shared" ref="L1091:L1154" si="34">IF(A1091="Invoice",
    IF(LEFT(C1091,5)="TGDR-", "TGDR"&amp;RIGHT(C1091,LEN(C1091)-5), "HGI"&amp;C1091),
    IF(A1091="Credit Memo",
        IF(LEFT(C1091,5)="TGDR-", "CRM"&amp;RIGHT(C1091,LEN(C1091)-5), "CRM"&amp;C1091),
        "Revisar")
)</f>
        <v>HGI0126351</v>
      </c>
      <c r="M1091" s="5" t="str">
        <f t="shared" ref="M1091:M1154" si="35">IF(A1091="Invoice","I",IF(A1091="Credit Memo","C",IF(A1091="Payment","P","GJ")))</f>
        <v>I</v>
      </c>
      <c r="N1091" s="5">
        <f>IF(G1091=[1]Clientes!$C$3,[1]Clientes!$D$3,[1]Clientes!$D$2)</f>
        <v>13050505</v>
      </c>
    </row>
    <row r="1092" spans="1:14">
      <c r="A1092" s="6" t="s">
        <v>3265</v>
      </c>
      <c r="B1092" s="7">
        <v>45471</v>
      </c>
      <c r="C1092" s="6" t="s">
        <v>4235</v>
      </c>
      <c r="D1092" s="6" t="s">
        <v>349</v>
      </c>
      <c r="E1092" s="6"/>
      <c r="F1092" s="7"/>
      <c r="G1092" s="6" t="s">
        <v>3102</v>
      </c>
      <c r="H1092" s="8"/>
      <c r="I1092" s="9">
        <v>-646.09</v>
      </c>
      <c r="J1092" s="9">
        <v>-646.09</v>
      </c>
      <c r="K1092" s="5" t="str">
        <f>VLOOKUP(D1092,[1]Clientes!$A$1:$B$1370,2,0)</f>
        <v>CAN0091</v>
      </c>
      <c r="L1092" s="5" t="str">
        <f t="shared" si="34"/>
        <v>Revisar</v>
      </c>
      <c r="M1092" s="5" t="str">
        <f t="shared" si="35"/>
        <v>GJ</v>
      </c>
      <c r="N1092" s="5">
        <f>IF(G1092=[1]Clientes!$C$3,[1]Clientes!$D$3,[1]Clientes!$D$2)</f>
        <v>13050505</v>
      </c>
    </row>
    <row r="1093" spans="1:14">
      <c r="A1093" s="6" t="s">
        <v>7</v>
      </c>
      <c r="B1093" s="7">
        <v>45531</v>
      </c>
      <c r="C1093" s="6" t="s">
        <v>4236</v>
      </c>
      <c r="D1093" s="6" t="s">
        <v>4237</v>
      </c>
      <c r="E1093" s="6" t="s">
        <v>213</v>
      </c>
      <c r="F1093" s="7">
        <v>45531</v>
      </c>
      <c r="G1093" s="6" t="s">
        <v>3102</v>
      </c>
      <c r="H1093" s="8">
        <v>4</v>
      </c>
      <c r="I1093" s="9">
        <v>92.63</v>
      </c>
      <c r="J1093" s="9">
        <v>92.63</v>
      </c>
      <c r="K1093" s="5" t="str">
        <f>VLOOKUP(D1093,[1]Clientes!$A$1:$B$1485,2,0)</f>
        <v>SH02822</v>
      </c>
      <c r="L1093" s="5" t="str">
        <f t="shared" si="34"/>
        <v>HGI0126962</v>
      </c>
      <c r="M1093" s="5" t="str">
        <f t="shared" si="35"/>
        <v>I</v>
      </c>
      <c r="N1093" s="5">
        <f>IF(G1093=[1]Clientes!$C$3,[1]Clientes!$D$3,[1]Clientes!$D$2)</f>
        <v>13050505</v>
      </c>
    </row>
    <row r="1094" spans="1:14">
      <c r="A1094" s="6" t="s">
        <v>7</v>
      </c>
      <c r="B1094" s="7">
        <v>45516</v>
      </c>
      <c r="C1094" s="6" t="s">
        <v>4238</v>
      </c>
      <c r="D1094" s="6" t="s">
        <v>1327</v>
      </c>
      <c r="E1094" s="6" t="s">
        <v>16</v>
      </c>
      <c r="F1094" s="7">
        <v>45546</v>
      </c>
      <c r="G1094" s="6" t="s">
        <v>3102</v>
      </c>
      <c r="H1094" s="8"/>
      <c r="I1094" s="9">
        <v>908</v>
      </c>
      <c r="J1094" s="9">
        <v>908</v>
      </c>
      <c r="K1094" s="5" t="str">
        <f>VLOOKUP(D1094,[1]Clientes!$A$1:$B$1370,2,0)</f>
        <v>NAC1087</v>
      </c>
      <c r="L1094" s="5" t="str">
        <f t="shared" si="34"/>
        <v>HGI0126433</v>
      </c>
      <c r="M1094" s="5" t="str">
        <f t="shared" si="35"/>
        <v>I</v>
      </c>
      <c r="N1094" s="5">
        <f>IF(G1094=[1]Clientes!$C$3,[1]Clientes!$D$3,[1]Clientes!$D$2)</f>
        <v>13050505</v>
      </c>
    </row>
    <row r="1095" spans="1:14">
      <c r="A1095" s="6" t="s">
        <v>7</v>
      </c>
      <c r="B1095" s="7">
        <v>45223</v>
      </c>
      <c r="C1095" s="6" t="s">
        <v>4239</v>
      </c>
      <c r="D1095" s="6" t="s">
        <v>4240</v>
      </c>
      <c r="E1095" s="6" t="s">
        <v>16</v>
      </c>
      <c r="F1095" s="7">
        <v>45253</v>
      </c>
      <c r="G1095" s="6" t="s">
        <v>3102</v>
      </c>
      <c r="H1095" s="8">
        <v>282</v>
      </c>
      <c r="I1095" s="9">
        <v>498.93</v>
      </c>
      <c r="J1095" s="9">
        <v>498.93</v>
      </c>
      <c r="K1095" s="5" t="str">
        <f>VLOOKUP(D1095,[1]Clientes!$A$1:$B$1485,2,0)</f>
        <v>NAC1097</v>
      </c>
      <c r="L1095" s="5" t="str">
        <f t="shared" si="34"/>
        <v>HGI0116411</v>
      </c>
      <c r="M1095" s="5" t="str">
        <f t="shared" si="35"/>
        <v>I</v>
      </c>
      <c r="N1095" s="5">
        <f>IF(G1095=[1]Clientes!$C$3,[1]Clientes!$D$3,[1]Clientes!$D$2)</f>
        <v>13050505</v>
      </c>
    </row>
    <row r="1096" spans="1:14">
      <c r="A1096" s="6" t="s">
        <v>7</v>
      </c>
      <c r="B1096" s="7">
        <v>45175</v>
      </c>
      <c r="C1096" s="6" t="s">
        <v>4241</v>
      </c>
      <c r="D1096" s="6" t="s">
        <v>4242</v>
      </c>
      <c r="E1096" s="6" t="s">
        <v>16</v>
      </c>
      <c r="F1096" s="7">
        <v>45205</v>
      </c>
      <c r="G1096" s="6" t="s">
        <v>3102</v>
      </c>
      <c r="H1096" s="8">
        <v>330</v>
      </c>
      <c r="I1096" s="9">
        <v>265.26</v>
      </c>
      <c r="J1096" s="9">
        <v>265.26</v>
      </c>
      <c r="K1096" s="5" t="str">
        <f>VLOOKUP(D1096,[1]Clientes!$A$1:$B$1485,2,0)</f>
        <v>NAC1090</v>
      </c>
      <c r="L1096" s="5" t="str">
        <f t="shared" si="34"/>
        <v>HGI0114902</v>
      </c>
      <c r="M1096" s="5" t="str">
        <f t="shared" si="35"/>
        <v>I</v>
      </c>
      <c r="N1096" s="5">
        <f>IF(G1096=[1]Clientes!$C$3,[1]Clientes!$D$3,[1]Clientes!$D$2)</f>
        <v>13050505</v>
      </c>
    </row>
    <row r="1097" spans="1:14">
      <c r="A1097" s="6" t="s">
        <v>7</v>
      </c>
      <c r="B1097" s="7">
        <v>45509</v>
      </c>
      <c r="C1097" s="6" t="s">
        <v>4243</v>
      </c>
      <c r="D1097" s="6" t="s">
        <v>4242</v>
      </c>
      <c r="E1097" s="6" t="s">
        <v>16</v>
      </c>
      <c r="F1097" s="7">
        <v>45539</v>
      </c>
      <c r="G1097" s="6" t="s">
        <v>3102</v>
      </c>
      <c r="H1097" s="8"/>
      <c r="I1097" s="9">
        <v>235.84</v>
      </c>
      <c r="J1097" s="9">
        <v>235.84</v>
      </c>
      <c r="K1097" s="5" t="str">
        <f>VLOOKUP(D1097,[1]Clientes!$A$1:$B$1485,2,0)</f>
        <v>NAC1090</v>
      </c>
      <c r="L1097" s="5" t="str">
        <f t="shared" si="34"/>
        <v>HGI0126209</v>
      </c>
      <c r="M1097" s="5" t="str">
        <f t="shared" si="35"/>
        <v>I</v>
      </c>
      <c r="N1097" s="5">
        <f>IF(G1097=[1]Clientes!$C$3,[1]Clientes!$D$3,[1]Clientes!$D$2)</f>
        <v>13050505</v>
      </c>
    </row>
    <row r="1098" spans="1:14">
      <c r="A1098" s="6" t="s">
        <v>7</v>
      </c>
      <c r="B1098" s="7">
        <v>45245</v>
      </c>
      <c r="C1098" s="6" t="s">
        <v>4244</v>
      </c>
      <c r="D1098" s="6" t="s">
        <v>4245</v>
      </c>
      <c r="E1098" s="6" t="s">
        <v>16</v>
      </c>
      <c r="F1098" s="7">
        <v>45275</v>
      </c>
      <c r="G1098" s="6" t="s">
        <v>3102</v>
      </c>
      <c r="H1098" s="8">
        <v>260</v>
      </c>
      <c r="I1098" s="9">
        <v>437.03</v>
      </c>
      <c r="J1098" s="9">
        <v>437.03</v>
      </c>
      <c r="K1098" s="5" t="str">
        <f>VLOOKUP(D1098,[1]Clientes!$A$1:$B$1485,2,0)</f>
        <v>NAC1092</v>
      </c>
      <c r="L1098" s="5" t="str">
        <f t="shared" si="34"/>
        <v>HGI0117309</v>
      </c>
      <c r="M1098" s="5" t="str">
        <f t="shared" si="35"/>
        <v>I</v>
      </c>
      <c r="N1098" s="5">
        <f>IF(G1098=[1]Clientes!$C$3,[1]Clientes!$D$3,[1]Clientes!$D$2)</f>
        <v>13050505</v>
      </c>
    </row>
    <row r="1099" spans="1:14">
      <c r="A1099" s="6" t="s">
        <v>7</v>
      </c>
      <c r="B1099" s="7">
        <v>45166</v>
      </c>
      <c r="C1099" s="6" t="s">
        <v>4246</v>
      </c>
      <c r="D1099" s="6" t="s">
        <v>4247</v>
      </c>
      <c r="E1099" s="6" t="s">
        <v>16</v>
      </c>
      <c r="F1099" s="7">
        <v>45196</v>
      </c>
      <c r="G1099" s="6" t="s">
        <v>3102</v>
      </c>
      <c r="H1099" s="8">
        <v>339</v>
      </c>
      <c r="I1099" s="9">
        <v>660.68</v>
      </c>
      <c r="J1099" s="9">
        <v>660.68</v>
      </c>
      <c r="K1099" s="5" t="str">
        <f>VLOOKUP(D1099,[1]Clientes!$A$1:$B$1485,2,0)</f>
        <v>NAC1088</v>
      </c>
      <c r="L1099" s="5" t="str">
        <f t="shared" si="34"/>
        <v>HGI0114689</v>
      </c>
      <c r="M1099" s="5" t="str">
        <f t="shared" si="35"/>
        <v>I</v>
      </c>
      <c r="N1099" s="5">
        <f>IF(G1099=[1]Clientes!$C$3,[1]Clientes!$D$3,[1]Clientes!$D$2)</f>
        <v>13050505</v>
      </c>
    </row>
    <row r="1100" spans="1:14">
      <c r="A1100" s="6" t="s">
        <v>3099</v>
      </c>
      <c r="B1100" s="7">
        <v>45518</v>
      </c>
      <c r="C1100" s="6" t="s">
        <v>4248</v>
      </c>
      <c r="D1100" s="6" t="s">
        <v>4247</v>
      </c>
      <c r="E1100" s="6" t="s">
        <v>16</v>
      </c>
      <c r="F1100" s="7">
        <v>45548</v>
      </c>
      <c r="G1100" s="6" t="s">
        <v>3102</v>
      </c>
      <c r="H1100" s="8"/>
      <c r="I1100" s="9">
        <v>-40.96</v>
      </c>
      <c r="J1100" s="9">
        <v>-40.96</v>
      </c>
      <c r="K1100" s="5" t="str">
        <f>VLOOKUP(D1100,[1]Clientes!$A$1:$B$1485,2,0)</f>
        <v>NAC1088</v>
      </c>
      <c r="L1100" s="5" t="str">
        <f t="shared" si="34"/>
        <v>CRM0126493</v>
      </c>
      <c r="M1100" s="5" t="str">
        <f t="shared" si="35"/>
        <v>C</v>
      </c>
      <c r="N1100" s="5">
        <f>IF(G1100=[1]Clientes!$C$3,[1]Clientes!$D$3,[1]Clientes!$D$2)</f>
        <v>13050505</v>
      </c>
    </row>
    <row r="1101" spans="1:14">
      <c r="A1101" s="6" t="s">
        <v>3099</v>
      </c>
      <c r="B1101" s="7">
        <v>45519</v>
      </c>
      <c r="C1101" s="6" t="s">
        <v>4249</v>
      </c>
      <c r="D1101" s="6" t="s">
        <v>4247</v>
      </c>
      <c r="E1101" s="6" t="s">
        <v>16</v>
      </c>
      <c r="F1101" s="7">
        <v>45549</v>
      </c>
      <c r="G1101" s="6" t="s">
        <v>3102</v>
      </c>
      <c r="H1101" s="8"/>
      <c r="I1101" s="9">
        <v>-29.04</v>
      </c>
      <c r="J1101" s="9">
        <v>-29.04</v>
      </c>
      <c r="K1101" s="5" t="str">
        <f>VLOOKUP(D1101,[1]Clientes!$A$1:$B$1485,2,0)</f>
        <v>NAC1088</v>
      </c>
      <c r="L1101" s="5" t="str">
        <f t="shared" si="34"/>
        <v>CRM0126577</v>
      </c>
      <c r="M1101" s="5" t="str">
        <f t="shared" si="35"/>
        <v>C</v>
      </c>
      <c r="N1101" s="5">
        <f>IF(G1101=[1]Clientes!$C$3,[1]Clientes!$D$3,[1]Clientes!$D$2)</f>
        <v>13050505</v>
      </c>
    </row>
    <row r="1102" spans="1:14">
      <c r="A1102" s="6" t="s">
        <v>7</v>
      </c>
      <c r="B1102" s="7">
        <v>45530</v>
      </c>
      <c r="C1102" s="6" t="s">
        <v>4250</v>
      </c>
      <c r="D1102" s="6" t="s">
        <v>4247</v>
      </c>
      <c r="E1102" s="6" t="s">
        <v>16</v>
      </c>
      <c r="F1102" s="7">
        <v>45560</v>
      </c>
      <c r="G1102" s="6" t="s">
        <v>3102</v>
      </c>
      <c r="H1102" s="8"/>
      <c r="I1102" s="9">
        <v>594.97</v>
      </c>
      <c r="J1102" s="9">
        <v>594.97</v>
      </c>
      <c r="K1102" s="5" t="str">
        <f>VLOOKUP(D1102,[1]Clientes!$A$1:$B$1485,2,0)</f>
        <v>NAC1088</v>
      </c>
      <c r="L1102" s="5" t="str">
        <f t="shared" si="34"/>
        <v>HGI0126865</v>
      </c>
      <c r="M1102" s="5" t="str">
        <f t="shared" si="35"/>
        <v>I</v>
      </c>
      <c r="N1102" s="5">
        <f>IF(G1102=[1]Clientes!$C$3,[1]Clientes!$D$3,[1]Clientes!$D$2)</f>
        <v>13050505</v>
      </c>
    </row>
    <row r="1103" spans="1:14">
      <c r="A1103" s="6" t="s">
        <v>7</v>
      </c>
      <c r="B1103" s="7">
        <v>45153</v>
      </c>
      <c r="C1103" s="6" t="s">
        <v>4251</v>
      </c>
      <c r="D1103" s="6" t="s">
        <v>4252</v>
      </c>
      <c r="E1103" s="6" t="s">
        <v>16</v>
      </c>
      <c r="F1103" s="7">
        <v>45183</v>
      </c>
      <c r="G1103" s="6" t="s">
        <v>3102</v>
      </c>
      <c r="H1103" s="8">
        <v>352</v>
      </c>
      <c r="I1103" s="9">
        <v>1149.08</v>
      </c>
      <c r="J1103" s="9">
        <v>1149.08</v>
      </c>
      <c r="K1103" s="5" t="str">
        <f>VLOOKUP(D1103,[1]Clientes!$A$1:$B$1485,2,0)</f>
        <v>NAC1093</v>
      </c>
      <c r="L1103" s="5" t="str">
        <f t="shared" si="34"/>
        <v>HGI0114399</v>
      </c>
      <c r="M1103" s="5" t="str">
        <f t="shared" si="35"/>
        <v>I</v>
      </c>
      <c r="N1103" s="5">
        <f>IF(G1103=[1]Clientes!$C$3,[1]Clientes!$D$3,[1]Clientes!$D$2)</f>
        <v>13050505</v>
      </c>
    </row>
    <row r="1104" spans="1:14">
      <c r="A1104" s="6" t="s">
        <v>7</v>
      </c>
      <c r="B1104" s="7">
        <v>44958</v>
      </c>
      <c r="C1104" s="6" t="s">
        <v>4253</v>
      </c>
      <c r="D1104" s="6" t="s">
        <v>4254</v>
      </c>
      <c r="E1104" s="6" t="s">
        <v>16</v>
      </c>
      <c r="F1104" s="7">
        <v>44988</v>
      </c>
      <c r="G1104" s="6" t="s">
        <v>3102</v>
      </c>
      <c r="H1104" s="8">
        <v>547</v>
      </c>
      <c r="I1104" s="9">
        <v>111.42</v>
      </c>
      <c r="J1104" s="9">
        <v>111.42</v>
      </c>
      <c r="K1104" s="5" t="str">
        <f>VLOOKUP(D1104,[1]Clientes!$A$1:$B$1485,2,0)</f>
        <v>NAC1102</v>
      </c>
      <c r="L1104" s="5" t="str">
        <f t="shared" si="34"/>
        <v>HGI0108922</v>
      </c>
      <c r="M1104" s="5" t="str">
        <f t="shared" si="35"/>
        <v>I</v>
      </c>
      <c r="N1104" s="5">
        <f>IF(G1104=[1]Clientes!$C$3,[1]Clientes!$D$3,[1]Clientes!$D$2)</f>
        <v>13050505</v>
      </c>
    </row>
    <row r="1105" spans="1:14">
      <c r="A1105" s="6" t="s">
        <v>7</v>
      </c>
      <c r="B1105" s="7">
        <v>45189</v>
      </c>
      <c r="C1105" s="6" t="s">
        <v>4255</v>
      </c>
      <c r="D1105" s="6" t="s">
        <v>4254</v>
      </c>
      <c r="E1105" s="6" t="s">
        <v>16</v>
      </c>
      <c r="F1105" s="7">
        <v>45219</v>
      </c>
      <c r="G1105" s="6" t="s">
        <v>3102</v>
      </c>
      <c r="H1105" s="8">
        <v>316</v>
      </c>
      <c r="I1105" s="9">
        <v>1111.6500000000001</v>
      </c>
      <c r="J1105" s="9">
        <v>1111.6500000000001</v>
      </c>
      <c r="K1105" s="5" t="str">
        <f>VLOOKUP(D1105,[1]Clientes!$A$1:$B$1485,2,0)</f>
        <v>NAC1102</v>
      </c>
      <c r="L1105" s="5" t="str">
        <f t="shared" si="34"/>
        <v>HGI0115157</v>
      </c>
      <c r="M1105" s="5" t="str">
        <f t="shared" si="35"/>
        <v>I</v>
      </c>
      <c r="N1105" s="5">
        <f>IF(G1105=[1]Clientes!$C$3,[1]Clientes!$D$3,[1]Clientes!$D$2)</f>
        <v>13050505</v>
      </c>
    </row>
    <row r="1106" spans="1:14">
      <c r="A1106" s="6" t="s">
        <v>7</v>
      </c>
      <c r="B1106" s="7">
        <v>45215</v>
      </c>
      <c r="C1106" s="6" t="s">
        <v>4256</v>
      </c>
      <c r="D1106" s="6" t="s">
        <v>4257</v>
      </c>
      <c r="E1106" s="6" t="s">
        <v>16</v>
      </c>
      <c r="F1106" s="7">
        <v>45245</v>
      </c>
      <c r="G1106" s="6" t="s">
        <v>3102</v>
      </c>
      <c r="H1106" s="8">
        <v>290</v>
      </c>
      <c r="I1106" s="9">
        <v>476.88</v>
      </c>
      <c r="J1106" s="9">
        <v>476.88</v>
      </c>
      <c r="K1106" s="5" t="str">
        <f>VLOOKUP(D1106,[1]Clientes!$A$1:$B$1485,2,0)</f>
        <v>NAC1098</v>
      </c>
      <c r="L1106" s="5" t="str">
        <f t="shared" si="34"/>
        <v>HGI0116008</v>
      </c>
      <c r="M1106" s="5" t="str">
        <f t="shared" si="35"/>
        <v>I</v>
      </c>
      <c r="N1106" s="5">
        <f>IF(G1106=[1]Clientes!$C$3,[1]Clientes!$D$3,[1]Clientes!$D$2)</f>
        <v>13050505</v>
      </c>
    </row>
    <row r="1107" spans="1:14">
      <c r="A1107" s="6" t="s">
        <v>7</v>
      </c>
      <c r="B1107" s="7">
        <v>45301</v>
      </c>
      <c r="C1107" s="6" t="s">
        <v>4258</v>
      </c>
      <c r="D1107" s="6" t="s">
        <v>4257</v>
      </c>
      <c r="E1107" s="6" t="s">
        <v>16</v>
      </c>
      <c r="F1107" s="7">
        <v>45331</v>
      </c>
      <c r="G1107" s="6" t="s">
        <v>3102</v>
      </c>
      <c r="H1107" s="8">
        <v>204</v>
      </c>
      <c r="I1107" s="9">
        <v>300.38</v>
      </c>
      <c r="J1107" s="9">
        <v>300.38</v>
      </c>
      <c r="K1107" s="5" t="str">
        <f>VLOOKUP(D1107,[1]Clientes!$A$1:$B$1485,2,0)</f>
        <v>NAC1098</v>
      </c>
      <c r="L1107" s="5" t="str">
        <f t="shared" si="34"/>
        <v>HGI0119123</v>
      </c>
      <c r="M1107" s="5" t="str">
        <f t="shared" si="35"/>
        <v>I</v>
      </c>
      <c r="N1107" s="5">
        <f>IF(G1107=[1]Clientes!$C$3,[1]Clientes!$D$3,[1]Clientes!$D$2)</f>
        <v>13050505</v>
      </c>
    </row>
    <row r="1108" spans="1:14">
      <c r="A1108" s="6" t="s">
        <v>7</v>
      </c>
      <c r="B1108" s="7">
        <v>45036</v>
      </c>
      <c r="C1108" s="6" t="s">
        <v>4259</v>
      </c>
      <c r="D1108" s="6" t="s">
        <v>4260</v>
      </c>
      <c r="E1108" s="6" t="s">
        <v>16</v>
      </c>
      <c r="F1108" s="7">
        <v>45066</v>
      </c>
      <c r="G1108" s="6" t="s">
        <v>3102</v>
      </c>
      <c r="H1108" s="8">
        <v>469</v>
      </c>
      <c r="I1108" s="9">
        <v>555.03</v>
      </c>
      <c r="J1108" s="9">
        <v>555.03</v>
      </c>
      <c r="K1108" s="5" t="str">
        <f>VLOOKUP(D1108,[1]Clientes!$A$1:$B$1485,2,0)</f>
        <v>NAC1099</v>
      </c>
      <c r="L1108" s="5" t="str">
        <f t="shared" si="34"/>
        <v>HGI0111089</v>
      </c>
      <c r="M1108" s="5" t="str">
        <f t="shared" si="35"/>
        <v>I</v>
      </c>
      <c r="N1108" s="5">
        <f>IF(G1108=[1]Clientes!$C$3,[1]Clientes!$D$3,[1]Clientes!$D$2)</f>
        <v>13050505</v>
      </c>
    </row>
    <row r="1109" spans="1:14">
      <c r="A1109" s="6" t="s">
        <v>7</v>
      </c>
      <c r="B1109" s="7">
        <v>45229</v>
      </c>
      <c r="C1109" s="6" t="s">
        <v>4261</v>
      </c>
      <c r="D1109" s="6" t="s">
        <v>4260</v>
      </c>
      <c r="E1109" s="6" t="s">
        <v>16</v>
      </c>
      <c r="F1109" s="7">
        <v>45259</v>
      </c>
      <c r="G1109" s="6" t="s">
        <v>3102</v>
      </c>
      <c r="H1109" s="8">
        <v>276</v>
      </c>
      <c r="I1109" s="9">
        <v>248.2</v>
      </c>
      <c r="J1109" s="9">
        <v>248.2</v>
      </c>
      <c r="K1109" s="5" t="str">
        <f>VLOOKUP(D1109,[1]Clientes!$A$1:$B$1485,2,0)</f>
        <v>NAC1099</v>
      </c>
      <c r="L1109" s="5" t="str">
        <f t="shared" si="34"/>
        <v>HGI0116628</v>
      </c>
      <c r="M1109" s="5" t="str">
        <f t="shared" si="35"/>
        <v>I</v>
      </c>
      <c r="N1109" s="5">
        <f>IF(G1109=[1]Clientes!$C$3,[1]Clientes!$D$3,[1]Clientes!$D$2)</f>
        <v>13050505</v>
      </c>
    </row>
    <row r="1110" spans="1:14">
      <c r="A1110" s="6" t="s">
        <v>7</v>
      </c>
      <c r="B1110" s="7">
        <v>45468</v>
      </c>
      <c r="C1110" s="6" t="s">
        <v>4262</v>
      </c>
      <c r="D1110" s="6" t="s">
        <v>4260</v>
      </c>
      <c r="E1110" s="6" t="s">
        <v>16</v>
      </c>
      <c r="F1110" s="7">
        <v>45498</v>
      </c>
      <c r="G1110" s="6" t="s">
        <v>3102</v>
      </c>
      <c r="H1110" s="8">
        <v>37</v>
      </c>
      <c r="I1110" s="9">
        <v>367.72</v>
      </c>
      <c r="J1110" s="9">
        <v>367.72</v>
      </c>
      <c r="K1110" s="5" t="str">
        <f>VLOOKUP(D1110,[1]Clientes!$A$1:$B$1485,2,0)</f>
        <v>NAC1099</v>
      </c>
      <c r="L1110" s="5" t="str">
        <f t="shared" si="34"/>
        <v>HGI0125289</v>
      </c>
      <c r="M1110" s="5" t="str">
        <f t="shared" si="35"/>
        <v>I</v>
      </c>
      <c r="N1110" s="5">
        <f>IF(G1110=[1]Clientes!$C$3,[1]Clientes!$D$3,[1]Clientes!$D$2)</f>
        <v>13050505</v>
      </c>
    </row>
    <row r="1111" spans="1:14">
      <c r="A1111" s="6" t="s">
        <v>3099</v>
      </c>
      <c r="B1111" s="7">
        <v>45519</v>
      </c>
      <c r="C1111" s="6" t="s">
        <v>4263</v>
      </c>
      <c r="D1111" s="6" t="s">
        <v>4260</v>
      </c>
      <c r="E1111" s="6" t="s">
        <v>16</v>
      </c>
      <c r="F1111" s="7">
        <v>45549</v>
      </c>
      <c r="G1111" s="6" t="s">
        <v>3102</v>
      </c>
      <c r="H1111" s="8"/>
      <c r="I1111" s="9">
        <v>-28.03</v>
      </c>
      <c r="J1111" s="9">
        <v>-28.03</v>
      </c>
      <c r="K1111" s="5" t="str">
        <f>VLOOKUP(D1111,[1]Clientes!$A$1:$B$1485,2,0)</f>
        <v>NAC1099</v>
      </c>
      <c r="L1111" s="5" t="str">
        <f t="shared" si="34"/>
        <v>CRM0126510</v>
      </c>
      <c r="M1111" s="5" t="str">
        <f t="shared" si="35"/>
        <v>C</v>
      </c>
      <c r="N1111" s="5">
        <f>IF(G1111=[1]Clientes!$C$3,[1]Clientes!$D$3,[1]Clientes!$D$2)</f>
        <v>13050505</v>
      </c>
    </row>
    <row r="1112" spans="1:14">
      <c r="A1112" s="6" t="s">
        <v>7</v>
      </c>
      <c r="B1112" s="7">
        <v>45163</v>
      </c>
      <c r="C1112" s="6" t="s">
        <v>4264</v>
      </c>
      <c r="D1112" s="6" t="s">
        <v>4265</v>
      </c>
      <c r="E1112" s="6" t="s">
        <v>16</v>
      </c>
      <c r="F1112" s="7">
        <v>45193</v>
      </c>
      <c r="G1112" s="6" t="s">
        <v>3102</v>
      </c>
      <c r="H1112" s="8">
        <v>342</v>
      </c>
      <c r="I1112" s="9">
        <v>570.19000000000005</v>
      </c>
      <c r="J1112" s="9">
        <v>570.19000000000005</v>
      </c>
      <c r="K1112" s="5" t="str">
        <f>VLOOKUP(D1112,[1]Clientes!$A$1:$B$1485,2,0)</f>
        <v>NAC1091</v>
      </c>
      <c r="L1112" s="5" t="str">
        <f t="shared" si="34"/>
        <v>HGI0114620</v>
      </c>
      <c r="M1112" s="5" t="str">
        <f t="shared" si="35"/>
        <v>I</v>
      </c>
      <c r="N1112" s="5">
        <f>IF(G1112=[1]Clientes!$C$3,[1]Clientes!$D$3,[1]Clientes!$D$2)</f>
        <v>13050505</v>
      </c>
    </row>
    <row r="1113" spans="1:14">
      <c r="A1113" s="6" t="s">
        <v>7</v>
      </c>
      <c r="B1113" s="7">
        <v>45145</v>
      </c>
      <c r="C1113" s="6" t="s">
        <v>4266</v>
      </c>
      <c r="D1113" s="6" t="s">
        <v>4267</v>
      </c>
      <c r="E1113" s="6" t="s">
        <v>16</v>
      </c>
      <c r="F1113" s="7">
        <v>45175</v>
      </c>
      <c r="G1113" s="6" t="s">
        <v>3102</v>
      </c>
      <c r="H1113" s="8">
        <v>360</v>
      </c>
      <c r="I1113" s="9">
        <v>431.46</v>
      </c>
      <c r="J1113" s="9">
        <v>431.46</v>
      </c>
      <c r="K1113" s="5" t="str">
        <f>VLOOKUP(D1113,[1]Clientes!$A$1:$B$1485,2,0)</f>
        <v>NAC1100</v>
      </c>
      <c r="L1113" s="5" t="str">
        <f t="shared" si="34"/>
        <v>HGI0114207</v>
      </c>
      <c r="M1113" s="5" t="str">
        <f t="shared" si="35"/>
        <v>I</v>
      </c>
      <c r="N1113" s="5">
        <f>IF(G1113=[1]Clientes!$C$3,[1]Clientes!$D$3,[1]Clientes!$D$2)</f>
        <v>13050505</v>
      </c>
    </row>
    <row r="1114" spans="1:14">
      <c r="A1114" s="6" t="s">
        <v>7</v>
      </c>
      <c r="B1114" s="7">
        <v>45187</v>
      </c>
      <c r="C1114" s="6" t="s">
        <v>4268</v>
      </c>
      <c r="D1114" s="6" t="s">
        <v>4267</v>
      </c>
      <c r="E1114" s="6" t="s">
        <v>16</v>
      </c>
      <c r="F1114" s="7">
        <v>45217</v>
      </c>
      <c r="G1114" s="6" t="s">
        <v>3102</v>
      </c>
      <c r="H1114" s="8">
        <v>318</v>
      </c>
      <c r="I1114" s="9">
        <v>628.96</v>
      </c>
      <c r="J1114" s="9">
        <v>628.96</v>
      </c>
      <c r="K1114" s="5" t="str">
        <f>VLOOKUP(D1114,[1]Clientes!$A$1:$B$1485,2,0)</f>
        <v>NAC1100</v>
      </c>
      <c r="L1114" s="5" t="str">
        <f t="shared" si="34"/>
        <v>HGI0115129</v>
      </c>
      <c r="M1114" s="5" t="str">
        <f t="shared" si="35"/>
        <v>I</v>
      </c>
      <c r="N1114" s="5">
        <f>IF(G1114=[1]Clientes!$C$3,[1]Clientes!$D$3,[1]Clientes!$D$2)</f>
        <v>13050505</v>
      </c>
    </row>
    <row r="1115" spans="1:14">
      <c r="A1115" s="6" t="s">
        <v>7</v>
      </c>
      <c r="B1115" s="7">
        <v>45316</v>
      </c>
      <c r="C1115" s="6" t="s">
        <v>4269</v>
      </c>
      <c r="D1115" s="6" t="s">
        <v>4267</v>
      </c>
      <c r="E1115" s="6" t="s">
        <v>16</v>
      </c>
      <c r="F1115" s="7">
        <v>45346</v>
      </c>
      <c r="G1115" s="6" t="s">
        <v>3102</v>
      </c>
      <c r="H1115" s="8">
        <v>189</v>
      </c>
      <c r="I1115" s="9">
        <v>407.33</v>
      </c>
      <c r="J1115" s="9">
        <v>407.33</v>
      </c>
      <c r="K1115" s="5" t="str">
        <f>VLOOKUP(D1115,[1]Clientes!$A$1:$B$1485,2,0)</f>
        <v>NAC1100</v>
      </c>
      <c r="L1115" s="5" t="str">
        <f t="shared" si="34"/>
        <v>HGI0119773</v>
      </c>
      <c r="M1115" s="5" t="str">
        <f t="shared" si="35"/>
        <v>I</v>
      </c>
      <c r="N1115" s="5">
        <f>IF(G1115=[1]Clientes!$C$3,[1]Clientes!$D$3,[1]Clientes!$D$2)</f>
        <v>13050505</v>
      </c>
    </row>
    <row r="1116" spans="1:14">
      <c r="A1116" s="6" t="s">
        <v>7</v>
      </c>
      <c r="B1116" s="7">
        <v>45394</v>
      </c>
      <c r="C1116" s="6" t="s">
        <v>4270</v>
      </c>
      <c r="D1116" s="6" t="s">
        <v>4267</v>
      </c>
      <c r="E1116" s="6" t="s">
        <v>16</v>
      </c>
      <c r="F1116" s="7">
        <v>45424</v>
      </c>
      <c r="G1116" s="6" t="s">
        <v>3102</v>
      </c>
      <c r="H1116" s="8">
        <v>111</v>
      </c>
      <c r="I1116" s="9">
        <v>666.67</v>
      </c>
      <c r="J1116" s="9">
        <v>666.67</v>
      </c>
      <c r="K1116" s="5" t="str">
        <f>VLOOKUP(D1116,[1]Clientes!$A$1:$B$1485,2,0)</f>
        <v>NAC1100</v>
      </c>
      <c r="L1116" s="5" t="str">
        <f t="shared" si="34"/>
        <v>HGI0122974</v>
      </c>
      <c r="M1116" s="5" t="str">
        <f t="shared" si="35"/>
        <v>I</v>
      </c>
      <c r="N1116" s="5">
        <f>IF(G1116=[1]Clientes!$C$3,[1]Clientes!$D$3,[1]Clientes!$D$2)</f>
        <v>13050505</v>
      </c>
    </row>
    <row r="1117" spans="1:14">
      <c r="A1117" s="6" t="s">
        <v>7</v>
      </c>
      <c r="B1117" s="7">
        <v>45509</v>
      </c>
      <c r="C1117" s="6" t="s">
        <v>4271</v>
      </c>
      <c r="D1117" s="6" t="s">
        <v>4267</v>
      </c>
      <c r="E1117" s="6" t="s">
        <v>16</v>
      </c>
      <c r="F1117" s="7">
        <v>45539</v>
      </c>
      <c r="G1117" s="6" t="s">
        <v>3102</v>
      </c>
      <c r="H1117" s="8"/>
      <c r="I1117" s="9">
        <v>233.69</v>
      </c>
      <c r="J1117" s="9">
        <v>252.97</v>
      </c>
      <c r="K1117" s="5" t="str">
        <f>VLOOKUP(D1117,[1]Clientes!$A$1:$B$1485,2,0)</f>
        <v>NAC1100</v>
      </c>
      <c r="L1117" s="5" t="str">
        <f t="shared" si="34"/>
        <v>HGI0126208</v>
      </c>
      <c r="M1117" s="5" t="str">
        <f t="shared" si="35"/>
        <v>I</v>
      </c>
      <c r="N1117" s="5">
        <f>IF(G1117=[1]Clientes!$C$3,[1]Clientes!$D$3,[1]Clientes!$D$2)</f>
        <v>13050505</v>
      </c>
    </row>
    <row r="1118" spans="1:14">
      <c r="A1118" s="6" t="s">
        <v>7</v>
      </c>
      <c r="B1118" s="7">
        <v>45456</v>
      </c>
      <c r="C1118" s="6" t="s">
        <v>4272</v>
      </c>
      <c r="D1118" s="6" t="s">
        <v>4273</v>
      </c>
      <c r="E1118" s="6" t="s">
        <v>16</v>
      </c>
      <c r="F1118" s="7">
        <v>45486</v>
      </c>
      <c r="G1118" s="6" t="s">
        <v>3102</v>
      </c>
      <c r="H1118" s="8">
        <v>49</v>
      </c>
      <c r="I1118" s="9">
        <v>750.71</v>
      </c>
      <c r="J1118" s="9">
        <v>750.71</v>
      </c>
      <c r="K1118" s="5" t="str">
        <f>VLOOKUP(D1118,[1]Clientes!$A$1:$B$1485,2,0)</f>
        <v>NAC1095</v>
      </c>
      <c r="L1118" s="5" t="str">
        <f t="shared" si="34"/>
        <v>HGI0125058</v>
      </c>
      <c r="M1118" s="5" t="str">
        <f t="shared" si="35"/>
        <v>I</v>
      </c>
      <c r="N1118" s="5">
        <f>IF(G1118=[1]Clientes!$C$3,[1]Clientes!$D$3,[1]Clientes!$D$2)</f>
        <v>13050505</v>
      </c>
    </row>
    <row r="1119" spans="1:14">
      <c r="A1119" s="6" t="s">
        <v>3099</v>
      </c>
      <c r="B1119" s="7">
        <v>45519</v>
      </c>
      <c r="C1119" s="6" t="s">
        <v>4274</v>
      </c>
      <c r="D1119" s="6" t="s">
        <v>4273</v>
      </c>
      <c r="E1119" s="6" t="s">
        <v>16</v>
      </c>
      <c r="F1119" s="7">
        <v>45549</v>
      </c>
      <c r="G1119" s="6" t="s">
        <v>3102</v>
      </c>
      <c r="H1119" s="8"/>
      <c r="I1119" s="9">
        <v>-57.22</v>
      </c>
      <c r="J1119" s="9">
        <v>-57.22</v>
      </c>
      <c r="K1119" s="5" t="str">
        <f>VLOOKUP(D1119,[1]Clientes!$A$1:$B$1485,2,0)</f>
        <v>NAC1095</v>
      </c>
      <c r="L1119" s="5" t="str">
        <f t="shared" si="34"/>
        <v>CRM0126503</v>
      </c>
      <c r="M1119" s="5" t="str">
        <f t="shared" si="35"/>
        <v>C</v>
      </c>
      <c r="N1119" s="5">
        <f>IF(G1119=[1]Clientes!$C$3,[1]Clientes!$D$3,[1]Clientes!$D$2)</f>
        <v>13050505</v>
      </c>
    </row>
    <row r="1120" spans="1:14">
      <c r="A1120" s="6" t="s">
        <v>7</v>
      </c>
      <c r="B1120" s="7">
        <v>45026</v>
      </c>
      <c r="C1120" s="6" t="s">
        <v>4275</v>
      </c>
      <c r="D1120" s="6" t="s">
        <v>1330</v>
      </c>
      <c r="E1120" s="6" t="s">
        <v>16</v>
      </c>
      <c r="F1120" s="7">
        <v>45056</v>
      </c>
      <c r="G1120" s="6" t="s">
        <v>3102</v>
      </c>
      <c r="H1120" s="8">
        <v>479</v>
      </c>
      <c r="I1120" s="9">
        <v>6.32</v>
      </c>
      <c r="J1120" s="9">
        <v>235.25</v>
      </c>
      <c r="K1120" s="5" t="str">
        <f>VLOOKUP(D1120,[1]Clientes!$A$1:$B$1370,2,0)</f>
        <v>NAC1105</v>
      </c>
      <c r="L1120" s="5" t="str">
        <f t="shared" si="34"/>
        <v>HGI0110679</v>
      </c>
      <c r="M1120" s="5" t="str">
        <f t="shared" si="35"/>
        <v>I</v>
      </c>
      <c r="N1120" s="5">
        <f>IF(G1120=[1]Clientes!$C$3,[1]Clientes!$D$3,[1]Clientes!$D$2)</f>
        <v>13050505</v>
      </c>
    </row>
    <row r="1121" spans="1:14">
      <c r="A1121" s="6" t="s">
        <v>7</v>
      </c>
      <c r="B1121" s="7">
        <v>45188</v>
      </c>
      <c r="C1121" s="6" t="s">
        <v>4276</v>
      </c>
      <c r="D1121" s="6" t="s">
        <v>1330</v>
      </c>
      <c r="E1121" s="6" t="s">
        <v>16</v>
      </c>
      <c r="F1121" s="7">
        <v>45218</v>
      </c>
      <c r="G1121" s="6" t="s">
        <v>3102</v>
      </c>
      <c r="H1121" s="8">
        <v>317</v>
      </c>
      <c r="I1121" s="9">
        <v>960.35</v>
      </c>
      <c r="J1121" s="9">
        <v>960.35</v>
      </c>
      <c r="K1121" s="5" t="str">
        <f>VLOOKUP(D1121,[1]Clientes!$A$1:$B$1370,2,0)</f>
        <v>NAC1105</v>
      </c>
      <c r="L1121" s="5" t="str">
        <f t="shared" si="34"/>
        <v>HGI0115139</v>
      </c>
      <c r="M1121" s="5" t="str">
        <f t="shared" si="35"/>
        <v>I</v>
      </c>
      <c r="N1121" s="5">
        <f>IF(G1121=[1]Clientes!$C$3,[1]Clientes!$D$3,[1]Clientes!$D$2)</f>
        <v>13050505</v>
      </c>
    </row>
    <row r="1122" spans="1:14">
      <c r="A1122" s="6" t="s">
        <v>7</v>
      </c>
      <c r="B1122" s="7">
        <v>45204</v>
      </c>
      <c r="C1122" s="6" t="s">
        <v>4277</v>
      </c>
      <c r="D1122" s="6" t="s">
        <v>1330</v>
      </c>
      <c r="E1122" s="6" t="s">
        <v>16</v>
      </c>
      <c r="F1122" s="7">
        <v>45234</v>
      </c>
      <c r="G1122" s="6" t="s">
        <v>3102</v>
      </c>
      <c r="H1122" s="8">
        <v>301</v>
      </c>
      <c r="I1122" s="9">
        <v>1055.67</v>
      </c>
      <c r="J1122" s="9">
        <v>1055.67</v>
      </c>
      <c r="K1122" s="5" t="str">
        <f>VLOOKUP(D1122,[1]Clientes!$A$1:$B$1370,2,0)</f>
        <v>NAC1105</v>
      </c>
      <c r="L1122" s="5" t="str">
        <f t="shared" si="34"/>
        <v>HGI0115725</v>
      </c>
      <c r="M1122" s="5" t="str">
        <f t="shared" si="35"/>
        <v>I</v>
      </c>
      <c r="N1122" s="5">
        <f>IF(G1122=[1]Clientes!$C$3,[1]Clientes!$D$3,[1]Clientes!$D$2)</f>
        <v>13050505</v>
      </c>
    </row>
    <row r="1123" spans="1:14">
      <c r="A1123" s="6" t="s">
        <v>7</v>
      </c>
      <c r="B1123" s="7">
        <v>45245</v>
      </c>
      <c r="C1123" s="6" t="s">
        <v>4278</v>
      </c>
      <c r="D1123" s="6" t="s">
        <v>1330</v>
      </c>
      <c r="E1123" s="6" t="s">
        <v>16</v>
      </c>
      <c r="F1123" s="7">
        <v>45275</v>
      </c>
      <c r="G1123" s="6" t="s">
        <v>3102</v>
      </c>
      <c r="H1123" s="8">
        <v>260</v>
      </c>
      <c r="I1123" s="9">
        <v>358.73</v>
      </c>
      <c r="J1123" s="9">
        <v>388.34</v>
      </c>
      <c r="K1123" s="5" t="str">
        <f>VLOOKUP(D1123,[1]Clientes!$A$1:$B$1370,2,0)</f>
        <v>NAC1105</v>
      </c>
      <c r="L1123" s="5" t="str">
        <f t="shared" si="34"/>
        <v>HGI0117313</v>
      </c>
      <c r="M1123" s="5" t="str">
        <f t="shared" si="35"/>
        <v>I</v>
      </c>
      <c r="N1123" s="5">
        <f>IF(G1123=[1]Clientes!$C$3,[1]Clientes!$D$3,[1]Clientes!$D$2)</f>
        <v>13050505</v>
      </c>
    </row>
    <row r="1124" spans="1:14">
      <c r="A1124" s="6" t="s">
        <v>7</v>
      </c>
      <c r="B1124" s="7">
        <v>45258</v>
      </c>
      <c r="C1124" s="6" t="s">
        <v>4279</v>
      </c>
      <c r="D1124" s="6" t="s">
        <v>1330</v>
      </c>
      <c r="E1124" s="6" t="s">
        <v>16</v>
      </c>
      <c r="F1124" s="7">
        <v>45288</v>
      </c>
      <c r="G1124" s="6" t="s">
        <v>3102</v>
      </c>
      <c r="H1124" s="8">
        <v>247</v>
      </c>
      <c r="I1124" s="9">
        <v>515.73</v>
      </c>
      <c r="J1124" s="9">
        <v>558.28</v>
      </c>
      <c r="K1124" s="5" t="str">
        <f>VLOOKUP(D1124,[1]Clientes!$A$1:$B$1370,2,0)</f>
        <v>NAC1105</v>
      </c>
      <c r="L1124" s="5" t="str">
        <f t="shared" si="34"/>
        <v>HGI0117741</v>
      </c>
      <c r="M1124" s="5" t="str">
        <f t="shared" si="35"/>
        <v>I</v>
      </c>
      <c r="N1124" s="5">
        <f>IF(G1124=[1]Clientes!$C$3,[1]Clientes!$D$3,[1]Clientes!$D$2)</f>
        <v>13050505</v>
      </c>
    </row>
    <row r="1125" spans="1:14">
      <c r="A1125" s="6" t="s">
        <v>7</v>
      </c>
      <c r="B1125" s="7">
        <v>45259</v>
      </c>
      <c r="C1125" s="6" t="s">
        <v>4280</v>
      </c>
      <c r="D1125" s="6" t="s">
        <v>1330</v>
      </c>
      <c r="E1125" s="6" t="s">
        <v>16</v>
      </c>
      <c r="F1125" s="7">
        <v>45289</v>
      </c>
      <c r="G1125" s="6" t="s">
        <v>3102</v>
      </c>
      <c r="H1125" s="8">
        <v>246</v>
      </c>
      <c r="I1125" s="9">
        <v>456.69</v>
      </c>
      <c r="J1125" s="9">
        <v>456.69</v>
      </c>
      <c r="K1125" s="5" t="str">
        <f>VLOOKUP(D1125,[1]Clientes!$A$1:$B$1370,2,0)</f>
        <v>NAC1105</v>
      </c>
      <c r="L1125" s="5" t="str">
        <f t="shared" si="34"/>
        <v>HGI0117806</v>
      </c>
      <c r="M1125" s="5" t="str">
        <f t="shared" si="35"/>
        <v>I</v>
      </c>
      <c r="N1125" s="5">
        <f>IF(G1125=[1]Clientes!$C$3,[1]Clientes!$D$3,[1]Clientes!$D$2)</f>
        <v>13050505</v>
      </c>
    </row>
    <row r="1126" spans="1:14">
      <c r="A1126" s="6" t="s">
        <v>7</v>
      </c>
      <c r="B1126" s="7">
        <v>45370</v>
      </c>
      <c r="C1126" s="6" t="s">
        <v>4281</v>
      </c>
      <c r="D1126" s="6" t="s">
        <v>1330</v>
      </c>
      <c r="E1126" s="6" t="s">
        <v>16</v>
      </c>
      <c r="F1126" s="7">
        <v>45400</v>
      </c>
      <c r="G1126" s="6" t="s">
        <v>3102</v>
      </c>
      <c r="H1126" s="8">
        <v>135</v>
      </c>
      <c r="I1126" s="9">
        <v>989.39</v>
      </c>
      <c r="J1126" s="9">
        <v>989.39</v>
      </c>
      <c r="K1126" s="5" t="str">
        <f>VLOOKUP(D1126,[1]Clientes!$A$1:$B$1370,2,0)</f>
        <v>NAC1105</v>
      </c>
      <c r="L1126" s="5" t="str">
        <f t="shared" si="34"/>
        <v>HGI0122058</v>
      </c>
      <c r="M1126" s="5" t="str">
        <f t="shared" si="35"/>
        <v>I</v>
      </c>
      <c r="N1126" s="5">
        <f>IF(G1126=[1]Clientes!$C$3,[1]Clientes!$D$3,[1]Clientes!$D$2)</f>
        <v>13050505</v>
      </c>
    </row>
    <row r="1127" spans="1:14">
      <c r="A1127" s="6" t="s">
        <v>7</v>
      </c>
      <c r="B1127" s="7">
        <v>45379</v>
      </c>
      <c r="C1127" s="6" t="s">
        <v>4282</v>
      </c>
      <c r="D1127" s="6" t="s">
        <v>1330</v>
      </c>
      <c r="E1127" s="6" t="s">
        <v>16</v>
      </c>
      <c r="F1127" s="7">
        <v>45409</v>
      </c>
      <c r="G1127" s="6" t="s">
        <v>3102</v>
      </c>
      <c r="H1127" s="8">
        <v>126</v>
      </c>
      <c r="I1127" s="9">
        <v>455.45</v>
      </c>
      <c r="J1127" s="9">
        <v>455.45</v>
      </c>
      <c r="K1127" s="5" t="str">
        <f>VLOOKUP(D1127,[1]Clientes!$A$1:$B$1370,2,0)</f>
        <v>NAC1105</v>
      </c>
      <c r="L1127" s="5" t="str">
        <f t="shared" si="34"/>
        <v>HGI0122416</v>
      </c>
      <c r="M1127" s="5" t="str">
        <f t="shared" si="35"/>
        <v>I</v>
      </c>
      <c r="N1127" s="5">
        <f>IF(G1127=[1]Clientes!$C$3,[1]Clientes!$D$3,[1]Clientes!$D$2)</f>
        <v>13050505</v>
      </c>
    </row>
    <row r="1128" spans="1:14">
      <c r="A1128" s="6" t="s">
        <v>7</v>
      </c>
      <c r="B1128" s="7">
        <v>45462</v>
      </c>
      <c r="C1128" s="6" t="s">
        <v>4283</v>
      </c>
      <c r="D1128" s="6" t="s">
        <v>1330</v>
      </c>
      <c r="E1128" s="6" t="s">
        <v>16</v>
      </c>
      <c r="F1128" s="7">
        <v>45492</v>
      </c>
      <c r="G1128" s="6" t="s">
        <v>3102</v>
      </c>
      <c r="H1128" s="8">
        <v>43</v>
      </c>
      <c r="I1128" s="9">
        <v>385.45</v>
      </c>
      <c r="J1128" s="9">
        <v>385.45</v>
      </c>
      <c r="K1128" s="5" t="str">
        <f>VLOOKUP(D1128,[1]Clientes!$A$1:$B$1370,2,0)</f>
        <v>NAC1105</v>
      </c>
      <c r="L1128" s="5" t="str">
        <f t="shared" si="34"/>
        <v>HGI0125188</v>
      </c>
      <c r="M1128" s="5" t="str">
        <f t="shared" si="35"/>
        <v>I</v>
      </c>
      <c r="N1128" s="5">
        <f>IF(G1128=[1]Clientes!$C$3,[1]Clientes!$D$3,[1]Clientes!$D$2)</f>
        <v>13050505</v>
      </c>
    </row>
    <row r="1129" spans="1:14">
      <c r="A1129" s="6" t="s">
        <v>3099</v>
      </c>
      <c r="B1129" s="7">
        <v>45469</v>
      </c>
      <c r="C1129" s="6" t="s">
        <v>4284</v>
      </c>
      <c r="D1129" s="6" t="s">
        <v>1348</v>
      </c>
      <c r="E1129" s="6" t="s">
        <v>16</v>
      </c>
      <c r="F1129" s="7">
        <v>45499</v>
      </c>
      <c r="G1129" s="6" t="s">
        <v>3102</v>
      </c>
      <c r="H1129" s="8">
        <v>36</v>
      </c>
      <c r="I1129" s="9">
        <v>-16.04</v>
      </c>
      <c r="J1129" s="9">
        <v>-16.04</v>
      </c>
      <c r="K1129" s="5" t="str">
        <f>VLOOKUP(D1129,[1]Clientes!$A$1:$B$1370,2,0)</f>
        <v>NAC1106</v>
      </c>
      <c r="L1129" s="5" t="str">
        <f t="shared" si="34"/>
        <v>CRM0125295</v>
      </c>
      <c r="M1129" s="5" t="str">
        <f t="shared" si="35"/>
        <v>C</v>
      </c>
      <c r="N1129" s="5">
        <f>IF(G1129=[1]Clientes!$C$3,[1]Clientes!$D$3,[1]Clientes!$D$2)</f>
        <v>13050505</v>
      </c>
    </row>
    <row r="1130" spans="1:14">
      <c r="A1130" s="6" t="s">
        <v>3099</v>
      </c>
      <c r="B1130" s="7">
        <v>45469</v>
      </c>
      <c r="C1130" s="6" t="s">
        <v>4285</v>
      </c>
      <c r="D1130" s="6" t="s">
        <v>1348</v>
      </c>
      <c r="E1130" s="6" t="s">
        <v>16</v>
      </c>
      <c r="F1130" s="7">
        <v>45499</v>
      </c>
      <c r="G1130" s="6" t="s">
        <v>3102</v>
      </c>
      <c r="H1130" s="8">
        <v>36</v>
      </c>
      <c r="I1130" s="9">
        <v>-20.6</v>
      </c>
      <c r="J1130" s="9">
        <v>-20.6</v>
      </c>
      <c r="K1130" s="5" t="str">
        <f>VLOOKUP(D1130,[1]Clientes!$A$1:$B$1370,2,0)</f>
        <v>NAC1106</v>
      </c>
      <c r="L1130" s="5" t="str">
        <f t="shared" si="34"/>
        <v>CRM0125296</v>
      </c>
      <c r="M1130" s="5" t="str">
        <f t="shared" si="35"/>
        <v>C</v>
      </c>
      <c r="N1130" s="5">
        <f>IF(G1130=[1]Clientes!$C$3,[1]Clientes!$D$3,[1]Clientes!$D$2)</f>
        <v>13050505</v>
      </c>
    </row>
    <row r="1131" spans="1:14">
      <c r="A1131" s="6" t="s">
        <v>7</v>
      </c>
      <c r="B1131" s="7">
        <v>45489</v>
      </c>
      <c r="C1131" s="6" t="s">
        <v>4286</v>
      </c>
      <c r="D1131" s="6" t="s">
        <v>1348</v>
      </c>
      <c r="E1131" s="6" t="s">
        <v>16</v>
      </c>
      <c r="F1131" s="7">
        <v>45519</v>
      </c>
      <c r="G1131" s="6" t="s">
        <v>3102</v>
      </c>
      <c r="H1131" s="8">
        <v>16</v>
      </c>
      <c r="I1131" s="9">
        <v>239.02</v>
      </c>
      <c r="J1131" s="9">
        <v>239.02</v>
      </c>
      <c r="K1131" s="5" t="str">
        <f>VLOOKUP(D1131,[1]Clientes!$A$1:$B$1370,2,0)</f>
        <v>NAC1106</v>
      </c>
      <c r="L1131" s="5" t="str">
        <f t="shared" si="34"/>
        <v>HGI0125733</v>
      </c>
      <c r="M1131" s="5" t="str">
        <f t="shared" si="35"/>
        <v>I</v>
      </c>
      <c r="N1131" s="5">
        <f>IF(G1131=[1]Clientes!$C$3,[1]Clientes!$D$3,[1]Clientes!$D$2)</f>
        <v>13050505</v>
      </c>
    </row>
    <row r="1132" spans="1:14">
      <c r="A1132" s="6" t="s">
        <v>7</v>
      </c>
      <c r="B1132" s="7">
        <v>45505</v>
      </c>
      <c r="C1132" s="6" t="s">
        <v>4287</v>
      </c>
      <c r="D1132" s="6" t="s">
        <v>1348</v>
      </c>
      <c r="E1132" s="6" t="s">
        <v>16</v>
      </c>
      <c r="F1132" s="7">
        <v>45535</v>
      </c>
      <c r="G1132" s="6" t="s">
        <v>3102</v>
      </c>
      <c r="H1132" s="8"/>
      <c r="I1132" s="9">
        <v>254.42</v>
      </c>
      <c r="J1132" s="9">
        <v>254.42</v>
      </c>
      <c r="K1132" s="5" t="str">
        <f>VLOOKUP(D1132,[1]Clientes!$A$1:$B$1370,2,0)</f>
        <v>NAC1106</v>
      </c>
      <c r="L1132" s="5" t="str">
        <f t="shared" si="34"/>
        <v>HGI0126135</v>
      </c>
      <c r="M1132" s="5" t="str">
        <f t="shared" si="35"/>
        <v>I</v>
      </c>
      <c r="N1132" s="5">
        <f>IF(G1132=[1]Clientes!$C$3,[1]Clientes!$D$3,[1]Clientes!$D$2)</f>
        <v>13050505</v>
      </c>
    </row>
    <row r="1133" spans="1:14">
      <c r="A1133" s="6" t="s">
        <v>7</v>
      </c>
      <c r="B1133" s="7">
        <v>45359</v>
      </c>
      <c r="C1133" s="6" t="s">
        <v>4288</v>
      </c>
      <c r="D1133" s="6" t="s">
        <v>1355</v>
      </c>
      <c r="E1133" s="6" t="s">
        <v>16</v>
      </c>
      <c r="F1133" s="7">
        <v>45389</v>
      </c>
      <c r="G1133" s="6" t="s">
        <v>3102</v>
      </c>
      <c r="H1133" s="8">
        <v>146</v>
      </c>
      <c r="I1133" s="9">
        <v>152.83000000000001</v>
      </c>
      <c r="J1133" s="9">
        <v>152.83000000000001</v>
      </c>
      <c r="K1133" s="5" t="str">
        <f>VLOOKUP(D1133,[1]Clientes!$A$1:$B$1370,2,0)</f>
        <v>NAC1108</v>
      </c>
      <c r="L1133" s="5" t="str">
        <f t="shared" si="34"/>
        <v>HGI0121722</v>
      </c>
      <c r="M1133" s="5" t="str">
        <f t="shared" si="35"/>
        <v>I</v>
      </c>
      <c r="N1133" s="5">
        <f>IF(G1133=[1]Clientes!$C$3,[1]Clientes!$D$3,[1]Clientes!$D$2)</f>
        <v>13050505</v>
      </c>
    </row>
    <row r="1134" spans="1:14">
      <c r="A1134" s="6" t="s">
        <v>7</v>
      </c>
      <c r="B1134" s="7">
        <v>45362</v>
      </c>
      <c r="C1134" s="6" t="s">
        <v>4289</v>
      </c>
      <c r="D1134" s="6" t="s">
        <v>1355</v>
      </c>
      <c r="E1134" s="6" t="s">
        <v>16</v>
      </c>
      <c r="F1134" s="7">
        <v>45392</v>
      </c>
      <c r="G1134" s="6" t="s">
        <v>3102</v>
      </c>
      <c r="H1134" s="8">
        <v>143</v>
      </c>
      <c r="I1134" s="9">
        <v>19.96</v>
      </c>
      <c r="J1134" s="9">
        <v>400.16</v>
      </c>
      <c r="K1134" s="5" t="str">
        <f>VLOOKUP(D1134,[1]Clientes!$A$1:$B$1370,2,0)</f>
        <v>NAC1108</v>
      </c>
      <c r="L1134" s="5" t="str">
        <f t="shared" si="34"/>
        <v>HGI0121763</v>
      </c>
      <c r="M1134" s="5" t="str">
        <f t="shared" si="35"/>
        <v>I</v>
      </c>
      <c r="N1134" s="5">
        <f>IF(G1134=[1]Clientes!$C$3,[1]Clientes!$D$3,[1]Clientes!$D$2)</f>
        <v>13050505</v>
      </c>
    </row>
    <row r="1135" spans="1:14">
      <c r="A1135" s="6" t="s">
        <v>7</v>
      </c>
      <c r="B1135" s="7">
        <v>45365</v>
      </c>
      <c r="C1135" s="6" t="s">
        <v>4290</v>
      </c>
      <c r="D1135" s="6" t="s">
        <v>1355</v>
      </c>
      <c r="E1135" s="6" t="s">
        <v>16</v>
      </c>
      <c r="F1135" s="7">
        <v>45395</v>
      </c>
      <c r="G1135" s="6" t="s">
        <v>3102</v>
      </c>
      <c r="H1135" s="8">
        <v>140</v>
      </c>
      <c r="I1135" s="9">
        <v>22.05</v>
      </c>
      <c r="J1135" s="9">
        <v>448.43</v>
      </c>
      <c r="K1135" s="5" t="str">
        <f>VLOOKUP(D1135,[1]Clientes!$A$1:$B$1370,2,0)</f>
        <v>NAC1108</v>
      </c>
      <c r="L1135" s="5" t="str">
        <f t="shared" si="34"/>
        <v>HGI0121922</v>
      </c>
      <c r="M1135" s="5" t="str">
        <f t="shared" si="35"/>
        <v>I</v>
      </c>
      <c r="N1135" s="5">
        <f>IF(G1135=[1]Clientes!$C$3,[1]Clientes!$D$3,[1]Clientes!$D$2)</f>
        <v>13050505</v>
      </c>
    </row>
    <row r="1136" spans="1:14">
      <c r="A1136" s="6" t="s">
        <v>7</v>
      </c>
      <c r="B1136" s="7">
        <v>45532</v>
      </c>
      <c r="C1136" s="6" t="s">
        <v>4291</v>
      </c>
      <c r="D1136" s="6" t="s">
        <v>4292</v>
      </c>
      <c r="E1136" s="6" t="s">
        <v>16</v>
      </c>
      <c r="F1136" s="7">
        <v>45562</v>
      </c>
      <c r="G1136" s="6" t="s">
        <v>3102</v>
      </c>
      <c r="H1136" s="8"/>
      <c r="I1136" s="9">
        <v>189</v>
      </c>
      <c r="J1136" s="9">
        <v>189</v>
      </c>
      <c r="K1136" s="5" t="str">
        <f>VLOOKUP(D1136,[1]Clientes!$A$1:$B$1370,2,0)</f>
        <v>NAC1113</v>
      </c>
      <c r="L1136" s="5" t="str">
        <f t="shared" si="34"/>
        <v>HGI0127044</v>
      </c>
      <c r="M1136" s="5" t="str">
        <f t="shared" si="35"/>
        <v>I</v>
      </c>
      <c r="N1136" s="5">
        <f>IF(G1136=[1]Clientes!$C$3,[1]Clientes!$D$3,[1]Clientes!$D$2)</f>
        <v>13050505</v>
      </c>
    </row>
    <row r="1137" spans="1:14">
      <c r="A1137" s="6" t="s">
        <v>3099</v>
      </c>
      <c r="B1137" s="7">
        <v>45380</v>
      </c>
      <c r="C1137" s="6" t="s">
        <v>4293</v>
      </c>
      <c r="D1137" s="6" t="s">
        <v>1362</v>
      </c>
      <c r="E1137" s="6" t="s">
        <v>213</v>
      </c>
      <c r="F1137" s="7">
        <v>45380</v>
      </c>
      <c r="G1137" s="6" t="s">
        <v>3102</v>
      </c>
      <c r="H1137" s="8">
        <v>155</v>
      </c>
      <c r="I1137" s="9">
        <v>-47.84</v>
      </c>
      <c r="J1137" s="9">
        <v>-47.84</v>
      </c>
      <c r="K1137" s="5" t="str">
        <f>VLOOKUP(D1137,[1]Clientes!$A$1:$B$1370,2,0)</f>
        <v>NAC1114</v>
      </c>
      <c r="L1137" s="5" t="str">
        <f t="shared" si="34"/>
        <v>CRM0121892</v>
      </c>
      <c r="M1137" s="5" t="str">
        <f t="shared" si="35"/>
        <v>C</v>
      </c>
      <c r="N1137" s="5">
        <f>IF(G1137=[1]Clientes!$C$3,[1]Clientes!$D$3,[1]Clientes!$D$2)</f>
        <v>13050505</v>
      </c>
    </row>
    <row r="1138" spans="1:14">
      <c r="A1138" s="6" t="s">
        <v>3099</v>
      </c>
      <c r="B1138" s="7">
        <v>45382</v>
      </c>
      <c r="C1138" s="6" t="s">
        <v>4294</v>
      </c>
      <c r="D1138" s="6" t="s">
        <v>1362</v>
      </c>
      <c r="E1138" s="6" t="s">
        <v>213</v>
      </c>
      <c r="F1138" s="7">
        <v>45382</v>
      </c>
      <c r="G1138" s="6" t="s">
        <v>3102</v>
      </c>
      <c r="H1138" s="8">
        <v>153</v>
      </c>
      <c r="I1138" s="9">
        <v>-148.5</v>
      </c>
      <c r="J1138" s="9">
        <v>-148.5</v>
      </c>
      <c r="K1138" s="5" t="str">
        <f>VLOOKUP(D1138,[1]Clientes!$A$1:$B$1370,2,0)</f>
        <v>NAC1114</v>
      </c>
      <c r="L1138" s="5" t="str">
        <f t="shared" si="34"/>
        <v>CRM0122655</v>
      </c>
      <c r="M1138" s="5" t="str">
        <f t="shared" si="35"/>
        <v>C</v>
      </c>
      <c r="N1138" s="5">
        <f>IF(G1138=[1]Clientes!$C$3,[1]Clientes!$D$3,[1]Clientes!$D$2)</f>
        <v>13050505</v>
      </c>
    </row>
    <row r="1139" spans="1:14">
      <c r="A1139" s="6" t="s">
        <v>7</v>
      </c>
      <c r="B1139" s="7">
        <v>45411</v>
      </c>
      <c r="C1139" s="6" t="s">
        <v>4295</v>
      </c>
      <c r="D1139" s="6" t="s">
        <v>1376</v>
      </c>
      <c r="E1139" s="6" t="s">
        <v>16</v>
      </c>
      <c r="F1139" s="7">
        <v>45441</v>
      </c>
      <c r="G1139" s="6" t="s">
        <v>3102</v>
      </c>
      <c r="H1139" s="8">
        <v>94</v>
      </c>
      <c r="I1139" s="9">
        <v>1064</v>
      </c>
      <c r="J1139" s="9">
        <v>2064</v>
      </c>
      <c r="K1139" s="5" t="str">
        <f>VLOOKUP(D1139,[1]Clientes!$A$1:$B$1370,2,0)</f>
        <v>NAC1122</v>
      </c>
      <c r="L1139" s="5" t="str">
        <f t="shared" si="34"/>
        <v>HGI0123628</v>
      </c>
      <c r="M1139" s="5" t="str">
        <f t="shared" si="35"/>
        <v>I</v>
      </c>
      <c r="N1139" s="5">
        <f>IF(G1139=[1]Clientes!$C$3,[1]Clientes!$D$3,[1]Clientes!$D$2)</f>
        <v>13050505</v>
      </c>
    </row>
    <row r="1140" spans="1:14">
      <c r="A1140" s="6" t="s">
        <v>7</v>
      </c>
      <c r="B1140" s="7">
        <v>45457</v>
      </c>
      <c r="C1140" s="6" t="s">
        <v>4296</v>
      </c>
      <c r="D1140" s="6" t="s">
        <v>1376</v>
      </c>
      <c r="E1140" s="6" t="s">
        <v>16</v>
      </c>
      <c r="F1140" s="7">
        <v>45487</v>
      </c>
      <c r="G1140" s="6" t="s">
        <v>3102</v>
      </c>
      <c r="H1140" s="8">
        <v>48</v>
      </c>
      <c r="I1140" s="9">
        <v>8064</v>
      </c>
      <c r="J1140" s="9">
        <v>8064</v>
      </c>
      <c r="K1140" s="5" t="str">
        <f>VLOOKUP(D1140,[1]Clientes!$A$1:$B$1370,2,0)</f>
        <v>NAC1122</v>
      </c>
      <c r="L1140" s="5" t="str">
        <f t="shared" si="34"/>
        <v>HGI0125088</v>
      </c>
      <c r="M1140" s="5" t="str">
        <f t="shared" si="35"/>
        <v>I</v>
      </c>
      <c r="N1140" s="5">
        <f>IF(G1140=[1]Clientes!$C$3,[1]Clientes!$D$3,[1]Clientes!$D$2)</f>
        <v>13050505</v>
      </c>
    </row>
    <row r="1141" spans="1:14">
      <c r="A1141" s="6" t="s">
        <v>3139</v>
      </c>
      <c r="B1141" s="7">
        <v>45523</v>
      </c>
      <c r="C1141" s="6"/>
      <c r="D1141" s="6" t="s">
        <v>1376</v>
      </c>
      <c r="E1141" s="6"/>
      <c r="F1141" s="7"/>
      <c r="G1141" s="6" t="s">
        <v>3102</v>
      </c>
      <c r="H1141" s="8"/>
      <c r="I1141" s="9">
        <v>-1</v>
      </c>
      <c r="J1141" s="9">
        <v>-2237</v>
      </c>
      <c r="K1141" s="5" t="str">
        <f>VLOOKUP(D1141,[1]Clientes!$A$1:$B$1370,2,0)</f>
        <v>NAC1122</v>
      </c>
      <c r="L1141" s="5" t="str">
        <f t="shared" si="34"/>
        <v>Revisar</v>
      </c>
      <c r="M1141" s="5" t="str">
        <f t="shared" si="35"/>
        <v>P</v>
      </c>
      <c r="N1141" s="5">
        <f>IF(G1141=[1]Clientes!$C$3,[1]Clientes!$D$3,[1]Clientes!$D$2)</f>
        <v>13050505</v>
      </c>
    </row>
    <row r="1142" spans="1:14">
      <c r="A1142" s="6" t="s">
        <v>3265</v>
      </c>
      <c r="B1142" s="7">
        <v>45413</v>
      </c>
      <c r="C1142" s="6" t="s">
        <v>4297</v>
      </c>
      <c r="D1142" s="6" t="s">
        <v>4298</v>
      </c>
      <c r="E1142" s="6"/>
      <c r="F1142" s="7"/>
      <c r="G1142" s="6" t="s">
        <v>3102</v>
      </c>
      <c r="H1142" s="8"/>
      <c r="I1142" s="9">
        <v>7.57</v>
      </c>
      <c r="J1142" s="9">
        <v>7.57</v>
      </c>
      <c r="K1142" s="5" t="str">
        <f>VLOOKUP(D1142,[1]Clientes!$A$1:$B$1370,2,0)</f>
        <v>NAC1614</v>
      </c>
      <c r="L1142" s="5" t="str">
        <f t="shared" si="34"/>
        <v>Revisar</v>
      </c>
      <c r="M1142" s="5" t="str">
        <f t="shared" si="35"/>
        <v>GJ</v>
      </c>
      <c r="N1142" s="5">
        <f>IF(G1142=[1]Clientes!$C$3,[1]Clientes!$D$3,[1]Clientes!$D$2)</f>
        <v>13050505</v>
      </c>
    </row>
    <row r="1143" spans="1:14">
      <c r="A1143" s="6" t="s">
        <v>3265</v>
      </c>
      <c r="B1143" s="7">
        <v>45413</v>
      </c>
      <c r="C1143" s="6" t="s">
        <v>4297</v>
      </c>
      <c r="D1143" s="6" t="s">
        <v>4298</v>
      </c>
      <c r="E1143" s="6"/>
      <c r="F1143" s="7"/>
      <c r="G1143" s="6" t="s">
        <v>3102</v>
      </c>
      <c r="H1143" s="8"/>
      <c r="I1143" s="9">
        <v>1.77</v>
      </c>
      <c r="J1143" s="9">
        <v>1.77</v>
      </c>
      <c r="K1143" s="5" t="str">
        <f>VLOOKUP(D1143,[1]Clientes!$A$1:$B$1370,2,0)</f>
        <v>NAC1614</v>
      </c>
      <c r="L1143" s="5" t="str">
        <f t="shared" si="34"/>
        <v>Revisar</v>
      </c>
      <c r="M1143" s="5" t="str">
        <f t="shared" si="35"/>
        <v>GJ</v>
      </c>
      <c r="N1143" s="5">
        <f>IF(G1143=[1]Clientes!$C$3,[1]Clientes!$D$3,[1]Clientes!$D$2)</f>
        <v>13050505</v>
      </c>
    </row>
    <row r="1144" spans="1:14">
      <c r="A1144" s="6" t="s">
        <v>3265</v>
      </c>
      <c r="B1144" s="7">
        <v>45418</v>
      </c>
      <c r="C1144" s="6" t="s">
        <v>4297</v>
      </c>
      <c r="D1144" s="6" t="s">
        <v>4298</v>
      </c>
      <c r="E1144" s="6"/>
      <c r="F1144" s="7"/>
      <c r="G1144" s="6" t="s">
        <v>3102</v>
      </c>
      <c r="H1144" s="8"/>
      <c r="I1144" s="9">
        <v>4.28</v>
      </c>
      <c r="J1144" s="9">
        <v>4.28</v>
      </c>
      <c r="K1144" s="5" t="str">
        <f>VLOOKUP(D1144,[1]Clientes!$A$1:$B$1370,2,0)</f>
        <v>NAC1614</v>
      </c>
      <c r="L1144" s="5" t="str">
        <f t="shared" si="34"/>
        <v>Revisar</v>
      </c>
      <c r="M1144" s="5" t="str">
        <f t="shared" si="35"/>
        <v>GJ</v>
      </c>
      <c r="N1144" s="5">
        <f>IF(G1144=[1]Clientes!$C$3,[1]Clientes!$D$3,[1]Clientes!$D$2)</f>
        <v>13050505</v>
      </c>
    </row>
    <row r="1145" spans="1:14">
      <c r="A1145" s="6" t="s">
        <v>3265</v>
      </c>
      <c r="B1145" s="7">
        <v>45418</v>
      </c>
      <c r="C1145" s="6" t="s">
        <v>4297</v>
      </c>
      <c r="D1145" s="6" t="s">
        <v>4298</v>
      </c>
      <c r="E1145" s="6"/>
      <c r="F1145" s="7"/>
      <c r="G1145" s="6" t="s">
        <v>3102</v>
      </c>
      <c r="H1145" s="8"/>
      <c r="I1145" s="9">
        <v>8.19</v>
      </c>
      <c r="J1145" s="9">
        <v>8.19</v>
      </c>
      <c r="K1145" s="5" t="str">
        <f>VLOOKUP(D1145,[1]Clientes!$A$1:$B$1370,2,0)</f>
        <v>NAC1614</v>
      </c>
      <c r="L1145" s="5" t="str">
        <f t="shared" si="34"/>
        <v>Revisar</v>
      </c>
      <c r="M1145" s="5" t="str">
        <f t="shared" si="35"/>
        <v>GJ</v>
      </c>
      <c r="N1145" s="5">
        <f>IF(G1145=[1]Clientes!$C$3,[1]Clientes!$D$3,[1]Clientes!$D$2)</f>
        <v>13050505</v>
      </c>
    </row>
    <row r="1146" spans="1:14">
      <c r="A1146" s="6" t="s">
        <v>3265</v>
      </c>
      <c r="B1146" s="7">
        <v>45419</v>
      </c>
      <c r="C1146" s="6" t="s">
        <v>4297</v>
      </c>
      <c r="D1146" s="6" t="s">
        <v>4298</v>
      </c>
      <c r="E1146" s="6"/>
      <c r="F1146" s="7"/>
      <c r="G1146" s="6" t="s">
        <v>3102</v>
      </c>
      <c r="H1146" s="8"/>
      <c r="I1146" s="9">
        <v>15.17</v>
      </c>
      <c r="J1146" s="9">
        <v>15.17</v>
      </c>
      <c r="K1146" s="5" t="str">
        <f>VLOOKUP(D1146,[1]Clientes!$A$1:$B$1370,2,0)</f>
        <v>NAC1614</v>
      </c>
      <c r="L1146" s="5" t="str">
        <f t="shared" si="34"/>
        <v>Revisar</v>
      </c>
      <c r="M1146" s="5" t="str">
        <f t="shared" si="35"/>
        <v>GJ</v>
      </c>
      <c r="N1146" s="5">
        <f>IF(G1146=[1]Clientes!$C$3,[1]Clientes!$D$3,[1]Clientes!$D$2)</f>
        <v>13050505</v>
      </c>
    </row>
    <row r="1147" spans="1:14">
      <c r="A1147" s="6" t="s">
        <v>3265</v>
      </c>
      <c r="B1147" s="7">
        <v>45443</v>
      </c>
      <c r="C1147" s="6" t="s">
        <v>4297</v>
      </c>
      <c r="D1147" s="6" t="s">
        <v>4298</v>
      </c>
      <c r="E1147" s="6"/>
      <c r="F1147" s="7"/>
      <c r="G1147" s="6" t="s">
        <v>3102</v>
      </c>
      <c r="H1147" s="8"/>
      <c r="I1147" s="9">
        <v>21.15</v>
      </c>
      <c r="J1147" s="9">
        <v>21.15</v>
      </c>
      <c r="K1147" s="5" t="str">
        <f>VLOOKUP(D1147,[1]Clientes!$A$1:$B$1370,2,0)</f>
        <v>NAC1614</v>
      </c>
      <c r="L1147" s="5" t="str">
        <f t="shared" si="34"/>
        <v>Revisar</v>
      </c>
      <c r="M1147" s="5" t="str">
        <f t="shared" si="35"/>
        <v>GJ</v>
      </c>
      <c r="N1147" s="5">
        <f>IF(G1147=[1]Clientes!$C$3,[1]Clientes!$D$3,[1]Clientes!$D$2)</f>
        <v>13050505</v>
      </c>
    </row>
    <row r="1148" spans="1:14">
      <c r="A1148" s="6" t="s">
        <v>3265</v>
      </c>
      <c r="B1148" s="7">
        <v>45464</v>
      </c>
      <c r="C1148" s="6" t="s">
        <v>4297</v>
      </c>
      <c r="D1148" s="6" t="s">
        <v>4298</v>
      </c>
      <c r="E1148" s="6"/>
      <c r="F1148" s="7"/>
      <c r="G1148" s="6" t="s">
        <v>3102</v>
      </c>
      <c r="H1148" s="8"/>
      <c r="I1148" s="9">
        <v>3.77</v>
      </c>
      <c r="J1148" s="9">
        <v>3.77</v>
      </c>
      <c r="K1148" s="5" t="str">
        <f>VLOOKUP(D1148,[1]Clientes!$A$1:$B$1370,2,0)</f>
        <v>NAC1614</v>
      </c>
      <c r="L1148" s="5" t="str">
        <f t="shared" si="34"/>
        <v>Revisar</v>
      </c>
      <c r="M1148" s="5" t="str">
        <f t="shared" si="35"/>
        <v>GJ</v>
      </c>
      <c r="N1148" s="5">
        <f>IF(G1148=[1]Clientes!$C$3,[1]Clientes!$D$3,[1]Clientes!$D$2)</f>
        <v>13050505</v>
      </c>
    </row>
    <row r="1149" spans="1:14">
      <c r="A1149" s="6" t="s">
        <v>3265</v>
      </c>
      <c r="B1149" s="7">
        <v>45470</v>
      </c>
      <c r="C1149" s="6" t="s">
        <v>4297</v>
      </c>
      <c r="D1149" s="6" t="s">
        <v>4298</v>
      </c>
      <c r="E1149" s="6"/>
      <c r="F1149" s="7"/>
      <c r="G1149" s="6" t="s">
        <v>3102</v>
      </c>
      <c r="H1149" s="8"/>
      <c r="I1149" s="9">
        <v>6.42</v>
      </c>
      <c r="J1149" s="9">
        <v>6.42</v>
      </c>
      <c r="K1149" s="5" t="str">
        <f>VLOOKUP(D1149,[1]Clientes!$A$1:$B$1370,2,0)</f>
        <v>NAC1614</v>
      </c>
      <c r="L1149" s="5" t="str">
        <f t="shared" si="34"/>
        <v>Revisar</v>
      </c>
      <c r="M1149" s="5" t="str">
        <f t="shared" si="35"/>
        <v>GJ</v>
      </c>
      <c r="N1149" s="5">
        <f>IF(G1149=[1]Clientes!$C$3,[1]Clientes!$D$3,[1]Clientes!$D$2)</f>
        <v>13050505</v>
      </c>
    </row>
    <row r="1150" spans="1:14">
      <c r="A1150" s="6" t="s">
        <v>3265</v>
      </c>
      <c r="B1150" s="7">
        <v>45475</v>
      </c>
      <c r="C1150" s="6" t="s">
        <v>4297</v>
      </c>
      <c r="D1150" s="6" t="s">
        <v>4298</v>
      </c>
      <c r="E1150" s="6"/>
      <c r="F1150" s="7"/>
      <c r="G1150" s="6" t="s">
        <v>3102</v>
      </c>
      <c r="H1150" s="8"/>
      <c r="I1150" s="9">
        <v>15.83</v>
      </c>
      <c r="J1150" s="9">
        <v>15.83</v>
      </c>
      <c r="K1150" s="5" t="str">
        <f>VLOOKUP(D1150,[1]Clientes!$A$1:$B$1370,2,0)</f>
        <v>NAC1614</v>
      </c>
      <c r="L1150" s="5" t="str">
        <f t="shared" si="34"/>
        <v>Revisar</v>
      </c>
      <c r="M1150" s="5" t="str">
        <f t="shared" si="35"/>
        <v>GJ</v>
      </c>
      <c r="N1150" s="5">
        <f>IF(G1150=[1]Clientes!$C$3,[1]Clientes!$D$3,[1]Clientes!$D$2)</f>
        <v>13050505</v>
      </c>
    </row>
    <row r="1151" spans="1:14">
      <c r="A1151" s="6" t="s">
        <v>3265</v>
      </c>
      <c r="B1151" s="7">
        <v>45484</v>
      </c>
      <c r="C1151" s="6" t="s">
        <v>4297</v>
      </c>
      <c r="D1151" s="6" t="s">
        <v>4298</v>
      </c>
      <c r="E1151" s="6"/>
      <c r="F1151" s="7"/>
      <c r="G1151" s="6" t="s">
        <v>3102</v>
      </c>
      <c r="H1151" s="8"/>
      <c r="I1151" s="9">
        <v>7.01</v>
      </c>
      <c r="J1151" s="9">
        <v>7.01</v>
      </c>
      <c r="K1151" s="5" t="str">
        <f>VLOOKUP(D1151,[1]Clientes!$A$1:$B$1370,2,0)</f>
        <v>NAC1614</v>
      </c>
      <c r="L1151" s="5" t="str">
        <f t="shared" si="34"/>
        <v>Revisar</v>
      </c>
      <c r="M1151" s="5" t="str">
        <f t="shared" si="35"/>
        <v>GJ</v>
      </c>
      <c r="N1151" s="5">
        <f>IF(G1151=[1]Clientes!$C$3,[1]Clientes!$D$3,[1]Clientes!$D$2)</f>
        <v>13050505</v>
      </c>
    </row>
    <row r="1152" spans="1:14">
      <c r="A1152" s="6" t="s">
        <v>3265</v>
      </c>
      <c r="B1152" s="7">
        <v>45488</v>
      </c>
      <c r="C1152" s="6" t="s">
        <v>4297</v>
      </c>
      <c r="D1152" s="6" t="s">
        <v>4298</v>
      </c>
      <c r="E1152" s="6"/>
      <c r="F1152" s="7"/>
      <c r="G1152" s="6" t="s">
        <v>3102</v>
      </c>
      <c r="H1152" s="8"/>
      <c r="I1152" s="9">
        <v>3.63</v>
      </c>
      <c r="J1152" s="9">
        <v>3.63</v>
      </c>
      <c r="K1152" s="5" t="str">
        <f>VLOOKUP(D1152,[1]Clientes!$A$1:$B$1370,2,0)</f>
        <v>NAC1614</v>
      </c>
      <c r="L1152" s="5" t="str">
        <f t="shared" si="34"/>
        <v>Revisar</v>
      </c>
      <c r="M1152" s="5" t="str">
        <f t="shared" si="35"/>
        <v>GJ</v>
      </c>
      <c r="N1152" s="5">
        <f>IF(G1152=[1]Clientes!$C$3,[1]Clientes!$D$3,[1]Clientes!$D$2)</f>
        <v>13050505</v>
      </c>
    </row>
    <row r="1153" spans="1:14">
      <c r="A1153" s="6" t="s">
        <v>3265</v>
      </c>
      <c r="B1153" s="7">
        <v>45489</v>
      </c>
      <c r="C1153" s="6" t="s">
        <v>4297</v>
      </c>
      <c r="D1153" s="6" t="s">
        <v>4298</v>
      </c>
      <c r="E1153" s="6"/>
      <c r="F1153" s="7"/>
      <c r="G1153" s="6" t="s">
        <v>3102</v>
      </c>
      <c r="H1153" s="8"/>
      <c r="I1153" s="9">
        <v>12.93</v>
      </c>
      <c r="J1153" s="9">
        <v>12.93</v>
      </c>
      <c r="K1153" s="5" t="str">
        <f>VLOOKUP(D1153,[1]Clientes!$A$1:$B$1370,2,0)</f>
        <v>NAC1614</v>
      </c>
      <c r="L1153" s="5" t="str">
        <f t="shared" si="34"/>
        <v>Revisar</v>
      </c>
      <c r="M1153" s="5" t="str">
        <f t="shared" si="35"/>
        <v>GJ</v>
      </c>
      <c r="N1153" s="5">
        <f>IF(G1153=[1]Clientes!$C$3,[1]Clientes!$D$3,[1]Clientes!$D$2)</f>
        <v>13050505</v>
      </c>
    </row>
    <row r="1154" spans="1:14">
      <c r="A1154" s="6" t="s">
        <v>3265</v>
      </c>
      <c r="B1154" s="7">
        <v>45497</v>
      </c>
      <c r="C1154" s="6" t="s">
        <v>4297</v>
      </c>
      <c r="D1154" s="6" t="s">
        <v>4298</v>
      </c>
      <c r="E1154" s="6"/>
      <c r="F1154" s="7"/>
      <c r="G1154" s="6" t="s">
        <v>3102</v>
      </c>
      <c r="H1154" s="8"/>
      <c r="I1154" s="9">
        <v>7.71</v>
      </c>
      <c r="J1154" s="9">
        <v>7.71</v>
      </c>
      <c r="K1154" s="5" t="str">
        <f>VLOOKUP(D1154,[1]Clientes!$A$1:$B$1370,2,0)</f>
        <v>NAC1614</v>
      </c>
      <c r="L1154" s="5" t="str">
        <f t="shared" si="34"/>
        <v>Revisar</v>
      </c>
      <c r="M1154" s="5" t="str">
        <f t="shared" si="35"/>
        <v>GJ</v>
      </c>
      <c r="N1154" s="5">
        <f>IF(G1154=[1]Clientes!$C$3,[1]Clientes!$D$3,[1]Clientes!$D$2)</f>
        <v>13050505</v>
      </c>
    </row>
    <row r="1155" spans="1:14">
      <c r="A1155" s="6" t="s">
        <v>3265</v>
      </c>
      <c r="B1155" s="7">
        <v>45510</v>
      </c>
      <c r="C1155" s="6" t="s">
        <v>4297</v>
      </c>
      <c r="D1155" s="6" t="s">
        <v>4298</v>
      </c>
      <c r="E1155" s="6"/>
      <c r="F1155" s="7"/>
      <c r="G1155" s="6" t="s">
        <v>3102</v>
      </c>
      <c r="H1155" s="8"/>
      <c r="I1155" s="9">
        <v>14.6</v>
      </c>
      <c r="J1155" s="9">
        <v>14.6</v>
      </c>
      <c r="K1155" s="5" t="str">
        <f>VLOOKUP(D1155,[1]Clientes!$A$1:$B$1370,2,0)</f>
        <v>NAC1614</v>
      </c>
      <c r="L1155" s="5" t="str">
        <f t="shared" ref="L1155:L1218" si="36">IF(A1155="Invoice",
    IF(LEFT(C1155,5)="TGDR-", "TGDR"&amp;RIGHT(C1155,LEN(C1155)-5), "HGI"&amp;C1155),
    IF(A1155="Credit Memo",
        IF(LEFT(C1155,5)="TGDR-", "CRM"&amp;RIGHT(C1155,LEN(C1155)-5), "CRM"&amp;C1155),
        "Revisar")
)</f>
        <v>Revisar</v>
      </c>
      <c r="M1155" s="5" t="str">
        <f t="shared" ref="M1155:M1218" si="37">IF(A1155="Invoice","I",IF(A1155="Credit Memo","C",IF(A1155="Payment","P","GJ")))</f>
        <v>GJ</v>
      </c>
      <c r="N1155" s="5">
        <f>IF(G1155=[1]Clientes!$C$3,[1]Clientes!$D$3,[1]Clientes!$D$2)</f>
        <v>13050505</v>
      </c>
    </row>
    <row r="1156" spans="1:14">
      <c r="A1156" s="6" t="s">
        <v>3099</v>
      </c>
      <c r="B1156" s="7">
        <v>45322</v>
      </c>
      <c r="C1156" s="6" t="s">
        <v>4299</v>
      </c>
      <c r="D1156" s="6" t="s">
        <v>4300</v>
      </c>
      <c r="E1156" s="6" t="s">
        <v>16</v>
      </c>
      <c r="F1156" s="7">
        <v>45352</v>
      </c>
      <c r="G1156" s="6" t="s">
        <v>3102</v>
      </c>
      <c r="H1156" s="8">
        <v>183</v>
      </c>
      <c r="I1156" s="9">
        <v>-4056.13</v>
      </c>
      <c r="J1156" s="9">
        <v>-4056.13</v>
      </c>
      <c r="K1156" s="5" t="str">
        <f>VLOOKUP(D1156,[1]Clientes!$A$1:$B$1485,2,0)</f>
        <v>CAN0037</v>
      </c>
      <c r="L1156" s="5" t="str">
        <f t="shared" si="36"/>
        <v>CRM0120594</v>
      </c>
      <c r="M1156" s="5" t="str">
        <f t="shared" si="37"/>
        <v>C</v>
      </c>
      <c r="N1156" s="5">
        <f>IF(G1156=[1]Clientes!$C$3,[1]Clientes!$D$3,[1]Clientes!$D$2)</f>
        <v>13050505</v>
      </c>
    </row>
    <row r="1157" spans="1:14">
      <c r="A1157" s="6" t="s">
        <v>7</v>
      </c>
      <c r="B1157" s="7">
        <v>45449</v>
      </c>
      <c r="C1157" s="6" t="s">
        <v>4301</v>
      </c>
      <c r="D1157" s="6" t="s">
        <v>4300</v>
      </c>
      <c r="E1157" s="6" t="s">
        <v>16</v>
      </c>
      <c r="F1157" s="7">
        <v>45479</v>
      </c>
      <c r="G1157" s="6" t="s">
        <v>3102</v>
      </c>
      <c r="H1157" s="8">
        <v>56</v>
      </c>
      <c r="I1157" s="9">
        <v>76.77</v>
      </c>
      <c r="J1157" s="9">
        <v>18039.32</v>
      </c>
      <c r="K1157" s="5" t="str">
        <f>VLOOKUP(D1157,[1]Clientes!$A$1:$B$1485,2,0)</f>
        <v>CAN0037</v>
      </c>
      <c r="L1157" s="5" t="str">
        <f t="shared" si="36"/>
        <v>HGI0124881</v>
      </c>
      <c r="M1157" s="5" t="str">
        <f t="shared" si="37"/>
        <v>I</v>
      </c>
      <c r="N1157" s="5">
        <f>IF(G1157=[1]Clientes!$C$3,[1]Clientes!$D$3,[1]Clientes!$D$2)</f>
        <v>13050505</v>
      </c>
    </row>
    <row r="1158" spans="1:14">
      <c r="A1158" s="6" t="s">
        <v>7</v>
      </c>
      <c r="B1158" s="7">
        <v>45460</v>
      </c>
      <c r="C1158" s="6" t="s">
        <v>4302</v>
      </c>
      <c r="D1158" s="6" t="s">
        <v>4300</v>
      </c>
      <c r="E1158" s="6" t="s">
        <v>16</v>
      </c>
      <c r="F1158" s="7">
        <v>45490</v>
      </c>
      <c r="G1158" s="6" t="s">
        <v>3102</v>
      </c>
      <c r="H1158" s="8">
        <v>45</v>
      </c>
      <c r="I1158" s="9">
        <v>137.78</v>
      </c>
      <c r="J1158" s="9">
        <v>29989.07</v>
      </c>
      <c r="K1158" s="5" t="str">
        <f>VLOOKUP(D1158,[1]Clientes!$A$1:$B$1485,2,0)</f>
        <v>CAN0037</v>
      </c>
      <c r="L1158" s="5" t="str">
        <f t="shared" si="36"/>
        <v>HGI0125142</v>
      </c>
      <c r="M1158" s="5" t="str">
        <f t="shared" si="37"/>
        <v>I</v>
      </c>
      <c r="N1158" s="5">
        <f>IF(G1158=[1]Clientes!$C$3,[1]Clientes!$D$3,[1]Clientes!$D$2)</f>
        <v>13050505</v>
      </c>
    </row>
    <row r="1159" spans="1:14">
      <c r="A1159" s="6" t="s">
        <v>7</v>
      </c>
      <c r="B1159" s="7">
        <v>45478</v>
      </c>
      <c r="C1159" s="6" t="s">
        <v>4303</v>
      </c>
      <c r="D1159" s="6" t="s">
        <v>4300</v>
      </c>
      <c r="E1159" s="6" t="s">
        <v>16</v>
      </c>
      <c r="F1159" s="7">
        <v>45508</v>
      </c>
      <c r="G1159" s="6" t="s">
        <v>3102</v>
      </c>
      <c r="H1159" s="8">
        <v>27</v>
      </c>
      <c r="I1159" s="9">
        <v>53.76</v>
      </c>
      <c r="J1159" s="9">
        <v>21503.9</v>
      </c>
      <c r="K1159" s="5" t="str">
        <f>VLOOKUP(D1159,[1]Clientes!$A$1:$B$1485,2,0)</f>
        <v>CAN0037</v>
      </c>
      <c r="L1159" s="5" t="str">
        <f t="shared" si="36"/>
        <v>HGI0125519</v>
      </c>
      <c r="M1159" s="5" t="str">
        <f t="shared" si="37"/>
        <v>I</v>
      </c>
      <c r="N1159" s="5">
        <f>IF(G1159=[1]Clientes!$C$3,[1]Clientes!$D$3,[1]Clientes!$D$2)</f>
        <v>13050505</v>
      </c>
    </row>
    <row r="1160" spans="1:14">
      <c r="A1160" s="6" t="s">
        <v>3099</v>
      </c>
      <c r="B1160" s="7">
        <v>45489</v>
      </c>
      <c r="C1160" s="6" t="s">
        <v>4304</v>
      </c>
      <c r="D1160" s="6" t="s">
        <v>4300</v>
      </c>
      <c r="E1160" s="6" t="s">
        <v>16</v>
      </c>
      <c r="F1160" s="7">
        <v>45519</v>
      </c>
      <c r="G1160" s="6" t="s">
        <v>3102</v>
      </c>
      <c r="H1160" s="8">
        <v>16</v>
      </c>
      <c r="I1160" s="9">
        <v>-240.46</v>
      </c>
      <c r="J1160" s="9">
        <v>-240.46</v>
      </c>
      <c r="K1160" s="5" t="str">
        <f>VLOOKUP(D1160,[1]Clientes!$A$1:$B$1485,2,0)</f>
        <v>CAN0037</v>
      </c>
      <c r="L1160" s="5" t="str">
        <f t="shared" si="36"/>
        <v>CRM0125716</v>
      </c>
      <c r="M1160" s="5" t="str">
        <f t="shared" si="37"/>
        <v>C</v>
      </c>
      <c r="N1160" s="5">
        <f>IF(G1160=[1]Clientes!$C$3,[1]Clientes!$D$3,[1]Clientes!$D$2)</f>
        <v>13050505</v>
      </c>
    </row>
    <row r="1161" spans="1:14">
      <c r="A1161" s="6" t="s">
        <v>7</v>
      </c>
      <c r="B1161" s="7">
        <v>45532</v>
      </c>
      <c r="C1161" s="6" t="s">
        <v>4305</v>
      </c>
      <c r="D1161" s="6" t="s">
        <v>4306</v>
      </c>
      <c r="E1161" s="6" t="s">
        <v>16</v>
      </c>
      <c r="F1161" s="7">
        <v>45562</v>
      </c>
      <c r="G1161" s="6" t="s">
        <v>3102</v>
      </c>
      <c r="H1161" s="8"/>
      <c r="I1161" s="9">
        <v>4092</v>
      </c>
      <c r="J1161" s="9">
        <v>4092</v>
      </c>
      <c r="K1161" s="5" t="str">
        <f>VLOOKUP(D1161,[1]Clientes!$A$1:$B$1370,2,0)</f>
        <v>NAC1127</v>
      </c>
      <c r="L1161" s="5" t="str">
        <f t="shared" si="36"/>
        <v>HGI0126970</v>
      </c>
      <c r="M1161" s="5" t="str">
        <f t="shared" si="37"/>
        <v>I</v>
      </c>
      <c r="N1161" s="5">
        <f>IF(G1161=[1]Clientes!$C$3,[1]Clientes!$D$3,[1]Clientes!$D$2)</f>
        <v>13050505</v>
      </c>
    </row>
    <row r="1162" spans="1:14">
      <c r="A1162" s="6" t="s">
        <v>7</v>
      </c>
      <c r="B1162" s="7">
        <v>45492</v>
      </c>
      <c r="C1162" s="6" t="s">
        <v>4307</v>
      </c>
      <c r="D1162" s="6" t="s">
        <v>1387</v>
      </c>
      <c r="E1162" s="6" t="s">
        <v>16</v>
      </c>
      <c r="F1162" s="7">
        <v>45522</v>
      </c>
      <c r="G1162" s="6" t="s">
        <v>3102</v>
      </c>
      <c r="H1162" s="8">
        <v>13</v>
      </c>
      <c r="I1162" s="9">
        <v>5748.4</v>
      </c>
      <c r="J1162" s="9">
        <v>5748.4</v>
      </c>
      <c r="K1162" s="5" t="str">
        <f>VLOOKUP(D1162,[1]Clientes!$A$1:$B$1370,2,0)</f>
        <v>NAC1128</v>
      </c>
      <c r="L1162" s="5" t="str">
        <f t="shared" si="36"/>
        <v>HGI0125855</v>
      </c>
      <c r="M1162" s="5" t="str">
        <f t="shared" si="37"/>
        <v>I</v>
      </c>
      <c r="N1162" s="5">
        <f>IF(G1162=[1]Clientes!$C$3,[1]Clientes!$D$3,[1]Clientes!$D$2)</f>
        <v>13050505</v>
      </c>
    </row>
    <row r="1163" spans="1:14">
      <c r="A1163" s="6" t="s">
        <v>7</v>
      </c>
      <c r="B1163" s="7">
        <v>45517</v>
      </c>
      <c r="C1163" s="6" t="s">
        <v>4308</v>
      </c>
      <c r="D1163" s="6" t="s">
        <v>1387</v>
      </c>
      <c r="E1163" s="6" t="s">
        <v>16</v>
      </c>
      <c r="F1163" s="7">
        <v>45547</v>
      </c>
      <c r="G1163" s="6" t="s">
        <v>3102</v>
      </c>
      <c r="H1163" s="8"/>
      <c r="I1163" s="9">
        <v>8560</v>
      </c>
      <c r="J1163" s="9">
        <v>8560</v>
      </c>
      <c r="K1163" s="5" t="str">
        <f>VLOOKUP(D1163,[1]Clientes!$A$1:$B$1370,2,0)</f>
        <v>NAC1128</v>
      </c>
      <c r="L1163" s="5" t="str">
        <f t="shared" si="36"/>
        <v>HGI0126440</v>
      </c>
      <c r="M1163" s="5" t="str">
        <f t="shared" si="37"/>
        <v>I</v>
      </c>
      <c r="N1163" s="5">
        <f>IF(G1163=[1]Clientes!$C$3,[1]Clientes!$D$3,[1]Clientes!$D$2)</f>
        <v>13050505</v>
      </c>
    </row>
    <row r="1164" spans="1:14">
      <c r="A1164" s="6" t="s">
        <v>7</v>
      </c>
      <c r="B1164" s="7">
        <v>45520</v>
      </c>
      <c r="C1164" s="6" t="s">
        <v>4309</v>
      </c>
      <c r="D1164" s="6" t="s">
        <v>186</v>
      </c>
      <c r="E1164" s="6" t="s">
        <v>16</v>
      </c>
      <c r="F1164" s="7">
        <v>45550</v>
      </c>
      <c r="G1164" s="6" t="s">
        <v>3102</v>
      </c>
      <c r="H1164" s="8"/>
      <c r="I1164" s="9">
        <v>3203.55</v>
      </c>
      <c r="J1164" s="9">
        <v>3203.55</v>
      </c>
      <c r="K1164" s="5" t="str">
        <f>VLOOKUP(D1164,[1]Clientes!$A$1:$B$1370,2,0)</f>
        <v>CAN0039</v>
      </c>
      <c r="L1164" s="5" t="str">
        <f t="shared" si="36"/>
        <v>HGI0126714</v>
      </c>
      <c r="M1164" s="5" t="str">
        <f t="shared" si="37"/>
        <v>I</v>
      </c>
      <c r="N1164" s="5">
        <f>IF(G1164=[1]Clientes!$C$3,[1]Clientes!$D$3,[1]Clientes!$D$2)</f>
        <v>13050505</v>
      </c>
    </row>
    <row r="1165" spans="1:14">
      <c r="A1165" s="6" t="s">
        <v>7</v>
      </c>
      <c r="B1165" s="7">
        <v>45525</v>
      </c>
      <c r="C1165" s="6" t="s">
        <v>4310</v>
      </c>
      <c r="D1165" s="6" t="s">
        <v>186</v>
      </c>
      <c r="E1165" s="6" t="s">
        <v>16</v>
      </c>
      <c r="F1165" s="7">
        <v>45555</v>
      </c>
      <c r="G1165" s="6" t="s">
        <v>3102</v>
      </c>
      <c r="H1165" s="8"/>
      <c r="I1165" s="9">
        <v>9757.5499999999993</v>
      </c>
      <c r="J1165" s="9">
        <v>9757.5499999999993</v>
      </c>
      <c r="K1165" s="5" t="str">
        <f>VLOOKUP(D1165,[1]Clientes!$A$1:$B$1370,2,0)</f>
        <v>CAN0039</v>
      </c>
      <c r="L1165" s="5" t="str">
        <f t="shared" si="36"/>
        <v>HGI0126730</v>
      </c>
      <c r="M1165" s="5" t="str">
        <f t="shared" si="37"/>
        <v>I</v>
      </c>
      <c r="N1165" s="5">
        <f>IF(G1165=[1]Clientes!$C$3,[1]Clientes!$D$3,[1]Clientes!$D$2)</f>
        <v>13050505</v>
      </c>
    </row>
    <row r="1166" spans="1:14">
      <c r="A1166" s="6" t="s">
        <v>7</v>
      </c>
      <c r="B1166" s="7">
        <v>45525</v>
      </c>
      <c r="C1166" s="6" t="s">
        <v>4311</v>
      </c>
      <c r="D1166" s="6" t="s">
        <v>186</v>
      </c>
      <c r="E1166" s="6" t="s">
        <v>16</v>
      </c>
      <c r="F1166" s="7">
        <v>45555</v>
      </c>
      <c r="G1166" s="6" t="s">
        <v>3102</v>
      </c>
      <c r="H1166" s="8"/>
      <c r="I1166" s="9">
        <v>5203.66</v>
      </c>
      <c r="J1166" s="9">
        <v>5203.66</v>
      </c>
      <c r="K1166" s="5" t="str">
        <f>VLOOKUP(D1166,[1]Clientes!$A$1:$B$1370,2,0)</f>
        <v>CAN0039</v>
      </c>
      <c r="L1166" s="5" t="str">
        <f t="shared" si="36"/>
        <v>HGI0126731</v>
      </c>
      <c r="M1166" s="5" t="str">
        <f t="shared" si="37"/>
        <v>I</v>
      </c>
      <c r="N1166" s="5">
        <f>IF(G1166=[1]Clientes!$C$3,[1]Clientes!$D$3,[1]Clientes!$D$2)</f>
        <v>13050505</v>
      </c>
    </row>
    <row r="1167" spans="1:14">
      <c r="A1167" s="6" t="s">
        <v>7</v>
      </c>
      <c r="B1167" s="7">
        <v>45527</v>
      </c>
      <c r="C1167" s="6" t="s">
        <v>4312</v>
      </c>
      <c r="D1167" s="6" t="s">
        <v>186</v>
      </c>
      <c r="E1167" s="6" t="s">
        <v>16</v>
      </c>
      <c r="F1167" s="7">
        <v>45557</v>
      </c>
      <c r="G1167" s="6" t="s">
        <v>3102</v>
      </c>
      <c r="H1167" s="8"/>
      <c r="I1167" s="9">
        <v>339</v>
      </c>
      <c r="J1167" s="9">
        <v>339</v>
      </c>
      <c r="K1167" s="5" t="str">
        <f>VLOOKUP(D1167,[1]Clientes!$A$1:$B$1370,2,0)</f>
        <v>CAN0039</v>
      </c>
      <c r="L1167" s="5" t="str">
        <f t="shared" si="36"/>
        <v>HGI0126811</v>
      </c>
      <c r="M1167" s="5" t="str">
        <f t="shared" si="37"/>
        <v>I</v>
      </c>
      <c r="N1167" s="5">
        <f>IF(G1167=[1]Clientes!$C$3,[1]Clientes!$D$3,[1]Clientes!$D$2)</f>
        <v>13050505</v>
      </c>
    </row>
    <row r="1168" spans="1:14">
      <c r="A1168" s="6" t="s">
        <v>7</v>
      </c>
      <c r="B1168" s="7">
        <v>45532</v>
      </c>
      <c r="C1168" s="6" t="s">
        <v>4313</v>
      </c>
      <c r="D1168" s="6" t="s">
        <v>186</v>
      </c>
      <c r="E1168" s="6" t="s">
        <v>16</v>
      </c>
      <c r="F1168" s="7">
        <v>45562</v>
      </c>
      <c r="G1168" s="6" t="s">
        <v>3102</v>
      </c>
      <c r="H1168" s="8"/>
      <c r="I1168" s="9">
        <v>11484.46</v>
      </c>
      <c r="J1168" s="9">
        <v>11484.46</v>
      </c>
      <c r="K1168" s="5" t="str">
        <f>VLOOKUP(D1168,[1]Clientes!$A$1:$B$1370,2,0)</f>
        <v>CAN0039</v>
      </c>
      <c r="L1168" s="5" t="str">
        <f t="shared" si="36"/>
        <v>HGI0126974</v>
      </c>
      <c r="M1168" s="5" t="str">
        <f t="shared" si="37"/>
        <v>I</v>
      </c>
      <c r="N1168" s="5">
        <f>IF(G1168=[1]Clientes!$C$3,[1]Clientes!$D$3,[1]Clientes!$D$2)</f>
        <v>13050505</v>
      </c>
    </row>
    <row r="1169" spans="1:14">
      <c r="A1169" s="6" t="s">
        <v>7</v>
      </c>
      <c r="B1169" s="7">
        <v>45532</v>
      </c>
      <c r="C1169" s="6" t="s">
        <v>4314</v>
      </c>
      <c r="D1169" s="6" t="s">
        <v>4315</v>
      </c>
      <c r="E1169" s="6" t="s">
        <v>16</v>
      </c>
      <c r="F1169" s="7">
        <v>45562</v>
      </c>
      <c r="G1169" s="6" t="s">
        <v>3102</v>
      </c>
      <c r="H1169" s="8"/>
      <c r="I1169" s="9">
        <v>3962.07</v>
      </c>
      <c r="J1169" s="9">
        <v>3962.07</v>
      </c>
      <c r="K1169" s="5" t="str">
        <f>VLOOKUP(D1169,[1]Clientes!$A$1:$B$1370,2,0)</f>
        <v>NAC1133</v>
      </c>
      <c r="L1169" s="5" t="str">
        <f t="shared" si="36"/>
        <v>HGI0127021</v>
      </c>
      <c r="M1169" s="5" t="str">
        <f t="shared" si="37"/>
        <v>I</v>
      </c>
      <c r="N1169" s="5">
        <f>IF(G1169=[1]Clientes!$C$3,[1]Clientes!$D$3,[1]Clientes!$D$2)</f>
        <v>13050505</v>
      </c>
    </row>
    <row r="1170" spans="1:14">
      <c r="A1170" s="6" t="s">
        <v>7</v>
      </c>
      <c r="B1170" s="7">
        <v>45351</v>
      </c>
      <c r="C1170" s="6" t="s">
        <v>4316</v>
      </c>
      <c r="D1170" s="6" t="s">
        <v>4317</v>
      </c>
      <c r="E1170" s="6" t="s">
        <v>16</v>
      </c>
      <c r="F1170" s="7">
        <v>45381</v>
      </c>
      <c r="G1170" s="6" t="s">
        <v>3102</v>
      </c>
      <c r="H1170" s="8">
        <v>154</v>
      </c>
      <c r="I1170" s="9">
        <v>18828.22</v>
      </c>
      <c r="J1170" s="9">
        <v>18828.22</v>
      </c>
      <c r="K1170" s="5" t="str">
        <f>VLOOKUP(D1170,[1]Clientes!$A$1:$B$1485,2,0)</f>
        <v>NAC1138</v>
      </c>
      <c r="L1170" s="5" t="str">
        <f t="shared" si="36"/>
        <v>HGI0121357</v>
      </c>
      <c r="M1170" s="5" t="str">
        <f t="shared" si="37"/>
        <v>I</v>
      </c>
      <c r="N1170" s="5">
        <f>IF(G1170=[1]Clientes!$C$3,[1]Clientes!$D$3,[1]Clientes!$D$2)</f>
        <v>13050505</v>
      </c>
    </row>
    <row r="1171" spans="1:14">
      <c r="A1171" s="6" t="s">
        <v>3099</v>
      </c>
      <c r="B1171" s="7">
        <v>45388</v>
      </c>
      <c r="C1171" s="6" t="s">
        <v>4318</v>
      </c>
      <c r="D1171" s="6" t="s">
        <v>4317</v>
      </c>
      <c r="E1171" s="6" t="s">
        <v>16</v>
      </c>
      <c r="F1171" s="7">
        <v>45418</v>
      </c>
      <c r="G1171" s="6" t="s">
        <v>3102</v>
      </c>
      <c r="H1171" s="8">
        <v>117</v>
      </c>
      <c r="I1171" s="9">
        <v>-2074</v>
      </c>
      <c r="J1171" s="9">
        <v>-2074</v>
      </c>
      <c r="K1171" s="5" t="str">
        <f>VLOOKUP(D1171,[1]Clientes!$A$1:$B$1485,2,0)</f>
        <v>NAC1138</v>
      </c>
      <c r="L1171" s="5" t="str">
        <f t="shared" si="36"/>
        <v>CRM0122657</v>
      </c>
      <c r="M1171" s="5" t="str">
        <f t="shared" si="37"/>
        <v>C</v>
      </c>
      <c r="N1171" s="5">
        <f>IF(G1171=[1]Clientes!$C$3,[1]Clientes!$D$3,[1]Clientes!$D$2)</f>
        <v>13050505</v>
      </c>
    </row>
    <row r="1172" spans="1:14">
      <c r="A1172" s="6" t="s">
        <v>3099</v>
      </c>
      <c r="B1172" s="7">
        <v>45412</v>
      </c>
      <c r="C1172" s="6" t="s">
        <v>4319</v>
      </c>
      <c r="D1172" s="6" t="s">
        <v>4317</v>
      </c>
      <c r="E1172" s="6" t="s">
        <v>16</v>
      </c>
      <c r="F1172" s="7">
        <v>45442</v>
      </c>
      <c r="G1172" s="6" t="s">
        <v>3102</v>
      </c>
      <c r="H1172" s="8">
        <v>93</v>
      </c>
      <c r="I1172" s="9">
        <v>-402.34</v>
      </c>
      <c r="J1172" s="9">
        <v>-402.34</v>
      </c>
      <c r="K1172" s="5" t="str">
        <f>VLOOKUP(D1172,[1]Clientes!$A$1:$B$1485,2,0)</f>
        <v>NAC1138</v>
      </c>
      <c r="L1172" s="5" t="str">
        <f t="shared" si="36"/>
        <v>CRM0123944</v>
      </c>
      <c r="M1172" s="5" t="str">
        <f t="shared" si="37"/>
        <v>C</v>
      </c>
      <c r="N1172" s="5">
        <f>IF(G1172=[1]Clientes!$C$3,[1]Clientes!$D$3,[1]Clientes!$D$2)</f>
        <v>13050505</v>
      </c>
    </row>
    <row r="1173" spans="1:14">
      <c r="A1173" s="6" t="s">
        <v>3099</v>
      </c>
      <c r="B1173" s="7">
        <v>45412</v>
      </c>
      <c r="C1173" s="6" t="s">
        <v>4320</v>
      </c>
      <c r="D1173" s="6" t="s">
        <v>4317</v>
      </c>
      <c r="E1173" s="6" t="s">
        <v>16</v>
      </c>
      <c r="F1173" s="7">
        <v>45442</v>
      </c>
      <c r="G1173" s="6" t="s">
        <v>3102</v>
      </c>
      <c r="H1173" s="8">
        <v>93</v>
      </c>
      <c r="I1173" s="9">
        <v>-480.28</v>
      </c>
      <c r="J1173" s="9">
        <v>-480.28</v>
      </c>
      <c r="K1173" s="5" t="str">
        <f>VLOOKUP(D1173,[1]Clientes!$A$1:$B$1485,2,0)</f>
        <v>NAC1138</v>
      </c>
      <c r="L1173" s="5" t="str">
        <f t="shared" si="36"/>
        <v>CRM0123950</v>
      </c>
      <c r="M1173" s="5" t="str">
        <f t="shared" si="37"/>
        <v>C</v>
      </c>
      <c r="N1173" s="5">
        <f>IF(G1173=[1]Clientes!$C$3,[1]Clientes!$D$3,[1]Clientes!$D$2)</f>
        <v>13050505</v>
      </c>
    </row>
    <row r="1174" spans="1:14">
      <c r="A1174" s="6" t="s">
        <v>3099</v>
      </c>
      <c r="B1174" s="7">
        <v>45412</v>
      </c>
      <c r="C1174" s="6" t="s">
        <v>4321</v>
      </c>
      <c r="D1174" s="6" t="s">
        <v>4317</v>
      </c>
      <c r="E1174" s="6" t="s">
        <v>16</v>
      </c>
      <c r="F1174" s="7">
        <v>45442</v>
      </c>
      <c r="G1174" s="6" t="s">
        <v>3102</v>
      </c>
      <c r="H1174" s="8">
        <v>93</v>
      </c>
      <c r="I1174" s="9">
        <v>-60.01</v>
      </c>
      <c r="J1174" s="9">
        <v>-60.01</v>
      </c>
      <c r="K1174" s="5" t="str">
        <f>VLOOKUP(D1174,[1]Clientes!$A$1:$B$1485,2,0)</f>
        <v>NAC1138</v>
      </c>
      <c r="L1174" s="5" t="str">
        <f t="shared" si="36"/>
        <v>CRM0123951</v>
      </c>
      <c r="M1174" s="5" t="str">
        <f t="shared" si="37"/>
        <v>C</v>
      </c>
      <c r="N1174" s="5">
        <f>IF(G1174=[1]Clientes!$C$3,[1]Clientes!$D$3,[1]Clientes!$D$2)</f>
        <v>13050505</v>
      </c>
    </row>
    <row r="1175" spans="1:14">
      <c r="A1175" s="6" t="s">
        <v>3099</v>
      </c>
      <c r="B1175" s="7">
        <v>45412</v>
      </c>
      <c r="C1175" s="6" t="s">
        <v>4322</v>
      </c>
      <c r="D1175" s="6" t="s">
        <v>4317</v>
      </c>
      <c r="E1175" s="6" t="s">
        <v>16</v>
      </c>
      <c r="F1175" s="7">
        <v>45442</v>
      </c>
      <c r="G1175" s="6" t="s">
        <v>3102</v>
      </c>
      <c r="H1175" s="8">
        <v>93</v>
      </c>
      <c r="I1175" s="9">
        <v>-157.09</v>
      </c>
      <c r="J1175" s="9">
        <v>-157.09</v>
      </c>
      <c r="K1175" s="5" t="str">
        <f>VLOOKUP(D1175,[1]Clientes!$A$1:$B$1485,2,0)</f>
        <v>NAC1138</v>
      </c>
      <c r="L1175" s="5" t="str">
        <f t="shared" si="36"/>
        <v>CRM0123952</v>
      </c>
      <c r="M1175" s="5" t="str">
        <f t="shared" si="37"/>
        <v>C</v>
      </c>
      <c r="N1175" s="5">
        <f>IF(G1175=[1]Clientes!$C$3,[1]Clientes!$D$3,[1]Clientes!$D$2)</f>
        <v>13050505</v>
      </c>
    </row>
    <row r="1176" spans="1:14">
      <c r="A1176" s="6" t="s">
        <v>3099</v>
      </c>
      <c r="B1176" s="7">
        <v>45443</v>
      </c>
      <c r="C1176" s="6" t="s">
        <v>4323</v>
      </c>
      <c r="D1176" s="6" t="s">
        <v>4317</v>
      </c>
      <c r="E1176" s="6" t="s">
        <v>16</v>
      </c>
      <c r="F1176" s="7">
        <v>45473</v>
      </c>
      <c r="G1176" s="6" t="s">
        <v>3102</v>
      </c>
      <c r="H1176" s="8">
        <v>62</v>
      </c>
      <c r="I1176" s="9">
        <v>-55.74</v>
      </c>
      <c r="J1176" s="9">
        <v>-55.74</v>
      </c>
      <c r="K1176" s="5" t="str">
        <f>VLOOKUP(D1176,[1]Clientes!$A$1:$B$1485,2,0)</f>
        <v>NAC1138</v>
      </c>
      <c r="L1176" s="5" t="str">
        <f t="shared" si="36"/>
        <v>CRM0124908</v>
      </c>
      <c r="M1176" s="5" t="str">
        <f t="shared" si="37"/>
        <v>C</v>
      </c>
      <c r="N1176" s="5">
        <f>IF(G1176=[1]Clientes!$C$3,[1]Clientes!$D$3,[1]Clientes!$D$2)</f>
        <v>13050505</v>
      </c>
    </row>
    <row r="1177" spans="1:14">
      <c r="A1177" s="6" t="s">
        <v>3099</v>
      </c>
      <c r="B1177" s="7">
        <v>45443</v>
      </c>
      <c r="C1177" s="6" t="s">
        <v>4324</v>
      </c>
      <c r="D1177" s="6" t="s">
        <v>4317</v>
      </c>
      <c r="E1177" s="6" t="s">
        <v>16</v>
      </c>
      <c r="F1177" s="7">
        <v>45473</v>
      </c>
      <c r="G1177" s="6" t="s">
        <v>3102</v>
      </c>
      <c r="H1177" s="8">
        <v>62</v>
      </c>
      <c r="I1177" s="9">
        <v>-212.06</v>
      </c>
      <c r="J1177" s="9">
        <v>-212.06</v>
      </c>
      <c r="K1177" s="5" t="str">
        <f>VLOOKUP(D1177,[1]Clientes!$A$1:$B$1485,2,0)</f>
        <v>NAC1138</v>
      </c>
      <c r="L1177" s="5" t="str">
        <f t="shared" si="36"/>
        <v>CRM0124910</v>
      </c>
      <c r="M1177" s="5" t="str">
        <f t="shared" si="37"/>
        <v>C</v>
      </c>
      <c r="N1177" s="5">
        <f>IF(G1177=[1]Clientes!$C$3,[1]Clientes!$D$3,[1]Clientes!$D$2)</f>
        <v>13050505</v>
      </c>
    </row>
    <row r="1178" spans="1:14">
      <c r="A1178" s="6" t="s">
        <v>7</v>
      </c>
      <c r="B1178" s="7">
        <v>45498</v>
      </c>
      <c r="C1178" s="6" t="s">
        <v>4325</v>
      </c>
      <c r="D1178" s="6" t="s">
        <v>4317</v>
      </c>
      <c r="E1178" s="6" t="s">
        <v>16</v>
      </c>
      <c r="F1178" s="7">
        <v>45528</v>
      </c>
      <c r="G1178" s="6" t="s">
        <v>3102</v>
      </c>
      <c r="H1178" s="8">
        <v>7</v>
      </c>
      <c r="I1178" s="9">
        <v>184.8</v>
      </c>
      <c r="J1178" s="9">
        <v>184.8</v>
      </c>
      <c r="K1178" s="5" t="str">
        <f>VLOOKUP(D1178,[1]Clientes!$A$1:$B$1485,2,0)</f>
        <v>NAC1138</v>
      </c>
      <c r="L1178" s="5" t="str">
        <f t="shared" si="36"/>
        <v>HGI0125966</v>
      </c>
      <c r="M1178" s="5" t="str">
        <f t="shared" si="37"/>
        <v>I</v>
      </c>
      <c r="N1178" s="5">
        <f>IF(G1178=[1]Clientes!$C$3,[1]Clientes!$D$3,[1]Clientes!$D$2)</f>
        <v>13050505</v>
      </c>
    </row>
    <row r="1179" spans="1:14">
      <c r="A1179" s="6" t="s">
        <v>7</v>
      </c>
      <c r="B1179" s="7">
        <v>45502</v>
      </c>
      <c r="C1179" s="6" t="s">
        <v>4326</v>
      </c>
      <c r="D1179" s="6" t="s">
        <v>4317</v>
      </c>
      <c r="E1179" s="6" t="s">
        <v>16</v>
      </c>
      <c r="F1179" s="7">
        <v>45532</v>
      </c>
      <c r="G1179" s="6" t="s">
        <v>3102</v>
      </c>
      <c r="H1179" s="8">
        <v>3</v>
      </c>
      <c r="I1179" s="9">
        <v>10175.82</v>
      </c>
      <c r="J1179" s="9">
        <v>10175.82</v>
      </c>
      <c r="K1179" s="5" t="str">
        <f>VLOOKUP(D1179,[1]Clientes!$A$1:$B$1485,2,0)</f>
        <v>NAC1138</v>
      </c>
      <c r="L1179" s="5" t="str">
        <f t="shared" si="36"/>
        <v>HGI0126029</v>
      </c>
      <c r="M1179" s="5" t="str">
        <f t="shared" si="37"/>
        <v>I</v>
      </c>
      <c r="N1179" s="5">
        <f>IF(G1179=[1]Clientes!$C$3,[1]Clientes!$D$3,[1]Clientes!$D$2)</f>
        <v>13050505</v>
      </c>
    </row>
    <row r="1180" spans="1:14">
      <c r="A1180" s="6" t="s">
        <v>7</v>
      </c>
      <c r="B1180" s="7">
        <v>45502</v>
      </c>
      <c r="C1180" s="6" t="s">
        <v>4327</v>
      </c>
      <c r="D1180" s="6" t="s">
        <v>4317</v>
      </c>
      <c r="E1180" s="6" t="s">
        <v>16</v>
      </c>
      <c r="F1180" s="7">
        <v>45532</v>
      </c>
      <c r="G1180" s="6" t="s">
        <v>3102</v>
      </c>
      <c r="H1180" s="8">
        <v>3</v>
      </c>
      <c r="I1180" s="9">
        <v>11391.52</v>
      </c>
      <c r="J1180" s="9">
        <v>11391.52</v>
      </c>
      <c r="K1180" s="5" t="str">
        <f>VLOOKUP(D1180,[1]Clientes!$A$1:$B$1485,2,0)</f>
        <v>NAC1138</v>
      </c>
      <c r="L1180" s="5" t="str">
        <f t="shared" si="36"/>
        <v>HGI0126030</v>
      </c>
      <c r="M1180" s="5" t="str">
        <f t="shared" si="37"/>
        <v>I</v>
      </c>
      <c r="N1180" s="5">
        <f>IF(G1180=[1]Clientes!$C$3,[1]Clientes!$D$3,[1]Clientes!$D$2)</f>
        <v>13050505</v>
      </c>
    </row>
    <row r="1181" spans="1:14">
      <c r="A1181" s="6" t="s">
        <v>7</v>
      </c>
      <c r="B1181" s="7">
        <v>45504</v>
      </c>
      <c r="C1181" s="6" t="s">
        <v>4328</v>
      </c>
      <c r="D1181" s="6" t="s">
        <v>4317</v>
      </c>
      <c r="E1181" s="6" t="s">
        <v>16</v>
      </c>
      <c r="F1181" s="7">
        <v>45534</v>
      </c>
      <c r="G1181" s="6" t="s">
        <v>3102</v>
      </c>
      <c r="H1181" s="8">
        <v>1</v>
      </c>
      <c r="I1181" s="9">
        <v>1197</v>
      </c>
      <c r="J1181" s="9">
        <v>1197</v>
      </c>
      <c r="K1181" s="5" t="str">
        <f>VLOOKUP(D1181,[1]Clientes!$A$1:$B$1485,2,0)</f>
        <v>NAC1138</v>
      </c>
      <c r="L1181" s="5" t="str">
        <f t="shared" si="36"/>
        <v>HGI0126087</v>
      </c>
      <c r="M1181" s="5" t="str">
        <f t="shared" si="37"/>
        <v>I</v>
      </c>
      <c r="N1181" s="5">
        <f>IF(G1181=[1]Clientes!$C$3,[1]Clientes!$D$3,[1]Clientes!$D$2)</f>
        <v>13050505</v>
      </c>
    </row>
    <row r="1182" spans="1:14">
      <c r="A1182" s="6" t="s">
        <v>7</v>
      </c>
      <c r="B1182" s="7">
        <v>45504</v>
      </c>
      <c r="C1182" s="6" t="s">
        <v>4329</v>
      </c>
      <c r="D1182" s="6" t="s">
        <v>4317</v>
      </c>
      <c r="E1182" s="6" t="s">
        <v>16</v>
      </c>
      <c r="F1182" s="7">
        <v>45534</v>
      </c>
      <c r="G1182" s="6" t="s">
        <v>3102</v>
      </c>
      <c r="H1182" s="8">
        <v>1</v>
      </c>
      <c r="I1182" s="9">
        <v>329.55</v>
      </c>
      <c r="J1182" s="9">
        <v>329.55</v>
      </c>
      <c r="K1182" s="5" t="str">
        <f>VLOOKUP(D1182,[1]Clientes!$A$1:$B$1485,2,0)</f>
        <v>NAC1138</v>
      </c>
      <c r="L1182" s="5" t="str">
        <f t="shared" si="36"/>
        <v>HGI0126088</v>
      </c>
      <c r="M1182" s="5" t="str">
        <f t="shared" si="37"/>
        <v>I</v>
      </c>
      <c r="N1182" s="5">
        <f>IF(G1182=[1]Clientes!$C$3,[1]Clientes!$D$3,[1]Clientes!$D$2)</f>
        <v>13050505</v>
      </c>
    </row>
    <row r="1183" spans="1:14">
      <c r="A1183" s="6" t="s">
        <v>7</v>
      </c>
      <c r="B1183" s="7">
        <v>45504</v>
      </c>
      <c r="C1183" s="6" t="s">
        <v>4330</v>
      </c>
      <c r="D1183" s="6" t="s">
        <v>4317</v>
      </c>
      <c r="E1183" s="6" t="s">
        <v>16</v>
      </c>
      <c r="F1183" s="7">
        <v>45534</v>
      </c>
      <c r="G1183" s="6" t="s">
        <v>3102</v>
      </c>
      <c r="H1183" s="8">
        <v>1</v>
      </c>
      <c r="I1183" s="9">
        <v>2154</v>
      </c>
      <c r="J1183" s="9">
        <v>2154</v>
      </c>
      <c r="K1183" s="5" t="str">
        <f>VLOOKUP(D1183,[1]Clientes!$A$1:$B$1485,2,0)</f>
        <v>NAC1138</v>
      </c>
      <c r="L1183" s="5" t="str">
        <f t="shared" si="36"/>
        <v>HGI0126089</v>
      </c>
      <c r="M1183" s="5" t="str">
        <f t="shared" si="37"/>
        <v>I</v>
      </c>
      <c r="N1183" s="5">
        <f>IF(G1183=[1]Clientes!$C$3,[1]Clientes!$D$3,[1]Clientes!$D$2)</f>
        <v>13050505</v>
      </c>
    </row>
    <row r="1184" spans="1:14">
      <c r="A1184" s="6" t="s">
        <v>7</v>
      </c>
      <c r="B1184" s="7">
        <v>45504</v>
      </c>
      <c r="C1184" s="6" t="s">
        <v>4331</v>
      </c>
      <c r="D1184" s="6" t="s">
        <v>4317</v>
      </c>
      <c r="E1184" s="6" t="s">
        <v>16</v>
      </c>
      <c r="F1184" s="7">
        <v>45534</v>
      </c>
      <c r="G1184" s="6" t="s">
        <v>3102</v>
      </c>
      <c r="H1184" s="8">
        <v>1</v>
      </c>
      <c r="I1184" s="9">
        <v>1487.5</v>
      </c>
      <c r="J1184" s="9">
        <v>1487.5</v>
      </c>
      <c r="K1184" s="5" t="str">
        <f>VLOOKUP(D1184,[1]Clientes!$A$1:$B$1485,2,0)</f>
        <v>NAC1138</v>
      </c>
      <c r="L1184" s="5" t="str">
        <f t="shared" si="36"/>
        <v>HGI0126090</v>
      </c>
      <c r="M1184" s="5" t="str">
        <f t="shared" si="37"/>
        <v>I</v>
      </c>
      <c r="N1184" s="5">
        <f>IF(G1184=[1]Clientes!$C$3,[1]Clientes!$D$3,[1]Clientes!$D$2)</f>
        <v>13050505</v>
      </c>
    </row>
    <row r="1185" spans="1:14">
      <c r="A1185" s="6" t="s">
        <v>7</v>
      </c>
      <c r="B1185" s="7">
        <v>45506</v>
      </c>
      <c r="C1185" s="6" t="s">
        <v>4332</v>
      </c>
      <c r="D1185" s="6" t="s">
        <v>4317</v>
      </c>
      <c r="E1185" s="6" t="s">
        <v>16</v>
      </c>
      <c r="F1185" s="7">
        <v>45536</v>
      </c>
      <c r="G1185" s="6" t="s">
        <v>3102</v>
      </c>
      <c r="H1185" s="8"/>
      <c r="I1185" s="9">
        <v>6493</v>
      </c>
      <c r="J1185" s="9">
        <v>6493</v>
      </c>
      <c r="K1185" s="5" t="str">
        <f>VLOOKUP(D1185,[1]Clientes!$A$1:$B$1485,2,0)</f>
        <v>NAC1138</v>
      </c>
      <c r="L1185" s="5" t="str">
        <f t="shared" si="36"/>
        <v>HGI0126183</v>
      </c>
      <c r="M1185" s="5" t="str">
        <f t="shared" si="37"/>
        <v>I</v>
      </c>
      <c r="N1185" s="5">
        <f>IF(G1185=[1]Clientes!$C$3,[1]Clientes!$D$3,[1]Clientes!$D$2)</f>
        <v>13050505</v>
      </c>
    </row>
    <row r="1186" spans="1:14">
      <c r="A1186" s="6" t="s">
        <v>7</v>
      </c>
      <c r="B1186" s="7">
        <v>45520</v>
      </c>
      <c r="C1186" s="6" t="s">
        <v>4333</v>
      </c>
      <c r="D1186" s="6" t="s">
        <v>4317</v>
      </c>
      <c r="E1186" s="6" t="s">
        <v>16</v>
      </c>
      <c r="F1186" s="7">
        <v>45550</v>
      </c>
      <c r="G1186" s="6" t="s">
        <v>3102</v>
      </c>
      <c r="H1186" s="8"/>
      <c r="I1186" s="9">
        <v>1424.5</v>
      </c>
      <c r="J1186" s="9">
        <v>1424.5</v>
      </c>
      <c r="K1186" s="5" t="str">
        <f>VLOOKUP(D1186,[1]Clientes!$A$1:$B$1485,2,0)</f>
        <v>NAC1138</v>
      </c>
      <c r="L1186" s="5" t="str">
        <f t="shared" si="36"/>
        <v>HGI0126715</v>
      </c>
      <c r="M1186" s="5" t="str">
        <f t="shared" si="37"/>
        <v>I</v>
      </c>
      <c r="N1186" s="5">
        <f>IF(G1186=[1]Clientes!$C$3,[1]Clientes!$D$3,[1]Clientes!$D$2)</f>
        <v>13050505</v>
      </c>
    </row>
    <row r="1187" spans="1:14">
      <c r="A1187" s="6" t="s">
        <v>7</v>
      </c>
      <c r="B1187" s="7">
        <v>45523</v>
      </c>
      <c r="C1187" s="6" t="s">
        <v>4334</v>
      </c>
      <c r="D1187" s="6" t="s">
        <v>4317</v>
      </c>
      <c r="E1187" s="6" t="s">
        <v>16</v>
      </c>
      <c r="F1187" s="7">
        <v>45553</v>
      </c>
      <c r="G1187" s="6" t="s">
        <v>3102</v>
      </c>
      <c r="H1187" s="8"/>
      <c r="I1187" s="9">
        <v>3144</v>
      </c>
      <c r="J1187" s="9">
        <v>3144</v>
      </c>
      <c r="K1187" s="5" t="str">
        <f>VLOOKUP(D1187,[1]Clientes!$A$1:$B$1485,2,0)</f>
        <v>NAC1138</v>
      </c>
      <c r="L1187" s="5" t="str">
        <f t="shared" si="36"/>
        <v>HGI0126624</v>
      </c>
      <c r="M1187" s="5" t="str">
        <f t="shared" si="37"/>
        <v>I</v>
      </c>
      <c r="N1187" s="5">
        <f>IF(G1187=[1]Clientes!$C$3,[1]Clientes!$D$3,[1]Clientes!$D$2)</f>
        <v>13050505</v>
      </c>
    </row>
    <row r="1188" spans="1:14">
      <c r="A1188" s="6" t="s">
        <v>7</v>
      </c>
      <c r="B1188" s="7">
        <v>45523</v>
      </c>
      <c r="C1188" s="6" t="s">
        <v>4335</v>
      </c>
      <c r="D1188" s="6" t="s">
        <v>4317</v>
      </c>
      <c r="E1188" s="6" t="s">
        <v>16</v>
      </c>
      <c r="F1188" s="7">
        <v>45553</v>
      </c>
      <c r="G1188" s="6" t="s">
        <v>3102</v>
      </c>
      <c r="H1188" s="8"/>
      <c r="I1188" s="9">
        <v>1428</v>
      </c>
      <c r="J1188" s="9">
        <v>1428</v>
      </c>
      <c r="K1188" s="5" t="str">
        <f>VLOOKUP(D1188,[1]Clientes!$A$1:$B$1485,2,0)</f>
        <v>NAC1138</v>
      </c>
      <c r="L1188" s="5" t="str">
        <f t="shared" si="36"/>
        <v>HGI0126625</v>
      </c>
      <c r="M1188" s="5" t="str">
        <f t="shared" si="37"/>
        <v>I</v>
      </c>
      <c r="N1188" s="5">
        <f>IF(G1188=[1]Clientes!$C$3,[1]Clientes!$D$3,[1]Clientes!$D$2)</f>
        <v>13050505</v>
      </c>
    </row>
    <row r="1189" spans="1:14">
      <c r="A1189" s="6" t="s">
        <v>3139</v>
      </c>
      <c r="B1189" s="7">
        <v>44788</v>
      </c>
      <c r="C1189" s="6" t="s">
        <v>4336</v>
      </c>
      <c r="D1189" s="6" t="s">
        <v>4337</v>
      </c>
      <c r="E1189" s="6"/>
      <c r="F1189" s="7"/>
      <c r="G1189" s="6" t="s">
        <v>3102</v>
      </c>
      <c r="H1189" s="8"/>
      <c r="I1189" s="9">
        <v>-184</v>
      </c>
      <c r="J1189" s="9">
        <v>-2284.4</v>
      </c>
      <c r="K1189" s="5" t="str">
        <f>VLOOKUP(D1189,[1]Clientes!$A$1:$B$1485,2,0)</f>
        <v>NAC1140</v>
      </c>
      <c r="L1189" s="5" t="str">
        <f t="shared" si="36"/>
        <v>Revisar</v>
      </c>
      <c r="M1189" s="5" t="str">
        <f t="shared" si="37"/>
        <v>P</v>
      </c>
      <c r="N1189" s="5">
        <f>IF(G1189=[1]Clientes!$C$3,[1]Clientes!$D$3,[1]Clientes!$D$2)</f>
        <v>13050505</v>
      </c>
    </row>
    <row r="1190" spans="1:14">
      <c r="A1190" s="6" t="s">
        <v>3099</v>
      </c>
      <c r="B1190" s="7">
        <v>45380</v>
      </c>
      <c r="C1190" s="6" t="s">
        <v>4338</v>
      </c>
      <c r="D1190" s="6" t="s">
        <v>4337</v>
      </c>
      <c r="E1190" s="6" t="s">
        <v>16</v>
      </c>
      <c r="F1190" s="7">
        <v>45410</v>
      </c>
      <c r="G1190" s="6" t="s">
        <v>3102</v>
      </c>
      <c r="H1190" s="8">
        <v>125</v>
      </c>
      <c r="I1190" s="9">
        <v>-270.5</v>
      </c>
      <c r="J1190" s="9">
        <v>-270.5</v>
      </c>
      <c r="K1190" s="5" t="str">
        <f>VLOOKUP(D1190,[1]Clientes!$A$1:$B$1485,2,0)</f>
        <v>NAC1140</v>
      </c>
      <c r="L1190" s="5" t="str">
        <f t="shared" si="36"/>
        <v>CRM0122428</v>
      </c>
      <c r="M1190" s="5" t="str">
        <f t="shared" si="37"/>
        <v>C</v>
      </c>
      <c r="N1190" s="5">
        <f>IF(G1190=[1]Clientes!$C$3,[1]Clientes!$D$3,[1]Clientes!$D$2)</f>
        <v>13050505</v>
      </c>
    </row>
    <row r="1191" spans="1:14">
      <c r="A1191" s="6" t="s">
        <v>3099</v>
      </c>
      <c r="B1191" s="7">
        <v>45428</v>
      </c>
      <c r="C1191" s="6" t="s">
        <v>4339</v>
      </c>
      <c r="D1191" s="6" t="s">
        <v>4337</v>
      </c>
      <c r="E1191" s="6" t="s">
        <v>16</v>
      </c>
      <c r="F1191" s="7">
        <v>45458</v>
      </c>
      <c r="G1191" s="6" t="s">
        <v>3102</v>
      </c>
      <c r="H1191" s="8">
        <v>77</v>
      </c>
      <c r="I1191" s="9">
        <v>-59.5</v>
      </c>
      <c r="J1191" s="9">
        <v>-59.5</v>
      </c>
      <c r="K1191" s="5" t="str">
        <f>VLOOKUP(D1191,[1]Clientes!$A$1:$B$1485,2,0)</f>
        <v>NAC1140</v>
      </c>
      <c r="L1191" s="5" t="str">
        <f t="shared" si="36"/>
        <v>CRM0124377</v>
      </c>
      <c r="M1191" s="5" t="str">
        <f t="shared" si="37"/>
        <v>C</v>
      </c>
      <c r="N1191" s="5">
        <f>IF(G1191=[1]Clientes!$C$3,[1]Clientes!$D$3,[1]Clientes!$D$2)</f>
        <v>13050505</v>
      </c>
    </row>
    <row r="1192" spans="1:14">
      <c r="A1192" s="6" t="s">
        <v>7</v>
      </c>
      <c r="B1192" s="7">
        <v>45509</v>
      </c>
      <c r="C1192" s="6" t="s">
        <v>4340</v>
      </c>
      <c r="D1192" s="6" t="s">
        <v>4337</v>
      </c>
      <c r="E1192" s="6" t="s">
        <v>16</v>
      </c>
      <c r="F1192" s="7">
        <v>45539</v>
      </c>
      <c r="G1192" s="6" t="s">
        <v>3102</v>
      </c>
      <c r="H1192" s="8"/>
      <c r="I1192" s="9">
        <v>564</v>
      </c>
      <c r="J1192" s="9">
        <v>564</v>
      </c>
      <c r="K1192" s="5" t="str">
        <f>VLOOKUP(D1192,[1]Clientes!$A$1:$B$1485,2,0)</f>
        <v>NAC1140</v>
      </c>
      <c r="L1192" s="5" t="str">
        <f t="shared" si="36"/>
        <v>HGI0126220</v>
      </c>
      <c r="M1192" s="5" t="str">
        <f t="shared" si="37"/>
        <v>I</v>
      </c>
      <c r="N1192" s="5">
        <f>IF(G1192=[1]Clientes!$C$3,[1]Clientes!$D$3,[1]Clientes!$D$2)</f>
        <v>13050505</v>
      </c>
    </row>
    <row r="1193" spans="1:14">
      <c r="A1193" s="6" t="s">
        <v>7</v>
      </c>
      <c r="B1193" s="7">
        <v>45510</v>
      </c>
      <c r="C1193" s="6" t="s">
        <v>4341</v>
      </c>
      <c r="D1193" s="6" t="s">
        <v>4337</v>
      </c>
      <c r="E1193" s="6" t="s">
        <v>16</v>
      </c>
      <c r="F1193" s="7">
        <v>45540</v>
      </c>
      <c r="G1193" s="6" t="s">
        <v>3102</v>
      </c>
      <c r="H1193" s="8"/>
      <c r="I1193" s="9">
        <v>171</v>
      </c>
      <c r="J1193" s="9">
        <v>171</v>
      </c>
      <c r="K1193" s="5" t="str">
        <f>VLOOKUP(D1193,[1]Clientes!$A$1:$B$1485,2,0)</f>
        <v>NAC1140</v>
      </c>
      <c r="L1193" s="5" t="str">
        <f t="shared" si="36"/>
        <v>HGI0126240</v>
      </c>
      <c r="M1193" s="5" t="str">
        <f t="shared" si="37"/>
        <v>I</v>
      </c>
      <c r="N1193" s="5">
        <f>IF(G1193=[1]Clientes!$C$3,[1]Clientes!$D$3,[1]Clientes!$D$2)</f>
        <v>13050505</v>
      </c>
    </row>
    <row r="1194" spans="1:14">
      <c r="A1194" s="6" t="s">
        <v>7</v>
      </c>
      <c r="B1194" s="7">
        <v>45510</v>
      </c>
      <c r="C1194" s="6" t="s">
        <v>4342</v>
      </c>
      <c r="D1194" s="6" t="s">
        <v>4337</v>
      </c>
      <c r="E1194" s="6" t="s">
        <v>16</v>
      </c>
      <c r="F1194" s="7">
        <v>45540</v>
      </c>
      <c r="G1194" s="6" t="s">
        <v>3102</v>
      </c>
      <c r="H1194" s="8"/>
      <c r="I1194" s="9">
        <v>1774.5</v>
      </c>
      <c r="J1194" s="9">
        <v>1774.5</v>
      </c>
      <c r="K1194" s="5" t="str">
        <f>VLOOKUP(D1194,[1]Clientes!$A$1:$B$1485,2,0)</f>
        <v>NAC1140</v>
      </c>
      <c r="L1194" s="5" t="str">
        <f t="shared" si="36"/>
        <v>HGI0126241</v>
      </c>
      <c r="M1194" s="5" t="str">
        <f t="shared" si="37"/>
        <v>I</v>
      </c>
      <c r="N1194" s="5">
        <f>IF(G1194=[1]Clientes!$C$3,[1]Clientes!$D$3,[1]Clientes!$D$2)</f>
        <v>13050505</v>
      </c>
    </row>
    <row r="1195" spans="1:14">
      <c r="A1195" s="6" t="s">
        <v>7</v>
      </c>
      <c r="B1195" s="7">
        <v>45497</v>
      </c>
      <c r="C1195" s="6" t="s">
        <v>4343</v>
      </c>
      <c r="D1195" s="6" t="s">
        <v>1399</v>
      </c>
      <c r="E1195" s="6" t="s">
        <v>16</v>
      </c>
      <c r="F1195" s="7">
        <v>45527</v>
      </c>
      <c r="G1195" s="6" t="s">
        <v>3102</v>
      </c>
      <c r="H1195" s="8">
        <v>8</v>
      </c>
      <c r="I1195" s="9">
        <v>256</v>
      </c>
      <c r="J1195" s="9">
        <v>256</v>
      </c>
      <c r="K1195" s="5" t="str">
        <f>VLOOKUP(D1195,[1]Clientes!$A$1:$B$1370,2,0)</f>
        <v>NAC1143</v>
      </c>
      <c r="L1195" s="5" t="str">
        <f t="shared" si="36"/>
        <v>HGI0125909</v>
      </c>
      <c r="M1195" s="5" t="str">
        <f t="shared" si="37"/>
        <v>I</v>
      </c>
      <c r="N1195" s="5">
        <f>IF(G1195=[1]Clientes!$C$3,[1]Clientes!$D$3,[1]Clientes!$D$2)</f>
        <v>13050505</v>
      </c>
    </row>
    <row r="1196" spans="1:14">
      <c r="A1196" s="6" t="s">
        <v>7</v>
      </c>
      <c r="B1196" s="7">
        <v>45519</v>
      </c>
      <c r="C1196" s="6" t="s">
        <v>4344</v>
      </c>
      <c r="D1196" s="6" t="s">
        <v>1399</v>
      </c>
      <c r="E1196" s="6" t="s">
        <v>16</v>
      </c>
      <c r="F1196" s="7">
        <v>45549</v>
      </c>
      <c r="G1196" s="6" t="s">
        <v>3102</v>
      </c>
      <c r="H1196" s="8"/>
      <c r="I1196" s="9">
        <v>184.94</v>
      </c>
      <c r="J1196" s="9">
        <v>184.94</v>
      </c>
      <c r="K1196" s="5" t="str">
        <f>VLOOKUP(D1196,[1]Clientes!$A$1:$B$1370,2,0)</f>
        <v>NAC1143</v>
      </c>
      <c r="L1196" s="5" t="str">
        <f t="shared" si="36"/>
        <v>HGI0126543</v>
      </c>
      <c r="M1196" s="5" t="str">
        <f t="shared" si="37"/>
        <v>I</v>
      </c>
      <c r="N1196" s="5">
        <f>IF(G1196=[1]Clientes!$C$3,[1]Clientes!$D$3,[1]Clientes!$D$2)</f>
        <v>13050505</v>
      </c>
    </row>
    <row r="1197" spans="1:14">
      <c r="A1197" s="6" t="s">
        <v>7</v>
      </c>
      <c r="B1197" s="7">
        <v>45350</v>
      </c>
      <c r="C1197" s="6" t="s">
        <v>4345</v>
      </c>
      <c r="D1197" s="6" t="s">
        <v>1402</v>
      </c>
      <c r="E1197" s="6" t="s">
        <v>16</v>
      </c>
      <c r="F1197" s="7">
        <v>45380</v>
      </c>
      <c r="G1197" s="6" t="s">
        <v>3102</v>
      </c>
      <c r="H1197" s="8">
        <v>155</v>
      </c>
      <c r="I1197" s="9">
        <v>29.71</v>
      </c>
      <c r="J1197" s="9">
        <v>336.61</v>
      </c>
      <c r="K1197" s="5" t="str">
        <f>VLOOKUP(D1197,[1]Clientes!$A$1:$B$1370,2,0)</f>
        <v>NAC1144</v>
      </c>
      <c r="L1197" s="5" t="str">
        <f t="shared" si="36"/>
        <v>HGI0121302</v>
      </c>
      <c r="M1197" s="5" t="str">
        <f t="shared" si="37"/>
        <v>I</v>
      </c>
      <c r="N1197" s="5">
        <f>IF(G1197=[1]Clientes!$C$3,[1]Clientes!$D$3,[1]Clientes!$D$2)</f>
        <v>13050505</v>
      </c>
    </row>
    <row r="1198" spans="1:14">
      <c r="A1198" s="6" t="s">
        <v>7</v>
      </c>
      <c r="B1198" s="7">
        <v>45194</v>
      </c>
      <c r="C1198" s="6" t="s">
        <v>4346</v>
      </c>
      <c r="D1198" s="6" t="s">
        <v>1410</v>
      </c>
      <c r="E1198" s="6" t="s">
        <v>16</v>
      </c>
      <c r="F1198" s="7">
        <v>45224</v>
      </c>
      <c r="G1198" s="6" t="s">
        <v>3102</v>
      </c>
      <c r="H1198" s="8">
        <v>311</v>
      </c>
      <c r="I1198" s="9">
        <v>36.229999999999997</v>
      </c>
      <c r="J1198" s="9">
        <v>553.75</v>
      </c>
      <c r="K1198" s="5" t="str">
        <f>VLOOKUP(D1198,[1]Clientes!$A$1:$B$1370,2,0)</f>
        <v>NAC1146</v>
      </c>
      <c r="L1198" s="5" t="str">
        <f t="shared" si="36"/>
        <v>HGI0115327</v>
      </c>
      <c r="M1198" s="5" t="str">
        <f t="shared" si="37"/>
        <v>I</v>
      </c>
      <c r="N1198" s="5">
        <f>IF(G1198=[1]Clientes!$C$3,[1]Clientes!$D$3,[1]Clientes!$D$2)</f>
        <v>13050505</v>
      </c>
    </row>
    <row r="1199" spans="1:14">
      <c r="A1199" s="6" t="s">
        <v>7</v>
      </c>
      <c r="B1199" s="7">
        <v>45210</v>
      </c>
      <c r="C1199" s="6" t="s">
        <v>4347</v>
      </c>
      <c r="D1199" s="6" t="s">
        <v>1410</v>
      </c>
      <c r="E1199" s="6" t="s">
        <v>16</v>
      </c>
      <c r="F1199" s="7">
        <v>45240</v>
      </c>
      <c r="G1199" s="6" t="s">
        <v>3102</v>
      </c>
      <c r="H1199" s="8">
        <v>295</v>
      </c>
      <c r="I1199" s="9">
        <v>321.2</v>
      </c>
      <c r="J1199" s="9">
        <v>3212.19</v>
      </c>
      <c r="K1199" s="5" t="str">
        <f>VLOOKUP(D1199,[1]Clientes!$A$1:$B$1370,2,0)</f>
        <v>NAC1146</v>
      </c>
      <c r="L1199" s="5" t="str">
        <f t="shared" si="36"/>
        <v>HGI0115867</v>
      </c>
      <c r="M1199" s="5" t="str">
        <f t="shared" si="37"/>
        <v>I</v>
      </c>
      <c r="N1199" s="5">
        <f>IF(G1199=[1]Clientes!$C$3,[1]Clientes!$D$3,[1]Clientes!$D$2)</f>
        <v>13050505</v>
      </c>
    </row>
    <row r="1200" spans="1:14">
      <c r="A1200" s="6" t="s">
        <v>7</v>
      </c>
      <c r="B1200" s="7">
        <v>45215</v>
      </c>
      <c r="C1200" s="6" t="s">
        <v>4348</v>
      </c>
      <c r="D1200" s="6" t="s">
        <v>1410</v>
      </c>
      <c r="E1200" s="6" t="s">
        <v>16</v>
      </c>
      <c r="F1200" s="7">
        <v>45245</v>
      </c>
      <c r="G1200" s="6" t="s">
        <v>3102</v>
      </c>
      <c r="H1200" s="8">
        <v>290</v>
      </c>
      <c r="I1200" s="9">
        <v>1281.1500000000001</v>
      </c>
      <c r="J1200" s="9">
        <v>15321.15</v>
      </c>
      <c r="K1200" s="5" t="str">
        <f>VLOOKUP(D1200,[1]Clientes!$A$1:$B$1370,2,0)</f>
        <v>NAC1146</v>
      </c>
      <c r="L1200" s="5" t="str">
        <f t="shared" si="36"/>
        <v>HGI0116034</v>
      </c>
      <c r="M1200" s="5" t="str">
        <f t="shared" si="37"/>
        <v>I</v>
      </c>
      <c r="N1200" s="5">
        <f>IF(G1200=[1]Clientes!$C$3,[1]Clientes!$D$3,[1]Clientes!$D$2)</f>
        <v>13050505</v>
      </c>
    </row>
    <row r="1201" spans="1:14">
      <c r="A1201" s="6" t="s">
        <v>7</v>
      </c>
      <c r="B1201" s="7">
        <v>45506</v>
      </c>
      <c r="C1201" s="6" t="s">
        <v>4349</v>
      </c>
      <c r="D1201" s="6" t="s">
        <v>1410</v>
      </c>
      <c r="E1201" s="6" t="s">
        <v>4350</v>
      </c>
      <c r="F1201" s="7">
        <v>45688</v>
      </c>
      <c r="G1201" s="6" t="s">
        <v>3102</v>
      </c>
      <c r="H1201" s="8"/>
      <c r="I1201" s="9">
        <v>946.78</v>
      </c>
      <c r="J1201" s="9">
        <v>946.78</v>
      </c>
      <c r="K1201" s="5" t="str">
        <f>VLOOKUP(D1201,[1]Clientes!$A$1:$B$1370,2,0)</f>
        <v>NAC1146</v>
      </c>
      <c r="L1201" s="5" t="str">
        <f t="shared" si="36"/>
        <v>HGI0126151</v>
      </c>
      <c r="M1201" s="5" t="str">
        <f t="shared" si="37"/>
        <v>I</v>
      </c>
      <c r="N1201" s="5">
        <f>IF(G1201=[1]Clientes!$C$3,[1]Clientes!$D$3,[1]Clientes!$D$2)</f>
        <v>13050505</v>
      </c>
    </row>
    <row r="1202" spans="1:14">
      <c r="A1202" s="6" t="s">
        <v>7</v>
      </c>
      <c r="B1202" s="7">
        <v>45506</v>
      </c>
      <c r="C1202" s="6" t="s">
        <v>4351</v>
      </c>
      <c r="D1202" s="6" t="s">
        <v>1410</v>
      </c>
      <c r="E1202" s="6" t="s">
        <v>4350</v>
      </c>
      <c r="F1202" s="7">
        <v>45688</v>
      </c>
      <c r="G1202" s="6" t="s">
        <v>3102</v>
      </c>
      <c r="H1202" s="8"/>
      <c r="I1202" s="9">
        <v>1732.11</v>
      </c>
      <c r="J1202" s="9">
        <v>1732.11</v>
      </c>
      <c r="K1202" s="5" t="str">
        <f>VLOOKUP(D1202,[1]Clientes!$A$1:$B$1370,2,0)</f>
        <v>NAC1146</v>
      </c>
      <c r="L1202" s="5" t="str">
        <f t="shared" si="36"/>
        <v>HGI0126152</v>
      </c>
      <c r="M1202" s="5" t="str">
        <f t="shared" si="37"/>
        <v>I</v>
      </c>
      <c r="N1202" s="5">
        <f>IF(G1202=[1]Clientes!$C$3,[1]Clientes!$D$3,[1]Clientes!$D$2)</f>
        <v>13050505</v>
      </c>
    </row>
    <row r="1203" spans="1:14">
      <c r="A1203" s="6" t="s">
        <v>7</v>
      </c>
      <c r="B1203" s="7">
        <v>45510</v>
      </c>
      <c r="C1203" s="6" t="s">
        <v>4352</v>
      </c>
      <c r="D1203" s="6" t="s">
        <v>1410</v>
      </c>
      <c r="E1203" s="6" t="s">
        <v>4350</v>
      </c>
      <c r="F1203" s="7">
        <v>45692</v>
      </c>
      <c r="G1203" s="6" t="s">
        <v>3102</v>
      </c>
      <c r="H1203" s="8"/>
      <c r="I1203" s="9">
        <v>435.75</v>
      </c>
      <c r="J1203" s="9">
        <v>435.75</v>
      </c>
      <c r="K1203" s="5" t="str">
        <f>VLOOKUP(D1203,[1]Clientes!$A$1:$B$1370,2,0)</f>
        <v>NAC1146</v>
      </c>
      <c r="L1203" s="5" t="str">
        <f t="shared" si="36"/>
        <v>HGI0126245</v>
      </c>
      <c r="M1203" s="5" t="str">
        <f t="shared" si="37"/>
        <v>I</v>
      </c>
      <c r="N1203" s="5">
        <f>IF(G1203=[1]Clientes!$C$3,[1]Clientes!$D$3,[1]Clientes!$D$2)</f>
        <v>13050505</v>
      </c>
    </row>
    <row r="1204" spans="1:14">
      <c r="A1204" s="6" t="s">
        <v>7</v>
      </c>
      <c r="B1204" s="7">
        <v>45532</v>
      </c>
      <c r="C1204" s="6" t="s">
        <v>4353</v>
      </c>
      <c r="D1204" s="6" t="s">
        <v>1410</v>
      </c>
      <c r="E1204" s="6" t="s">
        <v>4350</v>
      </c>
      <c r="F1204" s="7">
        <v>45714</v>
      </c>
      <c r="G1204" s="6" t="s">
        <v>3102</v>
      </c>
      <c r="H1204" s="8"/>
      <c r="I1204" s="9">
        <v>2529.92</v>
      </c>
      <c r="J1204" s="9">
        <v>2529.92</v>
      </c>
      <c r="K1204" s="5" t="str">
        <f>VLOOKUP(D1204,[1]Clientes!$A$1:$B$1370,2,0)</f>
        <v>NAC1146</v>
      </c>
      <c r="L1204" s="5" t="str">
        <f t="shared" si="36"/>
        <v>HGI0126971</v>
      </c>
      <c r="M1204" s="5" t="str">
        <f t="shared" si="37"/>
        <v>I</v>
      </c>
      <c r="N1204" s="5">
        <f>IF(G1204=[1]Clientes!$C$3,[1]Clientes!$D$3,[1]Clientes!$D$2)</f>
        <v>13050505</v>
      </c>
    </row>
    <row r="1205" spans="1:14">
      <c r="A1205" s="6" t="s">
        <v>7</v>
      </c>
      <c r="B1205" s="7">
        <v>45532</v>
      </c>
      <c r="C1205" s="6" t="s">
        <v>4354</v>
      </c>
      <c r="D1205" s="6" t="s">
        <v>1410</v>
      </c>
      <c r="E1205" s="6" t="s">
        <v>4350</v>
      </c>
      <c r="F1205" s="7">
        <v>45714</v>
      </c>
      <c r="G1205" s="6" t="s">
        <v>3102</v>
      </c>
      <c r="H1205" s="8"/>
      <c r="I1205" s="9">
        <v>1974.78</v>
      </c>
      <c r="J1205" s="9">
        <v>1974.78</v>
      </c>
      <c r="K1205" s="5" t="str">
        <f>VLOOKUP(D1205,[1]Clientes!$A$1:$B$1370,2,0)</f>
        <v>NAC1146</v>
      </c>
      <c r="L1205" s="5" t="str">
        <f t="shared" si="36"/>
        <v>HGI0126977</v>
      </c>
      <c r="M1205" s="5" t="str">
        <f t="shared" si="37"/>
        <v>I</v>
      </c>
      <c r="N1205" s="5">
        <f>IF(G1205=[1]Clientes!$C$3,[1]Clientes!$D$3,[1]Clientes!$D$2)</f>
        <v>13050505</v>
      </c>
    </row>
    <row r="1206" spans="1:14">
      <c r="A1206" s="6" t="s">
        <v>7</v>
      </c>
      <c r="B1206" s="7">
        <v>45519</v>
      </c>
      <c r="C1206" s="6" t="s">
        <v>4355</v>
      </c>
      <c r="D1206" s="6" t="s">
        <v>1430</v>
      </c>
      <c r="E1206" s="6" t="s">
        <v>16</v>
      </c>
      <c r="F1206" s="7">
        <v>45549</v>
      </c>
      <c r="G1206" s="6" t="s">
        <v>3102</v>
      </c>
      <c r="H1206" s="8"/>
      <c r="I1206" s="9">
        <v>800</v>
      </c>
      <c r="J1206" s="9">
        <v>800</v>
      </c>
      <c r="K1206" s="5" t="str">
        <f>VLOOKUP(D1206,[1]Clientes!$A$1:$B$1370,2,0)</f>
        <v>NAC1148</v>
      </c>
      <c r="L1206" s="5" t="str">
        <f t="shared" si="36"/>
        <v>HGI0126544</v>
      </c>
      <c r="M1206" s="5" t="str">
        <f t="shared" si="37"/>
        <v>I</v>
      </c>
      <c r="N1206" s="5">
        <f>IF(G1206=[1]Clientes!$C$3,[1]Clientes!$D$3,[1]Clientes!$D$2)</f>
        <v>13050505</v>
      </c>
    </row>
    <row r="1207" spans="1:14">
      <c r="A1207" s="6" t="s">
        <v>7</v>
      </c>
      <c r="B1207" s="7">
        <v>45526</v>
      </c>
      <c r="C1207" s="6" t="s">
        <v>4356</v>
      </c>
      <c r="D1207" s="6" t="s">
        <v>1430</v>
      </c>
      <c r="E1207" s="6" t="s">
        <v>16</v>
      </c>
      <c r="F1207" s="7">
        <v>45556</v>
      </c>
      <c r="G1207" s="6" t="s">
        <v>3102</v>
      </c>
      <c r="H1207" s="8"/>
      <c r="I1207" s="9">
        <v>302.39999999999998</v>
      </c>
      <c r="J1207" s="9">
        <v>302.39999999999998</v>
      </c>
      <c r="K1207" s="5" t="str">
        <f>VLOOKUP(D1207,[1]Clientes!$A$1:$B$1370,2,0)</f>
        <v>NAC1148</v>
      </c>
      <c r="L1207" s="5" t="str">
        <f t="shared" si="36"/>
        <v>HGI0126762</v>
      </c>
      <c r="M1207" s="5" t="str">
        <f t="shared" si="37"/>
        <v>I</v>
      </c>
      <c r="N1207" s="5">
        <f>IF(G1207=[1]Clientes!$C$3,[1]Clientes!$D$3,[1]Clientes!$D$2)</f>
        <v>13050505</v>
      </c>
    </row>
    <row r="1208" spans="1:14">
      <c r="A1208" s="6" t="s">
        <v>7</v>
      </c>
      <c r="B1208" s="7">
        <v>45532</v>
      </c>
      <c r="C1208" s="6" t="s">
        <v>4357</v>
      </c>
      <c r="D1208" s="6" t="s">
        <v>1430</v>
      </c>
      <c r="E1208" s="6" t="s">
        <v>16</v>
      </c>
      <c r="F1208" s="7">
        <v>45562</v>
      </c>
      <c r="G1208" s="6" t="s">
        <v>3102</v>
      </c>
      <c r="H1208" s="8"/>
      <c r="I1208" s="9">
        <v>7350.38</v>
      </c>
      <c r="J1208" s="9">
        <v>7350.38</v>
      </c>
      <c r="K1208" s="5" t="str">
        <f>VLOOKUP(D1208,[1]Clientes!$A$1:$B$1370,2,0)</f>
        <v>NAC1148</v>
      </c>
      <c r="L1208" s="5" t="str">
        <f t="shared" si="36"/>
        <v>HGI0126973</v>
      </c>
      <c r="M1208" s="5" t="str">
        <f t="shared" si="37"/>
        <v>I</v>
      </c>
      <c r="N1208" s="5">
        <f>IF(G1208=[1]Clientes!$C$3,[1]Clientes!$D$3,[1]Clientes!$D$2)</f>
        <v>13050505</v>
      </c>
    </row>
    <row r="1209" spans="1:14">
      <c r="A1209" s="6" t="s">
        <v>7</v>
      </c>
      <c r="B1209" s="7">
        <v>45532</v>
      </c>
      <c r="C1209" s="6" t="s">
        <v>4358</v>
      </c>
      <c r="D1209" s="6" t="s">
        <v>1430</v>
      </c>
      <c r="E1209" s="6" t="s">
        <v>16</v>
      </c>
      <c r="F1209" s="7">
        <v>45562</v>
      </c>
      <c r="G1209" s="6" t="s">
        <v>3102</v>
      </c>
      <c r="H1209" s="8"/>
      <c r="I1209" s="9">
        <v>3212.6</v>
      </c>
      <c r="J1209" s="9">
        <v>3212.6</v>
      </c>
      <c r="K1209" s="5" t="str">
        <f>VLOOKUP(D1209,[1]Clientes!$A$1:$B$1370,2,0)</f>
        <v>NAC1148</v>
      </c>
      <c r="L1209" s="5" t="str">
        <f t="shared" si="36"/>
        <v>HGI0127055</v>
      </c>
      <c r="M1209" s="5" t="str">
        <f t="shared" si="37"/>
        <v>I</v>
      </c>
      <c r="N1209" s="5">
        <f>IF(G1209=[1]Clientes!$C$3,[1]Clientes!$D$3,[1]Clientes!$D$2)</f>
        <v>13050505</v>
      </c>
    </row>
    <row r="1210" spans="1:14">
      <c r="A1210" s="6" t="s">
        <v>3099</v>
      </c>
      <c r="B1210" s="7">
        <v>45413</v>
      </c>
      <c r="C1210" s="6" t="s">
        <v>4359</v>
      </c>
      <c r="D1210" s="6" t="s">
        <v>1443</v>
      </c>
      <c r="E1210" s="6" t="s">
        <v>16</v>
      </c>
      <c r="F1210" s="7">
        <v>45443</v>
      </c>
      <c r="G1210" s="6" t="s">
        <v>3102</v>
      </c>
      <c r="H1210" s="8">
        <v>92</v>
      </c>
      <c r="I1210" s="9">
        <v>-1172</v>
      </c>
      <c r="J1210" s="9">
        <v>-1172</v>
      </c>
      <c r="K1210" s="5" t="str">
        <f>VLOOKUP(D1210,[1]Clientes!$A$1:$B$1370,2,0)</f>
        <v>NAC1151</v>
      </c>
      <c r="L1210" s="5" t="str">
        <f t="shared" si="36"/>
        <v>CRM202652</v>
      </c>
      <c r="M1210" s="5" t="str">
        <f t="shared" si="37"/>
        <v>C</v>
      </c>
      <c r="N1210" s="5">
        <f>IF(G1210=[1]Clientes!$C$3,[1]Clientes!$D$3,[1]Clientes!$D$2)</f>
        <v>13050505</v>
      </c>
    </row>
    <row r="1211" spans="1:14">
      <c r="A1211" s="6" t="s">
        <v>7</v>
      </c>
      <c r="B1211" s="7">
        <v>45516</v>
      </c>
      <c r="C1211" s="6" t="s">
        <v>4360</v>
      </c>
      <c r="D1211" s="6" t="s">
        <v>1443</v>
      </c>
      <c r="E1211" s="6" t="s">
        <v>16</v>
      </c>
      <c r="F1211" s="7">
        <v>45546</v>
      </c>
      <c r="G1211" s="6" t="s">
        <v>3102</v>
      </c>
      <c r="H1211" s="8"/>
      <c r="I1211" s="9">
        <v>18200</v>
      </c>
      <c r="J1211" s="9">
        <v>18200</v>
      </c>
      <c r="K1211" s="5" t="str">
        <f>VLOOKUP(D1211,[1]Clientes!$A$1:$B$1370,2,0)</f>
        <v>NAC1151</v>
      </c>
      <c r="L1211" s="5" t="str">
        <f t="shared" si="36"/>
        <v>HGI0126384</v>
      </c>
      <c r="M1211" s="5" t="str">
        <f t="shared" si="37"/>
        <v>I</v>
      </c>
      <c r="N1211" s="5">
        <f>IF(G1211=[1]Clientes!$C$3,[1]Clientes!$D$3,[1]Clientes!$D$2)</f>
        <v>13050505</v>
      </c>
    </row>
    <row r="1212" spans="1:14">
      <c r="A1212" s="6" t="s">
        <v>7</v>
      </c>
      <c r="B1212" s="7">
        <v>45530</v>
      </c>
      <c r="C1212" s="6" t="s">
        <v>4361</v>
      </c>
      <c r="D1212" s="6" t="s">
        <v>1443</v>
      </c>
      <c r="E1212" s="6" t="s">
        <v>16</v>
      </c>
      <c r="F1212" s="7">
        <v>45560</v>
      </c>
      <c r="G1212" s="6" t="s">
        <v>3102</v>
      </c>
      <c r="H1212" s="8"/>
      <c r="I1212" s="9">
        <v>3000</v>
      </c>
      <c r="J1212" s="9">
        <v>3000</v>
      </c>
      <c r="K1212" s="5" t="str">
        <f>VLOOKUP(D1212,[1]Clientes!$A$1:$B$1370,2,0)</f>
        <v>NAC1151</v>
      </c>
      <c r="L1212" s="5" t="str">
        <f t="shared" si="36"/>
        <v>HGI0126858</v>
      </c>
      <c r="M1212" s="5" t="str">
        <f t="shared" si="37"/>
        <v>I</v>
      </c>
      <c r="N1212" s="5">
        <f>IF(G1212=[1]Clientes!$C$3,[1]Clientes!$D$3,[1]Clientes!$D$2)</f>
        <v>13050505</v>
      </c>
    </row>
    <row r="1213" spans="1:14">
      <c r="A1213" s="6" t="s">
        <v>7</v>
      </c>
      <c r="B1213" s="7">
        <v>45530</v>
      </c>
      <c r="C1213" s="6" t="s">
        <v>4362</v>
      </c>
      <c r="D1213" s="6" t="s">
        <v>1443</v>
      </c>
      <c r="E1213" s="6" t="s">
        <v>16</v>
      </c>
      <c r="F1213" s="7">
        <v>45560</v>
      </c>
      <c r="G1213" s="6" t="s">
        <v>3102</v>
      </c>
      <c r="H1213" s="8"/>
      <c r="I1213" s="9">
        <v>2725</v>
      </c>
      <c r="J1213" s="9">
        <v>2725</v>
      </c>
      <c r="K1213" s="5" t="str">
        <f>VLOOKUP(D1213,[1]Clientes!$A$1:$B$1370,2,0)</f>
        <v>NAC1151</v>
      </c>
      <c r="L1213" s="5" t="str">
        <f t="shared" si="36"/>
        <v>HGI0126890</v>
      </c>
      <c r="M1213" s="5" t="str">
        <f t="shared" si="37"/>
        <v>I</v>
      </c>
      <c r="N1213" s="5">
        <f>IF(G1213=[1]Clientes!$C$3,[1]Clientes!$D$3,[1]Clientes!$D$2)</f>
        <v>13050505</v>
      </c>
    </row>
    <row r="1214" spans="1:14">
      <c r="A1214" s="6" t="s">
        <v>7</v>
      </c>
      <c r="B1214" s="7">
        <v>45532</v>
      </c>
      <c r="C1214" s="6" t="s">
        <v>4363</v>
      </c>
      <c r="D1214" s="6" t="s">
        <v>1443</v>
      </c>
      <c r="E1214" s="6" t="s">
        <v>16</v>
      </c>
      <c r="F1214" s="7">
        <v>45562</v>
      </c>
      <c r="G1214" s="6" t="s">
        <v>3102</v>
      </c>
      <c r="H1214" s="8"/>
      <c r="I1214" s="9">
        <v>13736</v>
      </c>
      <c r="J1214" s="9">
        <v>13736</v>
      </c>
      <c r="K1214" s="5" t="str">
        <f>VLOOKUP(D1214,[1]Clientes!$A$1:$B$1370,2,0)</f>
        <v>NAC1151</v>
      </c>
      <c r="L1214" s="5" t="str">
        <f t="shared" si="36"/>
        <v>HGI0126967</v>
      </c>
      <c r="M1214" s="5" t="str">
        <f t="shared" si="37"/>
        <v>I</v>
      </c>
      <c r="N1214" s="5">
        <f>IF(G1214=[1]Clientes!$C$3,[1]Clientes!$D$3,[1]Clientes!$D$2)</f>
        <v>13050505</v>
      </c>
    </row>
    <row r="1215" spans="1:14">
      <c r="A1215" s="6" t="s">
        <v>7</v>
      </c>
      <c r="B1215" s="7">
        <v>45371</v>
      </c>
      <c r="C1215" s="6" t="s">
        <v>4364</v>
      </c>
      <c r="D1215" s="6" t="s">
        <v>4365</v>
      </c>
      <c r="E1215" s="6" t="s">
        <v>16</v>
      </c>
      <c r="F1215" s="7">
        <v>45401</v>
      </c>
      <c r="G1215" s="6" t="s">
        <v>3102</v>
      </c>
      <c r="H1215" s="8">
        <v>134</v>
      </c>
      <c r="I1215" s="9">
        <v>1875.93</v>
      </c>
      <c r="J1215" s="9">
        <v>12446</v>
      </c>
      <c r="K1215" s="5" t="str">
        <f>VLOOKUP(D1215,[1]Clientes!$A$1:$B$1370,2,0)</f>
        <v>NAC1152</v>
      </c>
      <c r="L1215" s="5" t="str">
        <f t="shared" si="36"/>
        <v>HGI0122214</v>
      </c>
      <c r="M1215" s="5" t="str">
        <f t="shared" si="37"/>
        <v>I</v>
      </c>
      <c r="N1215" s="5">
        <f>IF(G1215=[1]Clientes!$C$3,[1]Clientes!$D$3,[1]Clientes!$D$2)</f>
        <v>13050505</v>
      </c>
    </row>
    <row r="1216" spans="1:14">
      <c r="A1216" s="6" t="s">
        <v>3139</v>
      </c>
      <c r="B1216" s="7">
        <v>45503</v>
      </c>
      <c r="C1216" s="6" t="s">
        <v>4366</v>
      </c>
      <c r="D1216" s="6" t="s">
        <v>4365</v>
      </c>
      <c r="E1216" s="6"/>
      <c r="F1216" s="7"/>
      <c r="G1216" s="6" t="s">
        <v>3102</v>
      </c>
      <c r="H1216" s="8"/>
      <c r="I1216" s="9">
        <v>-0.13</v>
      </c>
      <c r="J1216" s="9">
        <v>-2312</v>
      </c>
      <c r="K1216" s="5" t="str">
        <f>VLOOKUP(D1216,[1]Clientes!$A$1:$B$1370,2,0)</f>
        <v>NAC1152</v>
      </c>
      <c r="L1216" s="5" t="str">
        <f t="shared" si="36"/>
        <v>Revisar</v>
      </c>
      <c r="M1216" s="5" t="str">
        <f t="shared" si="37"/>
        <v>P</v>
      </c>
      <c r="N1216" s="5">
        <f>IF(G1216=[1]Clientes!$C$3,[1]Clientes!$D$3,[1]Clientes!$D$2)</f>
        <v>13050505</v>
      </c>
    </row>
    <row r="1217" spans="1:14">
      <c r="A1217" s="6" t="s">
        <v>7</v>
      </c>
      <c r="B1217" s="7">
        <v>45497</v>
      </c>
      <c r="C1217" s="6" t="s">
        <v>4367</v>
      </c>
      <c r="D1217" s="6" t="s">
        <v>1452</v>
      </c>
      <c r="E1217" s="6" t="s">
        <v>16</v>
      </c>
      <c r="F1217" s="7">
        <v>45527</v>
      </c>
      <c r="G1217" s="6" t="s">
        <v>3102</v>
      </c>
      <c r="H1217" s="8">
        <v>8</v>
      </c>
      <c r="I1217" s="9">
        <v>731</v>
      </c>
      <c r="J1217" s="9">
        <v>731</v>
      </c>
      <c r="K1217" s="5" t="str">
        <f>VLOOKUP(D1217,[1]Clientes!$A$1:$B$1370,2,0)</f>
        <v>NAC1158</v>
      </c>
      <c r="L1217" s="5" t="str">
        <f t="shared" si="36"/>
        <v>HGI0125919</v>
      </c>
      <c r="M1217" s="5" t="str">
        <f t="shared" si="37"/>
        <v>I</v>
      </c>
      <c r="N1217" s="5">
        <f>IF(G1217=[1]Clientes!$C$3,[1]Clientes!$D$3,[1]Clientes!$D$2)</f>
        <v>13050505</v>
      </c>
    </row>
    <row r="1218" spans="1:14">
      <c r="A1218" s="6" t="s">
        <v>7</v>
      </c>
      <c r="B1218" s="7">
        <v>45520</v>
      </c>
      <c r="C1218" s="6" t="s">
        <v>4368</v>
      </c>
      <c r="D1218" s="6" t="s">
        <v>1452</v>
      </c>
      <c r="E1218" s="6" t="s">
        <v>16</v>
      </c>
      <c r="F1218" s="7">
        <v>45550</v>
      </c>
      <c r="G1218" s="6" t="s">
        <v>3102</v>
      </c>
      <c r="H1218" s="8"/>
      <c r="I1218" s="9">
        <v>716</v>
      </c>
      <c r="J1218" s="9">
        <v>716</v>
      </c>
      <c r="K1218" s="5" t="str">
        <f>VLOOKUP(D1218,[1]Clientes!$A$1:$B$1370,2,0)</f>
        <v>NAC1158</v>
      </c>
      <c r="L1218" s="5" t="str">
        <f t="shared" si="36"/>
        <v>HGI0126662</v>
      </c>
      <c r="M1218" s="5" t="str">
        <f t="shared" si="37"/>
        <v>I</v>
      </c>
      <c r="N1218" s="5">
        <f>IF(G1218=[1]Clientes!$C$3,[1]Clientes!$D$3,[1]Clientes!$D$2)</f>
        <v>13050505</v>
      </c>
    </row>
    <row r="1219" spans="1:14">
      <c r="A1219" s="6" t="s">
        <v>7</v>
      </c>
      <c r="B1219" s="7">
        <v>45526</v>
      </c>
      <c r="C1219" s="6" t="s">
        <v>4369</v>
      </c>
      <c r="D1219" s="6" t="s">
        <v>1452</v>
      </c>
      <c r="E1219" s="6" t="s">
        <v>16</v>
      </c>
      <c r="F1219" s="7">
        <v>45556</v>
      </c>
      <c r="G1219" s="6" t="s">
        <v>3102</v>
      </c>
      <c r="H1219" s="8"/>
      <c r="I1219" s="9">
        <v>776</v>
      </c>
      <c r="J1219" s="9">
        <v>776</v>
      </c>
      <c r="K1219" s="5" t="str">
        <f>VLOOKUP(D1219,[1]Clientes!$A$1:$B$1370,2,0)</f>
        <v>NAC1158</v>
      </c>
      <c r="L1219" s="5" t="str">
        <f t="shared" ref="L1219:L1282" si="38">IF(A1219="Invoice",
    IF(LEFT(C1219,5)="TGDR-", "TGDR"&amp;RIGHT(C1219,LEN(C1219)-5), "HGI"&amp;C1219),
    IF(A1219="Credit Memo",
        IF(LEFT(C1219,5)="TGDR-", "CRM"&amp;RIGHT(C1219,LEN(C1219)-5), "CRM"&amp;C1219),
        "Revisar")
)</f>
        <v>HGI0126771</v>
      </c>
      <c r="M1219" s="5" t="str">
        <f t="shared" ref="M1219:M1282" si="39">IF(A1219="Invoice","I",IF(A1219="Credit Memo","C",IF(A1219="Payment","P","GJ")))</f>
        <v>I</v>
      </c>
      <c r="N1219" s="5">
        <f>IF(G1219=[1]Clientes!$C$3,[1]Clientes!$D$3,[1]Clientes!$D$2)</f>
        <v>13050505</v>
      </c>
    </row>
    <row r="1220" spans="1:14">
      <c r="A1220" s="6" t="s">
        <v>7</v>
      </c>
      <c r="B1220" s="7">
        <v>45527</v>
      </c>
      <c r="C1220" s="6" t="s">
        <v>4370</v>
      </c>
      <c r="D1220" s="6" t="s">
        <v>1452</v>
      </c>
      <c r="E1220" s="6" t="s">
        <v>16</v>
      </c>
      <c r="F1220" s="7">
        <v>45557</v>
      </c>
      <c r="G1220" s="6" t="s">
        <v>3102</v>
      </c>
      <c r="H1220" s="8"/>
      <c r="I1220" s="9">
        <v>4655</v>
      </c>
      <c r="J1220" s="9">
        <v>4655</v>
      </c>
      <c r="K1220" s="5" t="str">
        <f>VLOOKUP(D1220,[1]Clientes!$A$1:$B$1370,2,0)</f>
        <v>NAC1158</v>
      </c>
      <c r="L1220" s="5" t="str">
        <f t="shared" si="38"/>
        <v>HGI0126810</v>
      </c>
      <c r="M1220" s="5" t="str">
        <f t="shared" si="39"/>
        <v>I</v>
      </c>
      <c r="N1220" s="5">
        <f>IF(G1220=[1]Clientes!$C$3,[1]Clientes!$D$3,[1]Clientes!$D$2)</f>
        <v>13050505</v>
      </c>
    </row>
    <row r="1221" spans="1:14">
      <c r="A1221" s="6" t="s">
        <v>7</v>
      </c>
      <c r="B1221" s="7">
        <v>45532</v>
      </c>
      <c r="C1221" s="6" t="s">
        <v>4371</v>
      </c>
      <c r="D1221" s="6" t="s">
        <v>4372</v>
      </c>
      <c r="E1221" s="6" t="s">
        <v>213</v>
      </c>
      <c r="F1221" s="7">
        <v>45532</v>
      </c>
      <c r="G1221" s="6" t="s">
        <v>3102</v>
      </c>
      <c r="H1221" s="8">
        <v>3</v>
      </c>
      <c r="I1221" s="9">
        <v>100.08</v>
      </c>
      <c r="J1221" s="9">
        <v>100.08</v>
      </c>
      <c r="K1221" s="5" t="str">
        <f>VLOOKUP(D1221,[1]Clientes!$A$1:$B$1370,2,0)</f>
        <v>SH02827</v>
      </c>
      <c r="L1221" s="5" t="str">
        <f t="shared" si="38"/>
        <v>HGI0127008</v>
      </c>
      <c r="M1221" s="5" t="str">
        <f t="shared" si="39"/>
        <v>I</v>
      </c>
      <c r="N1221" s="5">
        <f>IF(G1221=[1]Clientes!$C$3,[1]Clientes!$D$3,[1]Clientes!$D$2)</f>
        <v>13050505</v>
      </c>
    </row>
    <row r="1222" spans="1:14">
      <c r="A1222" s="6" t="s">
        <v>7</v>
      </c>
      <c r="B1222" s="7">
        <v>45531</v>
      </c>
      <c r="C1222" s="6" t="s">
        <v>4373</v>
      </c>
      <c r="D1222" s="6" t="s">
        <v>4374</v>
      </c>
      <c r="E1222" s="6" t="s">
        <v>16</v>
      </c>
      <c r="F1222" s="7">
        <v>45561</v>
      </c>
      <c r="G1222" s="6" t="s">
        <v>3102</v>
      </c>
      <c r="H1222" s="8"/>
      <c r="I1222" s="9">
        <v>436.56</v>
      </c>
      <c r="J1222" s="9">
        <v>436.56</v>
      </c>
      <c r="K1222" s="5" t="str">
        <f>VLOOKUP(D1222,[1]Clientes!$A$1:$B$1485,2,0)</f>
        <v>NAC1164</v>
      </c>
      <c r="L1222" s="5" t="str">
        <f t="shared" si="38"/>
        <v>HGI0126956</v>
      </c>
      <c r="M1222" s="5" t="str">
        <f t="shared" si="39"/>
        <v>I</v>
      </c>
      <c r="N1222" s="5">
        <f>IF(G1222=[1]Clientes!$C$3,[1]Clientes!$D$3,[1]Clientes!$D$2)</f>
        <v>13050505</v>
      </c>
    </row>
    <row r="1223" spans="1:14">
      <c r="A1223" s="6" t="s">
        <v>3139</v>
      </c>
      <c r="B1223" s="7">
        <v>44914</v>
      </c>
      <c r="C1223" s="6" t="s">
        <v>4375</v>
      </c>
      <c r="D1223" s="6" t="s">
        <v>4376</v>
      </c>
      <c r="E1223" s="6"/>
      <c r="F1223" s="7"/>
      <c r="G1223" s="6" t="s">
        <v>3102</v>
      </c>
      <c r="H1223" s="8"/>
      <c r="I1223" s="9">
        <v>-318</v>
      </c>
      <c r="J1223" s="9">
        <v>-21953.78</v>
      </c>
      <c r="K1223" s="5" t="str">
        <f>VLOOKUP(D1223,[1]Clientes!$A$1:$B$1485,2,0)</f>
        <v>NAC1162</v>
      </c>
      <c r="L1223" s="5" t="str">
        <f t="shared" si="38"/>
        <v>Revisar</v>
      </c>
      <c r="M1223" s="5" t="str">
        <f t="shared" si="39"/>
        <v>P</v>
      </c>
      <c r="N1223" s="5">
        <f>IF(G1223=[1]Clientes!$C$3,[1]Clientes!$D$3,[1]Clientes!$D$2)</f>
        <v>13050505</v>
      </c>
    </row>
    <row r="1224" spans="1:14">
      <c r="A1224" s="6" t="s">
        <v>3139</v>
      </c>
      <c r="B1224" s="7">
        <v>45118</v>
      </c>
      <c r="C1224" s="6" t="s">
        <v>4377</v>
      </c>
      <c r="D1224" s="6" t="s">
        <v>4376</v>
      </c>
      <c r="E1224" s="6"/>
      <c r="F1224" s="7"/>
      <c r="G1224" s="6" t="s">
        <v>3102</v>
      </c>
      <c r="H1224" s="8"/>
      <c r="I1224" s="9">
        <v>-44.8</v>
      </c>
      <c r="J1224" s="9">
        <v>-4137.8</v>
      </c>
      <c r="K1224" s="5" t="str">
        <f>VLOOKUP(D1224,[1]Clientes!$A$1:$B$1485,2,0)</f>
        <v>NAC1162</v>
      </c>
      <c r="L1224" s="5" t="str">
        <f t="shared" si="38"/>
        <v>Revisar</v>
      </c>
      <c r="M1224" s="5" t="str">
        <f t="shared" si="39"/>
        <v>P</v>
      </c>
      <c r="N1224" s="5">
        <f>IF(G1224=[1]Clientes!$C$3,[1]Clientes!$D$3,[1]Clientes!$D$2)</f>
        <v>13050505</v>
      </c>
    </row>
    <row r="1225" spans="1:14">
      <c r="A1225" s="6" t="s">
        <v>3139</v>
      </c>
      <c r="B1225" s="7">
        <v>45280</v>
      </c>
      <c r="C1225" s="6" t="s">
        <v>4378</v>
      </c>
      <c r="D1225" s="6" t="s">
        <v>4376</v>
      </c>
      <c r="E1225" s="6"/>
      <c r="F1225" s="7"/>
      <c r="G1225" s="6" t="s">
        <v>3102</v>
      </c>
      <c r="H1225" s="8"/>
      <c r="I1225" s="9">
        <v>-280</v>
      </c>
      <c r="J1225" s="9">
        <v>-25471.040000000001</v>
      </c>
      <c r="K1225" s="5" t="str">
        <f>VLOOKUP(D1225,[1]Clientes!$A$1:$B$1485,2,0)</f>
        <v>NAC1162</v>
      </c>
      <c r="L1225" s="5" t="str">
        <f t="shared" si="38"/>
        <v>Revisar</v>
      </c>
      <c r="M1225" s="5" t="str">
        <f t="shared" si="39"/>
        <v>P</v>
      </c>
      <c r="N1225" s="5">
        <f>IF(G1225=[1]Clientes!$C$3,[1]Clientes!$D$3,[1]Clientes!$D$2)</f>
        <v>13050505</v>
      </c>
    </row>
    <row r="1226" spans="1:14">
      <c r="A1226" s="6" t="s">
        <v>7</v>
      </c>
      <c r="B1226" s="7">
        <v>45507</v>
      </c>
      <c r="C1226" s="6" t="s">
        <v>4379</v>
      </c>
      <c r="D1226" s="6" t="s">
        <v>4376</v>
      </c>
      <c r="E1226" s="6" t="s">
        <v>16</v>
      </c>
      <c r="F1226" s="7">
        <v>45537</v>
      </c>
      <c r="G1226" s="6" t="s">
        <v>3102</v>
      </c>
      <c r="H1226" s="8"/>
      <c r="I1226" s="9">
        <v>4381.6000000000004</v>
      </c>
      <c r="J1226" s="9">
        <v>4381.6000000000004</v>
      </c>
      <c r="K1226" s="5" t="str">
        <f>VLOOKUP(D1226,[1]Clientes!$A$1:$B$1485,2,0)</f>
        <v>NAC1162</v>
      </c>
      <c r="L1226" s="5" t="str">
        <f t="shared" si="38"/>
        <v>HGI0126174</v>
      </c>
      <c r="M1226" s="5" t="str">
        <f t="shared" si="39"/>
        <v>I</v>
      </c>
      <c r="N1226" s="5">
        <f>IF(G1226=[1]Clientes!$C$3,[1]Clientes!$D$3,[1]Clientes!$D$2)</f>
        <v>13050505</v>
      </c>
    </row>
    <row r="1227" spans="1:14">
      <c r="A1227" s="6" t="s">
        <v>7</v>
      </c>
      <c r="B1227" s="7">
        <v>45507</v>
      </c>
      <c r="C1227" s="6" t="s">
        <v>4380</v>
      </c>
      <c r="D1227" s="6" t="s">
        <v>4376</v>
      </c>
      <c r="E1227" s="6" t="s">
        <v>16</v>
      </c>
      <c r="F1227" s="7">
        <v>45537</v>
      </c>
      <c r="G1227" s="6" t="s">
        <v>3102</v>
      </c>
      <c r="H1227" s="8"/>
      <c r="I1227" s="9">
        <v>546</v>
      </c>
      <c r="J1227" s="9">
        <v>546</v>
      </c>
      <c r="K1227" s="5" t="str">
        <f>VLOOKUP(D1227,[1]Clientes!$A$1:$B$1485,2,0)</f>
        <v>NAC1162</v>
      </c>
      <c r="L1227" s="5" t="str">
        <f t="shared" si="38"/>
        <v>HGI0126175</v>
      </c>
      <c r="M1227" s="5" t="str">
        <f t="shared" si="39"/>
        <v>I</v>
      </c>
      <c r="N1227" s="5">
        <f>IF(G1227=[1]Clientes!$C$3,[1]Clientes!$D$3,[1]Clientes!$D$2)</f>
        <v>13050505</v>
      </c>
    </row>
    <row r="1228" spans="1:14">
      <c r="A1228" s="6" t="s">
        <v>7</v>
      </c>
      <c r="B1228" s="7">
        <v>45517</v>
      </c>
      <c r="C1228" s="6" t="s">
        <v>4381</v>
      </c>
      <c r="D1228" s="6" t="s">
        <v>4376</v>
      </c>
      <c r="E1228" s="6" t="s">
        <v>16</v>
      </c>
      <c r="F1228" s="7">
        <v>45547</v>
      </c>
      <c r="G1228" s="6" t="s">
        <v>3102</v>
      </c>
      <c r="H1228" s="8"/>
      <c r="I1228" s="9">
        <v>2940</v>
      </c>
      <c r="J1228" s="9">
        <v>2940</v>
      </c>
      <c r="K1228" s="5" t="str">
        <f>VLOOKUP(D1228,[1]Clientes!$A$1:$B$1485,2,0)</f>
        <v>NAC1162</v>
      </c>
      <c r="L1228" s="5" t="str">
        <f t="shared" si="38"/>
        <v>HGI0126435</v>
      </c>
      <c r="M1228" s="5" t="str">
        <f t="shared" si="39"/>
        <v>I</v>
      </c>
      <c r="N1228" s="5">
        <f>IF(G1228=[1]Clientes!$C$3,[1]Clientes!$D$3,[1]Clientes!$D$2)</f>
        <v>13050505</v>
      </c>
    </row>
    <row r="1229" spans="1:14">
      <c r="A1229" s="6" t="s">
        <v>7</v>
      </c>
      <c r="B1229" s="7">
        <v>45506</v>
      </c>
      <c r="C1229" s="6" t="s">
        <v>4382</v>
      </c>
      <c r="D1229" s="6" t="s">
        <v>4383</v>
      </c>
      <c r="E1229" s="6" t="s">
        <v>16</v>
      </c>
      <c r="F1229" s="7">
        <v>45536</v>
      </c>
      <c r="G1229" s="6" t="s">
        <v>3102</v>
      </c>
      <c r="H1229" s="8"/>
      <c r="I1229" s="9">
        <v>3385.8</v>
      </c>
      <c r="J1229" s="9">
        <v>3385.8</v>
      </c>
      <c r="K1229" s="5" t="str">
        <f>VLOOKUP(D1229,[1]Clientes!$A$1:$B$1485,2,0)</f>
        <v>NAC1163</v>
      </c>
      <c r="L1229" s="5" t="str">
        <f t="shared" si="38"/>
        <v>HGI0126150</v>
      </c>
      <c r="M1229" s="5" t="str">
        <f t="shared" si="39"/>
        <v>I</v>
      </c>
      <c r="N1229" s="5">
        <f>IF(G1229=[1]Clientes!$C$3,[1]Clientes!$D$3,[1]Clientes!$D$2)</f>
        <v>13050505</v>
      </c>
    </row>
    <row r="1230" spans="1:14">
      <c r="A1230" s="6" t="s">
        <v>7</v>
      </c>
      <c r="B1230" s="7">
        <v>45518</v>
      </c>
      <c r="C1230" s="6" t="s">
        <v>4384</v>
      </c>
      <c r="D1230" s="6" t="s">
        <v>4383</v>
      </c>
      <c r="E1230" s="6" t="s">
        <v>16</v>
      </c>
      <c r="F1230" s="7">
        <v>45548</v>
      </c>
      <c r="G1230" s="6" t="s">
        <v>3102</v>
      </c>
      <c r="H1230" s="8"/>
      <c r="I1230" s="9">
        <v>4395.5</v>
      </c>
      <c r="J1230" s="9">
        <v>4395.5</v>
      </c>
      <c r="K1230" s="5" t="str">
        <f>VLOOKUP(D1230,[1]Clientes!$A$1:$B$1485,2,0)</f>
        <v>NAC1163</v>
      </c>
      <c r="L1230" s="5" t="str">
        <f t="shared" si="38"/>
        <v>HGI0126469</v>
      </c>
      <c r="M1230" s="5" t="str">
        <f t="shared" si="39"/>
        <v>I</v>
      </c>
      <c r="N1230" s="5">
        <f>IF(G1230=[1]Clientes!$C$3,[1]Clientes!$D$3,[1]Clientes!$D$2)</f>
        <v>13050505</v>
      </c>
    </row>
    <row r="1231" spans="1:14">
      <c r="A1231" s="6" t="s">
        <v>7</v>
      </c>
      <c r="B1231" s="7">
        <v>45511</v>
      </c>
      <c r="C1231" s="6" t="s">
        <v>4385</v>
      </c>
      <c r="D1231" s="6" t="s">
        <v>4386</v>
      </c>
      <c r="E1231" s="6" t="s">
        <v>16</v>
      </c>
      <c r="F1231" s="7">
        <v>45541</v>
      </c>
      <c r="G1231" s="6" t="s">
        <v>3102</v>
      </c>
      <c r="H1231" s="8"/>
      <c r="I1231" s="9">
        <v>955.8</v>
      </c>
      <c r="J1231" s="9">
        <v>955.8</v>
      </c>
      <c r="K1231" s="5" t="str">
        <f>VLOOKUP(D1231,[1]Clientes!$A$1:$B$1485,2,0)</f>
        <v>NAC1161</v>
      </c>
      <c r="L1231" s="5" t="str">
        <f t="shared" si="38"/>
        <v>HGI0126277</v>
      </c>
      <c r="M1231" s="5" t="str">
        <f t="shared" si="39"/>
        <v>I</v>
      </c>
      <c r="N1231" s="5">
        <f>IF(G1231=[1]Clientes!$C$3,[1]Clientes!$D$3,[1]Clientes!$D$2)</f>
        <v>13050505</v>
      </c>
    </row>
    <row r="1232" spans="1:14">
      <c r="A1232" s="6" t="s">
        <v>7</v>
      </c>
      <c r="B1232" s="7">
        <v>45513</v>
      </c>
      <c r="C1232" s="6" t="s">
        <v>4387</v>
      </c>
      <c r="D1232" s="6" t="s">
        <v>4386</v>
      </c>
      <c r="E1232" s="6" t="s">
        <v>16</v>
      </c>
      <c r="F1232" s="7">
        <v>45543</v>
      </c>
      <c r="G1232" s="6" t="s">
        <v>3102</v>
      </c>
      <c r="H1232" s="8"/>
      <c r="I1232" s="9">
        <v>1960.25</v>
      </c>
      <c r="J1232" s="9">
        <v>1960.25</v>
      </c>
      <c r="K1232" s="5" t="str">
        <f>VLOOKUP(D1232,[1]Clientes!$A$1:$B$1485,2,0)</f>
        <v>NAC1161</v>
      </c>
      <c r="L1232" s="5" t="str">
        <f t="shared" si="38"/>
        <v>HGI0126353</v>
      </c>
      <c r="M1232" s="5" t="str">
        <f t="shared" si="39"/>
        <v>I</v>
      </c>
      <c r="N1232" s="5">
        <f>IF(G1232=[1]Clientes!$C$3,[1]Clientes!$D$3,[1]Clientes!$D$2)</f>
        <v>13050505</v>
      </c>
    </row>
    <row r="1233" spans="1:14">
      <c r="A1233" s="6" t="s">
        <v>7</v>
      </c>
      <c r="B1233" s="7">
        <v>45474</v>
      </c>
      <c r="C1233" s="6" t="s">
        <v>4388</v>
      </c>
      <c r="D1233" s="6" t="s">
        <v>1464</v>
      </c>
      <c r="E1233" s="6" t="s">
        <v>16</v>
      </c>
      <c r="F1233" s="7">
        <v>45504</v>
      </c>
      <c r="G1233" s="6" t="s">
        <v>3102</v>
      </c>
      <c r="H1233" s="8">
        <v>31</v>
      </c>
      <c r="I1233" s="9">
        <v>1602</v>
      </c>
      <c r="J1233" s="9">
        <v>1602</v>
      </c>
      <c r="K1233" s="5" t="str">
        <f>VLOOKUP(D1233,[1]Clientes!$A$1:$B$1370,2,0)</f>
        <v>NAC1167</v>
      </c>
      <c r="L1233" s="5" t="str">
        <f t="shared" si="38"/>
        <v>HGI0125425</v>
      </c>
      <c r="M1233" s="5" t="str">
        <f t="shared" si="39"/>
        <v>I</v>
      </c>
      <c r="N1233" s="5">
        <f>IF(G1233=[1]Clientes!$C$3,[1]Clientes!$D$3,[1]Clientes!$D$2)</f>
        <v>13050505</v>
      </c>
    </row>
    <row r="1234" spans="1:14">
      <c r="A1234" s="6" t="s">
        <v>3099</v>
      </c>
      <c r="B1234" s="7">
        <v>45443</v>
      </c>
      <c r="C1234" s="6" t="s">
        <v>4389</v>
      </c>
      <c r="D1234" s="6" t="s">
        <v>1483</v>
      </c>
      <c r="E1234" s="6" t="s">
        <v>213</v>
      </c>
      <c r="F1234" s="7">
        <v>45443</v>
      </c>
      <c r="G1234" s="6" t="s">
        <v>3102</v>
      </c>
      <c r="H1234" s="8">
        <v>92</v>
      </c>
      <c r="I1234" s="9">
        <v>-14.41</v>
      </c>
      <c r="J1234" s="9">
        <v>-14.41</v>
      </c>
      <c r="K1234" s="5" t="str">
        <f>VLOOKUP(D1234,[1]Clientes!$A$1:$B$1370,2,0)</f>
        <v>NAC1177</v>
      </c>
      <c r="L1234" s="5" t="str">
        <f t="shared" si="38"/>
        <v>CRM0124904</v>
      </c>
      <c r="M1234" s="5" t="str">
        <f t="shared" si="39"/>
        <v>C</v>
      </c>
      <c r="N1234" s="5">
        <f>IF(G1234=[1]Clientes!$C$3,[1]Clientes!$D$3,[1]Clientes!$D$2)</f>
        <v>13050505</v>
      </c>
    </row>
    <row r="1235" spans="1:14">
      <c r="A1235" s="6" t="s">
        <v>7</v>
      </c>
      <c r="B1235" s="7">
        <v>45386</v>
      </c>
      <c r="C1235" s="6" t="s">
        <v>4390</v>
      </c>
      <c r="D1235" s="6" t="s">
        <v>1486</v>
      </c>
      <c r="E1235" s="6" t="s">
        <v>16</v>
      </c>
      <c r="F1235" s="7">
        <v>45416</v>
      </c>
      <c r="G1235" s="6" t="s">
        <v>3102</v>
      </c>
      <c r="H1235" s="8">
        <v>119</v>
      </c>
      <c r="I1235" s="9">
        <v>882</v>
      </c>
      <c r="J1235" s="9">
        <v>882</v>
      </c>
      <c r="K1235" s="5" t="str">
        <f>VLOOKUP(D1235,[1]Clientes!$A$1:$B$1370,2,0)</f>
        <v>NAC1187</v>
      </c>
      <c r="L1235" s="5" t="str">
        <f t="shared" si="38"/>
        <v>HGI0122628</v>
      </c>
      <c r="M1235" s="5" t="str">
        <f t="shared" si="39"/>
        <v>I</v>
      </c>
      <c r="N1235" s="5">
        <f>IF(G1235=[1]Clientes!$C$3,[1]Clientes!$D$3,[1]Clientes!$D$2)</f>
        <v>13050505</v>
      </c>
    </row>
    <row r="1236" spans="1:14">
      <c r="A1236" s="6" t="s">
        <v>7</v>
      </c>
      <c r="B1236" s="7">
        <v>45526</v>
      </c>
      <c r="C1236" s="6" t="s">
        <v>4391</v>
      </c>
      <c r="D1236" s="6" t="s">
        <v>4392</v>
      </c>
      <c r="E1236" s="6" t="s">
        <v>213</v>
      </c>
      <c r="F1236" s="7">
        <v>45526</v>
      </c>
      <c r="G1236" s="6" t="s">
        <v>3102</v>
      </c>
      <c r="H1236" s="8">
        <v>9</v>
      </c>
      <c r="I1236" s="9">
        <v>64.09</v>
      </c>
      <c r="J1236" s="9">
        <v>64.09</v>
      </c>
      <c r="K1236" s="5" t="str">
        <f>VLOOKUP(D1236,[1]Clientes!$A$1:$B$1485,2,0)</f>
        <v>SH02775</v>
      </c>
      <c r="L1236" s="5" t="str">
        <f t="shared" si="38"/>
        <v>HGI0126769</v>
      </c>
      <c r="M1236" s="5" t="str">
        <f t="shared" si="39"/>
        <v>I</v>
      </c>
      <c r="N1236" s="5">
        <f>IF(G1236=[1]Clientes!$C$3,[1]Clientes!$D$3,[1]Clientes!$D$2)</f>
        <v>13050505</v>
      </c>
    </row>
    <row r="1237" spans="1:14">
      <c r="A1237" s="6" t="s">
        <v>7</v>
      </c>
      <c r="B1237" s="7">
        <v>45520</v>
      </c>
      <c r="C1237" s="6" t="s">
        <v>4393</v>
      </c>
      <c r="D1237" s="6" t="s">
        <v>4394</v>
      </c>
      <c r="E1237" s="6" t="s">
        <v>16</v>
      </c>
      <c r="F1237" s="7">
        <v>45550</v>
      </c>
      <c r="G1237" s="6" t="s">
        <v>3102</v>
      </c>
      <c r="H1237" s="8"/>
      <c r="I1237" s="9">
        <v>472</v>
      </c>
      <c r="J1237" s="9">
        <v>472</v>
      </c>
      <c r="K1237" s="5" t="str">
        <f>VLOOKUP(D1237,[1]Clientes!$A$1:$B$1370,2,0)</f>
        <v>NAC1190</v>
      </c>
      <c r="L1237" s="5" t="str">
        <f t="shared" si="38"/>
        <v>HGI0126595</v>
      </c>
      <c r="M1237" s="5" t="str">
        <f t="shared" si="39"/>
        <v>I</v>
      </c>
      <c r="N1237" s="5">
        <f>IF(G1237=[1]Clientes!$C$3,[1]Clientes!$D$3,[1]Clientes!$D$2)</f>
        <v>13050505</v>
      </c>
    </row>
    <row r="1238" spans="1:14">
      <c r="A1238" s="6" t="s">
        <v>7</v>
      </c>
      <c r="B1238" s="7">
        <v>45520</v>
      </c>
      <c r="C1238" s="6" t="s">
        <v>4395</v>
      </c>
      <c r="D1238" s="6" t="s">
        <v>4394</v>
      </c>
      <c r="E1238" s="6" t="s">
        <v>16</v>
      </c>
      <c r="F1238" s="7">
        <v>45550</v>
      </c>
      <c r="G1238" s="6" t="s">
        <v>3102</v>
      </c>
      <c r="H1238" s="8"/>
      <c r="I1238" s="9">
        <v>513</v>
      </c>
      <c r="J1238" s="9">
        <v>513</v>
      </c>
      <c r="K1238" s="5" t="str">
        <f>VLOOKUP(D1238,[1]Clientes!$A$1:$B$1370,2,0)</f>
        <v>NAC1190</v>
      </c>
      <c r="L1238" s="5" t="str">
        <f t="shared" si="38"/>
        <v>HGI0126596</v>
      </c>
      <c r="M1238" s="5" t="str">
        <f t="shared" si="39"/>
        <v>I</v>
      </c>
      <c r="N1238" s="5">
        <f>IF(G1238=[1]Clientes!$C$3,[1]Clientes!$D$3,[1]Clientes!$D$2)</f>
        <v>13050505</v>
      </c>
    </row>
    <row r="1239" spans="1:14">
      <c r="A1239" s="6" t="s">
        <v>7</v>
      </c>
      <c r="B1239" s="7">
        <v>45205</v>
      </c>
      <c r="C1239" s="6" t="s">
        <v>4396</v>
      </c>
      <c r="D1239" s="6" t="s">
        <v>204</v>
      </c>
      <c r="E1239" s="6" t="s">
        <v>16</v>
      </c>
      <c r="F1239" s="7">
        <v>45235</v>
      </c>
      <c r="G1239" s="6" t="s">
        <v>3102</v>
      </c>
      <c r="H1239" s="8">
        <v>300</v>
      </c>
      <c r="I1239" s="9">
        <v>755.04</v>
      </c>
      <c r="J1239" s="9">
        <v>64403.22</v>
      </c>
      <c r="K1239" s="5" t="str">
        <f>VLOOKUP(D1239,[1]Clientes!$A$1:$B$1370,2,0)</f>
        <v>CAN0044</v>
      </c>
      <c r="L1239" s="5" t="str">
        <f t="shared" si="38"/>
        <v>HGI0115734</v>
      </c>
      <c r="M1239" s="5" t="str">
        <f t="shared" si="39"/>
        <v>I</v>
      </c>
      <c r="N1239" s="5">
        <f>IF(G1239=[1]Clientes!$C$3,[1]Clientes!$D$3,[1]Clientes!$D$2)</f>
        <v>13050505</v>
      </c>
    </row>
    <row r="1240" spans="1:14">
      <c r="A1240" s="6" t="s">
        <v>7</v>
      </c>
      <c r="B1240" s="7">
        <v>45293</v>
      </c>
      <c r="C1240" s="6" t="s">
        <v>4397</v>
      </c>
      <c r="D1240" s="6" t="s">
        <v>204</v>
      </c>
      <c r="E1240" s="6" t="s">
        <v>16</v>
      </c>
      <c r="F1240" s="7">
        <v>45323</v>
      </c>
      <c r="G1240" s="6" t="s">
        <v>3102</v>
      </c>
      <c r="H1240" s="8">
        <v>212</v>
      </c>
      <c r="I1240" s="9">
        <v>81.36</v>
      </c>
      <c r="J1240" s="9">
        <v>542.4</v>
      </c>
      <c r="K1240" s="5" t="str">
        <f>VLOOKUP(D1240,[1]Clientes!$A$1:$B$1370,2,0)</f>
        <v>CAN0044</v>
      </c>
      <c r="L1240" s="5" t="str">
        <f t="shared" si="38"/>
        <v>HGI0118736</v>
      </c>
      <c r="M1240" s="5" t="str">
        <f t="shared" si="39"/>
        <v>I</v>
      </c>
      <c r="N1240" s="5">
        <f>IF(G1240=[1]Clientes!$C$3,[1]Clientes!$D$3,[1]Clientes!$D$2)</f>
        <v>13050505</v>
      </c>
    </row>
    <row r="1241" spans="1:14">
      <c r="A1241" s="6" t="s">
        <v>3099</v>
      </c>
      <c r="B1241" s="7">
        <v>45322</v>
      </c>
      <c r="C1241" s="6" t="s">
        <v>4398</v>
      </c>
      <c r="D1241" s="6" t="s">
        <v>204</v>
      </c>
      <c r="E1241" s="6" t="s">
        <v>16</v>
      </c>
      <c r="F1241" s="7">
        <v>45352</v>
      </c>
      <c r="G1241" s="6" t="s">
        <v>3102</v>
      </c>
      <c r="H1241" s="8">
        <v>183</v>
      </c>
      <c r="I1241" s="9">
        <v>-328.06</v>
      </c>
      <c r="J1241" s="9">
        <v>-328.06</v>
      </c>
      <c r="K1241" s="5" t="str">
        <f>VLOOKUP(D1241,[1]Clientes!$A$1:$B$1370,2,0)</f>
        <v>CAN0044</v>
      </c>
      <c r="L1241" s="5" t="str">
        <f t="shared" si="38"/>
        <v>CRM0120597</v>
      </c>
      <c r="M1241" s="5" t="str">
        <f t="shared" si="39"/>
        <v>C</v>
      </c>
      <c r="N1241" s="5">
        <f>IF(G1241=[1]Clientes!$C$3,[1]Clientes!$D$3,[1]Clientes!$D$2)</f>
        <v>13050505</v>
      </c>
    </row>
    <row r="1242" spans="1:14">
      <c r="A1242" s="6" t="s">
        <v>7</v>
      </c>
      <c r="B1242" s="7">
        <v>45338</v>
      </c>
      <c r="C1242" s="6" t="s">
        <v>4399</v>
      </c>
      <c r="D1242" s="6" t="s">
        <v>204</v>
      </c>
      <c r="E1242" s="6" t="s">
        <v>16</v>
      </c>
      <c r="F1242" s="7">
        <v>45368</v>
      </c>
      <c r="G1242" s="6" t="s">
        <v>3102</v>
      </c>
      <c r="H1242" s="8">
        <v>167</v>
      </c>
      <c r="I1242" s="9">
        <v>752</v>
      </c>
      <c r="J1242" s="9">
        <v>8400</v>
      </c>
      <c r="K1242" s="5" t="str">
        <f>VLOOKUP(D1242,[1]Clientes!$A$1:$B$1370,2,0)</f>
        <v>CAN0044</v>
      </c>
      <c r="L1242" s="5" t="str">
        <f t="shared" si="38"/>
        <v>HGI0120995</v>
      </c>
      <c r="M1242" s="5" t="str">
        <f t="shared" si="39"/>
        <v>I</v>
      </c>
      <c r="N1242" s="5">
        <f>IF(G1242=[1]Clientes!$C$3,[1]Clientes!$D$3,[1]Clientes!$D$2)</f>
        <v>13050505</v>
      </c>
    </row>
    <row r="1243" spans="1:14">
      <c r="A1243" s="6" t="s">
        <v>7</v>
      </c>
      <c r="B1243" s="7">
        <v>45352</v>
      </c>
      <c r="C1243" s="6" t="s">
        <v>4400</v>
      </c>
      <c r="D1243" s="6" t="s">
        <v>204</v>
      </c>
      <c r="E1243" s="6" t="s">
        <v>16</v>
      </c>
      <c r="F1243" s="7">
        <v>45382</v>
      </c>
      <c r="G1243" s="6" t="s">
        <v>3102</v>
      </c>
      <c r="H1243" s="8">
        <v>153</v>
      </c>
      <c r="I1243" s="9">
        <v>4176</v>
      </c>
      <c r="J1243" s="9">
        <v>4176</v>
      </c>
      <c r="K1243" s="5" t="str">
        <f>VLOOKUP(D1243,[1]Clientes!$A$1:$B$1370,2,0)</f>
        <v>CAN0044</v>
      </c>
      <c r="L1243" s="5" t="str">
        <f t="shared" si="38"/>
        <v>HGI0121401</v>
      </c>
      <c r="M1243" s="5" t="str">
        <f t="shared" si="39"/>
        <v>I</v>
      </c>
      <c r="N1243" s="5">
        <f>IF(G1243=[1]Clientes!$C$3,[1]Clientes!$D$3,[1]Clientes!$D$2)</f>
        <v>13050505</v>
      </c>
    </row>
    <row r="1244" spans="1:14">
      <c r="A1244" s="6" t="s">
        <v>7</v>
      </c>
      <c r="B1244" s="7">
        <v>45365</v>
      </c>
      <c r="C1244" s="6" t="s">
        <v>4401</v>
      </c>
      <c r="D1244" s="6" t="s">
        <v>204</v>
      </c>
      <c r="E1244" s="6" t="s">
        <v>16</v>
      </c>
      <c r="F1244" s="7">
        <v>45395</v>
      </c>
      <c r="G1244" s="6" t="s">
        <v>3102</v>
      </c>
      <c r="H1244" s="8">
        <v>140</v>
      </c>
      <c r="I1244" s="9">
        <v>14451.57</v>
      </c>
      <c r="J1244" s="9">
        <v>14451.57</v>
      </c>
      <c r="K1244" s="5" t="str">
        <f>VLOOKUP(D1244,[1]Clientes!$A$1:$B$1370,2,0)</f>
        <v>CAN0044</v>
      </c>
      <c r="L1244" s="5" t="str">
        <f t="shared" si="38"/>
        <v>HGI0122221</v>
      </c>
      <c r="M1244" s="5" t="str">
        <f t="shared" si="39"/>
        <v>I</v>
      </c>
      <c r="N1244" s="5">
        <f>IF(G1244=[1]Clientes!$C$3,[1]Clientes!$D$3,[1]Clientes!$D$2)</f>
        <v>13050505</v>
      </c>
    </row>
    <row r="1245" spans="1:14">
      <c r="A1245" s="6" t="s">
        <v>7</v>
      </c>
      <c r="B1245" s="7">
        <v>45382</v>
      </c>
      <c r="C1245" s="6" t="s">
        <v>4402</v>
      </c>
      <c r="D1245" s="6" t="s">
        <v>204</v>
      </c>
      <c r="E1245" s="6" t="s">
        <v>16</v>
      </c>
      <c r="F1245" s="7">
        <v>45412</v>
      </c>
      <c r="G1245" s="6" t="s">
        <v>3102</v>
      </c>
      <c r="H1245" s="8">
        <v>123</v>
      </c>
      <c r="I1245" s="9">
        <v>752</v>
      </c>
      <c r="J1245" s="9">
        <v>752</v>
      </c>
      <c r="K1245" s="5" t="str">
        <f>VLOOKUP(D1245,[1]Clientes!$A$1:$B$1370,2,0)</f>
        <v>CAN0044</v>
      </c>
      <c r="L1245" s="5" t="str">
        <f t="shared" si="38"/>
        <v>HGI0122654</v>
      </c>
      <c r="M1245" s="5" t="str">
        <f t="shared" si="39"/>
        <v>I</v>
      </c>
      <c r="N1245" s="5">
        <f>IF(G1245=[1]Clientes!$C$3,[1]Clientes!$D$3,[1]Clientes!$D$2)</f>
        <v>13050505</v>
      </c>
    </row>
    <row r="1246" spans="1:14">
      <c r="A1246" s="6" t="s">
        <v>7</v>
      </c>
      <c r="B1246" s="7">
        <v>45505</v>
      </c>
      <c r="C1246" s="6" t="s">
        <v>4403</v>
      </c>
      <c r="D1246" s="6" t="s">
        <v>204</v>
      </c>
      <c r="E1246" s="6" t="s">
        <v>16</v>
      </c>
      <c r="F1246" s="7">
        <v>45535</v>
      </c>
      <c r="G1246" s="6" t="s">
        <v>3102</v>
      </c>
      <c r="H1246" s="8"/>
      <c r="I1246" s="9">
        <v>12500</v>
      </c>
      <c r="J1246" s="9">
        <v>12500</v>
      </c>
      <c r="K1246" s="5" t="str">
        <f>VLOOKUP(D1246,[1]Clientes!$A$1:$B$1370,2,0)</f>
        <v>CAN0044</v>
      </c>
      <c r="L1246" s="5" t="str">
        <f t="shared" si="38"/>
        <v>HGI0126882</v>
      </c>
      <c r="M1246" s="5" t="str">
        <f t="shared" si="39"/>
        <v>I</v>
      </c>
      <c r="N1246" s="5">
        <f>IF(G1246=[1]Clientes!$C$3,[1]Clientes!$D$3,[1]Clientes!$D$2)</f>
        <v>13050505</v>
      </c>
    </row>
    <row r="1247" spans="1:14">
      <c r="A1247" s="6" t="s">
        <v>3099</v>
      </c>
      <c r="B1247" s="7">
        <v>45524</v>
      </c>
      <c r="C1247" s="6" t="s">
        <v>4404</v>
      </c>
      <c r="D1247" s="6" t="s">
        <v>204</v>
      </c>
      <c r="E1247" s="6" t="s">
        <v>16</v>
      </c>
      <c r="F1247" s="7">
        <v>45554</v>
      </c>
      <c r="G1247" s="6" t="s">
        <v>3102</v>
      </c>
      <c r="H1247" s="8"/>
      <c r="I1247" s="9">
        <v>-504</v>
      </c>
      <c r="J1247" s="9">
        <v>-504</v>
      </c>
      <c r="K1247" s="5" t="str">
        <f>VLOOKUP(D1247,[1]Clientes!$A$1:$B$1370,2,0)</f>
        <v>CAN0044</v>
      </c>
      <c r="L1247" s="5" t="str">
        <f t="shared" si="38"/>
        <v>CRM0126679</v>
      </c>
      <c r="M1247" s="5" t="str">
        <f t="shared" si="39"/>
        <v>C</v>
      </c>
      <c r="N1247" s="5">
        <f>IF(G1247=[1]Clientes!$C$3,[1]Clientes!$D$3,[1]Clientes!$D$2)</f>
        <v>13050505</v>
      </c>
    </row>
    <row r="1248" spans="1:14">
      <c r="A1248" s="6" t="s">
        <v>3099</v>
      </c>
      <c r="B1248" s="7">
        <v>45531</v>
      </c>
      <c r="C1248" s="6" t="s">
        <v>4405</v>
      </c>
      <c r="D1248" s="6" t="s">
        <v>204</v>
      </c>
      <c r="E1248" s="6" t="s">
        <v>16</v>
      </c>
      <c r="F1248" s="7">
        <v>45561</v>
      </c>
      <c r="G1248" s="6" t="s">
        <v>3102</v>
      </c>
      <c r="H1248" s="8"/>
      <c r="I1248" s="9">
        <v>-1744.16</v>
      </c>
      <c r="J1248" s="9">
        <v>-1744.16</v>
      </c>
      <c r="K1248" s="5" t="str">
        <f>VLOOKUP(D1248,[1]Clientes!$A$1:$B$1370,2,0)</f>
        <v>CAN0044</v>
      </c>
      <c r="L1248" s="5" t="str">
        <f t="shared" si="38"/>
        <v>CRM0126879</v>
      </c>
      <c r="M1248" s="5" t="str">
        <f t="shared" si="39"/>
        <v>C</v>
      </c>
      <c r="N1248" s="5">
        <f>IF(G1248=[1]Clientes!$C$3,[1]Clientes!$D$3,[1]Clientes!$D$2)</f>
        <v>13050505</v>
      </c>
    </row>
    <row r="1249" spans="1:14">
      <c r="A1249" s="6" t="s">
        <v>7</v>
      </c>
      <c r="B1249" s="7">
        <v>45363</v>
      </c>
      <c r="C1249" s="6" t="s">
        <v>4406</v>
      </c>
      <c r="D1249" s="6" t="s">
        <v>4407</v>
      </c>
      <c r="E1249" s="6" t="s">
        <v>16</v>
      </c>
      <c r="F1249" s="7">
        <v>45393</v>
      </c>
      <c r="G1249" s="6" t="s">
        <v>3102</v>
      </c>
      <c r="H1249" s="8">
        <v>142</v>
      </c>
      <c r="I1249" s="9">
        <v>596.64</v>
      </c>
      <c r="J1249" s="9">
        <v>894.96</v>
      </c>
      <c r="K1249" s="5" t="str">
        <f>VLOOKUP(D1249,[1]Clientes!$A$1:$B$1370,2,0)</f>
        <v>CAN0045</v>
      </c>
      <c r="L1249" s="5" t="str">
        <f t="shared" si="38"/>
        <v>HGI0121838</v>
      </c>
      <c r="M1249" s="5" t="str">
        <f t="shared" si="39"/>
        <v>I</v>
      </c>
      <c r="N1249" s="5">
        <f>IF(G1249=[1]Clientes!$C$3,[1]Clientes!$D$3,[1]Clientes!$D$2)</f>
        <v>13050505</v>
      </c>
    </row>
    <row r="1250" spans="1:14">
      <c r="A1250" s="6" t="s">
        <v>7</v>
      </c>
      <c r="B1250" s="7">
        <v>45531</v>
      </c>
      <c r="C1250" s="6" t="s">
        <v>4408</v>
      </c>
      <c r="D1250" s="6" t="s">
        <v>208</v>
      </c>
      <c r="E1250" s="6" t="s">
        <v>16</v>
      </c>
      <c r="F1250" s="7">
        <v>45561</v>
      </c>
      <c r="G1250" s="6" t="s">
        <v>3102</v>
      </c>
      <c r="H1250" s="8"/>
      <c r="I1250" s="9">
        <v>452</v>
      </c>
      <c r="J1250" s="9">
        <v>452</v>
      </c>
      <c r="K1250" s="5" t="str">
        <f>VLOOKUP(D1250,[1]Clientes!$A$1:$B$1370,2,0)</f>
        <v>CAN0046</v>
      </c>
      <c r="L1250" s="5" t="str">
        <f t="shared" si="38"/>
        <v>HGI0126900</v>
      </c>
      <c r="M1250" s="5" t="str">
        <f t="shared" si="39"/>
        <v>I</v>
      </c>
      <c r="N1250" s="5">
        <f>IF(G1250=[1]Clientes!$C$3,[1]Clientes!$D$3,[1]Clientes!$D$2)</f>
        <v>13050505</v>
      </c>
    </row>
    <row r="1251" spans="1:14">
      <c r="A1251" s="6" t="s">
        <v>3099</v>
      </c>
      <c r="B1251" s="7">
        <v>45428</v>
      </c>
      <c r="C1251" s="6" t="s">
        <v>4409</v>
      </c>
      <c r="D1251" s="6" t="s">
        <v>212</v>
      </c>
      <c r="E1251" s="6" t="s">
        <v>213</v>
      </c>
      <c r="F1251" s="7">
        <v>45428</v>
      </c>
      <c r="G1251" s="6" t="s">
        <v>3102</v>
      </c>
      <c r="H1251" s="8">
        <v>107</v>
      </c>
      <c r="I1251" s="9">
        <v>-12463.9</v>
      </c>
      <c r="J1251" s="9">
        <v>-12463.9</v>
      </c>
      <c r="K1251" s="5" t="str">
        <f>VLOOKUP(D1251,[1]Clientes!$A$1:$B$1370,2,0)</f>
        <v>CAN0048</v>
      </c>
      <c r="L1251" s="5" t="str">
        <f t="shared" si="38"/>
        <v>CRM0124376</v>
      </c>
      <c r="M1251" s="5" t="str">
        <f t="shared" si="39"/>
        <v>C</v>
      </c>
      <c r="N1251" s="5">
        <f>IF(G1251=[1]Clientes!$C$3,[1]Clientes!$D$3,[1]Clientes!$D$2)</f>
        <v>13050505</v>
      </c>
    </row>
    <row r="1252" spans="1:14">
      <c r="A1252" s="6" t="s">
        <v>7</v>
      </c>
      <c r="B1252" s="7">
        <v>45362</v>
      </c>
      <c r="C1252" s="6" t="s">
        <v>4410</v>
      </c>
      <c r="D1252" s="6" t="s">
        <v>1498</v>
      </c>
      <c r="E1252" s="6" t="s">
        <v>16</v>
      </c>
      <c r="F1252" s="7">
        <v>45392</v>
      </c>
      <c r="G1252" s="6" t="s">
        <v>3102</v>
      </c>
      <c r="H1252" s="8">
        <v>143</v>
      </c>
      <c r="I1252" s="9">
        <v>24.37</v>
      </c>
      <c r="J1252" s="9">
        <v>406.37</v>
      </c>
      <c r="K1252" s="5" t="str">
        <f>VLOOKUP(D1252,[1]Clientes!$A$1:$B$1370,2,0)</f>
        <v>NAC1200</v>
      </c>
      <c r="L1252" s="5" t="str">
        <f t="shared" si="38"/>
        <v>HGI0121740</v>
      </c>
      <c r="M1252" s="5" t="str">
        <f t="shared" si="39"/>
        <v>I</v>
      </c>
      <c r="N1252" s="5">
        <f>IF(G1252=[1]Clientes!$C$3,[1]Clientes!$D$3,[1]Clientes!$D$2)</f>
        <v>13050505</v>
      </c>
    </row>
    <row r="1253" spans="1:14">
      <c r="A1253" s="6" t="s">
        <v>7</v>
      </c>
      <c r="B1253" s="7">
        <v>45512</v>
      </c>
      <c r="C1253" s="6" t="s">
        <v>4411</v>
      </c>
      <c r="D1253" s="6" t="s">
        <v>4412</v>
      </c>
      <c r="E1253" s="6" t="s">
        <v>16</v>
      </c>
      <c r="F1253" s="7">
        <v>45542</v>
      </c>
      <c r="G1253" s="6" t="s">
        <v>3102</v>
      </c>
      <c r="H1253" s="8"/>
      <c r="I1253" s="9">
        <v>704</v>
      </c>
      <c r="J1253" s="9">
        <v>704</v>
      </c>
      <c r="K1253" s="5" t="str">
        <f>VLOOKUP(D1253,[1]Clientes!$A$1:$B$1370,2,0)</f>
        <v>NAC1202</v>
      </c>
      <c r="L1253" s="5" t="str">
        <f t="shared" si="38"/>
        <v>HGI0126326</v>
      </c>
      <c r="M1253" s="5" t="str">
        <f t="shared" si="39"/>
        <v>I</v>
      </c>
      <c r="N1253" s="5">
        <f>IF(G1253=[1]Clientes!$C$3,[1]Clientes!$D$3,[1]Clientes!$D$2)</f>
        <v>13050505</v>
      </c>
    </row>
    <row r="1254" spans="1:14">
      <c r="A1254" s="6" t="s">
        <v>3139</v>
      </c>
      <c r="B1254" s="7">
        <v>45499</v>
      </c>
      <c r="C1254" s="6"/>
      <c r="D1254" s="6" t="s">
        <v>1502</v>
      </c>
      <c r="E1254" s="6"/>
      <c r="F1254" s="7"/>
      <c r="G1254" s="6" t="s">
        <v>3102</v>
      </c>
      <c r="H1254" s="8"/>
      <c r="I1254" s="9">
        <v>-316.68</v>
      </c>
      <c r="J1254" s="9">
        <v>-316.68</v>
      </c>
      <c r="K1254" s="5" t="str">
        <f>VLOOKUP(D1254,[1]Clientes!$A$1:$B$1370,2,0)</f>
        <v>NAC1205</v>
      </c>
      <c r="L1254" s="5" t="str">
        <f t="shared" si="38"/>
        <v>Revisar</v>
      </c>
      <c r="M1254" s="5" t="str">
        <f t="shared" si="39"/>
        <v>P</v>
      </c>
      <c r="N1254" s="5">
        <f>IF(G1254=[1]Clientes!$C$3,[1]Clientes!$D$3,[1]Clientes!$D$2)</f>
        <v>13050505</v>
      </c>
    </row>
    <row r="1255" spans="1:14">
      <c r="A1255" s="6" t="s">
        <v>7</v>
      </c>
      <c r="B1255" s="7">
        <v>45496</v>
      </c>
      <c r="C1255" s="6" t="s">
        <v>4413</v>
      </c>
      <c r="D1255" s="6" t="s">
        <v>1504</v>
      </c>
      <c r="E1255" s="6" t="s">
        <v>16</v>
      </c>
      <c r="F1255" s="7">
        <v>45526</v>
      </c>
      <c r="G1255" s="6" t="s">
        <v>3102</v>
      </c>
      <c r="H1255" s="8">
        <v>9</v>
      </c>
      <c r="I1255" s="9">
        <v>1505.05</v>
      </c>
      <c r="J1255" s="9">
        <v>1505.05</v>
      </c>
      <c r="K1255" s="5" t="str">
        <f>VLOOKUP(D1255,[1]Clientes!$A$1:$B$1370,2,0)</f>
        <v>NAC1207</v>
      </c>
      <c r="L1255" s="5" t="str">
        <f t="shared" si="38"/>
        <v>HGI0125902</v>
      </c>
      <c r="M1255" s="5" t="str">
        <f t="shared" si="39"/>
        <v>I</v>
      </c>
      <c r="N1255" s="5">
        <f>IF(G1255=[1]Clientes!$C$3,[1]Clientes!$D$3,[1]Clientes!$D$2)</f>
        <v>13050505</v>
      </c>
    </row>
    <row r="1256" spans="1:14">
      <c r="A1256" s="6" t="s">
        <v>7</v>
      </c>
      <c r="B1256" s="7">
        <v>45475</v>
      </c>
      <c r="C1256" s="6" t="s">
        <v>4414</v>
      </c>
      <c r="D1256" s="6" t="s">
        <v>1510</v>
      </c>
      <c r="E1256" s="6" t="s">
        <v>16</v>
      </c>
      <c r="F1256" s="7">
        <v>45505</v>
      </c>
      <c r="G1256" s="6" t="s">
        <v>3102</v>
      </c>
      <c r="H1256" s="8">
        <v>30</v>
      </c>
      <c r="I1256" s="9">
        <v>5700</v>
      </c>
      <c r="J1256" s="9">
        <v>5700</v>
      </c>
      <c r="K1256" s="5" t="str">
        <f>VLOOKUP(D1256,[1]Clientes!$A$1:$B$1370,2,0)</f>
        <v>NAC1211</v>
      </c>
      <c r="L1256" s="5" t="str">
        <f t="shared" si="38"/>
        <v>HGI0125490</v>
      </c>
      <c r="M1256" s="5" t="str">
        <f t="shared" si="39"/>
        <v>I</v>
      </c>
      <c r="N1256" s="5">
        <f>IF(G1256=[1]Clientes!$C$3,[1]Clientes!$D$3,[1]Clientes!$D$2)</f>
        <v>13050505</v>
      </c>
    </row>
    <row r="1257" spans="1:14">
      <c r="A1257" s="6" t="s">
        <v>7</v>
      </c>
      <c r="B1257" s="7">
        <v>45489</v>
      </c>
      <c r="C1257" s="6" t="s">
        <v>4415</v>
      </c>
      <c r="D1257" s="6" t="s">
        <v>1510</v>
      </c>
      <c r="E1257" s="6" t="s">
        <v>16</v>
      </c>
      <c r="F1257" s="7">
        <v>45519</v>
      </c>
      <c r="G1257" s="6" t="s">
        <v>3102</v>
      </c>
      <c r="H1257" s="8">
        <v>16</v>
      </c>
      <c r="I1257" s="9">
        <v>22044</v>
      </c>
      <c r="J1257" s="9">
        <v>22044</v>
      </c>
      <c r="K1257" s="5" t="str">
        <f>VLOOKUP(D1257,[1]Clientes!$A$1:$B$1370,2,0)</f>
        <v>NAC1211</v>
      </c>
      <c r="L1257" s="5" t="str">
        <f t="shared" si="38"/>
        <v>HGI0125742</v>
      </c>
      <c r="M1257" s="5" t="str">
        <f t="shared" si="39"/>
        <v>I</v>
      </c>
      <c r="N1257" s="5">
        <f>IF(G1257=[1]Clientes!$C$3,[1]Clientes!$D$3,[1]Clientes!$D$2)</f>
        <v>13050505</v>
      </c>
    </row>
    <row r="1258" spans="1:14">
      <c r="A1258" s="6" t="s">
        <v>7</v>
      </c>
      <c r="B1258" s="7">
        <v>45490</v>
      </c>
      <c r="C1258" s="6" t="s">
        <v>4416</v>
      </c>
      <c r="D1258" s="6" t="s">
        <v>1510</v>
      </c>
      <c r="E1258" s="6" t="s">
        <v>16</v>
      </c>
      <c r="F1258" s="7">
        <v>45520</v>
      </c>
      <c r="G1258" s="6" t="s">
        <v>3102</v>
      </c>
      <c r="H1258" s="8">
        <v>15</v>
      </c>
      <c r="I1258" s="9">
        <v>134</v>
      </c>
      <c r="J1258" s="9">
        <v>134</v>
      </c>
      <c r="K1258" s="5" t="str">
        <f>VLOOKUP(D1258,[1]Clientes!$A$1:$B$1370,2,0)</f>
        <v>NAC1211</v>
      </c>
      <c r="L1258" s="5" t="str">
        <f t="shared" si="38"/>
        <v>HGI0125750</v>
      </c>
      <c r="M1258" s="5" t="str">
        <f t="shared" si="39"/>
        <v>I</v>
      </c>
      <c r="N1258" s="5">
        <f>IF(G1258=[1]Clientes!$C$3,[1]Clientes!$D$3,[1]Clientes!$D$2)</f>
        <v>13050505</v>
      </c>
    </row>
    <row r="1259" spans="1:14">
      <c r="A1259" s="6" t="s">
        <v>7</v>
      </c>
      <c r="B1259" s="7">
        <v>45492</v>
      </c>
      <c r="C1259" s="6" t="s">
        <v>4417</v>
      </c>
      <c r="D1259" s="6" t="s">
        <v>1510</v>
      </c>
      <c r="E1259" s="6" t="s">
        <v>16</v>
      </c>
      <c r="F1259" s="7">
        <v>45522</v>
      </c>
      <c r="G1259" s="6" t="s">
        <v>3102</v>
      </c>
      <c r="H1259" s="8">
        <v>13</v>
      </c>
      <c r="I1259" s="9">
        <v>207</v>
      </c>
      <c r="J1259" s="9">
        <v>207</v>
      </c>
      <c r="K1259" s="5" t="str">
        <f>VLOOKUP(D1259,[1]Clientes!$A$1:$B$1370,2,0)</f>
        <v>NAC1211</v>
      </c>
      <c r="L1259" s="5" t="str">
        <f t="shared" si="38"/>
        <v>HGI0125860</v>
      </c>
      <c r="M1259" s="5" t="str">
        <f t="shared" si="39"/>
        <v>I</v>
      </c>
      <c r="N1259" s="5">
        <f>IF(G1259=[1]Clientes!$C$3,[1]Clientes!$D$3,[1]Clientes!$D$2)</f>
        <v>13050505</v>
      </c>
    </row>
    <row r="1260" spans="1:14">
      <c r="A1260" s="6" t="s">
        <v>7</v>
      </c>
      <c r="B1260" s="7">
        <v>45492</v>
      </c>
      <c r="C1260" s="6" t="s">
        <v>4418</v>
      </c>
      <c r="D1260" s="6" t="s">
        <v>1510</v>
      </c>
      <c r="E1260" s="6" t="s">
        <v>16</v>
      </c>
      <c r="F1260" s="7">
        <v>45522</v>
      </c>
      <c r="G1260" s="6" t="s">
        <v>3102</v>
      </c>
      <c r="H1260" s="8">
        <v>13</v>
      </c>
      <c r="I1260" s="9">
        <v>207</v>
      </c>
      <c r="J1260" s="9">
        <v>207</v>
      </c>
      <c r="K1260" s="5" t="str">
        <f>VLOOKUP(D1260,[1]Clientes!$A$1:$B$1370,2,0)</f>
        <v>NAC1211</v>
      </c>
      <c r="L1260" s="5" t="str">
        <f t="shared" si="38"/>
        <v>HGI0125869</v>
      </c>
      <c r="M1260" s="5" t="str">
        <f t="shared" si="39"/>
        <v>I</v>
      </c>
      <c r="N1260" s="5">
        <f>IF(G1260=[1]Clientes!$C$3,[1]Clientes!$D$3,[1]Clientes!$D$2)</f>
        <v>13050505</v>
      </c>
    </row>
    <row r="1261" spans="1:14">
      <c r="A1261" s="6" t="s">
        <v>3099</v>
      </c>
      <c r="B1261" s="7">
        <v>45496</v>
      </c>
      <c r="C1261" s="6" t="s">
        <v>4419</v>
      </c>
      <c r="D1261" s="6" t="s">
        <v>1510</v>
      </c>
      <c r="E1261" s="6" t="s">
        <v>16</v>
      </c>
      <c r="F1261" s="7">
        <v>45526</v>
      </c>
      <c r="G1261" s="6" t="s">
        <v>3102</v>
      </c>
      <c r="H1261" s="8">
        <v>9</v>
      </c>
      <c r="I1261" s="9">
        <v>-4702.72</v>
      </c>
      <c r="J1261" s="9">
        <v>-4702.72</v>
      </c>
      <c r="K1261" s="5" t="str">
        <f>VLOOKUP(D1261,[1]Clientes!$A$1:$B$1370,2,0)</f>
        <v>NAC1211</v>
      </c>
      <c r="L1261" s="5" t="str">
        <f t="shared" si="38"/>
        <v>CRM0125876</v>
      </c>
      <c r="M1261" s="5" t="str">
        <f t="shared" si="39"/>
        <v>C</v>
      </c>
      <c r="N1261" s="5">
        <f>IF(G1261=[1]Clientes!$C$3,[1]Clientes!$D$3,[1]Clientes!$D$2)</f>
        <v>13050505</v>
      </c>
    </row>
    <row r="1262" spans="1:14">
      <c r="A1262" s="6" t="s">
        <v>7</v>
      </c>
      <c r="B1262" s="7">
        <v>45496</v>
      </c>
      <c r="C1262" s="6" t="s">
        <v>4420</v>
      </c>
      <c r="D1262" s="6" t="s">
        <v>1510</v>
      </c>
      <c r="E1262" s="6" t="s">
        <v>16</v>
      </c>
      <c r="F1262" s="7">
        <v>45526</v>
      </c>
      <c r="G1262" s="6" t="s">
        <v>3102</v>
      </c>
      <c r="H1262" s="8">
        <v>9</v>
      </c>
      <c r="I1262" s="9">
        <v>3709.44</v>
      </c>
      <c r="J1262" s="9">
        <v>3709.44</v>
      </c>
      <c r="K1262" s="5" t="str">
        <f>VLOOKUP(D1262,[1]Clientes!$A$1:$B$1370,2,0)</f>
        <v>NAC1211</v>
      </c>
      <c r="L1262" s="5" t="str">
        <f t="shared" si="38"/>
        <v>HGI0125901</v>
      </c>
      <c r="M1262" s="5" t="str">
        <f t="shared" si="39"/>
        <v>I</v>
      </c>
      <c r="N1262" s="5">
        <f>IF(G1262=[1]Clientes!$C$3,[1]Clientes!$D$3,[1]Clientes!$D$2)</f>
        <v>13050505</v>
      </c>
    </row>
    <row r="1263" spans="1:14">
      <c r="A1263" s="6" t="s">
        <v>7</v>
      </c>
      <c r="B1263" s="7">
        <v>45497</v>
      </c>
      <c r="C1263" s="6" t="s">
        <v>4421</v>
      </c>
      <c r="D1263" s="6" t="s">
        <v>1510</v>
      </c>
      <c r="E1263" s="6" t="s">
        <v>16</v>
      </c>
      <c r="F1263" s="7">
        <v>45527</v>
      </c>
      <c r="G1263" s="6" t="s">
        <v>3102</v>
      </c>
      <c r="H1263" s="8">
        <v>8</v>
      </c>
      <c r="I1263" s="9">
        <v>2737.92</v>
      </c>
      <c r="J1263" s="9">
        <v>2737.92</v>
      </c>
      <c r="K1263" s="5" t="str">
        <f>VLOOKUP(D1263,[1]Clientes!$A$1:$B$1370,2,0)</f>
        <v>NAC1211</v>
      </c>
      <c r="L1263" s="5" t="str">
        <f t="shared" si="38"/>
        <v>HGI0125910</v>
      </c>
      <c r="M1263" s="5" t="str">
        <f t="shared" si="39"/>
        <v>I</v>
      </c>
      <c r="N1263" s="5">
        <f>IF(G1263=[1]Clientes!$C$3,[1]Clientes!$D$3,[1]Clientes!$D$2)</f>
        <v>13050505</v>
      </c>
    </row>
    <row r="1264" spans="1:14">
      <c r="A1264" s="6" t="s">
        <v>7</v>
      </c>
      <c r="B1264" s="7">
        <v>45498</v>
      </c>
      <c r="C1264" s="6" t="s">
        <v>4422</v>
      </c>
      <c r="D1264" s="6" t="s">
        <v>1510</v>
      </c>
      <c r="E1264" s="6" t="s">
        <v>16</v>
      </c>
      <c r="F1264" s="7">
        <v>45528</v>
      </c>
      <c r="G1264" s="6" t="s">
        <v>3102</v>
      </c>
      <c r="H1264" s="8">
        <v>7</v>
      </c>
      <c r="I1264" s="9">
        <v>7290</v>
      </c>
      <c r="J1264" s="9">
        <v>7290</v>
      </c>
      <c r="K1264" s="5" t="str">
        <f>VLOOKUP(D1264,[1]Clientes!$A$1:$B$1370,2,0)</f>
        <v>NAC1211</v>
      </c>
      <c r="L1264" s="5" t="str">
        <f t="shared" si="38"/>
        <v>HGI0125947</v>
      </c>
      <c r="M1264" s="5" t="str">
        <f t="shared" si="39"/>
        <v>I</v>
      </c>
      <c r="N1264" s="5">
        <f>IF(G1264=[1]Clientes!$C$3,[1]Clientes!$D$3,[1]Clientes!$D$2)</f>
        <v>13050505</v>
      </c>
    </row>
    <row r="1265" spans="1:14">
      <c r="A1265" s="6" t="s">
        <v>7</v>
      </c>
      <c r="B1265" s="7">
        <v>45505</v>
      </c>
      <c r="C1265" s="6" t="s">
        <v>4423</v>
      </c>
      <c r="D1265" s="6" t="s">
        <v>1510</v>
      </c>
      <c r="E1265" s="6" t="s">
        <v>16</v>
      </c>
      <c r="F1265" s="7">
        <v>45535</v>
      </c>
      <c r="G1265" s="6" t="s">
        <v>3102</v>
      </c>
      <c r="H1265" s="8"/>
      <c r="I1265" s="9">
        <v>6972.24</v>
      </c>
      <c r="J1265" s="9">
        <v>6972.24</v>
      </c>
      <c r="K1265" s="5" t="str">
        <f>VLOOKUP(D1265,[1]Clientes!$A$1:$B$1370,2,0)</f>
        <v>NAC1211</v>
      </c>
      <c r="L1265" s="5" t="str">
        <f t="shared" si="38"/>
        <v>HGI0126122</v>
      </c>
      <c r="M1265" s="5" t="str">
        <f t="shared" si="39"/>
        <v>I</v>
      </c>
      <c r="N1265" s="5">
        <f>IF(G1265=[1]Clientes!$C$3,[1]Clientes!$D$3,[1]Clientes!$D$2)</f>
        <v>13050505</v>
      </c>
    </row>
    <row r="1266" spans="1:14">
      <c r="A1266" s="6" t="s">
        <v>7</v>
      </c>
      <c r="B1266" s="7">
        <v>45509</v>
      </c>
      <c r="C1266" s="6" t="s">
        <v>4424</v>
      </c>
      <c r="D1266" s="6" t="s">
        <v>1510</v>
      </c>
      <c r="E1266" s="6" t="s">
        <v>16</v>
      </c>
      <c r="F1266" s="7">
        <v>45539</v>
      </c>
      <c r="G1266" s="6" t="s">
        <v>3102</v>
      </c>
      <c r="H1266" s="8"/>
      <c r="I1266" s="9">
        <v>46652</v>
      </c>
      <c r="J1266" s="9">
        <v>46652</v>
      </c>
      <c r="K1266" s="5" t="str">
        <f>VLOOKUP(D1266,[1]Clientes!$A$1:$B$1370,2,0)</f>
        <v>NAC1211</v>
      </c>
      <c r="L1266" s="5" t="str">
        <f t="shared" si="38"/>
        <v>HGI0126190</v>
      </c>
      <c r="M1266" s="5" t="str">
        <f t="shared" si="39"/>
        <v>I</v>
      </c>
      <c r="N1266" s="5">
        <f>IF(G1266=[1]Clientes!$C$3,[1]Clientes!$D$3,[1]Clientes!$D$2)</f>
        <v>13050505</v>
      </c>
    </row>
    <row r="1267" spans="1:14">
      <c r="A1267" s="6" t="s">
        <v>7</v>
      </c>
      <c r="B1267" s="7">
        <v>45510</v>
      </c>
      <c r="C1267" s="6" t="s">
        <v>4425</v>
      </c>
      <c r="D1267" s="6" t="s">
        <v>1510</v>
      </c>
      <c r="E1267" s="6" t="s">
        <v>16</v>
      </c>
      <c r="F1267" s="7">
        <v>45540</v>
      </c>
      <c r="G1267" s="6" t="s">
        <v>3102</v>
      </c>
      <c r="H1267" s="8"/>
      <c r="I1267" s="9">
        <v>1021.8</v>
      </c>
      <c r="J1267" s="9">
        <v>1021.8</v>
      </c>
      <c r="K1267" s="5" t="str">
        <f>VLOOKUP(D1267,[1]Clientes!$A$1:$B$1370,2,0)</f>
        <v>NAC1211</v>
      </c>
      <c r="L1267" s="5" t="str">
        <f t="shared" si="38"/>
        <v>HGI0126249</v>
      </c>
      <c r="M1267" s="5" t="str">
        <f t="shared" si="39"/>
        <v>I</v>
      </c>
      <c r="N1267" s="5">
        <f>IF(G1267=[1]Clientes!$C$3,[1]Clientes!$D$3,[1]Clientes!$D$2)</f>
        <v>13050505</v>
      </c>
    </row>
    <row r="1268" spans="1:14">
      <c r="A1268" s="6" t="s">
        <v>7</v>
      </c>
      <c r="B1268" s="7">
        <v>45516</v>
      </c>
      <c r="C1268" s="6" t="s">
        <v>4426</v>
      </c>
      <c r="D1268" s="6" t="s">
        <v>1510</v>
      </c>
      <c r="E1268" s="6" t="s">
        <v>16</v>
      </c>
      <c r="F1268" s="7">
        <v>45546</v>
      </c>
      <c r="G1268" s="6" t="s">
        <v>3102</v>
      </c>
      <c r="H1268" s="8"/>
      <c r="I1268" s="9">
        <v>18400</v>
      </c>
      <c r="J1268" s="9">
        <v>18400</v>
      </c>
      <c r="K1268" s="5" t="str">
        <f>VLOOKUP(D1268,[1]Clientes!$A$1:$B$1370,2,0)</f>
        <v>NAC1211</v>
      </c>
      <c r="L1268" s="5" t="str">
        <f t="shared" si="38"/>
        <v>HGI0126383</v>
      </c>
      <c r="M1268" s="5" t="str">
        <f t="shared" si="39"/>
        <v>I</v>
      </c>
      <c r="N1268" s="5">
        <f>IF(G1268=[1]Clientes!$C$3,[1]Clientes!$D$3,[1]Clientes!$D$2)</f>
        <v>13050505</v>
      </c>
    </row>
    <row r="1269" spans="1:14">
      <c r="A1269" s="6" t="s">
        <v>7</v>
      </c>
      <c r="B1269" s="7">
        <v>45517</v>
      </c>
      <c r="C1269" s="6" t="s">
        <v>4427</v>
      </c>
      <c r="D1269" s="6" t="s">
        <v>1510</v>
      </c>
      <c r="E1269" s="6" t="s">
        <v>16</v>
      </c>
      <c r="F1269" s="7">
        <v>45547</v>
      </c>
      <c r="G1269" s="6" t="s">
        <v>3102</v>
      </c>
      <c r="H1269" s="8"/>
      <c r="I1269" s="9">
        <v>3166.32</v>
      </c>
      <c r="J1269" s="9">
        <v>3166.32</v>
      </c>
      <c r="K1269" s="5" t="str">
        <f>VLOOKUP(D1269,[1]Clientes!$A$1:$B$1370,2,0)</f>
        <v>NAC1211</v>
      </c>
      <c r="L1269" s="5" t="str">
        <f t="shared" si="38"/>
        <v>HGI0126438</v>
      </c>
      <c r="M1269" s="5" t="str">
        <f t="shared" si="39"/>
        <v>I</v>
      </c>
      <c r="N1269" s="5">
        <f>IF(G1269=[1]Clientes!$C$3,[1]Clientes!$D$3,[1]Clientes!$D$2)</f>
        <v>13050505</v>
      </c>
    </row>
    <row r="1270" spans="1:14">
      <c r="A1270" s="6" t="s">
        <v>7</v>
      </c>
      <c r="B1270" s="7">
        <v>45517</v>
      </c>
      <c r="C1270" s="6" t="s">
        <v>4428</v>
      </c>
      <c r="D1270" s="6" t="s">
        <v>1510</v>
      </c>
      <c r="E1270" s="6" t="s">
        <v>16</v>
      </c>
      <c r="F1270" s="7">
        <v>45547</v>
      </c>
      <c r="G1270" s="6" t="s">
        <v>3102</v>
      </c>
      <c r="H1270" s="8"/>
      <c r="I1270" s="9">
        <v>1104</v>
      </c>
      <c r="J1270" s="9">
        <v>1104</v>
      </c>
      <c r="K1270" s="5" t="str">
        <f>VLOOKUP(D1270,[1]Clientes!$A$1:$B$1370,2,0)</f>
        <v>NAC1211</v>
      </c>
      <c r="L1270" s="5" t="str">
        <f t="shared" si="38"/>
        <v>HGI0126447</v>
      </c>
      <c r="M1270" s="5" t="str">
        <f t="shared" si="39"/>
        <v>I</v>
      </c>
      <c r="N1270" s="5">
        <f>IF(G1270=[1]Clientes!$C$3,[1]Clientes!$D$3,[1]Clientes!$D$2)</f>
        <v>13050505</v>
      </c>
    </row>
    <row r="1271" spans="1:14">
      <c r="A1271" s="6" t="s">
        <v>7</v>
      </c>
      <c r="B1271" s="7">
        <v>45520</v>
      </c>
      <c r="C1271" s="6" t="s">
        <v>4429</v>
      </c>
      <c r="D1271" s="6" t="s">
        <v>1510</v>
      </c>
      <c r="E1271" s="6" t="s">
        <v>16</v>
      </c>
      <c r="F1271" s="7">
        <v>45550</v>
      </c>
      <c r="G1271" s="6" t="s">
        <v>3102</v>
      </c>
      <c r="H1271" s="8"/>
      <c r="I1271" s="9">
        <v>1332</v>
      </c>
      <c r="J1271" s="9">
        <v>1332</v>
      </c>
      <c r="K1271" s="5" t="str">
        <f>VLOOKUP(D1271,[1]Clientes!$A$1:$B$1370,2,0)</f>
        <v>NAC1211</v>
      </c>
      <c r="L1271" s="5" t="str">
        <f t="shared" si="38"/>
        <v>HGI0126601</v>
      </c>
      <c r="M1271" s="5" t="str">
        <f t="shared" si="39"/>
        <v>I</v>
      </c>
      <c r="N1271" s="5">
        <f>IF(G1271=[1]Clientes!$C$3,[1]Clientes!$D$3,[1]Clientes!$D$2)</f>
        <v>13050505</v>
      </c>
    </row>
    <row r="1272" spans="1:14">
      <c r="A1272" s="6" t="s">
        <v>7</v>
      </c>
      <c r="B1272" s="7">
        <v>45527</v>
      </c>
      <c r="C1272" s="6" t="s">
        <v>4430</v>
      </c>
      <c r="D1272" s="6" t="s">
        <v>1510</v>
      </c>
      <c r="E1272" s="6" t="s">
        <v>16</v>
      </c>
      <c r="F1272" s="7">
        <v>45557</v>
      </c>
      <c r="G1272" s="6" t="s">
        <v>3102</v>
      </c>
      <c r="H1272" s="8"/>
      <c r="I1272" s="9">
        <v>1021.8</v>
      </c>
      <c r="J1272" s="9">
        <v>1021.8</v>
      </c>
      <c r="K1272" s="5" t="str">
        <f>VLOOKUP(D1272,[1]Clientes!$A$1:$B$1370,2,0)</f>
        <v>NAC1211</v>
      </c>
      <c r="L1272" s="5" t="str">
        <f t="shared" si="38"/>
        <v>HGI0126812</v>
      </c>
      <c r="M1272" s="5" t="str">
        <f t="shared" si="39"/>
        <v>I</v>
      </c>
      <c r="N1272" s="5">
        <f>IF(G1272=[1]Clientes!$C$3,[1]Clientes!$D$3,[1]Clientes!$D$2)</f>
        <v>13050505</v>
      </c>
    </row>
    <row r="1273" spans="1:14">
      <c r="A1273" s="6" t="s">
        <v>7</v>
      </c>
      <c r="B1273" s="7">
        <v>45527</v>
      </c>
      <c r="C1273" s="6" t="s">
        <v>4431</v>
      </c>
      <c r="D1273" s="6" t="s">
        <v>1510</v>
      </c>
      <c r="E1273" s="6" t="s">
        <v>16</v>
      </c>
      <c r="F1273" s="7">
        <v>45557</v>
      </c>
      <c r="G1273" s="6" t="s">
        <v>3102</v>
      </c>
      <c r="H1273" s="8"/>
      <c r="I1273" s="9">
        <v>612</v>
      </c>
      <c r="J1273" s="9">
        <v>612</v>
      </c>
      <c r="K1273" s="5" t="str">
        <f>VLOOKUP(D1273,[1]Clientes!$A$1:$B$1370,2,0)</f>
        <v>NAC1211</v>
      </c>
      <c r="L1273" s="5" t="str">
        <f t="shared" si="38"/>
        <v>HGI0126819</v>
      </c>
      <c r="M1273" s="5" t="str">
        <f t="shared" si="39"/>
        <v>I</v>
      </c>
      <c r="N1273" s="5">
        <f>IF(G1273=[1]Clientes!$C$3,[1]Clientes!$D$3,[1]Clientes!$D$2)</f>
        <v>13050505</v>
      </c>
    </row>
    <row r="1274" spans="1:14">
      <c r="A1274" s="6" t="s">
        <v>7</v>
      </c>
      <c r="B1274" s="7">
        <v>45527</v>
      </c>
      <c r="C1274" s="6" t="s">
        <v>4432</v>
      </c>
      <c r="D1274" s="6" t="s">
        <v>1510</v>
      </c>
      <c r="E1274" s="6" t="s">
        <v>16</v>
      </c>
      <c r="F1274" s="7">
        <v>45557</v>
      </c>
      <c r="G1274" s="6" t="s">
        <v>3102</v>
      </c>
      <c r="H1274" s="8"/>
      <c r="I1274" s="9">
        <v>2844</v>
      </c>
      <c r="J1274" s="9">
        <v>2844</v>
      </c>
      <c r="K1274" s="5" t="str">
        <f>VLOOKUP(D1274,[1]Clientes!$A$1:$B$1370,2,0)</f>
        <v>NAC1211</v>
      </c>
      <c r="L1274" s="5" t="str">
        <f t="shared" si="38"/>
        <v>HGI0126843</v>
      </c>
      <c r="M1274" s="5" t="str">
        <f t="shared" si="39"/>
        <v>I</v>
      </c>
      <c r="N1274" s="5">
        <f>IF(G1274=[1]Clientes!$C$3,[1]Clientes!$D$3,[1]Clientes!$D$2)</f>
        <v>13050505</v>
      </c>
    </row>
    <row r="1275" spans="1:14">
      <c r="A1275" s="6" t="s">
        <v>3099</v>
      </c>
      <c r="B1275" s="7">
        <v>45528</v>
      </c>
      <c r="C1275" s="6" t="s">
        <v>4433</v>
      </c>
      <c r="D1275" s="6" t="s">
        <v>1510</v>
      </c>
      <c r="E1275" s="6" t="s">
        <v>16</v>
      </c>
      <c r="F1275" s="7">
        <v>45558</v>
      </c>
      <c r="G1275" s="6" t="s">
        <v>3102</v>
      </c>
      <c r="H1275" s="8"/>
      <c r="I1275" s="9">
        <v>-161.28</v>
      </c>
      <c r="J1275" s="9">
        <v>-161.28</v>
      </c>
      <c r="K1275" s="5" t="str">
        <f>VLOOKUP(D1275,[1]Clientes!$A$1:$B$1370,2,0)</f>
        <v>NAC1211</v>
      </c>
      <c r="L1275" s="5" t="str">
        <f t="shared" si="38"/>
        <v>CRM0126831</v>
      </c>
      <c r="M1275" s="5" t="str">
        <f t="shared" si="39"/>
        <v>C</v>
      </c>
      <c r="N1275" s="5">
        <f>IF(G1275=[1]Clientes!$C$3,[1]Clientes!$D$3,[1]Clientes!$D$2)</f>
        <v>13050505</v>
      </c>
    </row>
    <row r="1276" spans="1:14">
      <c r="A1276" s="6" t="s">
        <v>7</v>
      </c>
      <c r="B1276" s="7">
        <v>45530</v>
      </c>
      <c r="C1276" s="6" t="s">
        <v>4434</v>
      </c>
      <c r="D1276" s="6" t="s">
        <v>1510</v>
      </c>
      <c r="E1276" s="6" t="s">
        <v>16</v>
      </c>
      <c r="F1276" s="7">
        <v>45560</v>
      </c>
      <c r="G1276" s="6" t="s">
        <v>3102</v>
      </c>
      <c r="H1276" s="8"/>
      <c r="I1276" s="9">
        <v>414</v>
      </c>
      <c r="J1276" s="9">
        <v>414</v>
      </c>
      <c r="K1276" s="5" t="str">
        <f>VLOOKUP(D1276,[1]Clientes!$A$1:$B$1370,2,0)</f>
        <v>NAC1211</v>
      </c>
      <c r="L1276" s="5" t="str">
        <f t="shared" si="38"/>
        <v>HGI0126863</v>
      </c>
      <c r="M1276" s="5" t="str">
        <f t="shared" si="39"/>
        <v>I</v>
      </c>
      <c r="N1276" s="5">
        <f>IF(G1276=[1]Clientes!$C$3,[1]Clientes!$D$3,[1]Clientes!$D$2)</f>
        <v>13050505</v>
      </c>
    </row>
    <row r="1277" spans="1:14">
      <c r="A1277" s="6" t="s">
        <v>7</v>
      </c>
      <c r="B1277" s="7">
        <v>45530</v>
      </c>
      <c r="C1277" s="6" t="s">
        <v>4435</v>
      </c>
      <c r="D1277" s="6" t="s">
        <v>1510</v>
      </c>
      <c r="E1277" s="6" t="s">
        <v>16</v>
      </c>
      <c r="F1277" s="7">
        <v>45560</v>
      </c>
      <c r="G1277" s="6" t="s">
        <v>3102</v>
      </c>
      <c r="H1277" s="8"/>
      <c r="I1277" s="9">
        <v>796.32</v>
      </c>
      <c r="J1277" s="9">
        <v>796.32</v>
      </c>
      <c r="K1277" s="5" t="str">
        <f>VLOOKUP(D1277,[1]Clientes!$A$1:$B$1370,2,0)</f>
        <v>NAC1211</v>
      </c>
      <c r="L1277" s="5" t="str">
        <f t="shared" si="38"/>
        <v>HGI0126867</v>
      </c>
      <c r="M1277" s="5" t="str">
        <f t="shared" si="39"/>
        <v>I</v>
      </c>
      <c r="N1277" s="5">
        <f>IF(G1277=[1]Clientes!$C$3,[1]Clientes!$D$3,[1]Clientes!$D$2)</f>
        <v>13050505</v>
      </c>
    </row>
    <row r="1278" spans="1:14">
      <c r="A1278" s="6" t="s">
        <v>7</v>
      </c>
      <c r="B1278" s="7">
        <v>45531</v>
      </c>
      <c r="C1278" s="6" t="s">
        <v>4436</v>
      </c>
      <c r="D1278" s="6" t="s">
        <v>1510</v>
      </c>
      <c r="E1278" s="6" t="s">
        <v>16</v>
      </c>
      <c r="F1278" s="7">
        <v>45561</v>
      </c>
      <c r="G1278" s="6" t="s">
        <v>3102</v>
      </c>
      <c r="H1278" s="8"/>
      <c r="I1278" s="9">
        <v>2406</v>
      </c>
      <c r="J1278" s="9">
        <v>2406</v>
      </c>
      <c r="K1278" s="5" t="str">
        <f>VLOOKUP(D1278,[1]Clientes!$A$1:$B$1370,2,0)</f>
        <v>NAC1211</v>
      </c>
      <c r="L1278" s="5" t="str">
        <f t="shared" si="38"/>
        <v>HGI0126952</v>
      </c>
      <c r="M1278" s="5" t="str">
        <f t="shared" si="39"/>
        <v>I</v>
      </c>
      <c r="N1278" s="5">
        <f>IF(G1278=[1]Clientes!$C$3,[1]Clientes!$D$3,[1]Clientes!$D$2)</f>
        <v>13050505</v>
      </c>
    </row>
    <row r="1279" spans="1:14">
      <c r="A1279" s="6" t="s">
        <v>7</v>
      </c>
      <c r="B1279" s="7">
        <v>45532</v>
      </c>
      <c r="C1279" s="6" t="s">
        <v>4437</v>
      </c>
      <c r="D1279" s="6" t="s">
        <v>1510</v>
      </c>
      <c r="E1279" s="6" t="s">
        <v>16</v>
      </c>
      <c r="F1279" s="7">
        <v>45562</v>
      </c>
      <c r="G1279" s="6" t="s">
        <v>3102</v>
      </c>
      <c r="H1279" s="8"/>
      <c r="I1279" s="9">
        <v>4773.6000000000004</v>
      </c>
      <c r="J1279" s="9">
        <v>4773.6000000000004</v>
      </c>
      <c r="K1279" s="5" t="str">
        <f>VLOOKUP(D1279,[1]Clientes!$A$1:$B$1370,2,0)</f>
        <v>NAC1211</v>
      </c>
      <c r="L1279" s="5" t="str">
        <f t="shared" si="38"/>
        <v>HGI0126997</v>
      </c>
      <c r="M1279" s="5" t="str">
        <f t="shared" si="39"/>
        <v>I</v>
      </c>
      <c r="N1279" s="5">
        <f>IF(G1279=[1]Clientes!$C$3,[1]Clientes!$D$3,[1]Clientes!$D$2)</f>
        <v>13050505</v>
      </c>
    </row>
    <row r="1280" spans="1:14">
      <c r="A1280" s="6" t="s">
        <v>7</v>
      </c>
      <c r="B1280" s="7">
        <v>45532</v>
      </c>
      <c r="C1280" s="6" t="s">
        <v>4438</v>
      </c>
      <c r="D1280" s="6" t="s">
        <v>1510</v>
      </c>
      <c r="E1280" s="6" t="s">
        <v>16</v>
      </c>
      <c r="F1280" s="7">
        <v>45562</v>
      </c>
      <c r="G1280" s="6" t="s">
        <v>3102</v>
      </c>
      <c r="H1280" s="8"/>
      <c r="I1280" s="9">
        <v>276</v>
      </c>
      <c r="J1280" s="9">
        <v>276</v>
      </c>
      <c r="K1280" s="5" t="str">
        <f>VLOOKUP(D1280,[1]Clientes!$A$1:$B$1370,2,0)</f>
        <v>NAC1211</v>
      </c>
      <c r="L1280" s="5" t="str">
        <f t="shared" si="38"/>
        <v>HGI0127003</v>
      </c>
      <c r="M1280" s="5" t="str">
        <f t="shared" si="39"/>
        <v>I</v>
      </c>
      <c r="N1280" s="5">
        <f>IF(G1280=[1]Clientes!$C$3,[1]Clientes!$D$3,[1]Clientes!$D$2)</f>
        <v>13050505</v>
      </c>
    </row>
    <row r="1281" spans="1:14">
      <c r="A1281" s="6" t="s">
        <v>7</v>
      </c>
      <c r="B1281" s="7">
        <v>45532</v>
      </c>
      <c r="C1281" s="6" t="s">
        <v>4439</v>
      </c>
      <c r="D1281" s="6" t="s">
        <v>1510</v>
      </c>
      <c r="E1281" s="6" t="s">
        <v>16</v>
      </c>
      <c r="F1281" s="7">
        <v>45562</v>
      </c>
      <c r="G1281" s="6" t="s">
        <v>3102</v>
      </c>
      <c r="H1281" s="8"/>
      <c r="I1281" s="9">
        <v>236</v>
      </c>
      <c r="J1281" s="9">
        <v>236</v>
      </c>
      <c r="K1281" s="5" t="str">
        <f>VLOOKUP(D1281,[1]Clientes!$A$1:$B$1370,2,0)</f>
        <v>NAC1211</v>
      </c>
      <c r="L1281" s="5" t="str">
        <f t="shared" si="38"/>
        <v>HGI0127049</v>
      </c>
      <c r="M1281" s="5" t="str">
        <f t="shared" si="39"/>
        <v>I</v>
      </c>
      <c r="N1281" s="5">
        <f>IF(G1281=[1]Clientes!$C$3,[1]Clientes!$D$3,[1]Clientes!$D$2)</f>
        <v>13050505</v>
      </c>
    </row>
    <row r="1282" spans="1:14">
      <c r="A1282" s="6" t="s">
        <v>7</v>
      </c>
      <c r="B1282" s="7">
        <v>45532</v>
      </c>
      <c r="C1282" s="6" t="s">
        <v>4440</v>
      </c>
      <c r="D1282" s="6" t="s">
        <v>1510</v>
      </c>
      <c r="E1282" s="6" t="s">
        <v>16</v>
      </c>
      <c r="F1282" s="7">
        <v>45562</v>
      </c>
      <c r="G1282" s="6" t="s">
        <v>3102</v>
      </c>
      <c r="H1282" s="8"/>
      <c r="I1282" s="9">
        <v>2043.6</v>
      </c>
      <c r="J1282" s="9">
        <v>2043.6</v>
      </c>
      <c r="K1282" s="5" t="str">
        <f>VLOOKUP(D1282,[1]Clientes!$A$1:$B$1370,2,0)</f>
        <v>NAC1211</v>
      </c>
      <c r="L1282" s="5" t="str">
        <f t="shared" si="38"/>
        <v>HGI0127052</v>
      </c>
      <c r="M1282" s="5" t="str">
        <f t="shared" si="39"/>
        <v>I</v>
      </c>
      <c r="N1282" s="5">
        <f>IF(G1282=[1]Clientes!$C$3,[1]Clientes!$D$3,[1]Clientes!$D$2)</f>
        <v>13050505</v>
      </c>
    </row>
    <row r="1283" spans="1:14">
      <c r="A1283" s="6" t="s">
        <v>3139</v>
      </c>
      <c r="B1283" s="7">
        <v>45485</v>
      </c>
      <c r="C1283" s="6"/>
      <c r="D1283" s="6" t="s">
        <v>1546</v>
      </c>
      <c r="E1283" s="6"/>
      <c r="F1283" s="7"/>
      <c r="G1283" s="6" t="s">
        <v>3102</v>
      </c>
      <c r="H1283" s="8"/>
      <c r="I1283" s="9">
        <v>-0.1</v>
      </c>
      <c r="J1283" s="9">
        <v>-0.1</v>
      </c>
      <c r="K1283" s="5" t="str">
        <f>VLOOKUP(D1283,[1]Clientes!$A$1:$B$1370,2,0)</f>
        <v>NAC1212</v>
      </c>
      <c r="L1283" s="5" t="str">
        <f t="shared" ref="L1283:L1346" si="40">IF(A1283="Invoice",
    IF(LEFT(C1283,5)="TGDR-", "TGDR"&amp;RIGHT(C1283,LEN(C1283)-5), "HGI"&amp;C1283),
    IF(A1283="Credit Memo",
        IF(LEFT(C1283,5)="TGDR-", "CRM"&amp;RIGHT(C1283,LEN(C1283)-5), "CRM"&amp;C1283),
        "Revisar")
)</f>
        <v>Revisar</v>
      </c>
      <c r="M1283" s="5" t="str">
        <f t="shared" ref="M1283:M1346" si="41">IF(A1283="Invoice","I",IF(A1283="Credit Memo","C",IF(A1283="Payment","P","GJ")))</f>
        <v>P</v>
      </c>
      <c r="N1283" s="5">
        <f>IF(G1283=[1]Clientes!$C$3,[1]Clientes!$D$3,[1]Clientes!$D$2)</f>
        <v>13050505</v>
      </c>
    </row>
    <row r="1284" spans="1:14">
      <c r="A1284" s="6" t="s">
        <v>7</v>
      </c>
      <c r="B1284" s="7">
        <v>45511</v>
      </c>
      <c r="C1284" s="6" t="s">
        <v>4441</v>
      </c>
      <c r="D1284" s="6" t="s">
        <v>1546</v>
      </c>
      <c r="E1284" s="6" t="s">
        <v>16</v>
      </c>
      <c r="F1284" s="7">
        <v>45541</v>
      </c>
      <c r="G1284" s="6" t="s">
        <v>3102</v>
      </c>
      <c r="H1284" s="8"/>
      <c r="I1284" s="9">
        <v>15639</v>
      </c>
      <c r="J1284" s="9">
        <v>15639</v>
      </c>
      <c r="K1284" s="5" t="str">
        <f>VLOOKUP(D1284,[1]Clientes!$A$1:$B$1370,2,0)</f>
        <v>NAC1212</v>
      </c>
      <c r="L1284" s="5" t="str">
        <f t="shared" si="40"/>
        <v>HGI0126291</v>
      </c>
      <c r="M1284" s="5" t="str">
        <f t="shared" si="41"/>
        <v>I</v>
      </c>
      <c r="N1284" s="5">
        <f>IF(G1284=[1]Clientes!$C$3,[1]Clientes!$D$3,[1]Clientes!$D$2)</f>
        <v>13050505</v>
      </c>
    </row>
    <row r="1285" spans="1:14">
      <c r="A1285" s="6" t="s">
        <v>7</v>
      </c>
      <c r="B1285" s="7">
        <v>45520</v>
      </c>
      <c r="C1285" s="6" t="s">
        <v>4442</v>
      </c>
      <c r="D1285" s="6" t="s">
        <v>1546</v>
      </c>
      <c r="E1285" s="6" t="s">
        <v>16</v>
      </c>
      <c r="F1285" s="7">
        <v>45550</v>
      </c>
      <c r="G1285" s="6" t="s">
        <v>3102</v>
      </c>
      <c r="H1285" s="8"/>
      <c r="I1285" s="9">
        <v>7416</v>
      </c>
      <c r="J1285" s="9">
        <v>7416</v>
      </c>
      <c r="K1285" s="5" t="str">
        <f>VLOOKUP(D1285,[1]Clientes!$A$1:$B$1370,2,0)</f>
        <v>NAC1212</v>
      </c>
      <c r="L1285" s="5" t="str">
        <f t="shared" si="40"/>
        <v>HGI0126604</v>
      </c>
      <c r="M1285" s="5" t="str">
        <f t="shared" si="41"/>
        <v>I</v>
      </c>
      <c r="N1285" s="5">
        <f>IF(G1285=[1]Clientes!$C$3,[1]Clientes!$D$3,[1]Clientes!$D$2)</f>
        <v>13050505</v>
      </c>
    </row>
    <row r="1286" spans="1:14">
      <c r="A1286" s="6" t="s">
        <v>7</v>
      </c>
      <c r="B1286" s="7">
        <v>45524</v>
      </c>
      <c r="C1286" s="6" t="s">
        <v>4443</v>
      </c>
      <c r="D1286" s="6" t="s">
        <v>1546</v>
      </c>
      <c r="E1286" s="6" t="s">
        <v>16</v>
      </c>
      <c r="F1286" s="7">
        <v>45554</v>
      </c>
      <c r="G1286" s="6" t="s">
        <v>3102</v>
      </c>
      <c r="H1286" s="8"/>
      <c r="I1286" s="9">
        <v>1658.88</v>
      </c>
      <c r="J1286" s="9">
        <v>1658.88</v>
      </c>
      <c r="K1286" s="5" t="str">
        <f>VLOOKUP(D1286,[1]Clientes!$A$1:$B$1370,2,0)</f>
        <v>NAC1212</v>
      </c>
      <c r="L1286" s="5" t="str">
        <f t="shared" si="40"/>
        <v>HGI0126691</v>
      </c>
      <c r="M1286" s="5" t="str">
        <f t="shared" si="41"/>
        <v>I</v>
      </c>
      <c r="N1286" s="5">
        <f>IF(G1286=[1]Clientes!$C$3,[1]Clientes!$D$3,[1]Clientes!$D$2)</f>
        <v>13050505</v>
      </c>
    </row>
    <row r="1287" spans="1:14">
      <c r="A1287" s="6" t="s">
        <v>7</v>
      </c>
      <c r="B1287" s="7">
        <v>45525</v>
      </c>
      <c r="C1287" s="6" t="s">
        <v>4444</v>
      </c>
      <c r="D1287" s="6" t="s">
        <v>1546</v>
      </c>
      <c r="E1287" s="6" t="s">
        <v>16</v>
      </c>
      <c r="F1287" s="7">
        <v>45555</v>
      </c>
      <c r="G1287" s="6" t="s">
        <v>3102</v>
      </c>
      <c r="H1287" s="8"/>
      <c r="I1287" s="9">
        <v>546</v>
      </c>
      <c r="J1287" s="9">
        <v>546</v>
      </c>
      <c r="K1287" s="5" t="str">
        <f>VLOOKUP(D1287,[1]Clientes!$A$1:$B$1370,2,0)</f>
        <v>NAC1212</v>
      </c>
      <c r="L1287" s="5" t="str">
        <f t="shared" si="40"/>
        <v>HGI0126753</v>
      </c>
      <c r="M1287" s="5" t="str">
        <f t="shared" si="41"/>
        <v>I</v>
      </c>
      <c r="N1287" s="5">
        <f>IF(G1287=[1]Clientes!$C$3,[1]Clientes!$D$3,[1]Clientes!$D$2)</f>
        <v>13050505</v>
      </c>
    </row>
    <row r="1288" spans="1:14">
      <c r="A1288" s="6" t="s">
        <v>7</v>
      </c>
      <c r="B1288" s="7">
        <v>45530</v>
      </c>
      <c r="C1288" s="6" t="s">
        <v>4445</v>
      </c>
      <c r="D1288" s="6" t="s">
        <v>4446</v>
      </c>
      <c r="E1288" s="6" t="s">
        <v>213</v>
      </c>
      <c r="F1288" s="7">
        <v>45530</v>
      </c>
      <c r="G1288" s="6" t="s">
        <v>3102</v>
      </c>
      <c r="H1288" s="8">
        <v>5</v>
      </c>
      <c r="I1288" s="9">
        <v>62.14</v>
      </c>
      <c r="J1288" s="9">
        <v>62.14</v>
      </c>
      <c r="K1288" s="5" t="str">
        <f>VLOOKUP(D1288,[1]Clientes!$A$1:$B$1485,2,0)</f>
        <v>SH02828</v>
      </c>
      <c r="L1288" s="5" t="str">
        <f t="shared" si="40"/>
        <v>HGI0126870</v>
      </c>
      <c r="M1288" s="5" t="str">
        <f t="shared" si="41"/>
        <v>I</v>
      </c>
      <c r="N1288" s="5">
        <f>IF(G1288=[1]Clientes!$C$3,[1]Clientes!$D$3,[1]Clientes!$D$2)</f>
        <v>13050505</v>
      </c>
    </row>
    <row r="1289" spans="1:14">
      <c r="A1289" s="6" t="s">
        <v>7</v>
      </c>
      <c r="B1289" s="7">
        <v>45531</v>
      </c>
      <c r="C1289" s="6" t="s">
        <v>4447</v>
      </c>
      <c r="D1289" s="6" t="s">
        <v>4448</v>
      </c>
      <c r="E1289" s="6" t="s">
        <v>213</v>
      </c>
      <c r="F1289" s="7">
        <v>45531</v>
      </c>
      <c r="G1289" s="6" t="s">
        <v>3102</v>
      </c>
      <c r="H1289" s="8">
        <v>4</v>
      </c>
      <c r="I1289" s="9">
        <v>344.8</v>
      </c>
      <c r="J1289" s="9">
        <v>344.8</v>
      </c>
      <c r="K1289" s="5" t="str">
        <f>VLOOKUP(D1289,[1]Clientes!$A$1:$B$1485,2,0)</f>
        <v>SH02829</v>
      </c>
      <c r="L1289" s="5" t="str">
        <f t="shared" si="40"/>
        <v>HGI0126961</v>
      </c>
      <c r="M1289" s="5" t="str">
        <f t="shared" si="41"/>
        <v>I</v>
      </c>
      <c r="N1289" s="5">
        <f>IF(G1289=[1]Clientes!$C$3,[1]Clientes!$D$3,[1]Clientes!$D$2)</f>
        <v>13050505</v>
      </c>
    </row>
    <row r="1290" spans="1:14">
      <c r="A1290" s="6" t="s">
        <v>7</v>
      </c>
      <c r="B1290" s="7">
        <v>45419</v>
      </c>
      <c r="C1290" s="6" t="s">
        <v>4449</v>
      </c>
      <c r="D1290" s="6" t="s">
        <v>1554</v>
      </c>
      <c r="E1290" s="6" t="s">
        <v>4450</v>
      </c>
      <c r="F1290" s="7">
        <v>45464</v>
      </c>
      <c r="G1290" s="6" t="s">
        <v>3102</v>
      </c>
      <c r="H1290" s="8">
        <v>71</v>
      </c>
      <c r="I1290" s="9">
        <v>32.979999999999997</v>
      </c>
      <c r="J1290" s="9">
        <v>530.92999999999995</v>
      </c>
      <c r="K1290" s="5" t="str">
        <f>VLOOKUP(D1290,[1]Clientes!$A$1:$B$1370,2,0)</f>
        <v>NAC1216</v>
      </c>
      <c r="L1290" s="5" t="str">
        <f t="shared" si="40"/>
        <v>HGI0124097</v>
      </c>
      <c r="M1290" s="5" t="str">
        <f t="shared" si="41"/>
        <v>I</v>
      </c>
      <c r="N1290" s="5">
        <f>IF(G1290=[1]Clientes!$C$3,[1]Clientes!$D$3,[1]Clientes!$D$2)</f>
        <v>13050505</v>
      </c>
    </row>
    <row r="1291" spans="1:14">
      <c r="A1291" s="6" t="s">
        <v>3139</v>
      </c>
      <c r="B1291" s="7">
        <v>45373</v>
      </c>
      <c r="C1291" s="6" t="s">
        <v>4451</v>
      </c>
      <c r="D1291" s="6" t="s">
        <v>1562</v>
      </c>
      <c r="E1291" s="6"/>
      <c r="F1291" s="7"/>
      <c r="G1291" s="6" t="s">
        <v>3102</v>
      </c>
      <c r="H1291" s="8"/>
      <c r="I1291" s="9">
        <v>-299.55</v>
      </c>
      <c r="J1291" s="9">
        <v>-299.55</v>
      </c>
      <c r="K1291" s="5" t="str">
        <f>VLOOKUP(D1291,[1]Clientes!$A$1:$B$1370,2,0)</f>
        <v>NAC1219</v>
      </c>
      <c r="L1291" s="5" t="str">
        <f t="shared" si="40"/>
        <v>Revisar</v>
      </c>
      <c r="M1291" s="5" t="str">
        <f t="shared" si="41"/>
        <v>P</v>
      </c>
      <c r="N1291" s="5">
        <f>IF(G1291=[1]Clientes!$C$3,[1]Clientes!$D$3,[1]Clientes!$D$2)</f>
        <v>13050505</v>
      </c>
    </row>
    <row r="1292" spans="1:14">
      <c r="A1292" s="6" t="s">
        <v>3099</v>
      </c>
      <c r="B1292" s="7">
        <v>45519</v>
      </c>
      <c r="C1292" s="6" t="s">
        <v>4452</v>
      </c>
      <c r="D1292" s="6" t="s">
        <v>4453</v>
      </c>
      <c r="E1292" s="6" t="s">
        <v>16</v>
      </c>
      <c r="F1292" s="7">
        <v>45549</v>
      </c>
      <c r="G1292" s="6" t="s">
        <v>3102</v>
      </c>
      <c r="H1292" s="8"/>
      <c r="I1292" s="9">
        <v>-660.04</v>
      </c>
      <c r="J1292" s="9">
        <v>-660.04</v>
      </c>
      <c r="K1292" s="5" t="str">
        <f>VLOOKUP(D1292,[1]Clientes!$A$1:$B$1370,2,0)</f>
        <v>CAN0049</v>
      </c>
      <c r="L1292" s="5" t="str">
        <f t="shared" si="40"/>
        <v>CRM0126517</v>
      </c>
      <c r="M1292" s="5" t="str">
        <f t="shared" si="41"/>
        <v>C</v>
      </c>
      <c r="N1292" s="5">
        <f>IF(G1292=[1]Clientes!$C$3,[1]Clientes!$D$3,[1]Clientes!$D$2)</f>
        <v>13050505</v>
      </c>
    </row>
    <row r="1293" spans="1:14">
      <c r="A1293" s="6" t="s">
        <v>7</v>
      </c>
      <c r="B1293" s="7">
        <v>45527</v>
      </c>
      <c r="C1293" s="6" t="s">
        <v>4454</v>
      </c>
      <c r="D1293" s="6" t="s">
        <v>4453</v>
      </c>
      <c r="E1293" s="6" t="s">
        <v>16</v>
      </c>
      <c r="F1293" s="7">
        <v>45557</v>
      </c>
      <c r="G1293" s="6" t="s">
        <v>3102</v>
      </c>
      <c r="H1293" s="8"/>
      <c r="I1293" s="9">
        <v>16556.16</v>
      </c>
      <c r="J1293" s="9">
        <v>16556.16</v>
      </c>
      <c r="K1293" s="5" t="str">
        <f>VLOOKUP(D1293,[1]Clientes!$A$1:$B$1370,2,0)</f>
        <v>CAN0049</v>
      </c>
      <c r="L1293" s="5" t="str">
        <f t="shared" si="40"/>
        <v>HGI0126816</v>
      </c>
      <c r="M1293" s="5" t="str">
        <f t="shared" si="41"/>
        <v>I</v>
      </c>
      <c r="N1293" s="5">
        <f>IF(G1293=[1]Clientes!$C$3,[1]Clientes!$D$3,[1]Clientes!$D$2)</f>
        <v>13050505</v>
      </c>
    </row>
    <row r="1294" spans="1:14">
      <c r="A1294" s="6" t="s">
        <v>7</v>
      </c>
      <c r="B1294" s="7">
        <v>45503</v>
      </c>
      <c r="C1294" s="6" t="s">
        <v>4455</v>
      </c>
      <c r="D1294" s="6" t="s">
        <v>1564</v>
      </c>
      <c r="E1294" s="6" t="s">
        <v>16</v>
      </c>
      <c r="F1294" s="7">
        <v>45533</v>
      </c>
      <c r="G1294" s="6" t="s">
        <v>3102</v>
      </c>
      <c r="H1294" s="8">
        <v>2</v>
      </c>
      <c r="I1294" s="9">
        <v>603</v>
      </c>
      <c r="J1294" s="9">
        <v>603</v>
      </c>
      <c r="K1294" s="5" t="str">
        <f>VLOOKUP(D1294,[1]Clientes!$A$1:$B$1370,2,0)</f>
        <v>NAC1228</v>
      </c>
      <c r="L1294" s="5" t="str">
        <f t="shared" si="40"/>
        <v>HGI0126065</v>
      </c>
      <c r="M1294" s="5" t="str">
        <f t="shared" si="41"/>
        <v>I</v>
      </c>
      <c r="N1294" s="5">
        <f>IF(G1294=[1]Clientes!$C$3,[1]Clientes!$D$3,[1]Clientes!$D$2)</f>
        <v>13050505</v>
      </c>
    </row>
    <row r="1295" spans="1:14">
      <c r="A1295" s="6" t="s">
        <v>7</v>
      </c>
      <c r="B1295" s="7">
        <v>45503</v>
      </c>
      <c r="C1295" s="6" t="s">
        <v>4456</v>
      </c>
      <c r="D1295" s="6" t="s">
        <v>1564</v>
      </c>
      <c r="E1295" s="6" t="s">
        <v>16</v>
      </c>
      <c r="F1295" s="7">
        <v>45533</v>
      </c>
      <c r="G1295" s="6" t="s">
        <v>3102</v>
      </c>
      <c r="H1295" s="8">
        <v>2</v>
      </c>
      <c r="I1295" s="9">
        <v>603</v>
      </c>
      <c r="J1295" s="9">
        <v>603</v>
      </c>
      <c r="K1295" s="5" t="str">
        <f>VLOOKUP(D1295,[1]Clientes!$A$1:$B$1370,2,0)</f>
        <v>NAC1228</v>
      </c>
      <c r="L1295" s="5" t="str">
        <f t="shared" si="40"/>
        <v>HGI0126066</v>
      </c>
      <c r="M1295" s="5" t="str">
        <f t="shared" si="41"/>
        <v>I</v>
      </c>
      <c r="N1295" s="5">
        <f>IF(G1295=[1]Clientes!$C$3,[1]Clientes!$D$3,[1]Clientes!$D$2)</f>
        <v>13050505</v>
      </c>
    </row>
    <row r="1296" spans="1:14">
      <c r="A1296" s="6" t="s">
        <v>7</v>
      </c>
      <c r="B1296" s="7">
        <v>45503</v>
      </c>
      <c r="C1296" s="6" t="s">
        <v>4457</v>
      </c>
      <c r="D1296" s="6" t="s">
        <v>1564</v>
      </c>
      <c r="E1296" s="6" t="s">
        <v>16</v>
      </c>
      <c r="F1296" s="7">
        <v>45533</v>
      </c>
      <c r="G1296" s="6" t="s">
        <v>3102</v>
      </c>
      <c r="H1296" s="8">
        <v>2</v>
      </c>
      <c r="I1296" s="9">
        <v>560.70000000000005</v>
      </c>
      <c r="J1296" s="9">
        <v>560.70000000000005</v>
      </c>
      <c r="K1296" s="5" t="str">
        <f>VLOOKUP(D1296,[1]Clientes!$A$1:$B$1370,2,0)</f>
        <v>NAC1228</v>
      </c>
      <c r="L1296" s="5" t="str">
        <f t="shared" si="40"/>
        <v>HGI0126067</v>
      </c>
      <c r="M1296" s="5" t="str">
        <f t="shared" si="41"/>
        <v>I</v>
      </c>
      <c r="N1296" s="5">
        <f>IF(G1296=[1]Clientes!$C$3,[1]Clientes!$D$3,[1]Clientes!$D$2)</f>
        <v>13050505</v>
      </c>
    </row>
    <row r="1297" spans="1:14">
      <c r="A1297" s="6" t="s">
        <v>7</v>
      </c>
      <c r="B1297" s="7">
        <v>45503</v>
      </c>
      <c r="C1297" s="6" t="s">
        <v>4458</v>
      </c>
      <c r="D1297" s="6" t="s">
        <v>1564</v>
      </c>
      <c r="E1297" s="6" t="s">
        <v>16</v>
      </c>
      <c r="F1297" s="7">
        <v>45533</v>
      </c>
      <c r="G1297" s="6" t="s">
        <v>3102</v>
      </c>
      <c r="H1297" s="8">
        <v>2</v>
      </c>
      <c r="I1297" s="9">
        <v>603</v>
      </c>
      <c r="J1297" s="9">
        <v>603</v>
      </c>
      <c r="K1297" s="5" t="str">
        <f>VLOOKUP(D1297,[1]Clientes!$A$1:$B$1370,2,0)</f>
        <v>NAC1228</v>
      </c>
      <c r="L1297" s="5" t="str">
        <f t="shared" si="40"/>
        <v>HGI0126068</v>
      </c>
      <c r="M1297" s="5" t="str">
        <f t="shared" si="41"/>
        <v>I</v>
      </c>
      <c r="N1297" s="5">
        <f>IF(G1297=[1]Clientes!$C$3,[1]Clientes!$D$3,[1]Clientes!$D$2)</f>
        <v>13050505</v>
      </c>
    </row>
    <row r="1298" spans="1:14">
      <c r="A1298" s="6" t="s">
        <v>7</v>
      </c>
      <c r="B1298" s="7">
        <v>45503</v>
      </c>
      <c r="C1298" s="6" t="s">
        <v>4459</v>
      </c>
      <c r="D1298" s="6" t="s">
        <v>1564</v>
      </c>
      <c r="E1298" s="6" t="s">
        <v>16</v>
      </c>
      <c r="F1298" s="7">
        <v>45533</v>
      </c>
      <c r="G1298" s="6" t="s">
        <v>3102</v>
      </c>
      <c r="H1298" s="8">
        <v>2</v>
      </c>
      <c r="I1298" s="9">
        <v>603</v>
      </c>
      <c r="J1298" s="9">
        <v>603</v>
      </c>
      <c r="K1298" s="5" t="str">
        <f>VLOOKUP(D1298,[1]Clientes!$A$1:$B$1370,2,0)</f>
        <v>NAC1228</v>
      </c>
      <c r="L1298" s="5" t="str">
        <f t="shared" si="40"/>
        <v>HGI0126069</v>
      </c>
      <c r="M1298" s="5" t="str">
        <f t="shared" si="41"/>
        <v>I</v>
      </c>
      <c r="N1298" s="5">
        <f>IF(G1298=[1]Clientes!$C$3,[1]Clientes!$D$3,[1]Clientes!$D$2)</f>
        <v>13050505</v>
      </c>
    </row>
    <row r="1299" spans="1:14">
      <c r="A1299" s="6" t="s">
        <v>7</v>
      </c>
      <c r="B1299" s="7">
        <v>45503</v>
      </c>
      <c r="C1299" s="6" t="s">
        <v>4460</v>
      </c>
      <c r="D1299" s="6" t="s">
        <v>1564</v>
      </c>
      <c r="E1299" s="6" t="s">
        <v>16</v>
      </c>
      <c r="F1299" s="7">
        <v>45533</v>
      </c>
      <c r="G1299" s="6" t="s">
        <v>3102</v>
      </c>
      <c r="H1299" s="8">
        <v>2</v>
      </c>
      <c r="I1299" s="9">
        <v>634.74</v>
      </c>
      <c r="J1299" s="9">
        <v>634.74</v>
      </c>
      <c r="K1299" s="5" t="str">
        <f>VLOOKUP(D1299,[1]Clientes!$A$1:$B$1370,2,0)</f>
        <v>NAC1228</v>
      </c>
      <c r="L1299" s="5" t="str">
        <f t="shared" si="40"/>
        <v>HGI0126070</v>
      </c>
      <c r="M1299" s="5" t="str">
        <f t="shared" si="41"/>
        <v>I</v>
      </c>
      <c r="N1299" s="5">
        <f>IF(G1299=[1]Clientes!$C$3,[1]Clientes!$D$3,[1]Clientes!$D$2)</f>
        <v>13050505</v>
      </c>
    </row>
    <row r="1300" spans="1:14">
      <c r="A1300" s="6" t="s">
        <v>7</v>
      </c>
      <c r="B1300" s="7">
        <v>45503</v>
      </c>
      <c r="C1300" s="6" t="s">
        <v>4461</v>
      </c>
      <c r="D1300" s="6" t="s">
        <v>1564</v>
      </c>
      <c r="E1300" s="6" t="s">
        <v>16</v>
      </c>
      <c r="F1300" s="7">
        <v>45533</v>
      </c>
      <c r="G1300" s="6" t="s">
        <v>3102</v>
      </c>
      <c r="H1300" s="8">
        <v>2</v>
      </c>
      <c r="I1300" s="9">
        <v>603</v>
      </c>
      <c r="J1300" s="9">
        <v>603</v>
      </c>
      <c r="K1300" s="5" t="str">
        <f>VLOOKUP(D1300,[1]Clientes!$A$1:$B$1370,2,0)</f>
        <v>NAC1228</v>
      </c>
      <c r="L1300" s="5" t="str">
        <f t="shared" si="40"/>
        <v>HGI0126071</v>
      </c>
      <c r="M1300" s="5" t="str">
        <f t="shared" si="41"/>
        <v>I</v>
      </c>
      <c r="N1300" s="5">
        <f>IF(G1300=[1]Clientes!$C$3,[1]Clientes!$D$3,[1]Clientes!$D$2)</f>
        <v>13050505</v>
      </c>
    </row>
    <row r="1301" spans="1:14">
      <c r="A1301" s="6" t="s">
        <v>7</v>
      </c>
      <c r="B1301" s="7">
        <v>45503</v>
      </c>
      <c r="C1301" s="6" t="s">
        <v>4462</v>
      </c>
      <c r="D1301" s="6" t="s">
        <v>1564</v>
      </c>
      <c r="E1301" s="6" t="s">
        <v>16</v>
      </c>
      <c r="F1301" s="7">
        <v>45533</v>
      </c>
      <c r="G1301" s="6" t="s">
        <v>3102</v>
      </c>
      <c r="H1301" s="8">
        <v>2</v>
      </c>
      <c r="I1301" s="9">
        <v>560.70000000000005</v>
      </c>
      <c r="J1301" s="9">
        <v>560.70000000000005</v>
      </c>
      <c r="K1301" s="5" t="str">
        <f>VLOOKUP(D1301,[1]Clientes!$A$1:$B$1370,2,0)</f>
        <v>NAC1228</v>
      </c>
      <c r="L1301" s="5" t="str">
        <f t="shared" si="40"/>
        <v>HGI0126072</v>
      </c>
      <c r="M1301" s="5" t="str">
        <f t="shared" si="41"/>
        <v>I</v>
      </c>
      <c r="N1301" s="5">
        <f>IF(G1301=[1]Clientes!$C$3,[1]Clientes!$D$3,[1]Clientes!$D$2)</f>
        <v>13050505</v>
      </c>
    </row>
    <row r="1302" spans="1:14">
      <c r="A1302" s="6" t="s">
        <v>7</v>
      </c>
      <c r="B1302" s="7">
        <v>45503</v>
      </c>
      <c r="C1302" s="6" t="s">
        <v>4463</v>
      </c>
      <c r="D1302" s="6" t="s">
        <v>1564</v>
      </c>
      <c r="E1302" s="6" t="s">
        <v>16</v>
      </c>
      <c r="F1302" s="7">
        <v>45533</v>
      </c>
      <c r="G1302" s="6" t="s">
        <v>3102</v>
      </c>
      <c r="H1302" s="8">
        <v>2</v>
      </c>
      <c r="I1302" s="9">
        <v>634.74</v>
      </c>
      <c r="J1302" s="9">
        <v>634.74</v>
      </c>
      <c r="K1302" s="5" t="str">
        <f>VLOOKUP(D1302,[1]Clientes!$A$1:$B$1370,2,0)</f>
        <v>NAC1228</v>
      </c>
      <c r="L1302" s="5" t="str">
        <f t="shared" si="40"/>
        <v>HGI0126073</v>
      </c>
      <c r="M1302" s="5" t="str">
        <f t="shared" si="41"/>
        <v>I</v>
      </c>
      <c r="N1302" s="5">
        <f>IF(G1302=[1]Clientes!$C$3,[1]Clientes!$D$3,[1]Clientes!$D$2)</f>
        <v>13050505</v>
      </c>
    </row>
    <row r="1303" spans="1:14">
      <c r="A1303" s="6" t="s">
        <v>7</v>
      </c>
      <c r="B1303" s="7">
        <v>45503</v>
      </c>
      <c r="C1303" s="6" t="s">
        <v>4464</v>
      </c>
      <c r="D1303" s="6" t="s">
        <v>1564</v>
      </c>
      <c r="E1303" s="6" t="s">
        <v>16</v>
      </c>
      <c r="F1303" s="7">
        <v>45533</v>
      </c>
      <c r="G1303" s="6" t="s">
        <v>3102</v>
      </c>
      <c r="H1303" s="8">
        <v>2</v>
      </c>
      <c r="I1303" s="9">
        <v>560.70000000000005</v>
      </c>
      <c r="J1303" s="9">
        <v>560.70000000000005</v>
      </c>
      <c r="K1303" s="5" t="str">
        <f>VLOOKUP(D1303,[1]Clientes!$A$1:$B$1370,2,0)</f>
        <v>NAC1228</v>
      </c>
      <c r="L1303" s="5" t="str">
        <f t="shared" si="40"/>
        <v>HGI0126074</v>
      </c>
      <c r="M1303" s="5" t="str">
        <f t="shared" si="41"/>
        <v>I</v>
      </c>
      <c r="N1303" s="5">
        <f>IF(G1303=[1]Clientes!$C$3,[1]Clientes!$D$3,[1]Clientes!$D$2)</f>
        <v>13050505</v>
      </c>
    </row>
    <row r="1304" spans="1:14">
      <c r="A1304" s="6" t="s">
        <v>7</v>
      </c>
      <c r="B1304" s="7">
        <v>45503</v>
      </c>
      <c r="C1304" s="6" t="s">
        <v>4465</v>
      </c>
      <c r="D1304" s="6" t="s">
        <v>1564</v>
      </c>
      <c r="E1304" s="6" t="s">
        <v>16</v>
      </c>
      <c r="F1304" s="7">
        <v>45533</v>
      </c>
      <c r="G1304" s="6" t="s">
        <v>3102</v>
      </c>
      <c r="H1304" s="8">
        <v>2</v>
      </c>
      <c r="I1304" s="9">
        <v>585.9</v>
      </c>
      <c r="J1304" s="9">
        <v>585.9</v>
      </c>
      <c r="K1304" s="5" t="str">
        <f>VLOOKUP(D1304,[1]Clientes!$A$1:$B$1370,2,0)</f>
        <v>NAC1228</v>
      </c>
      <c r="L1304" s="5" t="str">
        <f t="shared" si="40"/>
        <v>HGI0126075</v>
      </c>
      <c r="M1304" s="5" t="str">
        <f t="shared" si="41"/>
        <v>I</v>
      </c>
      <c r="N1304" s="5">
        <f>IF(G1304=[1]Clientes!$C$3,[1]Clientes!$D$3,[1]Clientes!$D$2)</f>
        <v>13050505</v>
      </c>
    </row>
    <row r="1305" spans="1:14">
      <c r="A1305" s="6" t="s">
        <v>7</v>
      </c>
      <c r="B1305" s="7">
        <v>45503</v>
      </c>
      <c r="C1305" s="6" t="s">
        <v>4466</v>
      </c>
      <c r="D1305" s="6" t="s">
        <v>1564</v>
      </c>
      <c r="E1305" s="6" t="s">
        <v>16</v>
      </c>
      <c r="F1305" s="7">
        <v>45533</v>
      </c>
      <c r="G1305" s="6" t="s">
        <v>3102</v>
      </c>
      <c r="H1305" s="8">
        <v>2</v>
      </c>
      <c r="I1305" s="9">
        <v>603</v>
      </c>
      <c r="J1305" s="9">
        <v>603</v>
      </c>
      <c r="K1305" s="5" t="str">
        <f>VLOOKUP(D1305,[1]Clientes!$A$1:$B$1370,2,0)</f>
        <v>NAC1228</v>
      </c>
      <c r="L1305" s="5" t="str">
        <f t="shared" si="40"/>
        <v>HGI0126076</v>
      </c>
      <c r="M1305" s="5" t="str">
        <f t="shared" si="41"/>
        <v>I</v>
      </c>
      <c r="N1305" s="5">
        <f>IF(G1305=[1]Clientes!$C$3,[1]Clientes!$D$3,[1]Clientes!$D$2)</f>
        <v>13050505</v>
      </c>
    </row>
    <row r="1306" spans="1:14">
      <c r="A1306" s="6" t="s">
        <v>7</v>
      </c>
      <c r="B1306" s="7">
        <v>45503</v>
      </c>
      <c r="C1306" s="6" t="s">
        <v>4467</v>
      </c>
      <c r="D1306" s="6" t="s">
        <v>1564</v>
      </c>
      <c r="E1306" s="6" t="s">
        <v>16</v>
      </c>
      <c r="F1306" s="7">
        <v>45533</v>
      </c>
      <c r="G1306" s="6" t="s">
        <v>3102</v>
      </c>
      <c r="H1306" s="8">
        <v>2</v>
      </c>
      <c r="I1306" s="9">
        <v>634.74</v>
      </c>
      <c r="J1306" s="9">
        <v>634.74</v>
      </c>
      <c r="K1306" s="5" t="str">
        <f>VLOOKUP(D1306,[1]Clientes!$A$1:$B$1370,2,0)</f>
        <v>NAC1228</v>
      </c>
      <c r="L1306" s="5" t="str">
        <f t="shared" si="40"/>
        <v>HGI0126077</v>
      </c>
      <c r="M1306" s="5" t="str">
        <f t="shared" si="41"/>
        <v>I</v>
      </c>
      <c r="N1306" s="5">
        <f>IF(G1306=[1]Clientes!$C$3,[1]Clientes!$D$3,[1]Clientes!$D$2)</f>
        <v>13050505</v>
      </c>
    </row>
    <row r="1307" spans="1:14">
      <c r="A1307" s="6" t="s">
        <v>7</v>
      </c>
      <c r="B1307" s="7">
        <v>45503</v>
      </c>
      <c r="C1307" s="6" t="s">
        <v>4468</v>
      </c>
      <c r="D1307" s="6" t="s">
        <v>1564</v>
      </c>
      <c r="E1307" s="6" t="s">
        <v>16</v>
      </c>
      <c r="F1307" s="7">
        <v>45533</v>
      </c>
      <c r="G1307" s="6" t="s">
        <v>3102</v>
      </c>
      <c r="H1307" s="8">
        <v>2</v>
      </c>
      <c r="I1307" s="9">
        <v>603</v>
      </c>
      <c r="J1307" s="9">
        <v>603</v>
      </c>
      <c r="K1307" s="5" t="str">
        <f>VLOOKUP(D1307,[1]Clientes!$A$1:$B$1370,2,0)</f>
        <v>NAC1228</v>
      </c>
      <c r="L1307" s="5" t="str">
        <f t="shared" si="40"/>
        <v>HGI0126078</v>
      </c>
      <c r="M1307" s="5" t="str">
        <f t="shared" si="41"/>
        <v>I</v>
      </c>
      <c r="N1307" s="5">
        <f>IF(G1307=[1]Clientes!$C$3,[1]Clientes!$D$3,[1]Clientes!$D$2)</f>
        <v>13050505</v>
      </c>
    </row>
    <row r="1308" spans="1:14">
      <c r="A1308" s="6" t="s">
        <v>7</v>
      </c>
      <c r="B1308" s="7">
        <v>45503</v>
      </c>
      <c r="C1308" s="6" t="s">
        <v>4469</v>
      </c>
      <c r="D1308" s="6" t="s">
        <v>1564</v>
      </c>
      <c r="E1308" s="6" t="s">
        <v>16</v>
      </c>
      <c r="F1308" s="7">
        <v>45533</v>
      </c>
      <c r="G1308" s="6" t="s">
        <v>3102</v>
      </c>
      <c r="H1308" s="8">
        <v>2</v>
      </c>
      <c r="I1308" s="9">
        <v>560.70000000000005</v>
      </c>
      <c r="J1308" s="9">
        <v>560.70000000000005</v>
      </c>
      <c r="K1308" s="5" t="str">
        <f>VLOOKUP(D1308,[1]Clientes!$A$1:$B$1370,2,0)</f>
        <v>NAC1228</v>
      </c>
      <c r="L1308" s="5" t="str">
        <f t="shared" si="40"/>
        <v>HGI0126079</v>
      </c>
      <c r="M1308" s="5" t="str">
        <f t="shared" si="41"/>
        <v>I</v>
      </c>
      <c r="N1308" s="5">
        <f>IF(G1308=[1]Clientes!$C$3,[1]Clientes!$D$3,[1]Clientes!$D$2)</f>
        <v>13050505</v>
      </c>
    </row>
    <row r="1309" spans="1:14">
      <c r="A1309" s="6" t="s">
        <v>7</v>
      </c>
      <c r="B1309" s="7">
        <v>45503</v>
      </c>
      <c r="C1309" s="6" t="s">
        <v>4470</v>
      </c>
      <c r="D1309" s="6" t="s">
        <v>1564</v>
      </c>
      <c r="E1309" s="6" t="s">
        <v>16</v>
      </c>
      <c r="F1309" s="7">
        <v>45533</v>
      </c>
      <c r="G1309" s="6" t="s">
        <v>3102</v>
      </c>
      <c r="H1309" s="8">
        <v>2</v>
      </c>
      <c r="I1309" s="9">
        <v>560.70000000000005</v>
      </c>
      <c r="J1309" s="9">
        <v>560.70000000000005</v>
      </c>
      <c r="K1309" s="5" t="str">
        <f>VLOOKUP(D1309,[1]Clientes!$A$1:$B$1370,2,0)</f>
        <v>NAC1228</v>
      </c>
      <c r="L1309" s="5" t="str">
        <f t="shared" si="40"/>
        <v>HGI0126080</v>
      </c>
      <c r="M1309" s="5" t="str">
        <f t="shared" si="41"/>
        <v>I</v>
      </c>
      <c r="N1309" s="5">
        <f>IF(G1309=[1]Clientes!$C$3,[1]Clientes!$D$3,[1]Clientes!$D$2)</f>
        <v>13050505</v>
      </c>
    </row>
    <row r="1310" spans="1:14">
      <c r="A1310" s="6" t="s">
        <v>7</v>
      </c>
      <c r="B1310" s="7">
        <v>45503</v>
      </c>
      <c r="C1310" s="6" t="s">
        <v>4471</v>
      </c>
      <c r="D1310" s="6" t="s">
        <v>1564</v>
      </c>
      <c r="E1310" s="6" t="s">
        <v>16</v>
      </c>
      <c r="F1310" s="7">
        <v>45533</v>
      </c>
      <c r="G1310" s="6" t="s">
        <v>3102</v>
      </c>
      <c r="H1310" s="8">
        <v>2</v>
      </c>
      <c r="I1310" s="9">
        <v>560.70000000000005</v>
      </c>
      <c r="J1310" s="9">
        <v>560.70000000000005</v>
      </c>
      <c r="K1310" s="5" t="str">
        <f>VLOOKUP(D1310,[1]Clientes!$A$1:$B$1370,2,0)</f>
        <v>NAC1228</v>
      </c>
      <c r="L1310" s="5" t="str">
        <f t="shared" si="40"/>
        <v>HGI0126081</v>
      </c>
      <c r="M1310" s="5" t="str">
        <f t="shared" si="41"/>
        <v>I</v>
      </c>
      <c r="N1310" s="5">
        <f>IF(G1310=[1]Clientes!$C$3,[1]Clientes!$D$3,[1]Clientes!$D$2)</f>
        <v>13050505</v>
      </c>
    </row>
    <row r="1311" spans="1:14">
      <c r="A1311" s="6" t="s">
        <v>7</v>
      </c>
      <c r="B1311" s="7">
        <v>45503</v>
      </c>
      <c r="C1311" s="6" t="s">
        <v>4472</v>
      </c>
      <c r="D1311" s="6" t="s">
        <v>1564</v>
      </c>
      <c r="E1311" s="6" t="s">
        <v>16</v>
      </c>
      <c r="F1311" s="7">
        <v>45533</v>
      </c>
      <c r="G1311" s="6" t="s">
        <v>3102</v>
      </c>
      <c r="H1311" s="8">
        <v>2</v>
      </c>
      <c r="I1311" s="9">
        <v>585.9</v>
      </c>
      <c r="J1311" s="9">
        <v>585.9</v>
      </c>
      <c r="K1311" s="5" t="str">
        <f>VLOOKUP(D1311,[1]Clientes!$A$1:$B$1370,2,0)</f>
        <v>NAC1228</v>
      </c>
      <c r="L1311" s="5" t="str">
        <f t="shared" si="40"/>
        <v>HGI0126082</v>
      </c>
      <c r="M1311" s="5" t="str">
        <f t="shared" si="41"/>
        <v>I</v>
      </c>
      <c r="N1311" s="5">
        <f>IF(G1311=[1]Clientes!$C$3,[1]Clientes!$D$3,[1]Clientes!$D$2)</f>
        <v>13050505</v>
      </c>
    </row>
    <row r="1312" spans="1:14">
      <c r="A1312" s="6" t="s">
        <v>7</v>
      </c>
      <c r="B1312" s="7">
        <v>45504</v>
      </c>
      <c r="C1312" s="6" t="s">
        <v>4473</v>
      </c>
      <c r="D1312" s="6" t="s">
        <v>1564</v>
      </c>
      <c r="E1312" s="6" t="s">
        <v>16</v>
      </c>
      <c r="F1312" s="7">
        <v>45534</v>
      </c>
      <c r="G1312" s="6" t="s">
        <v>3102</v>
      </c>
      <c r="H1312" s="8">
        <v>1</v>
      </c>
      <c r="I1312" s="9">
        <v>603</v>
      </c>
      <c r="J1312" s="9">
        <v>603</v>
      </c>
      <c r="K1312" s="5" t="str">
        <f>VLOOKUP(D1312,[1]Clientes!$A$1:$B$1370,2,0)</f>
        <v>NAC1228</v>
      </c>
      <c r="L1312" s="5" t="str">
        <f t="shared" si="40"/>
        <v>HGI0126092</v>
      </c>
      <c r="M1312" s="5" t="str">
        <f t="shared" si="41"/>
        <v>I</v>
      </c>
      <c r="N1312" s="5">
        <f>IF(G1312=[1]Clientes!$C$3,[1]Clientes!$D$3,[1]Clientes!$D$2)</f>
        <v>13050505</v>
      </c>
    </row>
    <row r="1313" spans="1:14">
      <c r="A1313" s="6" t="s">
        <v>3099</v>
      </c>
      <c r="B1313" s="7">
        <v>45524</v>
      </c>
      <c r="C1313" s="6" t="s">
        <v>4474</v>
      </c>
      <c r="D1313" s="6" t="s">
        <v>1564</v>
      </c>
      <c r="E1313" s="6" t="s">
        <v>16</v>
      </c>
      <c r="F1313" s="7">
        <v>45554</v>
      </c>
      <c r="G1313" s="6" t="s">
        <v>3102</v>
      </c>
      <c r="H1313" s="8"/>
      <c r="I1313" s="9">
        <v>-9.6300000000000008</v>
      </c>
      <c r="J1313" s="9">
        <v>-9.6300000000000008</v>
      </c>
      <c r="K1313" s="5" t="str">
        <f>VLOOKUP(D1313,[1]Clientes!$A$1:$B$1370,2,0)</f>
        <v>NAC1228</v>
      </c>
      <c r="L1313" s="5" t="str">
        <f t="shared" si="40"/>
        <v>CRM0126673</v>
      </c>
      <c r="M1313" s="5" t="str">
        <f t="shared" si="41"/>
        <v>C</v>
      </c>
      <c r="N1313" s="5">
        <f>IF(G1313=[1]Clientes!$C$3,[1]Clientes!$D$3,[1]Clientes!$D$2)</f>
        <v>13050505</v>
      </c>
    </row>
    <row r="1314" spans="1:14">
      <c r="A1314" s="6" t="s">
        <v>7</v>
      </c>
      <c r="B1314" s="7">
        <v>45334</v>
      </c>
      <c r="C1314" s="6" t="s">
        <v>4475</v>
      </c>
      <c r="D1314" s="6" t="s">
        <v>1567</v>
      </c>
      <c r="E1314" s="6" t="s">
        <v>16</v>
      </c>
      <c r="F1314" s="7">
        <v>45364</v>
      </c>
      <c r="G1314" s="6" t="s">
        <v>3102</v>
      </c>
      <c r="H1314" s="8">
        <v>171</v>
      </c>
      <c r="I1314" s="9">
        <v>241.53</v>
      </c>
      <c r="J1314" s="9">
        <v>241.53</v>
      </c>
      <c r="K1314" s="5" t="str">
        <f>VLOOKUP(D1314,[1]Clientes!$A$1:$B$1370,2,0)</f>
        <v>NAC1229</v>
      </c>
      <c r="L1314" s="5" t="str">
        <f t="shared" si="40"/>
        <v>HGI0120845</v>
      </c>
      <c r="M1314" s="5" t="str">
        <f t="shared" si="41"/>
        <v>I</v>
      </c>
      <c r="N1314" s="5">
        <f>IF(G1314=[1]Clientes!$C$3,[1]Clientes!$D$3,[1]Clientes!$D$2)</f>
        <v>13050505</v>
      </c>
    </row>
    <row r="1315" spans="1:14">
      <c r="A1315" s="6" t="s">
        <v>7</v>
      </c>
      <c r="B1315" s="7">
        <v>45334</v>
      </c>
      <c r="C1315" s="6" t="s">
        <v>4476</v>
      </c>
      <c r="D1315" s="6" t="s">
        <v>1567</v>
      </c>
      <c r="E1315" s="6" t="s">
        <v>16</v>
      </c>
      <c r="F1315" s="7">
        <v>45364</v>
      </c>
      <c r="G1315" s="6" t="s">
        <v>3102</v>
      </c>
      <c r="H1315" s="8">
        <v>171</v>
      </c>
      <c r="I1315" s="9">
        <v>263.95999999999998</v>
      </c>
      <c r="J1315" s="9">
        <v>263.95999999999998</v>
      </c>
      <c r="K1315" s="5" t="str">
        <f>VLOOKUP(D1315,[1]Clientes!$A$1:$B$1370,2,0)</f>
        <v>NAC1229</v>
      </c>
      <c r="L1315" s="5" t="str">
        <f t="shared" si="40"/>
        <v>HGI0120878</v>
      </c>
      <c r="M1315" s="5" t="str">
        <f t="shared" si="41"/>
        <v>I</v>
      </c>
      <c r="N1315" s="5">
        <f>IF(G1315=[1]Clientes!$C$3,[1]Clientes!$D$3,[1]Clientes!$D$2)</f>
        <v>13050505</v>
      </c>
    </row>
    <row r="1316" spans="1:14">
      <c r="A1316" s="6" t="s">
        <v>7</v>
      </c>
      <c r="B1316" s="7">
        <v>45527</v>
      </c>
      <c r="C1316" s="6" t="s">
        <v>4477</v>
      </c>
      <c r="D1316" s="6" t="s">
        <v>1571</v>
      </c>
      <c r="E1316" s="6" t="s">
        <v>1216</v>
      </c>
      <c r="F1316" s="7">
        <v>45617</v>
      </c>
      <c r="G1316" s="6" t="s">
        <v>3102</v>
      </c>
      <c r="H1316" s="8"/>
      <c r="I1316" s="9">
        <v>93.6</v>
      </c>
      <c r="J1316" s="9">
        <v>93.6</v>
      </c>
      <c r="K1316" s="5" t="str">
        <f>VLOOKUP(D1316,[1]Clientes!$A$1:$B$1370,2,0)</f>
        <v>NAC1231</v>
      </c>
      <c r="L1316" s="5" t="str">
        <f t="shared" si="40"/>
        <v>HGI0126813</v>
      </c>
      <c r="M1316" s="5" t="str">
        <f t="shared" si="41"/>
        <v>I</v>
      </c>
      <c r="N1316" s="5">
        <f>IF(G1316=[1]Clientes!$C$3,[1]Clientes!$D$3,[1]Clientes!$D$2)</f>
        <v>13050505</v>
      </c>
    </row>
    <row r="1317" spans="1:14">
      <c r="A1317" s="6" t="s">
        <v>3139</v>
      </c>
      <c r="B1317" s="7">
        <v>45517</v>
      </c>
      <c r="C1317" s="6"/>
      <c r="D1317" s="6" t="s">
        <v>216</v>
      </c>
      <c r="E1317" s="6"/>
      <c r="F1317" s="7"/>
      <c r="G1317" s="6" t="s">
        <v>3102</v>
      </c>
      <c r="H1317" s="8"/>
      <c r="I1317" s="9">
        <v>-0.1</v>
      </c>
      <c r="J1317" s="9">
        <v>-4260.6499999999996</v>
      </c>
      <c r="K1317" s="5" t="str">
        <f>VLOOKUP(D1317,[1]Clientes!$A$1:$B$1370,2,0)</f>
        <v>CAN0050</v>
      </c>
      <c r="L1317" s="5" t="str">
        <f t="shared" si="40"/>
        <v>Revisar</v>
      </c>
      <c r="M1317" s="5" t="str">
        <f t="shared" si="41"/>
        <v>P</v>
      </c>
      <c r="N1317" s="5">
        <f>IF(G1317=[1]Clientes!$C$3,[1]Clientes!$D$3,[1]Clientes!$D$2)</f>
        <v>13050505</v>
      </c>
    </row>
    <row r="1318" spans="1:14">
      <c r="A1318" s="6" t="s">
        <v>7</v>
      </c>
      <c r="B1318" s="7">
        <v>45520</v>
      </c>
      <c r="C1318" s="6" t="s">
        <v>4478</v>
      </c>
      <c r="D1318" s="6" t="s">
        <v>216</v>
      </c>
      <c r="E1318" s="6" t="s">
        <v>16</v>
      </c>
      <c r="F1318" s="7">
        <v>45550</v>
      </c>
      <c r="G1318" s="6" t="s">
        <v>3102</v>
      </c>
      <c r="H1318" s="8"/>
      <c r="I1318" s="9">
        <v>316.39999999999998</v>
      </c>
      <c r="J1318" s="9">
        <v>316.39999999999998</v>
      </c>
      <c r="K1318" s="5" t="str">
        <f>VLOOKUP(D1318,[1]Clientes!$A$1:$B$1370,2,0)</f>
        <v>CAN0050</v>
      </c>
      <c r="L1318" s="5" t="str">
        <f t="shared" si="40"/>
        <v>HGI0126608</v>
      </c>
      <c r="M1318" s="5" t="str">
        <f t="shared" si="41"/>
        <v>I</v>
      </c>
      <c r="N1318" s="5">
        <f>IF(G1318=[1]Clientes!$C$3,[1]Clientes!$D$3,[1]Clientes!$D$2)</f>
        <v>13050505</v>
      </c>
    </row>
    <row r="1319" spans="1:14">
      <c r="A1319" s="6" t="s">
        <v>7</v>
      </c>
      <c r="B1319" s="7">
        <v>45498</v>
      </c>
      <c r="C1319" s="6" t="s">
        <v>4479</v>
      </c>
      <c r="D1319" s="6" t="s">
        <v>4480</v>
      </c>
      <c r="E1319" s="6" t="s">
        <v>16</v>
      </c>
      <c r="F1319" s="7">
        <v>45528</v>
      </c>
      <c r="G1319" s="6" t="s">
        <v>3102</v>
      </c>
      <c r="H1319" s="8">
        <v>7</v>
      </c>
      <c r="I1319" s="9">
        <v>58380</v>
      </c>
      <c r="J1319" s="9">
        <v>58380</v>
      </c>
      <c r="K1319" s="5" t="str">
        <f>VLOOKUP(D1319,[1]Clientes!$A$1:$B$1370,2,0)</f>
        <v>NAC1232</v>
      </c>
      <c r="L1319" s="5" t="str">
        <f t="shared" si="40"/>
        <v>HGI0125946</v>
      </c>
      <c r="M1319" s="5" t="str">
        <f t="shared" si="41"/>
        <v>I</v>
      </c>
      <c r="N1319" s="5">
        <f>IF(G1319=[1]Clientes!$C$3,[1]Clientes!$D$3,[1]Clientes!$D$2)</f>
        <v>13050505</v>
      </c>
    </row>
    <row r="1320" spans="1:14">
      <c r="A1320" s="6" t="s">
        <v>3139</v>
      </c>
      <c r="B1320" s="7">
        <v>44803</v>
      </c>
      <c r="C1320" s="6" t="s">
        <v>4481</v>
      </c>
      <c r="D1320" s="6" t="s">
        <v>4482</v>
      </c>
      <c r="E1320" s="6"/>
      <c r="F1320" s="7"/>
      <c r="G1320" s="6" t="s">
        <v>3102</v>
      </c>
      <c r="H1320" s="8"/>
      <c r="I1320" s="9">
        <v>-388.15</v>
      </c>
      <c r="J1320" s="9">
        <v>-657.63</v>
      </c>
      <c r="K1320" s="5" t="str">
        <f>VLOOKUP(D1320,[1]Clientes!$A$1:$B$1370,2,0)</f>
        <v>NAC1233</v>
      </c>
      <c r="L1320" s="5" t="str">
        <f t="shared" si="40"/>
        <v>Revisar</v>
      </c>
      <c r="M1320" s="5" t="str">
        <f t="shared" si="41"/>
        <v>P</v>
      </c>
      <c r="N1320" s="5">
        <f>IF(G1320=[1]Clientes!$C$3,[1]Clientes!$D$3,[1]Clientes!$D$2)</f>
        <v>13050505</v>
      </c>
    </row>
    <row r="1321" spans="1:14">
      <c r="A1321" s="6" t="s">
        <v>3139</v>
      </c>
      <c r="B1321" s="7">
        <v>45040</v>
      </c>
      <c r="C1321" s="6" t="s">
        <v>4483</v>
      </c>
      <c r="D1321" s="6" t="s">
        <v>4482</v>
      </c>
      <c r="E1321" s="6"/>
      <c r="F1321" s="7"/>
      <c r="G1321" s="6" t="s">
        <v>3102</v>
      </c>
      <c r="H1321" s="8"/>
      <c r="I1321" s="9">
        <v>-63.8</v>
      </c>
      <c r="J1321" s="9">
        <v>-2036</v>
      </c>
      <c r="K1321" s="5" t="str">
        <f>VLOOKUP(D1321,[1]Clientes!$A$1:$B$1370,2,0)</f>
        <v>NAC1233</v>
      </c>
      <c r="L1321" s="5" t="str">
        <f t="shared" si="40"/>
        <v>Revisar</v>
      </c>
      <c r="M1321" s="5" t="str">
        <f t="shared" si="41"/>
        <v>P</v>
      </c>
      <c r="N1321" s="5">
        <f>IF(G1321=[1]Clientes!$C$3,[1]Clientes!$D$3,[1]Clientes!$D$2)</f>
        <v>13050505</v>
      </c>
    </row>
    <row r="1322" spans="1:14">
      <c r="A1322" s="6" t="s">
        <v>7</v>
      </c>
      <c r="B1322" s="7">
        <v>45222</v>
      </c>
      <c r="C1322" s="6" t="s">
        <v>4484</v>
      </c>
      <c r="D1322" s="6" t="s">
        <v>4482</v>
      </c>
      <c r="E1322" s="6" t="s">
        <v>16</v>
      </c>
      <c r="F1322" s="7">
        <v>45252</v>
      </c>
      <c r="G1322" s="6" t="s">
        <v>3102</v>
      </c>
      <c r="H1322" s="8">
        <v>283</v>
      </c>
      <c r="I1322" s="9">
        <v>10349.299999999999</v>
      </c>
      <c r="J1322" s="9">
        <v>10349.299999999999</v>
      </c>
      <c r="K1322" s="5" t="str">
        <f>VLOOKUP(D1322,[1]Clientes!$A$1:$B$1370,2,0)</f>
        <v>NAC1233</v>
      </c>
      <c r="L1322" s="5" t="str">
        <f t="shared" si="40"/>
        <v>HGI0116354</v>
      </c>
      <c r="M1322" s="5" t="str">
        <f t="shared" si="41"/>
        <v>I</v>
      </c>
      <c r="N1322" s="5">
        <f>IF(G1322=[1]Clientes!$C$3,[1]Clientes!$D$3,[1]Clientes!$D$2)</f>
        <v>13050505</v>
      </c>
    </row>
    <row r="1323" spans="1:14">
      <c r="A1323" s="6" t="s">
        <v>7</v>
      </c>
      <c r="B1323" s="7">
        <v>45481</v>
      </c>
      <c r="C1323" s="6" t="s">
        <v>4485</v>
      </c>
      <c r="D1323" s="6" t="s">
        <v>1578</v>
      </c>
      <c r="E1323" s="6" t="s">
        <v>16</v>
      </c>
      <c r="F1323" s="7">
        <v>45511</v>
      </c>
      <c r="G1323" s="6" t="s">
        <v>3102</v>
      </c>
      <c r="H1323" s="8">
        <v>24</v>
      </c>
      <c r="I1323" s="9">
        <v>234</v>
      </c>
      <c r="J1323" s="9">
        <v>234</v>
      </c>
      <c r="K1323" s="5" t="str">
        <f>VLOOKUP(D1323,[1]Clientes!$A$1:$B$1370,2,0)</f>
        <v>NAC1234</v>
      </c>
      <c r="L1323" s="5" t="str">
        <f t="shared" si="40"/>
        <v>HGI0125558</v>
      </c>
      <c r="M1323" s="5" t="str">
        <f t="shared" si="41"/>
        <v>I</v>
      </c>
      <c r="N1323" s="5">
        <f>IF(G1323=[1]Clientes!$C$3,[1]Clientes!$D$3,[1]Clientes!$D$2)</f>
        <v>13050505</v>
      </c>
    </row>
    <row r="1324" spans="1:14">
      <c r="A1324" s="6" t="s">
        <v>7</v>
      </c>
      <c r="B1324" s="7">
        <v>45506</v>
      </c>
      <c r="C1324" s="6" t="s">
        <v>4486</v>
      </c>
      <c r="D1324" s="6" t="s">
        <v>1578</v>
      </c>
      <c r="E1324" s="6" t="s">
        <v>16</v>
      </c>
      <c r="F1324" s="7">
        <v>45536</v>
      </c>
      <c r="G1324" s="6" t="s">
        <v>3102</v>
      </c>
      <c r="H1324" s="8"/>
      <c r="I1324" s="9">
        <v>367.2</v>
      </c>
      <c r="J1324" s="9">
        <v>367.2</v>
      </c>
      <c r="K1324" s="5" t="str">
        <f>VLOOKUP(D1324,[1]Clientes!$A$1:$B$1370,2,0)</f>
        <v>NAC1234</v>
      </c>
      <c r="L1324" s="5" t="str">
        <f t="shared" si="40"/>
        <v>HGI0126320</v>
      </c>
      <c r="M1324" s="5" t="str">
        <f t="shared" si="41"/>
        <v>I</v>
      </c>
      <c r="N1324" s="5">
        <f>IF(G1324=[1]Clientes!$C$3,[1]Clientes!$D$3,[1]Clientes!$D$2)</f>
        <v>13050505</v>
      </c>
    </row>
    <row r="1325" spans="1:14">
      <c r="A1325" s="6" t="s">
        <v>7</v>
      </c>
      <c r="B1325" s="7">
        <v>45517</v>
      </c>
      <c r="C1325" s="6" t="s">
        <v>4487</v>
      </c>
      <c r="D1325" s="6" t="s">
        <v>1578</v>
      </c>
      <c r="E1325" s="6" t="s">
        <v>16</v>
      </c>
      <c r="F1325" s="7">
        <v>45547</v>
      </c>
      <c r="G1325" s="6" t="s">
        <v>3102</v>
      </c>
      <c r="H1325" s="8"/>
      <c r="I1325" s="9">
        <v>100</v>
      </c>
      <c r="J1325" s="9">
        <v>100</v>
      </c>
      <c r="K1325" s="5" t="str">
        <f>VLOOKUP(D1325,[1]Clientes!$A$1:$B$1370,2,0)</f>
        <v>NAC1234</v>
      </c>
      <c r="L1325" s="5" t="str">
        <f t="shared" si="40"/>
        <v>HGI0126456</v>
      </c>
      <c r="M1325" s="5" t="str">
        <f t="shared" si="41"/>
        <v>I</v>
      </c>
      <c r="N1325" s="5">
        <f>IF(G1325=[1]Clientes!$C$3,[1]Clientes!$D$3,[1]Clientes!$D$2)</f>
        <v>13050505</v>
      </c>
    </row>
    <row r="1326" spans="1:14">
      <c r="A1326" s="6" t="s">
        <v>7</v>
      </c>
      <c r="B1326" s="7">
        <v>45520</v>
      </c>
      <c r="C1326" s="6" t="s">
        <v>4488</v>
      </c>
      <c r="D1326" s="6" t="s">
        <v>1578</v>
      </c>
      <c r="E1326" s="6" t="s">
        <v>16</v>
      </c>
      <c r="F1326" s="7">
        <v>45550</v>
      </c>
      <c r="G1326" s="6" t="s">
        <v>3102</v>
      </c>
      <c r="H1326" s="8"/>
      <c r="I1326" s="9">
        <v>8152</v>
      </c>
      <c r="J1326" s="9">
        <v>8152</v>
      </c>
      <c r="K1326" s="5" t="str">
        <f>VLOOKUP(D1326,[1]Clientes!$A$1:$B$1370,2,0)</f>
        <v>NAC1234</v>
      </c>
      <c r="L1326" s="5" t="str">
        <f t="shared" si="40"/>
        <v>HGI0126611</v>
      </c>
      <c r="M1326" s="5" t="str">
        <f t="shared" si="41"/>
        <v>I</v>
      </c>
      <c r="N1326" s="5">
        <f>IF(G1326=[1]Clientes!$C$3,[1]Clientes!$D$3,[1]Clientes!$D$2)</f>
        <v>13050505</v>
      </c>
    </row>
    <row r="1327" spans="1:14">
      <c r="A1327" s="6" t="s">
        <v>7</v>
      </c>
      <c r="B1327" s="7">
        <v>45497</v>
      </c>
      <c r="C1327" s="6" t="s">
        <v>4489</v>
      </c>
      <c r="D1327" s="6" t="s">
        <v>4490</v>
      </c>
      <c r="E1327" s="6" t="s">
        <v>16</v>
      </c>
      <c r="F1327" s="7">
        <v>45527</v>
      </c>
      <c r="G1327" s="6" t="s">
        <v>3102</v>
      </c>
      <c r="H1327" s="8">
        <v>8</v>
      </c>
      <c r="I1327" s="9">
        <v>2754</v>
      </c>
      <c r="J1327" s="9">
        <v>2754</v>
      </c>
      <c r="K1327" s="5" t="str">
        <f>VLOOKUP(D1327,[1]Clientes!$A$1:$B$1370,2,0)</f>
        <v>NAC1241</v>
      </c>
      <c r="L1327" s="5" t="str">
        <f t="shared" si="40"/>
        <v>HGI0125942</v>
      </c>
      <c r="M1327" s="5" t="str">
        <f t="shared" si="41"/>
        <v>I</v>
      </c>
      <c r="N1327" s="5">
        <f>IF(G1327=[1]Clientes!$C$3,[1]Clientes!$D$3,[1]Clientes!$D$2)</f>
        <v>13050505</v>
      </c>
    </row>
    <row r="1328" spans="1:14">
      <c r="A1328" s="6" t="s">
        <v>7</v>
      </c>
      <c r="B1328" s="7">
        <v>45516</v>
      </c>
      <c r="C1328" s="6" t="s">
        <v>4491</v>
      </c>
      <c r="D1328" s="6" t="s">
        <v>4490</v>
      </c>
      <c r="E1328" s="6" t="s">
        <v>16</v>
      </c>
      <c r="F1328" s="7">
        <v>45546</v>
      </c>
      <c r="G1328" s="6" t="s">
        <v>3102</v>
      </c>
      <c r="H1328" s="8"/>
      <c r="I1328" s="9">
        <v>4480</v>
      </c>
      <c r="J1328" s="9">
        <v>4480</v>
      </c>
      <c r="K1328" s="5" t="str">
        <f>VLOOKUP(D1328,[1]Clientes!$A$1:$B$1370,2,0)</f>
        <v>NAC1241</v>
      </c>
      <c r="L1328" s="5" t="str">
        <f t="shared" si="40"/>
        <v>HGI0126411</v>
      </c>
      <c r="M1328" s="5" t="str">
        <f t="shared" si="41"/>
        <v>I</v>
      </c>
      <c r="N1328" s="5">
        <f>IF(G1328=[1]Clientes!$C$3,[1]Clientes!$D$3,[1]Clientes!$D$2)</f>
        <v>13050505</v>
      </c>
    </row>
    <row r="1329" spans="1:14">
      <c r="A1329" s="6" t="s">
        <v>7</v>
      </c>
      <c r="B1329" s="7">
        <v>45518</v>
      </c>
      <c r="C1329" s="6" t="s">
        <v>4492</v>
      </c>
      <c r="D1329" s="6" t="s">
        <v>4490</v>
      </c>
      <c r="E1329" s="6" t="s">
        <v>16</v>
      </c>
      <c r="F1329" s="7">
        <v>45548</v>
      </c>
      <c r="G1329" s="6" t="s">
        <v>3102</v>
      </c>
      <c r="H1329" s="8"/>
      <c r="I1329" s="9">
        <v>50328</v>
      </c>
      <c r="J1329" s="9">
        <v>50328</v>
      </c>
      <c r="K1329" s="5" t="str">
        <f>VLOOKUP(D1329,[1]Clientes!$A$1:$B$1370,2,0)</f>
        <v>NAC1241</v>
      </c>
      <c r="L1329" s="5" t="str">
        <f t="shared" si="40"/>
        <v>HGI0126467</v>
      </c>
      <c r="M1329" s="5" t="str">
        <f t="shared" si="41"/>
        <v>I</v>
      </c>
      <c r="N1329" s="5">
        <f>IF(G1329=[1]Clientes!$C$3,[1]Clientes!$D$3,[1]Clientes!$D$2)</f>
        <v>13050505</v>
      </c>
    </row>
    <row r="1330" spans="1:14">
      <c r="A1330" s="6" t="s">
        <v>7</v>
      </c>
      <c r="B1330" s="7">
        <v>45520</v>
      </c>
      <c r="C1330" s="6" t="s">
        <v>4493</v>
      </c>
      <c r="D1330" s="6" t="s">
        <v>4490</v>
      </c>
      <c r="E1330" s="6" t="s">
        <v>16</v>
      </c>
      <c r="F1330" s="7">
        <v>45550</v>
      </c>
      <c r="G1330" s="6" t="s">
        <v>3102</v>
      </c>
      <c r="H1330" s="8"/>
      <c r="I1330" s="9">
        <v>10438.56</v>
      </c>
      <c r="J1330" s="9">
        <v>10438.56</v>
      </c>
      <c r="K1330" s="5" t="str">
        <f>VLOOKUP(D1330,[1]Clientes!$A$1:$B$1370,2,0)</f>
        <v>NAC1241</v>
      </c>
      <c r="L1330" s="5" t="str">
        <f t="shared" si="40"/>
        <v>HGI0126600</v>
      </c>
      <c r="M1330" s="5" t="str">
        <f t="shared" si="41"/>
        <v>I</v>
      </c>
      <c r="N1330" s="5">
        <f>IF(G1330=[1]Clientes!$C$3,[1]Clientes!$D$3,[1]Clientes!$D$2)</f>
        <v>13050505</v>
      </c>
    </row>
    <row r="1331" spans="1:14">
      <c r="A1331" s="6" t="s">
        <v>7</v>
      </c>
      <c r="B1331" s="7">
        <v>45507</v>
      </c>
      <c r="C1331" s="6" t="s">
        <v>4494</v>
      </c>
      <c r="D1331" s="6" t="s">
        <v>1582</v>
      </c>
      <c r="E1331" s="6" t="s">
        <v>16</v>
      </c>
      <c r="F1331" s="7">
        <v>45537</v>
      </c>
      <c r="G1331" s="6" t="s">
        <v>3102</v>
      </c>
      <c r="H1331" s="8"/>
      <c r="I1331" s="9">
        <v>1165</v>
      </c>
      <c r="J1331" s="9">
        <v>1165</v>
      </c>
      <c r="K1331" s="5" t="str">
        <f>VLOOKUP(D1331,[1]Clientes!$A$1:$B$1370,2,0)</f>
        <v>NAC1247</v>
      </c>
      <c r="L1331" s="5" t="str">
        <f t="shared" si="40"/>
        <v>HGI0126176</v>
      </c>
      <c r="M1331" s="5" t="str">
        <f t="shared" si="41"/>
        <v>I</v>
      </c>
      <c r="N1331" s="5">
        <f>IF(G1331=[1]Clientes!$C$3,[1]Clientes!$D$3,[1]Clientes!$D$2)</f>
        <v>13050505</v>
      </c>
    </row>
    <row r="1332" spans="1:14">
      <c r="A1332" s="6" t="s">
        <v>7</v>
      </c>
      <c r="B1332" s="7">
        <v>45514</v>
      </c>
      <c r="C1332" s="6" t="s">
        <v>4495</v>
      </c>
      <c r="D1332" s="6" t="s">
        <v>1582</v>
      </c>
      <c r="E1332" s="6" t="s">
        <v>16</v>
      </c>
      <c r="F1332" s="7">
        <v>45544</v>
      </c>
      <c r="G1332" s="6" t="s">
        <v>3102</v>
      </c>
      <c r="H1332" s="8"/>
      <c r="I1332" s="9">
        <v>2231.16</v>
      </c>
      <c r="J1332" s="9">
        <v>2231.16</v>
      </c>
      <c r="K1332" s="5" t="str">
        <f>VLOOKUP(D1332,[1]Clientes!$A$1:$B$1370,2,0)</f>
        <v>NAC1247</v>
      </c>
      <c r="L1332" s="5" t="str">
        <f t="shared" si="40"/>
        <v>HGI0126379</v>
      </c>
      <c r="M1332" s="5" t="str">
        <f t="shared" si="41"/>
        <v>I</v>
      </c>
      <c r="N1332" s="5">
        <f>IF(G1332=[1]Clientes!$C$3,[1]Clientes!$D$3,[1]Clientes!$D$2)</f>
        <v>13050505</v>
      </c>
    </row>
    <row r="1333" spans="1:14">
      <c r="A1333" s="6" t="s">
        <v>7</v>
      </c>
      <c r="B1333" s="7">
        <v>45523</v>
      </c>
      <c r="C1333" s="6" t="s">
        <v>4496</v>
      </c>
      <c r="D1333" s="6" t="s">
        <v>1582</v>
      </c>
      <c r="E1333" s="6" t="s">
        <v>16</v>
      </c>
      <c r="F1333" s="7">
        <v>45553</v>
      </c>
      <c r="G1333" s="6" t="s">
        <v>3102</v>
      </c>
      <c r="H1333" s="8"/>
      <c r="I1333" s="9">
        <v>2980</v>
      </c>
      <c r="J1333" s="9">
        <v>2980</v>
      </c>
      <c r="K1333" s="5" t="str">
        <f>VLOOKUP(D1333,[1]Clientes!$A$1:$B$1370,2,0)</f>
        <v>NAC1247</v>
      </c>
      <c r="L1333" s="5" t="str">
        <f t="shared" si="40"/>
        <v>HGI0126634</v>
      </c>
      <c r="M1333" s="5" t="str">
        <f t="shared" si="41"/>
        <v>I</v>
      </c>
      <c r="N1333" s="5">
        <f>IF(G1333=[1]Clientes!$C$3,[1]Clientes!$D$3,[1]Clientes!$D$2)</f>
        <v>13050505</v>
      </c>
    </row>
    <row r="1334" spans="1:14">
      <c r="A1334" s="6" t="s">
        <v>7</v>
      </c>
      <c r="B1334" s="7">
        <v>45523</v>
      </c>
      <c r="C1334" s="6" t="s">
        <v>4497</v>
      </c>
      <c r="D1334" s="6" t="s">
        <v>1582</v>
      </c>
      <c r="E1334" s="6" t="s">
        <v>16</v>
      </c>
      <c r="F1334" s="7">
        <v>45553</v>
      </c>
      <c r="G1334" s="6" t="s">
        <v>3102</v>
      </c>
      <c r="H1334" s="8"/>
      <c r="I1334" s="9">
        <v>1330</v>
      </c>
      <c r="J1334" s="9">
        <v>1330</v>
      </c>
      <c r="K1334" s="5" t="str">
        <f>VLOOKUP(D1334,[1]Clientes!$A$1:$B$1370,2,0)</f>
        <v>NAC1247</v>
      </c>
      <c r="L1334" s="5" t="str">
        <f t="shared" si="40"/>
        <v>HGI0126654</v>
      </c>
      <c r="M1334" s="5" t="str">
        <f t="shared" si="41"/>
        <v>I</v>
      </c>
      <c r="N1334" s="5">
        <f>IF(G1334=[1]Clientes!$C$3,[1]Clientes!$D$3,[1]Clientes!$D$2)</f>
        <v>13050505</v>
      </c>
    </row>
    <row r="1335" spans="1:14">
      <c r="A1335" s="6" t="s">
        <v>7</v>
      </c>
      <c r="B1335" s="7">
        <v>45524</v>
      </c>
      <c r="C1335" s="6" t="s">
        <v>4498</v>
      </c>
      <c r="D1335" s="6" t="s">
        <v>1582</v>
      </c>
      <c r="E1335" s="6" t="s">
        <v>16</v>
      </c>
      <c r="F1335" s="7">
        <v>45554</v>
      </c>
      <c r="G1335" s="6" t="s">
        <v>3102</v>
      </c>
      <c r="H1335" s="8"/>
      <c r="I1335" s="9">
        <v>340</v>
      </c>
      <c r="J1335" s="9">
        <v>340</v>
      </c>
      <c r="K1335" s="5" t="str">
        <f>VLOOKUP(D1335,[1]Clientes!$A$1:$B$1370,2,0)</f>
        <v>NAC1247</v>
      </c>
      <c r="L1335" s="5" t="str">
        <f t="shared" si="40"/>
        <v>HGI0126694</v>
      </c>
      <c r="M1335" s="5" t="str">
        <f t="shared" si="41"/>
        <v>I</v>
      </c>
      <c r="N1335" s="5">
        <f>IF(G1335=[1]Clientes!$C$3,[1]Clientes!$D$3,[1]Clientes!$D$2)</f>
        <v>13050505</v>
      </c>
    </row>
    <row r="1336" spans="1:14">
      <c r="A1336" s="6" t="s">
        <v>7</v>
      </c>
      <c r="B1336" s="7">
        <v>45528</v>
      </c>
      <c r="C1336" s="6" t="s">
        <v>4499</v>
      </c>
      <c r="D1336" s="6" t="s">
        <v>1582</v>
      </c>
      <c r="E1336" s="6" t="s">
        <v>16</v>
      </c>
      <c r="F1336" s="7">
        <v>45558</v>
      </c>
      <c r="G1336" s="6" t="s">
        <v>3102</v>
      </c>
      <c r="H1336" s="8"/>
      <c r="I1336" s="9">
        <v>622.52</v>
      </c>
      <c r="J1336" s="9">
        <v>622.52</v>
      </c>
      <c r="K1336" s="5" t="str">
        <f>VLOOKUP(D1336,[1]Clientes!$A$1:$B$1370,2,0)</f>
        <v>NAC1247</v>
      </c>
      <c r="L1336" s="5" t="str">
        <f t="shared" si="40"/>
        <v>HGI0126871</v>
      </c>
      <c r="M1336" s="5" t="str">
        <f t="shared" si="41"/>
        <v>I</v>
      </c>
      <c r="N1336" s="5">
        <f>IF(G1336=[1]Clientes!$C$3,[1]Clientes!$D$3,[1]Clientes!$D$2)</f>
        <v>13050505</v>
      </c>
    </row>
    <row r="1337" spans="1:14">
      <c r="A1337" s="6" t="s">
        <v>7</v>
      </c>
      <c r="B1337" s="7">
        <v>45532</v>
      </c>
      <c r="C1337" s="6" t="s">
        <v>4500</v>
      </c>
      <c r="D1337" s="6" t="s">
        <v>1582</v>
      </c>
      <c r="E1337" s="6" t="s">
        <v>16</v>
      </c>
      <c r="F1337" s="7">
        <v>45562</v>
      </c>
      <c r="G1337" s="6" t="s">
        <v>3102</v>
      </c>
      <c r="H1337" s="8"/>
      <c r="I1337" s="9">
        <v>91.2</v>
      </c>
      <c r="J1337" s="9">
        <v>91.2</v>
      </c>
      <c r="K1337" s="5" t="str">
        <f>VLOOKUP(D1337,[1]Clientes!$A$1:$B$1370,2,0)</f>
        <v>NAC1247</v>
      </c>
      <c r="L1337" s="5" t="str">
        <f t="shared" si="40"/>
        <v>HGI0126993</v>
      </c>
      <c r="M1337" s="5" t="str">
        <f t="shared" si="41"/>
        <v>I</v>
      </c>
      <c r="N1337" s="5">
        <f>IF(G1337=[1]Clientes!$C$3,[1]Clientes!$D$3,[1]Clientes!$D$2)</f>
        <v>13050505</v>
      </c>
    </row>
    <row r="1338" spans="1:14">
      <c r="A1338" s="6" t="s">
        <v>7</v>
      </c>
      <c r="B1338" s="7">
        <v>45532</v>
      </c>
      <c r="C1338" s="6" t="s">
        <v>4501</v>
      </c>
      <c r="D1338" s="6" t="s">
        <v>1582</v>
      </c>
      <c r="E1338" s="6" t="s">
        <v>16</v>
      </c>
      <c r="F1338" s="7">
        <v>45562</v>
      </c>
      <c r="G1338" s="6" t="s">
        <v>3102</v>
      </c>
      <c r="H1338" s="8"/>
      <c r="I1338" s="9">
        <v>180</v>
      </c>
      <c r="J1338" s="9">
        <v>180</v>
      </c>
      <c r="K1338" s="5" t="str">
        <f>VLOOKUP(D1338,[1]Clientes!$A$1:$B$1370,2,0)</f>
        <v>NAC1247</v>
      </c>
      <c r="L1338" s="5" t="str">
        <f t="shared" si="40"/>
        <v>HGI0127056</v>
      </c>
      <c r="M1338" s="5" t="str">
        <f t="shared" si="41"/>
        <v>I</v>
      </c>
      <c r="N1338" s="5">
        <f>IF(G1338=[1]Clientes!$C$3,[1]Clientes!$D$3,[1]Clientes!$D$2)</f>
        <v>13050505</v>
      </c>
    </row>
    <row r="1339" spans="1:14">
      <c r="A1339" s="6" t="s">
        <v>3139</v>
      </c>
      <c r="B1339" s="7">
        <v>45302</v>
      </c>
      <c r="C1339" s="6"/>
      <c r="D1339" s="6" t="s">
        <v>4502</v>
      </c>
      <c r="E1339" s="6"/>
      <c r="F1339" s="7"/>
      <c r="G1339" s="6" t="s">
        <v>3102</v>
      </c>
      <c r="H1339" s="8"/>
      <c r="I1339" s="9">
        <v>-0.34</v>
      </c>
      <c r="J1339" s="9">
        <v>-1207.06</v>
      </c>
      <c r="K1339" s="5" t="str">
        <f>VLOOKUP(D1339,[1]Clientes!$A$1:$B$1370,2,0)</f>
        <v>CAN0051</v>
      </c>
      <c r="L1339" s="5" t="str">
        <f t="shared" si="40"/>
        <v>Revisar</v>
      </c>
      <c r="M1339" s="5" t="str">
        <f t="shared" si="41"/>
        <v>P</v>
      </c>
      <c r="N1339" s="5">
        <f>IF(G1339=[1]Clientes!$C$3,[1]Clientes!$D$3,[1]Clientes!$D$2)</f>
        <v>13050505</v>
      </c>
    </row>
    <row r="1340" spans="1:14">
      <c r="A1340" s="6" t="s">
        <v>7</v>
      </c>
      <c r="B1340" s="7">
        <v>45313</v>
      </c>
      <c r="C1340" s="6" t="s">
        <v>4503</v>
      </c>
      <c r="D1340" s="6" t="s">
        <v>1596</v>
      </c>
      <c r="E1340" s="6" t="s">
        <v>16</v>
      </c>
      <c r="F1340" s="7">
        <v>45343</v>
      </c>
      <c r="G1340" s="6" t="s">
        <v>3102</v>
      </c>
      <c r="H1340" s="8">
        <v>192</v>
      </c>
      <c r="I1340" s="9">
        <v>14.2</v>
      </c>
      <c r="J1340" s="9">
        <v>6255.78</v>
      </c>
      <c r="K1340" s="5" t="str">
        <f>VLOOKUP(D1340,[1]Clientes!$A$1:$B$1370,2,0)</f>
        <v>NAC1249</v>
      </c>
      <c r="L1340" s="5" t="str">
        <f t="shared" si="40"/>
        <v>HGI0119584</v>
      </c>
      <c r="M1340" s="5" t="str">
        <f t="shared" si="41"/>
        <v>I</v>
      </c>
      <c r="N1340" s="5">
        <f>IF(G1340=[1]Clientes!$C$3,[1]Clientes!$D$3,[1]Clientes!$D$2)</f>
        <v>13050505</v>
      </c>
    </row>
    <row r="1341" spans="1:14">
      <c r="A1341" s="6" t="s">
        <v>7</v>
      </c>
      <c r="B1341" s="7">
        <v>45321</v>
      </c>
      <c r="C1341" s="6" t="s">
        <v>4504</v>
      </c>
      <c r="D1341" s="6" t="s">
        <v>1596</v>
      </c>
      <c r="E1341" s="6" t="s">
        <v>16</v>
      </c>
      <c r="F1341" s="7">
        <v>45351</v>
      </c>
      <c r="G1341" s="6" t="s">
        <v>3102</v>
      </c>
      <c r="H1341" s="8">
        <v>184</v>
      </c>
      <c r="I1341" s="9">
        <v>31.76</v>
      </c>
      <c r="J1341" s="9">
        <v>793.44</v>
      </c>
      <c r="K1341" s="5" t="str">
        <f>VLOOKUP(D1341,[1]Clientes!$A$1:$B$1370,2,0)</f>
        <v>NAC1249</v>
      </c>
      <c r="L1341" s="5" t="str">
        <f t="shared" si="40"/>
        <v>HGI0120087</v>
      </c>
      <c r="M1341" s="5" t="str">
        <f t="shared" si="41"/>
        <v>I</v>
      </c>
      <c r="N1341" s="5">
        <f>IF(G1341=[1]Clientes!$C$3,[1]Clientes!$D$3,[1]Clientes!$D$2)</f>
        <v>13050505</v>
      </c>
    </row>
    <row r="1342" spans="1:14">
      <c r="A1342" s="6" t="s">
        <v>3099</v>
      </c>
      <c r="B1342" s="7">
        <v>45322</v>
      </c>
      <c r="C1342" s="6" t="s">
        <v>4505</v>
      </c>
      <c r="D1342" s="6" t="s">
        <v>1596</v>
      </c>
      <c r="E1342" s="6" t="s">
        <v>16</v>
      </c>
      <c r="F1342" s="7">
        <v>45352</v>
      </c>
      <c r="G1342" s="6" t="s">
        <v>3102</v>
      </c>
      <c r="H1342" s="8">
        <v>183</v>
      </c>
      <c r="I1342" s="9">
        <v>-17.760000000000002</v>
      </c>
      <c r="J1342" s="9">
        <v>-41.76</v>
      </c>
      <c r="K1342" s="5" t="str">
        <f>VLOOKUP(D1342,[1]Clientes!$A$1:$B$1370,2,0)</f>
        <v>NAC1249</v>
      </c>
      <c r="L1342" s="5" t="str">
        <f t="shared" si="40"/>
        <v>CRM0120281</v>
      </c>
      <c r="M1342" s="5" t="str">
        <f t="shared" si="41"/>
        <v>C</v>
      </c>
      <c r="N1342" s="5">
        <f>IF(G1342=[1]Clientes!$C$3,[1]Clientes!$D$3,[1]Clientes!$D$2)</f>
        <v>13050505</v>
      </c>
    </row>
    <row r="1343" spans="1:14">
      <c r="A1343" s="6" t="s">
        <v>7</v>
      </c>
      <c r="B1343" s="7">
        <v>45341</v>
      </c>
      <c r="C1343" s="6" t="s">
        <v>4506</v>
      </c>
      <c r="D1343" s="6" t="s">
        <v>1596</v>
      </c>
      <c r="E1343" s="6" t="s">
        <v>16</v>
      </c>
      <c r="F1343" s="7">
        <v>45371</v>
      </c>
      <c r="G1343" s="6" t="s">
        <v>3102</v>
      </c>
      <c r="H1343" s="8">
        <v>164</v>
      </c>
      <c r="I1343" s="9">
        <v>5</v>
      </c>
      <c r="J1343" s="9">
        <v>5</v>
      </c>
      <c r="K1343" s="5" t="str">
        <f>VLOOKUP(D1343,[1]Clientes!$A$1:$B$1370,2,0)</f>
        <v>NAC1249</v>
      </c>
      <c r="L1343" s="5" t="str">
        <f t="shared" si="40"/>
        <v>HGI0121050</v>
      </c>
      <c r="M1343" s="5" t="str">
        <f t="shared" si="41"/>
        <v>I</v>
      </c>
      <c r="N1343" s="5">
        <f>IF(G1343=[1]Clientes!$C$3,[1]Clientes!$D$3,[1]Clientes!$D$2)</f>
        <v>13050505</v>
      </c>
    </row>
    <row r="1344" spans="1:14">
      <c r="A1344" s="6" t="s">
        <v>7</v>
      </c>
      <c r="B1344" s="7">
        <v>45341</v>
      </c>
      <c r="C1344" s="6" t="s">
        <v>4507</v>
      </c>
      <c r="D1344" s="6" t="s">
        <v>1596</v>
      </c>
      <c r="E1344" s="6" t="s">
        <v>16</v>
      </c>
      <c r="F1344" s="7">
        <v>45371</v>
      </c>
      <c r="G1344" s="6" t="s">
        <v>3102</v>
      </c>
      <c r="H1344" s="8">
        <v>164</v>
      </c>
      <c r="I1344" s="9">
        <v>5</v>
      </c>
      <c r="J1344" s="9">
        <v>5</v>
      </c>
      <c r="K1344" s="5" t="str">
        <f>VLOOKUP(D1344,[1]Clientes!$A$1:$B$1370,2,0)</f>
        <v>NAC1249</v>
      </c>
      <c r="L1344" s="5" t="str">
        <f t="shared" si="40"/>
        <v>HGI0121049</v>
      </c>
      <c r="M1344" s="5" t="str">
        <f t="shared" si="41"/>
        <v>I</v>
      </c>
      <c r="N1344" s="5">
        <f>IF(G1344=[1]Clientes!$C$3,[1]Clientes!$D$3,[1]Clientes!$D$2)</f>
        <v>13050505</v>
      </c>
    </row>
    <row r="1345" spans="1:14">
      <c r="A1345" s="6" t="s">
        <v>7</v>
      </c>
      <c r="B1345" s="7">
        <v>45341</v>
      </c>
      <c r="C1345" s="6" t="s">
        <v>4508</v>
      </c>
      <c r="D1345" s="6" t="s">
        <v>1596</v>
      </c>
      <c r="E1345" s="6" t="s">
        <v>16</v>
      </c>
      <c r="F1345" s="7">
        <v>45371</v>
      </c>
      <c r="G1345" s="6" t="s">
        <v>3102</v>
      </c>
      <c r="H1345" s="8">
        <v>164</v>
      </c>
      <c r="I1345" s="9">
        <v>5</v>
      </c>
      <c r="J1345" s="9">
        <v>5</v>
      </c>
      <c r="K1345" s="5" t="str">
        <f>VLOOKUP(D1345,[1]Clientes!$A$1:$B$1370,2,0)</f>
        <v>NAC1249</v>
      </c>
      <c r="L1345" s="5" t="str">
        <f t="shared" si="40"/>
        <v>HGI0121051</v>
      </c>
      <c r="M1345" s="5" t="str">
        <f t="shared" si="41"/>
        <v>I</v>
      </c>
      <c r="N1345" s="5">
        <f>IF(G1345=[1]Clientes!$C$3,[1]Clientes!$D$3,[1]Clientes!$D$2)</f>
        <v>13050505</v>
      </c>
    </row>
    <row r="1346" spans="1:14">
      <c r="A1346" s="6" t="s">
        <v>7</v>
      </c>
      <c r="B1346" s="7">
        <v>45341</v>
      </c>
      <c r="C1346" s="6" t="s">
        <v>4509</v>
      </c>
      <c r="D1346" s="6" t="s">
        <v>1596</v>
      </c>
      <c r="E1346" s="6" t="s">
        <v>16</v>
      </c>
      <c r="F1346" s="7">
        <v>45371</v>
      </c>
      <c r="G1346" s="6" t="s">
        <v>3102</v>
      </c>
      <c r="H1346" s="8">
        <v>164</v>
      </c>
      <c r="I1346" s="9">
        <v>5</v>
      </c>
      <c r="J1346" s="9">
        <v>5</v>
      </c>
      <c r="K1346" s="5" t="str">
        <f>VLOOKUP(D1346,[1]Clientes!$A$1:$B$1370,2,0)</f>
        <v>NAC1249</v>
      </c>
      <c r="L1346" s="5" t="str">
        <f t="shared" si="40"/>
        <v>HGI0121052</v>
      </c>
      <c r="M1346" s="5" t="str">
        <f t="shared" si="41"/>
        <v>I</v>
      </c>
      <c r="N1346" s="5">
        <f>IF(G1346=[1]Clientes!$C$3,[1]Clientes!$D$3,[1]Clientes!$D$2)</f>
        <v>13050505</v>
      </c>
    </row>
    <row r="1347" spans="1:14">
      <c r="A1347" s="6" t="s">
        <v>7</v>
      </c>
      <c r="B1347" s="7">
        <v>45341</v>
      </c>
      <c r="C1347" s="6" t="s">
        <v>4510</v>
      </c>
      <c r="D1347" s="6" t="s">
        <v>1596</v>
      </c>
      <c r="E1347" s="6" t="s">
        <v>16</v>
      </c>
      <c r="F1347" s="7">
        <v>45371</v>
      </c>
      <c r="G1347" s="6" t="s">
        <v>3102</v>
      </c>
      <c r="H1347" s="8">
        <v>164</v>
      </c>
      <c r="I1347" s="9">
        <v>5</v>
      </c>
      <c r="J1347" s="9">
        <v>5</v>
      </c>
      <c r="K1347" s="5" t="str">
        <f>VLOOKUP(D1347,[1]Clientes!$A$1:$B$1370,2,0)</f>
        <v>NAC1249</v>
      </c>
      <c r="L1347" s="5" t="str">
        <f t="shared" ref="L1347:L1410" si="42">IF(A1347="Invoice",
    IF(LEFT(C1347,5)="TGDR-", "TGDR"&amp;RIGHT(C1347,LEN(C1347)-5), "HGI"&amp;C1347),
    IF(A1347="Credit Memo",
        IF(LEFT(C1347,5)="TGDR-", "CRM"&amp;RIGHT(C1347,LEN(C1347)-5), "CRM"&amp;C1347),
        "Revisar")
)</f>
        <v>HGI0121053</v>
      </c>
      <c r="M1347" s="5" t="str">
        <f t="shared" ref="M1347:M1410" si="43">IF(A1347="Invoice","I",IF(A1347="Credit Memo","C",IF(A1347="Payment","P","GJ")))</f>
        <v>I</v>
      </c>
      <c r="N1347" s="5">
        <f>IF(G1347=[1]Clientes!$C$3,[1]Clientes!$D$3,[1]Clientes!$D$2)</f>
        <v>13050505</v>
      </c>
    </row>
    <row r="1348" spans="1:14">
      <c r="A1348" s="6" t="s">
        <v>7</v>
      </c>
      <c r="B1348" s="7">
        <v>45341</v>
      </c>
      <c r="C1348" s="6" t="s">
        <v>4511</v>
      </c>
      <c r="D1348" s="6" t="s">
        <v>1596</v>
      </c>
      <c r="E1348" s="6" t="s">
        <v>16</v>
      </c>
      <c r="F1348" s="7">
        <v>45371</v>
      </c>
      <c r="G1348" s="6" t="s">
        <v>3102</v>
      </c>
      <c r="H1348" s="8">
        <v>164</v>
      </c>
      <c r="I1348" s="9">
        <v>5</v>
      </c>
      <c r="J1348" s="9">
        <v>5</v>
      </c>
      <c r="K1348" s="5" t="str">
        <f>VLOOKUP(D1348,[1]Clientes!$A$1:$B$1370,2,0)</f>
        <v>NAC1249</v>
      </c>
      <c r="L1348" s="5" t="str">
        <f t="shared" si="42"/>
        <v>HGI0121054</v>
      </c>
      <c r="M1348" s="5" t="str">
        <f t="shared" si="43"/>
        <v>I</v>
      </c>
      <c r="N1348" s="5">
        <f>IF(G1348=[1]Clientes!$C$3,[1]Clientes!$D$3,[1]Clientes!$D$2)</f>
        <v>13050505</v>
      </c>
    </row>
    <row r="1349" spans="1:14">
      <c r="A1349" s="6" t="s">
        <v>7</v>
      </c>
      <c r="B1349" s="7">
        <v>45341</v>
      </c>
      <c r="C1349" s="6" t="s">
        <v>4512</v>
      </c>
      <c r="D1349" s="6" t="s">
        <v>1596</v>
      </c>
      <c r="E1349" s="6" t="s">
        <v>16</v>
      </c>
      <c r="F1349" s="7">
        <v>45371</v>
      </c>
      <c r="G1349" s="6" t="s">
        <v>3102</v>
      </c>
      <c r="H1349" s="8">
        <v>164</v>
      </c>
      <c r="I1349" s="9">
        <v>5</v>
      </c>
      <c r="J1349" s="9">
        <v>5</v>
      </c>
      <c r="K1349" s="5" t="str">
        <f>VLOOKUP(D1349,[1]Clientes!$A$1:$B$1370,2,0)</f>
        <v>NAC1249</v>
      </c>
      <c r="L1349" s="5" t="str">
        <f t="shared" si="42"/>
        <v>HGI0121055</v>
      </c>
      <c r="M1349" s="5" t="str">
        <f t="shared" si="43"/>
        <v>I</v>
      </c>
      <c r="N1349" s="5">
        <f>IF(G1349=[1]Clientes!$C$3,[1]Clientes!$D$3,[1]Clientes!$D$2)</f>
        <v>13050505</v>
      </c>
    </row>
    <row r="1350" spans="1:14">
      <c r="A1350" s="6" t="s">
        <v>7</v>
      </c>
      <c r="B1350" s="7">
        <v>45341</v>
      </c>
      <c r="C1350" s="6" t="s">
        <v>4513</v>
      </c>
      <c r="D1350" s="6" t="s">
        <v>1596</v>
      </c>
      <c r="E1350" s="6" t="s">
        <v>16</v>
      </c>
      <c r="F1350" s="7">
        <v>45371</v>
      </c>
      <c r="G1350" s="6" t="s">
        <v>3102</v>
      </c>
      <c r="H1350" s="8">
        <v>164</v>
      </c>
      <c r="I1350" s="9">
        <v>5</v>
      </c>
      <c r="J1350" s="9">
        <v>5</v>
      </c>
      <c r="K1350" s="5" t="str">
        <f>VLOOKUP(D1350,[1]Clientes!$A$1:$B$1370,2,0)</f>
        <v>NAC1249</v>
      </c>
      <c r="L1350" s="5" t="str">
        <f t="shared" si="42"/>
        <v>HGI0121056</v>
      </c>
      <c r="M1350" s="5" t="str">
        <f t="shared" si="43"/>
        <v>I</v>
      </c>
      <c r="N1350" s="5">
        <f>IF(G1350=[1]Clientes!$C$3,[1]Clientes!$D$3,[1]Clientes!$D$2)</f>
        <v>13050505</v>
      </c>
    </row>
    <row r="1351" spans="1:14">
      <c r="A1351" s="6" t="s">
        <v>7</v>
      </c>
      <c r="B1351" s="7">
        <v>45341</v>
      </c>
      <c r="C1351" s="6" t="s">
        <v>4514</v>
      </c>
      <c r="D1351" s="6" t="s">
        <v>1596</v>
      </c>
      <c r="E1351" s="6" t="s">
        <v>16</v>
      </c>
      <c r="F1351" s="7">
        <v>45371</v>
      </c>
      <c r="G1351" s="6" t="s">
        <v>3102</v>
      </c>
      <c r="H1351" s="8">
        <v>164</v>
      </c>
      <c r="I1351" s="9">
        <v>5</v>
      </c>
      <c r="J1351" s="9">
        <v>5</v>
      </c>
      <c r="K1351" s="5" t="str">
        <f>VLOOKUP(D1351,[1]Clientes!$A$1:$B$1370,2,0)</f>
        <v>NAC1249</v>
      </c>
      <c r="L1351" s="5" t="str">
        <f t="shared" si="42"/>
        <v>HGI0121057</v>
      </c>
      <c r="M1351" s="5" t="str">
        <f t="shared" si="43"/>
        <v>I</v>
      </c>
      <c r="N1351" s="5">
        <f>IF(G1351=[1]Clientes!$C$3,[1]Clientes!$D$3,[1]Clientes!$D$2)</f>
        <v>13050505</v>
      </c>
    </row>
    <row r="1352" spans="1:14">
      <c r="A1352" s="6" t="s">
        <v>7</v>
      </c>
      <c r="B1352" s="7">
        <v>45478</v>
      </c>
      <c r="C1352" s="6" t="s">
        <v>4515</v>
      </c>
      <c r="D1352" s="6" t="s">
        <v>1603</v>
      </c>
      <c r="E1352" s="6" t="s">
        <v>16</v>
      </c>
      <c r="F1352" s="7">
        <v>45508</v>
      </c>
      <c r="G1352" s="6" t="s">
        <v>3102</v>
      </c>
      <c r="H1352" s="8">
        <v>27</v>
      </c>
      <c r="I1352" s="9">
        <v>2661.8</v>
      </c>
      <c r="J1352" s="9">
        <v>2661.8</v>
      </c>
      <c r="K1352" s="5" t="str">
        <f>VLOOKUP(D1352,[1]Clientes!$A$1:$B$1370,2,0)</f>
        <v>NAC1252</v>
      </c>
      <c r="L1352" s="5" t="str">
        <f t="shared" si="42"/>
        <v>HGI0125524</v>
      </c>
      <c r="M1352" s="5" t="str">
        <f t="shared" si="43"/>
        <v>I</v>
      </c>
      <c r="N1352" s="5">
        <f>IF(G1352=[1]Clientes!$C$3,[1]Clientes!$D$3,[1]Clientes!$D$2)</f>
        <v>13050505</v>
      </c>
    </row>
    <row r="1353" spans="1:14">
      <c r="A1353" s="6" t="s">
        <v>7</v>
      </c>
      <c r="B1353" s="7">
        <v>45478</v>
      </c>
      <c r="C1353" s="6" t="s">
        <v>4516</v>
      </c>
      <c r="D1353" s="6" t="s">
        <v>1603</v>
      </c>
      <c r="E1353" s="6" t="s">
        <v>16</v>
      </c>
      <c r="F1353" s="7">
        <v>45508</v>
      </c>
      <c r="G1353" s="6" t="s">
        <v>3102</v>
      </c>
      <c r="H1353" s="8">
        <v>27</v>
      </c>
      <c r="I1353" s="9">
        <v>304.14999999999998</v>
      </c>
      <c r="J1353" s="9">
        <v>304.14999999999998</v>
      </c>
      <c r="K1353" s="5" t="str">
        <f>VLOOKUP(D1353,[1]Clientes!$A$1:$B$1370,2,0)</f>
        <v>NAC1252</v>
      </c>
      <c r="L1353" s="5" t="str">
        <f t="shared" si="42"/>
        <v>HGI0125527</v>
      </c>
      <c r="M1353" s="5" t="str">
        <f t="shared" si="43"/>
        <v>I</v>
      </c>
      <c r="N1353" s="5">
        <f>IF(G1353=[1]Clientes!$C$3,[1]Clientes!$D$3,[1]Clientes!$D$2)</f>
        <v>13050505</v>
      </c>
    </row>
    <row r="1354" spans="1:14">
      <c r="A1354" s="6" t="s">
        <v>7</v>
      </c>
      <c r="B1354" s="7">
        <v>45483</v>
      </c>
      <c r="C1354" s="6" t="s">
        <v>4517</v>
      </c>
      <c r="D1354" s="6" t="s">
        <v>1603</v>
      </c>
      <c r="E1354" s="6" t="s">
        <v>16</v>
      </c>
      <c r="F1354" s="7">
        <v>45513</v>
      </c>
      <c r="G1354" s="6" t="s">
        <v>3102</v>
      </c>
      <c r="H1354" s="8">
        <v>22</v>
      </c>
      <c r="I1354" s="9">
        <v>700</v>
      </c>
      <c r="J1354" s="9">
        <v>700</v>
      </c>
      <c r="K1354" s="5" t="str">
        <f>VLOOKUP(D1354,[1]Clientes!$A$1:$B$1370,2,0)</f>
        <v>NAC1252</v>
      </c>
      <c r="L1354" s="5" t="str">
        <f t="shared" si="42"/>
        <v>HGI0125608</v>
      </c>
      <c r="M1354" s="5" t="str">
        <f t="shared" si="43"/>
        <v>I</v>
      </c>
      <c r="N1354" s="5">
        <f>IF(G1354=[1]Clientes!$C$3,[1]Clientes!$D$3,[1]Clientes!$D$2)</f>
        <v>13050505</v>
      </c>
    </row>
    <row r="1355" spans="1:14">
      <c r="A1355" s="6" t="s">
        <v>7</v>
      </c>
      <c r="B1355" s="7">
        <v>45483</v>
      </c>
      <c r="C1355" s="6" t="s">
        <v>4518</v>
      </c>
      <c r="D1355" s="6" t="s">
        <v>1603</v>
      </c>
      <c r="E1355" s="6" t="s">
        <v>16</v>
      </c>
      <c r="F1355" s="7">
        <v>45513</v>
      </c>
      <c r="G1355" s="6" t="s">
        <v>3102</v>
      </c>
      <c r="H1355" s="8">
        <v>22</v>
      </c>
      <c r="I1355" s="9">
        <v>746</v>
      </c>
      <c r="J1355" s="9">
        <v>746</v>
      </c>
      <c r="K1355" s="5" t="str">
        <f>VLOOKUP(D1355,[1]Clientes!$A$1:$B$1370,2,0)</f>
        <v>NAC1252</v>
      </c>
      <c r="L1355" s="5" t="str">
        <f t="shared" si="42"/>
        <v>HGI0125613</v>
      </c>
      <c r="M1355" s="5" t="str">
        <f t="shared" si="43"/>
        <v>I</v>
      </c>
      <c r="N1355" s="5">
        <f>IF(G1355=[1]Clientes!$C$3,[1]Clientes!$D$3,[1]Clientes!$D$2)</f>
        <v>13050505</v>
      </c>
    </row>
    <row r="1356" spans="1:14">
      <c r="A1356" s="6" t="s">
        <v>7</v>
      </c>
      <c r="B1356" s="7">
        <v>45489</v>
      </c>
      <c r="C1356" s="6" t="s">
        <v>4519</v>
      </c>
      <c r="D1356" s="6" t="s">
        <v>1603</v>
      </c>
      <c r="E1356" s="6" t="s">
        <v>16</v>
      </c>
      <c r="F1356" s="7">
        <v>45519</v>
      </c>
      <c r="G1356" s="6" t="s">
        <v>3102</v>
      </c>
      <c r="H1356" s="8">
        <v>16</v>
      </c>
      <c r="I1356" s="9">
        <v>2360</v>
      </c>
      <c r="J1356" s="9">
        <v>2360</v>
      </c>
      <c r="K1356" s="5" t="str">
        <f>VLOOKUP(D1356,[1]Clientes!$A$1:$B$1370,2,0)</f>
        <v>NAC1252</v>
      </c>
      <c r="L1356" s="5" t="str">
        <f t="shared" si="42"/>
        <v>HGI0125731</v>
      </c>
      <c r="M1356" s="5" t="str">
        <f t="shared" si="43"/>
        <v>I</v>
      </c>
      <c r="N1356" s="5">
        <f>IF(G1356=[1]Clientes!$C$3,[1]Clientes!$D$3,[1]Clientes!$D$2)</f>
        <v>13050505</v>
      </c>
    </row>
    <row r="1357" spans="1:14">
      <c r="A1357" s="6" t="s">
        <v>7</v>
      </c>
      <c r="B1357" s="7">
        <v>45489</v>
      </c>
      <c r="C1357" s="6" t="s">
        <v>4520</v>
      </c>
      <c r="D1357" s="6" t="s">
        <v>1603</v>
      </c>
      <c r="E1357" s="6" t="s">
        <v>16</v>
      </c>
      <c r="F1357" s="7">
        <v>45519</v>
      </c>
      <c r="G1357" s="6" t="s">
        <v>3102</v>
      </c>
      <c r="H1357" s="8">
        <v>16</v>
      </c>
      <c r="I1357" s="9">
        <v>843</v>
      </c>
      <c r="J1357" s="9">
        <v>843</v>
      </c>
      <c r="K1357" s="5" t="str">
        <f>VLOOKUP(D1357,[1]Clientes!$A$1:$B$1370,2,0)</f>
        <v>NAC1252</v>
      </c>
      <c r="L1357" s="5" t="str">
        <f t="shared" si="42"/>
        <v>HGI0125734</v>
      </c>
      <c r="M1357" s="5" t="str">
        <f t="shared" si="43"/>
        <v>I</v>
      </c>
      <c r="N1357" s="5">
        <f>IF(G1357=[1]Clientes!$C$3,[1]Clientes!$D$3,[1]Clientes!$D$2)</f>
        <v>13050505</v>
      </c>
    </row>
    <row r="1358" spans="1:14">
      <c r="A1358" s="6" t="s">
        <v>7</v>
      </c>
      <c r="B1358" s="7">
        <v>45496</v>
      </c>
      <c r="C1358" s="6" t="s">
        <v>4521</v>
      </c>
      <c r="D1358" s="6" t="s">
        <v>1603</v>
      </c>
      <c r="E1358" s="6" t="s">
        <v>16</v>
      </c>
      <c r="F1358" s="7">
        <v>45526</v>
      </c>
      <c r="G1358" s="6" t="s">
        <v>3102</v>
      </c>
      <c r="H1358" s="8">
        <v>9</v>
      </c>
      <c r="I1358" s="9">
        <v>6580</v>
      </c>
      <c r="J1358" s="9">
        <v>6580</v>
      </c>
      <c r="K1358" s="5" t="str">
        <f>VLOOKUP(D1358,[1]Clientes!$A$1:$B$1370,2,0)</f>
        <v>NAC1252</v>
      </c>
      <c r="L1358" s="5" t="str">
        <f t="shared" si="42"/>
        <v>HGI0125888</v>
      </c>
      <c r="M1358" s="5" t="str">
        <f t="shared" si="43"/>
        <v>I</v>
      </c>
      <c r="N1358" s="5">
        <f>IF(G1358=[1]Clientes!$C$3,[1]Clientes!$D$3,[1]Clientes!$D$2)</f>
        <v>13050505</v>
      </c>
    </row>
    <row r="1359" spans="1:14">
      <c r="A1359" s="6" t="s">
        <v>7</v>
      </c>
      <c r="B1359" s="7">
        <v>45499</v>
      </c>
      <c r="C1359" s="6" t="s">
        <v>4522</v>
      </c>
      <c r="D1359" s="6" t="s">
        <v>1603</v>
      </c>
      <c r="E1359" s="6" t="s">
        <v>16</v>
      </c>
      <c r="F1359" s="7">
        <v>45529</v>
      </c>
      <c r="G1359" s="6" t="s">
        <v>3102</v>
      </c>
      <c r="H1359" s="8">
        <v>6</v>
      </c>
      <c r="I1359" s="9">
        <v>1882</v>
      </c>
      <c r="J1359" s="9">
        <v>1882</v>
      </c>
      <c r="K1359" s="5" t="str">
        <f>VLOOKUP(D1359,[1]Clientes!$A$1:$B$1370,2,0)</f>
        <v>NAC1252</v>
      </c>
      <c r="L1359" s="5" t="str">
        <f t="shared" si="42"/>
        <v>HGI0125976</v>
      </c>
      <c r="M1359" s="5" t="str">
        <f t="shared" si="43"/>
        <v>I</v>
      </c>
      <c r="N1359" s="5">
        <f>IF(G1359=[1]Clientes!$C$3,[1]Clientes!$D$3,[1]Clientes!$D$2)</f>
        <v>13050505</v>
      </c>
    </row>
    <row r="1360" spans="1:14">
      <c r="A1360" s="6" t="s">
        <v>7</v>
      </c>
      <c r="B1360" s="7">
        <v>45506</v>
      </c>
      <c r="C1360" s="6" t="s">
        <v>4523</v>
      </c>
      <c r="D1360" s="6" t="s">
        <v>1603</v>
      </c>
      <c r="E1360" s="6" t="s">
        <v>16</v>
      </c>
      <c r="F1360" s="7">
        <v>45536</v>
      </c>
      <c r="G1360" s="6" t="s">
        <v>3102</v>
      </c>
      <c r="H1360" s="8"/>
      <c r="I1360" s="9">
        <v>3630</v>
      </c>
      <c r="J1360" s="9">
        <v>3630</v>
      </c>
      <c r="K1360" s="5" t="str">
        <f>VLOOKUP(D1360,[1]Clientes!$A$1:$B$1370,2,0)</f>
        <v>NAC1252</v>
      </c>
      <c r="L1360" s="5" t="str">
        <f t="shared" si="42"/>
        <v>HGI0126162</v>
      </c>
      <c r="M1360" s="5" t="str">
        <f t="shared" si="43"/>
        <v>I</v>
      </c>
      <c r="N1360" s="5">
        <f>IF(G1360=[1]Clientes!$C$3,[1]Clientes!$D$3,[1]Clientes!$D$2)</f>
        <v>13050505</v>
      </c>
    </row>
    <row r="1361" spans="1:14">
      <c r="A1361" s="6" t="s">
        <v>7</v>
      </c>
      <c r="B1361" s="7">
        <v>45511</v>
      </c>
      <c r="C1361" s="6" t="s">
        <v>4524</v>
      </c>
      <c r="D1361" s="6" t="s">
        <v>1603</v>
      </c>
      <c r="E1361" s="6" t="s">
        <v>16</v>
      </c>
      <c r="F1361" s="7">
        <v>45541</v>
      </c>
      <c r="G1361" s="6" t="s">
        <v>3102</v>
      </c>
      <c r="H1361" s="8"/>
      <c r="I1361" s="9">
        <v>4640</v>
      </c>
      <c r="J1361" s="9">
        <v>4640</v>
      </c>
      <c r="K1361" s="5" t="str">
        <f>VLOOKUP(D1361,[1]Clientes!$A$1:$B$1370,2,0)</f>
        <v>NAC1252</v>
      </c>
      <c r="L1361" s="5" t="str">
        <f t="shared" si="42"/>
        <v>HGI0126339</v>
      </c>
      <c r="M1361" s="5" t="str">
        <f t="shared" si="43"/>
        <v>I</v>
      </c>
      <c r="N1361" s="5">
        <f>IF(G1361=[1]Clientes!$C$3,[1]Clientes!$D$3,[1]Clientes!$D$2)</f>
        <v>13050505</v>
      </c>
    </row>
    <row r="1362" spans="1:14">
      <c r="A1362" s="6" t="s">
        <v>7</v>
      </c>
      <c r="B1362" s="7">
        <v>45516</v>
      </c>
      <c r="C1362" s="6" t="s">
        <v>4525</v>
      </c>
      <c r="D1362" s="6" t="s">
        <v>1603</v>
      </c>
      <c r="E1362" s="6" t="s">
        <v>16</v>
      </c>
      <c r="F1362" s="7">
        <v>45546</v>
      </c>
      <c r="G1362" s="6" t="s">
        <v>3102</v>
      </c>
      <c r="H1362" s="8"/>
      <c r="I1362" s="9">
        <v>5041.6000000000004</v>
      </c>
      <c r="J1362" s="9">
        <v>5041.6000000000004</v>
      </c>
      <c r="K1362" s="5" t="str">
        <f>VLOOKUP(D1362,[1]Clientes!$A$1:$B$1370,2,0)</f>
        <v>NAC1252</v>
      </c>
      <c r="L1362" s="5" t="str">
        <f t="shared" si="42"/>
        <v>HGI0126389</v>
      </c>
      <c r="M1362" s="5" t="str">
        <f t="shared" si="43"/>
        <v>I</v>
      </c>
      <c r="N1362" s="5">
        <f>IF(G1362=[1]Clientes!$C$3,[1]Clientes!$D$3,[1]Clientes!$D$2)</f>
        <v>13050505</v>
      </c>
    </row>
    <row r="1363" spans="1:14">
      <c r="A1363" s="6" t="s">
        <v>7</v>
      </c>
      <c r="B1363" s="7">
        <v>45519</v>
      </c>
      <c r="C1363" s="6" t="s">
        <v>4526</v>
      </c>
      <c r="D1363" s="6" t="s">
        <v>1603</v>
      </c>
      <c r="E1363" s="6" t="s">
        <v>16</v>
      </c>
      <c r="F1363" s="7">
        <v>45549</v>
      </c>
      <c r="G1363" s="6" t="s">
        <v>3102</v>
      </c>
      <c r="H1363" s="8"/>
      <c r="I1363" s="9">
        <v>300</v>
      </c>
      <c r="J1363" s="9">
        <v>300</v>
      </c>
      <c r="K1363" s="5" t="str">
        <f>VLOOKUP(D1363,[1]Clientes!$A$1:$B$1370,2,0)</f>
        <v>NAC1252</v>
      </c>
      <c r="L1363" s="5" t="str">
        <f t="shared" si="42"/>
        <v>HGI0126665</v>
      </c>
      <c r="M1363" s="5" t="str">
        <f t="shared" si="43"/>
        <v>I</v>
      </c>
      <c r="N1363" s="5">
        <f>IF(G1363=[1]Clientes!$C$3,[1]Clientes!$D$3,[1]Clientes!$D$2)</f>
        <v>13050505</v>
      </c>
    </row>
    <row r="1364" spans="1:14">
      <c r="A1364" s="6" t="s">
        <v>7</v>
      </c>
      <c r="B1364" s="7">
        <v>45519</v>
      </c>
      <c r="C1364" s="6" t="s">
        <v>4527</v>
      </c>
      <c r="D1364" s="6" t="s">
        <v>1603</v>
      </c>
      <c r="E1364" s="6" t="s">
        <v>16</v>
      </c>
      <c r="F1364" s="7">
        <v>45549</v>
      </c>
      <c r="G1364" s="6" t="s">
        <v>3102</v>
      </c>
      <c r="H1364" s="8"/>
      <c r="I1364" s="9">
        <v>5400</v>
      </c>
      <c r="J1364" s="9">
        <v>5400</v>
      </c>
      <c r="K1364" s="5" t="str">
        <f>VLOOKUP(D1364,[1]Clientes!$A$1:$B$1370,2,0)</f>
        <v>NAC1252</v>
      </c>
      <c r="L1364" s="5" t="str">
        <f t="shared" si="42"/>
        <v>HGI0126666</v>
      </c>
      <c r="M1364" s="5" t="str">
        <f t="shared" si="43"/>
        <v>I</v>
      </c>
      <c r="N1364" s="5">
        <f>IF(G1364=[1]Clientes!$C$3,[1]Clientes!$D$3,[1]Clientes!$D$2)</f>
        <v>13050505</v>
      </c>
    </row>
    <row r="1365" spans="1:14">
      <c r="A1365" s="6" t="s">
        <v>7</v>
      </c>
      <c r="B1365" s="7">
        <v>45520</v>
      </c>
      <c r="C1365" s="6" t="s">
        <v>4528</v>
      </c>
      <c r="D1365" s="6" t="s">
        <v>1603</v>
      </c>
      <c r="E1365" s="6" t="s">
        <v>16</v>
      </c>
      <c r="F1365" s="7">
        <v>45550</v>
      </c>
      <c r="G1365" s="6" t="s">
        <v>3102</v>
      </c>
      <c r="H1365" s="8"/>
      <c r="I1365" s="9">
        <v>1291</v>
      </c>
      <c r="J1365" s="9">
        <v>1291</v>
      </c>
      <c r="K1365" s="5" t="str">
        <f>VLOOKUP(D1365,[1]Clientes!$A$1:$B$1370,2,0)</f>
        <v>NAC1252</v>
      </c>
      <c r="L1365" s="5" t="str">
        <f t="shared" si="42"/>
        <v>HGI0126607</v>
      </c>
      <c r="M1365" s="5" t="str">
        <f t="shared" si="43"/>
        <v>I</v>
      </c>
      <c r="N1365" s="5">
        <f>IF(G1365=[1]Clientes!$C$3,[1]Clientes!$D$3,[1]Clientes!$D$2)</f>
        <v>13050505</v>
      </c>
    </row>
    <row r="1366" spans="1:14">
      <c r="A1366" s="6" t="s">
        <v>7</v>
      </c>
      <c r="B1366" s="7">
        <v>45520</v>
      </c>
      <c r="C1366" s="6" t="s">
        <v>4529</v>
      </c>
      <c r="D1366" s="6" t="s">
        <v>1603</v>
      </c>
      <c r="E1366" s="6" t="s">
        <v>16</v>
      </c>
      <c r="F1366" s="7">
        <v>45550</v>
      </c>
      <c r="G1366" s="6" t="s">
        <v>3102</v>
      </c>
      <c r="H1366" s="8"/>
      <c r="I1366" s="9">
        <v>966</v>
      </c>
      <c r="J1366" s="9">
        <v>966</v>
      </c>
      <c r="K1366" s="5" t="str">
        <f>VLOOKUP(D1366,[1]Clientes!$A$1:$B$1370,2,0)</f>
        <v>NAC1252</v>
      </c>
      <c r="L1366" s="5" t="str">
        <f t="shared" si="42"/>
        <v>HGI0126613</v>
      </c>
      <c r="M1366" s="5" t="str">
        <f t="shared" si="43"/>
        <v>I</v>
      </c>
      <c r="N1366" s="5">
        <f>IF(G1366=[1]Clientes!$C$3,[1]Clientes!$D$3,[1]Clientes!$D$2)</f>
        <v>13050505</v>
      </c>
    </row>
    <row r="1367" spans="1:14">
      <c r="A1367" s="6" t="s">
        <v>7</v>
      </c>
      <c r="B1367" s="7">
        <v>45523</v>
      </c>
      <c r="C1367" s="6" t="s">
        <v>4530</v>
      </c>
      <c r="D1367" s="6" t="s">
        <v>1603</v>
      </c>
      <c r="E1367" s="6" t="s">
        <v>16</v>
      </c>
      <c r="F1367" s="7">
        <v>45553</v>
      </c>
      <c r="G1367" s="6" t="s">
        <v>3102</v>
      </c>
      <c r="H1367" s="8"/>
      <c r="I1367" s="9">
        <v>990</v>
      </c>
      <c r="J1367" s="9">
        <v>990</v>
      </c>
      <c r="K1367" s="5" t="str">
        <f>VLOOKUP(D1367,[1]Clientes!$A$1:$B$1370,2,0)</f>
        <v>NAC1252</v>
      </c>
      <c r="L1367" s="5" t="str">
        <f t="shared" si="42"/>
        <v>HGI0126637</v>
      </c>
      <c r="M1367" s="5" t="str">
        <f t="shared" si="43"/>
        <v>I</v>
      </c>
      <c r="N1367" s="5">
        <f>IF(G1367=[1]Clientes!$C$3,[1]Clientes!$D$3,[1]Clientes!$D$2)</f>
        <v>13050505</v>
      </c>
    </row>
    <row r="1368" spans="1:14">
      <c r="A1368" s="6" t="s">
        <v>7</v>
      </c>
      <c r="B1368" s="7">
        <v>45527</v>
      </c>
      <c r="C1368" s="6" t="s">
        <v>4531</v>
      </c>
      <c r="D1368" s="6" t="s">
        <v>1603</v>
      </c>
      <c r="E1368" s="6" t="s">
        <v>16</v>
      </c>
      <c r="F1368" s="7">
        <v>45557</v>
      </c>
      <c r="G1368" s="6" t="s">
        <v>3102</v>
      </c>
      <c r="H1368" s="8"/>
      <c r="I1368" s="9">
        <v>5346</v>
      </c>
      <c r="J1368" s="9">
        <v>5346</v>
      </c>
      <c r="K1368" s="5" t="str">
        <f>VLOOKUP(D1368,[1]Clientes!$A$1:$B$1370,2,0)</f>
        <v>NAC1252</v>
      </c>
      <c r="L1368" s="5" t="str">
        <f t="shared" si="42"/>
        <v>HGI0126814</v>
      </c>
      <c r="M1368" s="5" t="str">
        <f t="shared" si="43"/>
        <v>I</v>
      </c>
      <c r="N1368" s="5">
        <f>IF(G1368=[1]Clientes!$C$3,[1]Clientes!$D$3,[1]Clientes!$D$2)</f>
        <v>13050505</v>
      </c>
    </row>
    <row r="1369" spans="1:14">
      <c r="A1369" s="6" t="s">
        <v>7</v>
      </c>
      <c r="B1369" s="7">
        <v>45530</v>
      </c>
      <c r="C1369" s="6" t="s">
        <v>4532</v>
      </c>
      <c r="D1369" s="6" t="s">
        <v>1603</v>
      </c>
      <c r="E1369" s="6" t="s">
        <v>16</v>
      </c>
      <c r="F1369" s="7">
        <v>45560</v>
      </c>
      <c r="G1369" s="6" t="s">
        <v>3102</v>
      </c>
      <c r="H1369" s="8"/>
      <c r="I1369" s="9">
        <v>455</v>
      </c>
      <c r="J1369" s="9">
        <v>455</v>
      </c>
      <c r="K1369" s="5" t="str">
        <f>VLOOKUP(D1369,[1]Clientes!$A$1:$B$1370,2,0)</f>
        <v>NAC1252</v>
      </c>
      <c r="L1369" s="5" t="str">
        <f t="shared" si="42"/>
        <v>HGI0126891</v>
      </c>
      <c r="M1369" s="5" t="str">
        <f t="shared" si="43"/>
        <v>I</v>
      </c>
      <c r="N1369" s="5">
        <f>IF(G1369=[1]Clientes!$C$3,[1]Clientes!$D$3,[1]Clientes!$D$2)</f>
        <v>13050505</v>
      </c>
    </row>
    <row r="1370" spans="1:14">
      <c r="A1370" s="6" t="s">
        <v>7</v>
      </c>
      <c r="B1370" s="7">
        <v>45532</v>
      </c>
      <c r="C1370" s="6" t="s">
        <v>4533</v>
      </c>
      <c r="D1370" s="6" t="s">
        <v>4534</v>
      </c>
      <c r="E1370" s="6" t="s">
        <v>16</v>
      </c>
      <c r="F1370" s="7">
        <v>45562</v>
      </c>
      <c r="G1370" s="6" t="s">
        <v>3102</v>
      </c>
      <c r="H1370" s="8"/>
      <c r="I1370" s="9">
        <v>2932.65</v>
      </c>
      <c r="J1370" s="9">
        <v>2932.65</v>
      </c>
      <c r="K1370" s="5" t="str">
        <f>VLOOKUP(D1370,[1]Clientes!$A$1:$B$1370,2,0)</f>
        <v>CAN0052</v>
      </c>
      <c r="L1370" s="5" t="str">
        <f t="shared" si="42"/>
        <v>HGI0127048</v>
      </c>
      <c r="M1370" s="5" t="str">
        <f t="shared" si="43"/>
        <v>I</v>
      </c>
      <c r="N1370" s="5">
        <f>IF(G1370=[1]Clientes!$C$3,[1]Clientes!$D$3,[1]Clientes!$D$2)</f>
        <v>13050505</v>
      </c>
    </row>
    <row r="1371" spans="1:14">
      <c r="A1371" s="6" t="s">
        <v>7</v>
      </c>
      <c r="B1371" s="7">
        <v>45531</v>
      </c>
      <c r="C1371" s="6" t="s">
        <v>4535</v>
      </c>
      <c r="D1371" s="6" t="s">
        <v>4536</v>
      </c>
      <c r="E1371" s="6" t="s">
        <v>16</v>
      </c>
      <c r="F1371" s="7">
        <v>45561</v>
      </c>
      <c r="G1371" s="6" t="s">
        <v>3102</v>
      </c>
      <c r="H1371" s="8"/>
      <c r="I1371" s="9">
        <v>1225.4000000000001</v>
      </c>
      <c r="J1371" s="9">
        <v>1225.4000000000001</v>
      </c>
      <c r="K1371" s="5" t="str">
        <f>VLOOKUP(D1371,[1]Clientes!$A$1:$B$1370,2,0)</f>
        <v>NAC1254</v>
      </c>
      <c r="L1371" s="5" t="str">
        <f t="shared" si="42"/>
        <v>HGI0126953</v>
      </c>
      <c r="M1371" s="5" t="str">
        <f t="shared" si="43"/>
        <v>I</v>
      </c>
      <c r="N1371" s="5">
        <f>IF(G1371=[1]Clientes!$C$3,[1]Clientes!$D$3,[1]Clientes!$D$2)</f>
        <v>13050505</v>
      </c>
    </row>
    <row r="1372" spans="1:14">
      <c r="A1372" s="6" t="s">
        <v>3139</v>
      </c>
      <c r="B1372" s="7">
        <v>45413</v>
      </c>
      <c r="C1372" s="6" t="s">
        <v>4537</v>
      </c>
      <c r="D1372" s="6" t="s">
        <v>2943</v>
      </c>
      <c r="E1372" s="6"/>
      <c r="F1372" s="7"/>
      <c r="G1372" s="6" t="s">
        <v>3102</v>
      </c>
      <c r="H1372" s="8"/>
      <c r="I1372" s="9">
        <v>-234.36</v>
      </c>
      <c r="J1372" s="9">
        <v>-252</v>
      </c>
      <c r="K1372" s="5" t="str">
        <f>VLOOKUP(D1372,[1]Clientes!$A$1:$B$1370,2,0)</f>
        <v>NAC1615</v>
      </c>
      <c r="L1372" s="5" t="str">
        <f t="shared" si="42"/>
        <v>Revisar</v>
      </c>
      <c r="M1372" s="5" t="str">
        <f t="shared" si="43"/>
        <v>P</v>
      </c>
      <c r="N1372" s="5">
        <f>IF(G1372=[1]Clientes!$C$3,[1]Clientes!$D$3,[1]Clientes!$D$2)</f>
        <v>13050505</v>
      </c>
    </row>
    <row r="1373" spans="1:14">
      <c r="A1373" s="6" t="s">
        <v>3099</v>
      </c>
      <c r="B1373" s="7">
        <v>45443</v>
      </c>
      <c r="C1373" s="6" t="s">
        <v>4538</v>
      </c>
      <c r="D1373" s="6" t="s">
        <v>2943</v>
      </c>
      <c r="E1373" s="6" t="s">
        <v>16</v>
      </c>
      <c r="F1373" s="7">
        <v>45473</v>
      </c>
      <c r="G1373" s="6" t="s">
        <v>3102</v>
      </c>
      <c r="H1373" s="8">
        <v>62</v>
      </c>
      <c r="I1373" s="9">
        <v>-17.64</v>
      </c>
      <c r="J1373" s="9">
        <v>-17.64</v>
      </c>
      <c r="K1373" s="5" t="str">
        <f>VLOOKUP(D1373,[1]Clientes!$A$1:$B$1370,2,0)</f>
        <v>NAC1615</v>
      </c>
      <c r="L1373" s="5" t="str">
        <f t="shared" si="42"/>
        <v>CRM0124909</v>
      </c>
      <c r="M1373" s="5" t="str">
        <f t="shared" si="43"/>
        <v>C</v>
      </c>
      <c r="N1373" s="5">
        <f>IF(G1373=[1]Clientes!$C$3,[1]Clientes!$D$3,[1]Clientes!$D$2)</f>
        <v>13050505</v>
      </c>
    </row>
    <row r="1374" spans="1:14">
      <c r="A1374" s="6" t="s">
        <v>7</v>
      </c>
      <c r="B1374" s="7">
        <v>45511</v>
      </c>
      <c r="C1374" s="6" t="s">
        <v>4539</v>
      </c>
      <c r="D1374" s="6" t="s">
        <v>222</v>
      </c>
      <c r="E1374" s="6" t="s">
        <v>16</v>
      </c>
      <c r="F1374" s="7">
        <v>45541</v>
      </c>
      <c r="G1374" s="6" t="s">
        <v>3102</v>
      </c>
      <c r="H1374" s="8"/>
      <c r="I1374" s="9">
        <v>1200</v>
      </c>
      <c r="J1374" s="9">
        <v>1200</v>
      </c>
      <c r="K1374" s="5" t="str">
        <f>VLOOKUP(D1374,[1]Clientes!$A$1:$B$1370,2,0)</f>
        <v>CAN0053</v>
      </c>
      <c r="L1374" s="5" t="str">
        <f t="shared" si="42"/>
        <v>HGI0126280</v>
      </c>
      <c r="M1374" s="5" t="str">
        <f t="shared" si="43"/>
        <v>I</v>
      </c>
      <c r="N1374" s="5">
        <f>IF(G1374=[1]Clientes!$C$3,[1]Clientes!$D$3,[1]Clientes!$D$2)</f>
        <v>13050505</v>
      </c>
    </row>
    <row r="1375" spans="1:14">
      <c r="A1375" s="6" t="s">
        <v>7</v>
      </c>
      <c r="B1375" s="7">
        <v>45511</v>
      </c>
      <c r="C1375" s="6" t="s">
        <v>4540</v>
      </c>
      <c r="D1375" s="6" t="s">
        <v>222</v>
      </c>
      <c r="E1375" s="6" t="s">
        <v>16</v>
      </c>
      <c r="F1375" s="7">
        <v>45541</v>
      </c>
      <c r="G1375" s="6" t="s">
        <v>3102</v>
      </c>
      <c r="H1375" s="8"/>
      <c r="I1375" s="9">
        <v>597</v>
      </c>
      <c r="J1375" s="9">
        <v>597</v>
      </c>
      <c r="K1375" s="5" t="str">
        <f>VLOOKUP(D1375,[1]Clientes!$A$1:$B$1370,2,0)</f>
        <v>CAN0053</v>
      </c>
      <c r="L1375" s="5" t="str">
        <f t="shared" si="42"/>
        <v>HGI0126281</v>
      </c>
      <c r="M1375" s="5" t="str">
        <f t="shared" si="43"/>
        <v>I</v>
      </c>
      <c r="N1375" s="5">
        <f>IF(G1375=[1]Clientes!$C$3,[1]Clientes!$D$3,[1]Clientes!$D$2)</f>
        <v>13050505</v>
      </c>
    </row>
    <row r="1376" spans="1:14">
      <c r="A1376" s="6" t="s">
        <v>7</v>
      </c>
      <c r="B1376" s="7">
        <v>45516</v>
      </c>
      <c r="C1376" s="6" t="s">
        <v>4541</v>
      </c>
      <c r="D1376" s="6" t="s">
        <v>222</v>
      </c>
      <c r="E1376" s="6" t="s">
        <v>16</v>
      </c>
      <c r="F1376" s="7">
        <v>45546</v>
      </c>
      <c r="G1376" s="6" t="s">
        <v>3102</v>
      </c>
      <c r="H1376" s="8"/>
      <c r="I1376" s="9">
        <v>2800</v>
      </c>
      <c r="J1376" s="9">
        <v>2800</v>
      </c>
      <c r="K1376" s="5" t="str">
        <f>VLOOKUP(D1376,[1]Clientes!$A$1:$B$1370,2,0)</f>
        <v>CAN0053</v>
      </c>
      <c r="L1376" s="5" t="str">
        <f t="shared" si="42"/>
        <v>HGI0126385</v>
      </c>
      <c r="M1376" s="5" t="str">
        <f t="shared" si="43"/>
        <v>I</v>
      </c>
      <c r="N1376" s="5">
        <f>IF(G1376=[1]Clientes!$C$3,[1]Clientes!$D$3,[1]Clientes!$D$2)</f>
        <v>13050505</v>
      </c>
    </row>
    <row r="1377" spans="1:14">
      <c r="A1377" s="6" t="s">
        <v>7</v>
      </c>
      <c r="B1377" s="7">
        <v>45531</v>
      </c>
      <c r="C1377" s="6" t="s">
        <v>4542</v>
      </c>
      <c r="D1377" s="6" t="s">
        <v>4543</v>
      </c>
      <c r="E1377" s="6" t="s">
        <v>213</v>
      </c>
      <c r="F1377" s="7">
        <v>45531</v>
      </c>
      <c r="G1377" s="6" t="s">
        <v>3102</v>
      </c>
      <c r="H1377" s="8">
        <v>4</v>
      </c>
      <c r="I1377" s="9">
        <v>51.96</v>
      </c>
      <c r="J1377" s="9">
        <v>51.96</v>
      </c>
      <c r="K1377" s="5" t="str">
        <f>VLOOKUP(D1377,[1]Clientes!$A$1:$B$1370,2,0)</f>
        <v>SH02837</v>
      </c>
      <c r="L1377" s="5" t="str">
        <f t="shared" si="42"/>
        <v>HGI0126911</v>
      </c>
      <c r="M1377" s="5" t="str">
        <f t="shared" si="43"/>
        <v>I</v>
      </c>
      <c r="N1377" s="5">
        <f>IF(G1377=[1]Clientes!$C$3,[1]Clientes!$D$3,[1]Clientes!$D$2)</f>
        <v>13050505</v>
      </c>
    </row>
    <row r="1378" spans="1:14">
      <c r="A1378" s="6" t="s">
        <v>7</v>
      </c>
      <c r="B1378" s="7">
        <v>45197</v>
      </c>
      <c r="C1378" s="6" t="s">
        <v>4544</v>
      </c>
      <c r="D1378" s="6" t="s">
        <v>228</v>
      </c>
      <c r="E1378" s="6" t="s">
        <v>16</v>
      </c>
      <c r="F1378" s="7">
        <v>45227</v>
      </c>
      <c r="G1378" s="6" t="s">
        <v>3102</v>
      </c>
      <c r="H1378" s="8">
        <v>308</v>
      </c>
      <c r="I1378" s="9">
        <v>492.75</v>
      </c>
      <c r="J1378" s="9">
        <v>3507</v>
      </c>
      <c r="K1378" s="5" t="str">
        <f>VLOOKUP(D1378,[1]Clientes!$A$1:$B$1370,2,0)</f>
        <v>CAN0054</v>
      </c>
      <c r="L1378" s="5" t="str">
        <f t="shared" si="42"/>
        <v>HGI0115515</v>
      </c>
      <c r="M1378" s="5" t="str">
        <f t="shared" si="43"/>
        <v>I</v>
      </c>
      <c r="N1378" s="5">
        <f>IF(G1378=[1]Clientes!$C$3,[1]Clientes!$D$3,[1]Clientes!$D$2)</f>
        <v>13050505</v>
      </c>
    </row>
    <row r="1379" spans="1:14">
      <c r="A1379" s="6" t="s">
        <v>7</v>
      </c>
      <c r="B1379" s="7">
        <v>45215</v>
      </c>
      <c r="C1379" s="6" t="s">
        <v>4545</v>
      </c>
      <c r="D1379" s="6" t="s">
        <v>228</v>
      </c>
      <c r="E1379" s="6" t="s">
        <v>16</v>
      </c>
      <c r="F1379" s="7">
        <v>45245</v>
      </c>
      <c r="G1379" s="6" t="s">
        <v>3102</v>
      </c>
      <c r="H1379" s="8">
        <v>290</v>
      </c>
      <c r="I1379" s="9">
        <v>128.16999999999999</v>
      </c>
      <c r="J1379" s="9">
        <v>2050.7199999999998</v>
      </c>
      <c r="K1379" s="5" t="str">
        <f>VLOOKUP(D1379,[1]Clientes!$A$1:$B$1370,2,0)</f>
        <v>CAN0054</v>
      </c>
      <c r="L1379" s="5" t="str">
        <f t="shared" si="42"/>
        <v>HGI0116141</v>
      </c>
      <c r="M1379" s="5" t="str">
        <f t="shared" si="43"/>
        <v>I</v>
      </c>
      <c r="N1379" s="5">
        <f>IF(G1379=[1]Clientes!$C$3,[1]Clientes!$D$3,[1]Clientes!$D$2)</f>
        <v>13050505</v>
      </c>
    </row>
    <row r="1380" spans="1:14">
      <c r="A1380" s="6" t="s">
        <v>7</v>
      </c>
      <c r="B1380" s="7">
        <v>45266</v>
      </c>
      <c r="C1380" s="6" t="s">
        <v>4546</v>
      </c>
      <c r="D1380" s="6" t="s">
        <v>228</v>
      </c>
      <c r="E1380" s="6" t="s">
        <v>16</v>
      </c>
      <c r="F1380" s="7">
        <v>45296</v>
      </c>
      <c r="G1380" s="6" t="s">
        <v>3102</v>
      </c>
      <c r="H1380" s="8">
        <v>239</v>
      </c>
      <c r="I1380" s="9">
        <v>20.22</v>
      </c>
      <c r="J1380" s="9">
        <v>3438.06</v>
      </c>
      <c r="K1380" s="5" t="str">
        <f>VLOOKUP(D1380,[1]Clientes!$A$1:$B$1370,2,0)</f>
        <v>CAN0054</v>
      </c>
      <c r="L1380" s="5" t="str">
        <f t="shared" si="42"/>
        <v>HGI0118138</v>
      </c>
      <c r="M1380" s="5" t="str">
        <f t="shared" si="43"/>
        <v>I</v>
      </c>
      <c r="N1380" s="5">
        <f>IF(G1380=[1]Clientes!$C$3,[1]Clientes!$D$3,[1]Clientes!$D$2)</f>
        <v>13050505</v>
      </c>
    </row>
    <row r="1381" spans="1:14">
      <c r="A1381" s="6" t="s">
        <v>3139</v>
      </c>
      <c r="B1381" s="7">
        <v>45303</v>
      </c>
      <c r="C1381" s="6"/>
      <c r="D1381" s="6" t="s">
        <v>228</v>
      </c>
      <c r="E1381" s="6"/>
      <c r="F1381" s="7"/>
      <c r="G1381" s="6" t="s">
        <v>3102</v>
      </c>
      <c r="H1381" s="8"/>
      <c r="I1381" s="9">
        <v>-217.39</v>
      </c>
      <c r="J1381" s="9">
        <v>-217.39</v>
      </c>
      <c r="K1381" s="5" t="str">
        <f>VLOOKUP(D1381,[1]Clientes!$A$1:$B$1370,2,0)</f>
        <v>CAN0054</v>
      </c>
      <c r="L1381" s="5" t="str">
        <f t="shared" si="42"/>
        <v>Revisar</v>
      </c>
      <c r="M1381" s="5" t="str">
        <f t="shared" si="43"/>
        <v>P</v>
      </c>
      <c r="N1381" s="5">
        <f>IF(G1381=[1]Clientes!$C$3,[1]Clientes!$D$3,[1]Clientes!$D$2)</f>
        <v>13050505</v>
      </c>
    </row>
    <row r="1382" spans="1:14">
      <c r="A1382" s="6" t="s">
        <v>7</v>
      </c>
      <c r="B1382" s="7">
        <v>45314</v>
      </c>
      <c r="C1382" s="6" t="s">
        <v>4547</v>
      </c>
      <c r="D1382" s="6" t="s">
        <v>228</v>
      </c>
      <c r="E1382" s="6" t="s">
        <v>16</v>
      </c>
      <c r="F1382" s="7">
        <v>45344</v>
      </c>
      <c r="G1382" s="6" t="s">
        <v>3102</v>
      </c>
      <c r="H1382" s="8">
        <v>191</v>
      </c>
      <c r="I1382" s="9">
        <v>645.78</v>
      </c>
      <c r="J1382" s="9">
        <v>10332.49</v>
      </c>
      <c r="K1382" s="5" t="str">
        <f>VLOOKUP(D1382,[1]Clientes!$A$1:$B$1370,2,0)</f>
        <v>CAN0054</v>
      </c>
      <c r="L1382" s="5" t="str">
        <f t="shared" si="42"/>
        <v>HGI0119622</v>
      </c>
      <c r="M1382" s="5" t="str">
        <f t="shared" si="43"/>
        <v>I</v>
      </c>
      <c r="N1382" s="5">
        <f>IF(G1382=[1]Clientes!$C$3,[1]Clientes!$D$3,[1]Clientes!$D$2)</f>
        <v>13050505</v>
      </c>
    </row>
    <row r="1383" spans="1:14">
      <c r="A1383" s="6" t="s">
        <v>3139</v>
      </c>
      <c r="B1383" s="7">
        <v>45504</v>
      </c>
      <c r="C1383" s="6"/>
      <c r="D1383" s="6" t="s">
        <v>228</v>
      </c>
      <c r="E1383" s="6"/>
      <c r="F1383" s="7"/>
      <c r="G1383" s="6" t="s">
        <v>3102</v>
      </c>
      <c r="H1383" s="8"/>
      <c r="I1383" s="9">
        <v>-50000</v>
      </c>
      <c r="J1383" s="9">
        <v>-50000</v>
      </c>
      <c r="K1383" s="5" t="str">
        <f>VLOOKUP(D1383,[1]Clientes!$A$1:$B$1370,2,0)</f>
        <v>CAN0054</v>
      </c>
      <c r="L1383" s="5" t="str">
        <f t="shared" si="42"/>
        <v>Revisar</v>
      </c>
      <c r="M1383" s="5" t="str">
        <f t="shared" si="43"/>
        <v>P</v>
      </c>
      <c r="N1383" s="5">
        <f>IF(G1383=[1]Clientes!$C$3,[1]Clientes!$D$3,[1]Clientes!$D$2)</f>
        <v>13050505</v>
      </c>
    </row>
    <row r="1384" spans="1:14">
      <c r="A1384" s="6" t="s">
        <v>7</v>
      </c>
      <c r="B1384" s="7">
        <v>45506</v>
      </c>
      <c r="C1384" s="6" t="s">
        <v>4548</v>
      </c>
      <c r="D1384" s="6" t="s">
        <v>228</v>
      </c>
      <c r="E1384" s="6" t="s">
        <v>16</v>
      </c>
      <c r="F1384" s="7">
        <v>45536</v>
      </c>
      <c r="G1384" s="6" t="s">
        <v>3102</v>
      </c>
      <c r="H1384" s="8"/>
      <c r="I1384" s="9">
        <v>12658.8</v>
      </c>
      <c r="J1384" s="9">
        <v>12658.8</v>
      </c>
      <c r="K1384" s="5" t="str">
        <f>VLOOKUP(D1384,[1]Clientes!$A$1:$B$1370,2,0)</f>
        <v>CAN0054</v>
      </c>
      <c r="L1384" s="5" t="str">
        <f t="shared" si="42"/>
        <v>HGI0126180</v>
      </c>
      <c r="M1384" s="5" t="str">
        <f t="shared" si="43"/>
        <v>I</v>
      </c>
      <c r="N1384" s="5">
        <f>IF(G1384=[1]Clientes!$C$3,[1]Clientes!$D$3,[1]Clientes!$D$2)</f>
        <v>13050505</v>
      </c>
    </row>
    <row r="1385" spans="1:14">
      <c r="A1385" s="6" t="s">
        <v>7</v>
      </c>
      <c r="B1385" s="7">
        <v>45506</v>
      </c>
      <c r="C1385" s="6" t="s">
        <v>4549</v>
      </c>
      <c r="D1385" s="6" t="s">
        <v>228</v>
      </c>
      <c r="E1385" s="6" t="s">
        <v>16</v>
      </c>
      <c r="F1385" s="7">
        <v>45536</v>
      </c>
      <c r="G1385" s="6" t="s">
        <v>3102</v>
      </c>
      <c r="H1385" s="8"/>
      <c r="I1385" s="9">
        <v>24402</v>
      </c>
      <c r="J1385" s="9">
        <v>24402</v>
      </c>
      <c r="K1385" s="5" t="str">
        <f>VLOOKUP(D1385,[1]Clientes!$A$1:$B$1370,2,0)</f>
        <v>CAN0054</v>
      </c>
      <c r="L1385" s="5" t="str">
        <f t="shared" si="42"/>
        <v>HGI0126181</v>
      </c>
      <c r="M1385" s="5" t="str">
        <f t="shared" si="43"/>
        <v>I</v>
      </c>
      <c r="N1385" s="5">
        <f>IF(G1385=[1]Clientes!$C$3,[1]Clientes!$D$3,[1]Clientes!$D$2)</f>
        <v>13050505</v>
      </c>
    </row>
    <row r="1386" spans="1:14">
      <c r="A1386" s="6" t="s">
        <v>7</v>
      </c>
      <c r="B1386" s="7">
        <v>45526</v>
      </c>
      <c r="C1386" s="6" t="s">
        <v>4550</v>
      </c>
      <c r="D1386" s="6" t="s">
        <v>228</v>
      </c>
      <c r="E1386" s="6" t="s">
        <v>16</v>
      </c>
      <c r="F1386" s="7">
        <v>45556</v>
      </c>
      <c r="G1386" s="6" t="s">
        <v>3102</v>
      </c>
      <c r="H1386" s="8"/>
      <c r="I1386" s="9">
        <v>6035.41</v>
      </c>
      <c r="J1386" s="9">
        <v>6035.41</v>
      </c>
      <c r="K1386" s="5" t="str">
        <f>VLOOKUP(D1386,[1]Clientes!$A$1:$B$1370,2,0)</f>
        <v>CAN0054</v>
      </c>
      <c r="L1386" s="5" t="str">
        <f t="shared" si="42"/>
        <v>HGI0126757</v>
      </c>
      <c r="M1386" s="5" t="str">
        <f t="shared" si="43"/>
        <v>I</v>
      </c>
      <c r="N1386" s="5">
        <f>IF(G1386=[1]Clientes!$C$3,[1]Clientes!$D$3,[1]Clientes!$D$2)</f>
        <v>13050505</v>
      </c>
    </row>
    <row r="1387" spans="1:14">
      <c r="A1387" s="6" t="s">
        <v>7</v>
      </c>
      <c r="B1387" s="7">
        <v>45526</v>
      </c>
      <c r="C1387" s="6" t="s">
        <v>4551</v>
      </c>
      <c r="D1387" s="6" t="s">
        <v>228</v>
      </c>
      <c r="E1387" s="6" t="s">
        <v>16</v>
      </c>
      <c r="F1387" s="7">
        <v>45556</v>
      </c>
      <c r="G1387" s="6" t="s">
        <v>3102</v>
      </c>
      <c r="H1387" s="8"/>
      <c r="I1387" s="9">
        <v>330.75</v>
      </c>
      <c r="J1387" s="9">
        <v>330.75</v>
      </c>
      <c r="K1387" s="5" t="str">
        <f>VLOOKUP(D1387,[1]Clientes!$A$1:$B$1370,2,0)</f>
        <v>CAN0054</v>
      </c>
      <c r="L1387" s="5" t="str">
        <f t="shared" si="42"/>
        <v>HGI0126758</v>
      </c>
      <c r="M1387" s="5" t="str">
        <f t="shared" si="43"/>
        <v>I</v>
      </c>
      <c r="N1387" s="5">
        <f>IF(G1387=[1]Clientes!$C$3,[1]Clientes!$D$3,[1]Clientes!$D$2)</f>
        <v>13050505</v>
      </c>
    </row>
    <row r="1388" spans="1:14">
      <c r="A1388" s="6" t="s">
        <v>3099</v>
      </c>
      <c r="B1388" s="7">
        <v>45455</v>
      </c>
      <c r="C1388" s="6" t="s">
        <v>4552</v>
      </c>
      <c r="D1388" s="6" t="s">
        <v>1619</v>
      </c>
      <c r="E1388" s="6" t="s">
        <v>16</v>
      </c>
      <c r="F1388" s="7">
        <v>45485</v>
      </c>
      <c r="G1388" s="6" t="s">
        <v>3102</v>
      </c>
      <c r="H1388" s="8">
        <v>50</v>
      </c>
      <c r="I1388" s="9">
        <v>-4132.5</v>
      </c>
      <c r="J1388" s="9">
        <v>-4132.5</v>
      </c>
      <c r="K1388" s="5" t="str">
        <f>VLOOKUP(D1388,[1]Clientes!$A$1:$B$1370,2,0)</f>
        <v>NAC1260</v>
      </c>
      <c r="L1388" s="5" t="str">
        <f t="shared" si="42"/>
        <v>CRM0125000</v>
      </c>
      <c r="M1388" s="5" t="str">
        <f t="shared" si="43"/>
        <v>C</v>
      </c>
      <c r="N1388" s="5">
        <f>IF(G1388=[1]Clientes!$C$3,[1]Clientes!$D$3,[1]Clientes!$D$2)</f>
        <v>13050505</v>
      </c>
    </row>
    <row r="1389" spans="1:14">
      <c r="A1389" s="6" t="s">
        <v>3099</v>
      </c>
      <c r="B1389" s="7">
        <v>45455</v>
      </c>
      <c r="C1389" s="6" t="s">
        <v>4553</v>
      </c>
      <c r="D1389" s="6" t="s">
        <v>1619</v>
      </c>
      <c r="E1389" s="6" t="s">
        <v>16</v>
      </c>
      <c r="F1389" s="7">
        <v>45485</v>
      </c>
      <c r="G1389" s="6" t="s">
        <v>3102</v>
      </c>
      <c r="H1389" s="8">
        <v>50</v>
      </c>
      <c r="I1389" s="9">
        <v>-15562.13</v>
      </c>
      <c r="J1389" s="9">
        <v>-15562.13</v>
      </c>
      <c r="K1389" s="5" t="str">
        <f>VLOOKUP(D1389,[1]Clientes!$A$1:$B$1370,2,0)</f>
        <v>NAC1260</v>
      </c>
      <c r="L1389" s="5" t="str">
        <f t="shared" si="42"/>
        <v>CRM0125001</v>
      </c>
      <c r="M1389" s="5" t="str">
        <f t="shared" si="43"/>
        <v>C</v>
      </c>
      <c r="N1389" s="5">
        <f>IF(G1389=[1]Clientes!$C$3,[1]Clientes!$D$3,[1]Clientes!$D$2)</f>
        <v>13050505</v>
      </c>
    </row>
    <row r="1390" spans="1:14">
      <c r="A1390" s="6" t="s">
        <v>7</v>
      </c>
      <c r="B1390" s="7">
        <v>45394</v>
      </c>
      <c r="C1390" s="6" t="s">
        <v>4554</v>
      </c>
      <c r="D1390" s="6" t="s">
        <v>4555</v>
      </c>
      <c r="E1390" s="6" t="s">
        <v>16</v>
      </c>
      <c r="F1390" s="7">
        <v>45424</v>
      </c>
      <c r="G1390" s="6" t="s">
        <v>3102</v>
      </c>
      <c r="H1390" s="8">
        <v>111</v>
      </c>
      <c r="I1390" s="9">
        <v>314.07</v>
      </c>
      <c r="J1390" s="9">
        <v>314.07</v>
      </c>
      <c r="K1390" s="5" t="str">
        <f>VLOOKUP(D1390,[1]Clientes!$A$1:$B$1485,2,0)</f>
        <v>NAC1276</v>
      </c>
      <c r="L1390" s="5" t="str">
        <f t="shared" si="42"/>
        <v>HGI0122966</v>
      </c>
      <c r="M1390" s="5" t="str">
        <f t="shared" si="43"/>
        <v>I</v>
      </c>
      <c r="N1390" s="5">
        <f>IF(G1390=[1]Clientes!$C$3,[1]Clientes!$D$3,[1]Clientes!$D$2)</f>
        <v>13050505</v>
      </c>
    </row>
    <row r="1391" spans="1:14">
      <c r="A1391" s="6" t="s">
        <v>7</v>
      </c>
      <c r="B1391" s="7">
        <v>45447</v>
      </c>
      <c r="C1391" s="6" t="s">
        <v>4556</v>
      </c>
      <c r="D1391" s="6" t="s">
        <v>4555</v>
      </c>
      <c r="E1391" s="6" t="s">
        <v>16</v>
      </c>
      <c r="F1391" s="7">
        <v>45477</v>
      </c>
      <c r="G1391" s="6" t="s">
        <v>3102</v>
      </c>
      <c r="H1391" s="8">
        <v>58</v>
      </c>
      <c r="I1391" s="9">
        <v>137.16</v>
      </c>
      <c r="J1391" s="9">
        <v>137.16</v>
      </c>
      <c r="K1391" s="5" t="str">
        <f>VLOOKUP(D1391,[1]Clientes!$A$1:$B$1485,2,0)</f>
        <v>NAC1276</v>
      </c>
      <c r="L1391" s="5" t="str">
        <f t="shared" si="42"/>
        <v>HGI0124823</v>
      </c>
      <c r="M1391" s="5" t="str">
        <f t="shared" si="43"/>
        <v>I</v>
      </c>
      <c r="N1391" s="5">
        <f>IF(G1391=[1]Clientes!$C$3,[1]Clientes!$D$3,[1]Clientes!$D$2)</f>
        <v>13050505</v>
      </c>
    </row>
    <row r="1392" spans="1:14">
      <c r="A1392" s="6" t="s">
        <v>7</v>
      </c>
      <c r="B1392" s="7">
        <v>45454</v>
      </c>
      <c r="C1392" s="6" t="s">
        <v>4557</v>
      </c>
      <c r="D1392" s="6" t="s">
        <v>4555</v>
      </c>
      <c r="E1392" s="6" t="s">
        <v>16</v>
      </c>
      <c r="F1392" s="7">
        <v>45484</v>
      </c>
      <c r="G1392" s="6" t="s">
        <v>3102</v>
      </c>
      <c r="H1392" s="8">
        <v>51</v>
      </c>
      <c r="I1392" s="9">
        <v>252.93</v>
      </c>
      <c r="J1392" s="9">
        <v>252.93</v>
      </c>
      <c r="K1392" s="5" t="str">
        <f>VLOOKUP(D1392,[1]Clientes!$A$1:$B$1485,2,0)</f>
        <v>NAC1276</v>
      </c>
      <c r="L1392" s="5" t="str">
        <f t="shared" si="42"/>
        <v>HGI0124986</v>
      </c>
      <c r="M1392" s="5" t="str">
        <f t="shared" si="43"/>
        <v>I</v>
      </c>
      <c r="N1392" s="5">
        <f>IF(G1392=[1]Clientes!$C$3,[1]Clientes!$D$3,[1]Clientes!$D$2)</f>
        <v>13050505</v>
      </c>
    </row>
    <row r="1393" spans="1:14">
      <c r="A1393" s="6" t="s">
        <v>7</v>
      </c>
      <c r="B1393" s="7">
        <v>45497</v>
      </c>
      <c r="C1393" s="6" t="s">
        <v>4558</v>
      </c>
      <c r="D1393" s="6" t="s">
        <v>4555</v>
      </c>
      <c r="E1393" s="6" t="s">
        <v>16</v>
      </c>
      <c r="F1393" s="7">
        <v>45527</v>
      </c>
      <c r="G1393" s="6" t="s">
        <v>3102</v>
      </c>
      <c r="H1393" s="8">
        <v>8</v>
      </c>
      <c r="I1393" s="9">
        <v>193.67</v>
      </c>
      <c r="J1393" s="9">
        <v>193.67</v>
      </c>
      <c r="K1393" s="5" t="str">
        <f>VLOOKUP(D1393,[1]Clientes!$A$1:$B$1485,2,0)</f>
        <v>NAC1276</v>
      </c>
      <c r="L1393" s="5" t="str">
        <f t="shared" si="42"/>
        <v>HGI0125907</v>
      </c>
      <c r="M1393" s="5" t="str">
        <f t="shared" si="43"/>
        <v>I</v>
      </c>
      <c r="N1393" s="5">
        <f>IF(G1393=[1]Clientes!$C$3,[1]Clientes!$D$3,[1]Clientes!$D$2)</f>
        <v>13050505</v>
      </c>
    </row>
    <row r="1394" spans="1:14">
      <c r="A1394" s="6" t="s">
        <v>7</v>
      </c>
      <c r="B1394" s="7">
        <v>45180</v>
      </c>
      <c r="C1394" s="6" t="s">
        <v>4559</v>
      </c>
      <c r="D1394" s="6" t="s">
        <v>4560</v>
      </c>
      <c r="E1394" s="6" t="s">
        <v>16</v>
      </c>
      <c r="F1394" s="7">
        <v>45210</v>
      </c>
      <c r="G1394" s="6" t="s">
        <v>3102</v>
      </c>
      <c r="H1394" s="8">
        <v>325</v>
      </c>
      <c r="I1394" s="9">
        <v>94.52</v>
      </c>
      <c r="J1394" s="9">
        <v>94.52</v>
      </c>
      <c r="K1394" s="5" t="str">
        <f>VLOOKUP(D1394,[1]Clientes!$A$1:$B$1485,2,0)</f>
        <v>NAC1279</v>
      </c>
      <c r="L1394" s="5" t="str">
        <f t="shared" si="42"/>
        <v>HGI0114994</v>
      </c>
      <c r="M1394" s="5" t="str">
        <f t="shared" si="43"/>
        <v>I</v>
      </c>
      <c r="N1394" s="5">
        <f>IF(G1394=[1]Clientes!$C$3,[1]Clientes!$D$3,[1]Clientes!$D$2)</f>
        <v>13050505</v>
      </c>
    </row>
    <row r="1395" spans="1:14">
      <c r="A1395" s="6" t="s">
        <v>7</v>
      </c>
      <c r="B1395" s="7">
        <v>45289</v>
      </c>
      <c r="C1395" s="6" t="s">
        <v>4561</v>
      </c>
      <c r="D1395" s="6" t="s">
        <v>4560</v>
      </c>
      <c r="E1395" s="6" t="s">
        <v>16</v>
      </c>
      <c r="F1395" s="7">
        <v>45319</v>
      </c>
      <c r="G1395" s="6" t="s">
        <v>3102</v>
      </c>
      <c r="H1395" s="8">
        <v>216</v>
      </c>
      <c r="I1395" s="9">
        <v>229.17</v>
      </c>
      <c r="J1395" s="9">
        <v>229.17</v>
      </c>
      <c r="K1395" s="5" t="str">
        <f>VLOOKUP(D1395,[1]Clientes!$A$1:$B$1485,2,0)</f>
        <v>NAC1279</v>
      </c>
      <c r="L1395" s="5" t="str">
        <f t="shared" si="42"/>
        <v>HGI0118700</v>
      </c>
      <c r="M1395" s="5" t="str">
        <f t="shared" si="43"/>
        <v>I</v>
      </c>
      <c r="N1395" s="5">
        <f>IF(G1395=[1]Clientes!$C$3,[1]Clientes!$D$3,[1]Clientes!$D$2)</f>
        <v>13050505</v>
      </c>
    </row>
    <row r="1396" spans="1:14">
      <c r="A1396" s="6" t="s">
        <v>7</v>
      </c>
      <c r="B1396" s="7">
        <v>45324</v>
      </c>
      <c r="C1396" s="6" t="s">
        <v>4562</v>
      </c>
      <c r="D1396" s="6" t="s">
        <v>4560</v>
      </c>
      <c r="E1396" s="6" t="s">
        <v>16</v>
      </c>
      <c r="F1396" s="7">
        <v>45354</v>
      </c>
      <c r="G1396" s="6" t="s">
        <v>3102</v>
      </c>
      <c r="H1396" s="8">
        <v>181</v>
      </c>
      <c r="I1396" s="9">
        <v>270.36</v>
      </c>
      <c r="J1396" s="9">
        <v>270.36</v>
      </c>
      <c r="K1396" s="5" t="str">
        <f>VLOOKUP(D1396,[1]Clientes!$A$1:$B$1485,2,0)</f>
        <v>NAC1279</v>
      </c>
      <c r="L1396" s="5" t="str">
        <f t="shared" si="42"/>
        <v>HGI0120389</v>
      </c>
      <c r="M1396" s="5" t="str">
        <f t="shared" si="43"/>
        <v>I</v>
      </c>
      <c r="N1396" s="5">
        <f>IF(G1396=[1]Clientes!$C$3,[1]Clientes!$D$3,[1]Clientes!$D$2)</f>
        <v>13050505</v>
      </c>
    </row>
    <row r="1397" spans="1:14">
      <c r="A1397" s="6" t="s">
        <v>7</v>
      </c>
      <c r="B1397" s="7">
        <v>45385</v>
      </c>
      <c r="C1397" s="6" t="s">
        <v>4563</v>
      </c>
      <c r="D1397" s="6" t="s">
        <v>4560</v>
      </c>
      <c r="E1397" s="6" t="s">
        <v>16</v>
      </c>
      <c r="F1397" s="7">
        <v>45415</v>
      </c>
      <c r="G1397" s="6" t="s">
        <v>3102</v>
      </c>
      <c r="H1397" s="8">
        <v>120</v>
      </c>
      <c r="I1397" s="9">
        <v>254.11</v>
      </c>
      <c r="J1397" s="9">
        <v>254.11</v>
      </c>
      <c r="K1397" s="5" t="str">
        <f>VLOOKUP(D1397,[1]Clientes!$A$1:$B$1485,2,0)</f>
        <v>NAC1279</v>
      </c>
      <c r="L1397" s="5" t="str">
        <f t="shared" si="42"/>
        <v>HGI0122578</v>
      </c>
      <c r="M1397" s="5" t="str">
        <f t="shared" si="43"/>
        <v>I</v>
      </c>
      <c r="N1397" s="5">
        <f>IF(G1397=[1]Clientes!$C$3,[1]Clientes!$D$3,[1]Clientes!$D$2)</f>
        <v>13050505</v>
      </c>
    </row>
    <row r="1398" spans="1:14">
      <c r="A1398" s="6" t="s">
        <v>7</v>
      </c>
      <c r="B1398" s="7">
        <v>45495</v>
      </c>
      <c r="C1398" s="6" t="s">
        <v>4564</v>
      </c>
      <c r="D1398" s="6" t="s">
        <v>4560</v>
      </c>
      <c r="E1398" s="6" t="s">
        <v>16</v>
      </c>
      <c r="F1398" s="7">
        <v>45525</v>
      </c>
      <c r="G1398" s="6" t="s">
        <v>3102</v>
      </c>
      <c r="H1398" s="8">
        <v>10</v>
      </c>
      <c r="I1398" s="9">
        <v>190.28</v>
      </c>
      <c r="J1398" s="9">
        <v>190.28</v>
      </c>
      <c r="K1398" s="5" t="str">
        <f>VLOOKUP(D1398,[1]Clientes!$A$1:$B$1485,2,0)</f>
        <v>NAC1279</v>
      </c>
      <c r="L1398" s="5" t="str">
        <f t="shared" si="42"/>
        <v>HGI0125822</v>
      </c>
      <c r="M1398" s="5" t="str">
        <f t="shared" si="43"/>
        <v>I</v>
      </c>
      <c r="N1398" s="5">
        <f>IF(G1398=[1]Clientes!$C$3,[1]Clientes!$D$3,[1]Clientes!$D$2)</f>
        <v>13050505</v>
      </c>
    </row>
    <row r="1399" spans="1:14">
      <c r="A1399" s="6" t="s">
        <v>7</v>
      </c>
      <c r="B1399" s="7">
        <v>45296</v>
      </c>
      <c r="C1399" s="6" t="s">
        <v>4565</v>
      </c>
      <c r="D1399" s="6" t="s">
        <v>4566</v>
      </c>
      <c r="E1399" s="6" t="s">
        <v>16</v>
      </c>
      <c r="F1399" s="7">
        <v>45326</v>
      </c>
      <c r="G1399" s="6" t="s">
        <v>3102</v>
      </c>
      <c r="H1399" s="8">
        <v>209</v>
      </c>
      <c r="I1399" s="9">
        <v>725.82</v>
      </c>
      <c r="J1399" s="9">
        <v>725.82</v>
      </c>
      <c r="K1399" s="5" t="str">
        <f>VLOOKUP(D1399,[1]Clientes!$A$1:$B$1485,2,0)</f>
        <v>NAC1278</v>
      </c>
      <c r="L1399" s="5" t="str">
        <f t="shared" si="42"/>
        <v>HGI0118934</v>
      </c>
      <c r="M1399" s="5" t="str">
        <f t="shared" si="43"/>
        <v>I</v>
      </c>
      <c r="N1399" s="5">
        <f>IF(G1399=[1]Clientes!$C$3,[1]Clientes!$D$3,[1]Clientes!$D$2)</f>
        <v>13050505</v>
      </c>
    </row>
    <row r="1400" spans="1:14">
      <c r="A1400" s="6" t="s">
        <v>7</v>
      </c>
      <c r="B1400" s="7">
        <v>45499</v>
      </c>
      <c r="C1400" s="6" t="s">
        <v>4567</v>
      </c>
      <c r="D1400" s="6" t="s">
        <v>4568</v>
      </c>
      <c r="E1400" s="6" t="s">
        <v>16</v>
      </c>
      <c r="F1400" s="7">
        <v>45529</v>
      </c>
      <c r="G1400" s="6" t="s">
        <v>3102</v>
      </c>
      <c r="H1400" s="8">
        <v>6</v>
      </c>
      <c r="I1400" s="9">
        <v>632.5</v>
      </c>
      <c r="J1400" s="9">
        <v>632.5</v>
      </c>
      <c r="K1400" s="5" t="str">
        <f>VLOOKUP(D1400,[1]Clientes!$A$1:$B$1485,2,0)</f>
        <v>NAC1602</v>
      </c>
      <c r="L1400" s="5" t="str">
        <f t="shared" si="42"/>
        <v>HGI0125980</v>
      </c>
      <c r="M1400" s="5" t="str">
        <f t="shared" si="43"/>
        <v>I</v>
      </c>
      <c r="N1400" s="5">
        <f>IF(G1400=[1]Clientes!$C$3,[1]Clientes!$D$3,[1]Clientes!$D$2)</f>
        <v>13050505</v>
      </c>
    </row>
    <row r="1401" spans="1:14">
      <c r="A1401" s="6" t="s">
        <v>7</v>
      </c>
      <c r="B1401" s="7">
        <v>45077</v>
      </c>
      <c r="C1401" s="6" t="s">
        <v>4569</v>
      </c>
      <c r="D1401" s="6" t="s">
        <v>4570</v>
      </c>
      <c r="E1401" s="6" t="s">
        <v>16</v>
      </c>
      <c r="F1401" s="7">
        <v>45107</v>
      </c>
      <c r="G1401" s="6" t="s">
        <v>3102</v>
      </c>
      <c r="H1401" s="8">
        <v>428</v>
      </c>
      <c r="I1401" s="9">
        <v>682.22</v>
      </c>
      <c r="J1401" s="9">
        <v>682.22</v>
      </c>
      <c r="K1401" s="5" t="str">
        <f>VLOOKUP(D1401,[1]Clientes!$A$1:$B$1485,2,0)</f>
        <v>NAC1267</v>
      </c>
      <c r="L1401" s="5" t="str">
        <f t="shared" si="42"/>
        <v>HGI0112771</v>
      </c>
      <c r="M1401" s="5" t="str">
        <f t="shared" si="43"/>
        <v>I</v>
      </c>
      <c r="N1401" s="5">
        <f>IF(G1401=[1]Clientes!$C$3,[1]Clientes!$D$3,[1]Clientes!$D$2)</f>
        <v>13050505</v>
      </c>
    </row>
    <row r="1402" spans="1:14">
      <c r="A1402" s="6" t="s">
        <v>7</v>
      </c>
      <c r="B1402" s="7">
        <v>45341</v>
      </c>
      <c r="C1402" s="6" t="s">
        <v>4571</v>
      </c>
      <c r="D1402" s="6" t="s">
        <v>4570</v>
      </c>
      <c r="E1402" s="6" t="s">
        <v>16</v>
      </c>
      <c r="F1402" s="7">
        <v>45371</v>
      </c>
      <c r="G1402" s="6" t="s">
        <v>3102</v>
      </c>
      <c r="H1402" s="8">
        <v>164</v>
      </c>
      <c r="I1402" s="9">
        <v>268.45</v>
      </c>
      <c r="J1402" s="9">
        <v>268.45</v>
      </c>
      <c r="K1402" s="5" t="str">
        <f>VLOOKUP(D1402,[1]Clientes!$A$1:$B$1485,2,0)</f>
        <v>NAC1267</v>
      </c>
      <c r="L1402" s="5" t="str">
        <f t="shared" si="42"/>
        <v>HGI0121048</v>
      </c>
      <c r="M1402" s="5" t="str">
        <f t="shared" si="43"/>
        <v>I</v>
      </c>
      <c r="N1402" s="5">
        <f>IF(G1402=[1]Clientes!$C$3,[1]Clientes!$D$3,[1]Clientes!$D$2)</f>
        <v>13050505</v>
      </c>
    </row>
    <row r="1403" spans="1:14">
      <c r="A1403" s="6" t="s">
        <v>7</v>
      </c>
      <c r="B1403" s="7">
        <v>45419</v>
      </c>
      <c r="C1403" s="6" t="s">
        <v>4572</v>
      </c>
      <c r="D1403" s="6" t="s">
        <v>4570</v>
      </c>
      <c r="E1403" s="6" t="s">
        <v>16</v>
      </c>
      <c r="F1403" s="7">
        <v>45449</v>
      </c>
      <c r="G1403" s="6" t="s">
        <v>3102</v>
      </c>
      <c r="H1403" s="8">
        <v>86</v>
      </c>
      <c r="I1403" s="9">
        <v>547.92999999999995</v>
      </c>
      <c r="J1403" s="9">
        <v>547.92999999999995</v>
      </c>
      <c r="K1403" s="5" t="str">
        <f>VLOOKUP(D1403,[1]Clientes!$A$1:$B$1485,2,0)</f>
        <v>NAC1267</v>
      </c>
      <c r="L1403" s="5" t="str">
        <f t="shared" si="42"/>
        <v>HGI0124058</v>
      </c>
      <c r="M1403" s="5" t="str">
        <f t="shared" si="43"/>
        <v>I</v>
      </c>
      <c r="N1403" s="5">
        <f>IF(G1403=[1]Clientes!$C$3,[1]Clientes!$D$3,[1]Clientes!$D$2)</f>
        <v>13050505</v>
      </c>
    </row>
    <row r="1404" spans="1:14">
      <c r="A1404" s="6" t="s">
        <v>7</v>
      </c>
      <c r="B1404" s="7">
        <v>45440</v>
      </c>
      <c r="C1404" s="6" t="s">
        <v>4573</v>
      </c>
      <c r="D1404" s="6" t="s">
        <v>4570</v>
      </c>
      <c r="E1404" s="6" t="s">
        <v>16</v>
      </c>
      <c r="F1404" s="7">
        <v>45470</v>
      </c>
      <c r="G1404" s="6" t="s">
        <v>3102</v>
      </c>
      <c r="H1404" s="8">
        <v>65</v>
      </c>
      <c r="I1404" s="9">
        <v>64.599999999999994</v>
      </c>
      <c r="J1404" s="9">
        <v>64.599999999999994</v>
      </c>
      <c r="K1404" s="5" t="str">
        <f>VLOOKUP(D1404,[1]Clientes!$A$1:$B$1485,2,0)</f>
        <v>NAC1267</v>
      </c>
      <c r="L1404" s="5" t="str">
        <f t="shared" si="42"/>
        <v>HGI0124618</v>
      </c>
      <c r="M1404" s="5" t="str">
        <f t="shared" si="43"/>
        <v>I</v>
      </c>
      <c r="N1404" s="5">
        <f>IF(G1404=[1]Clientes!$C$3,[1]Clientes!$D$3,[1]Clientes!$D$2)</f>
        <v>13050505</v>
      </c>
    </row>
    <row r="1405" spans="1:14">
      <c r="A1405" s="6" t="s">
        <v>7</v>
      </c>
      <c r="B1405" s="7">
        <v>45532</v>
      </c>
      <c r="C1405" s="6" t="s">
        <v>4574</v>
      </c>
      <c r="D1405" s="6" t="s">
        <v>4570</v>
      </c>
      <c r="E1405" s="6" t="s">
        <v>16</v>
      </c>
      <c r="F1405" s="7">
        <v>45562</v>
      </c>
      <c r="G1405" s="6" t="s">
        <v>3102</v>
      </c>
      <c r="H1405" s="8"/>
      <c r="I1405" s="9">
        <v>116.53</v>
      </c>
      <c r="J1405" s="9">
        <v>116.53</v>
      </c>
      <c r="K1405" s="5" t="str">
        <f>VLOOKUP(D1405,[1]Clientes!$A$1:$B$1485,2,0)</f>
        <v>NAC1267</v>
      </c>
      <c r="L1405" s="5" t="str">
        <f t="shared" si="42"/>
        <v>HGI0127016</v>
      </c>
      <c r="M1405" s="5" t="str">
        <f t="shared" si="43"/>
        <v>I</v>
      </c>
      <c r="N1405" s="5">
        <f>IF(G1405=[1]Clientes!$C$3,[1]Clientes!$D$3,[1]Clientes!$D$2)</f>
        <v>13050505</v>
      </c>
    </row>
    <row r="1406" spans="1:14">
      <c r="A1406" s="6" t="s">
        <v>7</v>
      </c>
      <c r="B1406" s="7">
        <v>45112</v>
      </c>
      <c r="C1406" s="6" t="s">
        <v>4575</v>
      </c>
      <c r="D1406" s="6" t="s">
        <v>4576</v>
      </c>
      <c r="E1406" s="6" t="s">
        <v>16</v>
      </c>
      <c r="F1406" s="7">
        <v>45142</v>
      </c>
      <c r="G1406" s="6" t="s">
        <v>3102</v>
      </c>
      <c r="H1406" s="8">
        <v>393</v>
      </c>
      <c r="I1406" s="9">
        <v>460</v>
      </c>
      <c r="J1406" s="9">
        <v>460</v>
      </c>
      <c r="K1406" s="5" t="str">
        <f>VLOOKUP(D1406,[1]Clientes!$A$1:$B$1485,2,0)</f>
        <v>NAC1270</v>
      </c>
      <c r="L1406" s="5" t="str">
        <f t="shared" si="42"/>
        <v>HGI0113503</v>
      </c>
      <c r="M1406" s="5" t="str">
        <f t="shared" si="43"/>
        <v>I</v>
      </c>
      <c r="N1406" s="5">
        <f>IF(G1406=[1]Clientes!$C$3,[1]Clientes!$D$3,[1]Clientes!$D$2)</f>
        <v>13050505</v>
      </c>
    </row>
    <row r="1407" spans="1:14">
      <c r="A1407" s="6" t="s">
        <v>7</v>
      </c>
      <c r="B1407" s="7">
        <v>45231</v>
      </c>
      <c r="C1407" s="6" t="s">
        <v>4577</v>
      </c>
      <c r="D1407" s="6" t="s">
        <v>4576</v>
      </c>
      <c r="E1407" s="6" t="s">
        <v>16</v>
      </c>
      <c r="F1407" s="7">
        <v>45261</v>
      </c>
      <c r="G1407" s="6" t="s">
        <v>3102</v>
      </c>
      <c r="H1407" s="8">
        <v>274</v>
      </c>
      <c r="I1407" s="9">
        <v>417.45</v>
      </c>
      <c r="J1407" s="9">
        <v>445.36</v>
      </c>
      <c r="K1407" s="5" t="str">
        <f>VLOOKUP(D1407,[1]Clientes!$A$1:$B$1485,2,0)</f>
        <v>NAC1270</v>
      </c>
      <c r="L1407" s="5" t="str">
        <f t="shared" si="42"/>
        <v>HGI0116778</v>
      </c>
      <c r="M1407" s="5" t="str">
        <f t="shared" si="43"/>
        <v>I</v>
      </c>
      <c r="N1407" s="5">
        <f>IF(G1407=[1]Clientes!$C$3,[1]Clientes!$D$3,[1]Clientes!$D$2)</f>
        <v>13050505</v>
      </c>
    </row>
    <row r="1408" spans="1:14">
      <c r="A1408" s="6" t="s">
        <v>7</v>
      </c>
      <c r="B1408" s="7">
        <v>45300</v>
      </c>
      <c r="C1408" s="6" t="s">
        <v>4578</v>
      </c>
      <c r="D1408" s="6" t="s">
        <v>4576</v>
      </c>
      <c r="E1408" s="6" t="s">
        <v>16</v>
      </c>
      <c r="F1408" s="7">
        <v>45330</v>
      </c>
      <c r="G1408" s="6" t="s">
        <v>3102</v>
      </c>
      <c r="H1408" s="8">
        <v>205</v>
      </c>
      <c r="I1408" s="9">
        <v>268.12</v>
      </c>
      <c r="J1408" s="9">
        <v>268.12</v>
      </c>
      <c r="K1408" s="5" t="str">
        <f>VLOOKUP(D1408,[1]Clientes!$A$1:$B$1485,2,0)</f>
        <v>NAC1270</v>
      </c>
      <c r="L1408" s="5" t="str">
        <f t="shared" si="42"/>
        <v>HGI0119041</v>
      </c>
      <c r="M1408" s="5" t="str">
        <f t="shared" si="43"/>
        <v>I</v>
      </c>
      <c r="N1408" s="5">
        <f>IF(G1408=[1]Clientes!$C$3,[1]Clientes!$D$3,[1]Clientes!$D$2)</f>
        <v>13050505</v>
      </c>
    </row>
    <row r="1409" spans="1:14">
      <c r="A1409" s="6" t="s">
        <v>7</v>
      </c>
      <c r="B1409" s="7">
        <v>45307</v>
      </c>
      <c r="C1409" s="6" t="s">
        <v>4579</v>
      </c>
      <c r="D1409" s="6" t="s">
        <v>4576</v>
      </c>
      <c r="E1409" s="6" t="s">
        <v>16</v>
      </c>
      <c r="F1409" s="7">
        <v>45337</v>
      </c>
      <c r="G1409" s="6" t="s">
        <v>3102</v>
      </c>
      <c r="H1409" s="8">
        <v>198</v>
      </c>
      <c r="I1409" s="9">
        <v>499.15</v>
      </c>
      <c r="J1409" s="9">
        <v>499.15</v>
      </c>
      <c r="K1409" s="5" t="str">
        <f>VLOOKUP(D1409,[1]Clientes!$A$1:$B$1485,2,0)</f>
        <v>NAC1270</v>
      </c>
      <c r="L1409" s="5" t="str">
        <f t="shared" si="42"/>
        <v>HGI0119360</v>
      </c>
      <c r="M1409" s="5" t="str">
        <f t="shared" si="43"/>
        <v>I</v>
      </c>
      <c r="N1409" s="5">
        <f>IF(G1409=[1]Clientes!$C$3,[1]Clientes!$D$3,[1]Clientes!$D$2)</f>
        <v>13050505</v>
      </c>
    </row>
    <row r="1410" spans="1:14">
      <c r="A1410" s="6" t="s">
        <v>7</v>
      </c>
      <c r="B1410" s="7">
        <v>45420</v>
      </c>
      <c r="C1410" s="6" t="s">
        <v>4580</v>
      </c>
      <c r="D1410" s="6" t="s">
        <v>4576</v>
      </c>
      <c r="E1410" s="6" t="s">
        <v>16</v>
      </c>
      <c r="F1410" s="7">
        <v>45450</v>
      </c>
      <c r="G1410" s="6" t="s">
        <v>3102</v>
      </c>
      <c r="H1410" s="8">
        <v>85</v>
      </c>
      <c r="I1410" s="9">
        <v>330.76</v>
      </c>
      <c r="J1410" s="9">
        <v>330.76</v>
      </c>
      <c r="K1410" s="5" t="str">
        <f>VLOOKUP(D1410,[1]Clientes!$A$1:$B$1485,2,0)</f>
        <v>NAC1270</v>
      </c>
      <c r="L1410" s="5" t="str">
        <f t="shared" si="42"/>
        <v>HGI0124145</v>
      </c>
      <c r="M1410" s="5" t="str">
        <f t="shared" si="43"/>
        <v>I</v>
      </c>
      <c r="N1410" s="5">
        <f>IF(G1410=[1]Clientes!$C$3,[1]Clientes!$D$3,[1]Clientes!$D$2)</f>
        <v>13050505</v>
      </c>
    </row>
    <row r="1411" spans="1:14">
      <c r="A1411" s="6" t="s">
        <v>7</v>
      </c>
      <c r="B1411" s="7">
        <v>45470</v>
      </c>
      <c r="C1411" s="6" t="s">
        <v>4581</v>
      </c>
      <c r="D1411" s="6" t="s">
        <v>4576</v>
      </c>
      <c r="E1411" s="6" t="s">
        <v>16</v>
      </c>
      <c r="F1411" s="7">
        <v>45500</v>
      </c>
      <c r="G1411" s="6" t="s">
        <v>3102</v>
      </c>
      <c r="H1411" s="8">
        <v>35</v>
      </c>
      <c r="I1411" s="9">
        <v>248.26</v>
      </c>
      <c r="J1411" s="9">
        <v>248.26</v>
      </c>
      <c r="K1411" s="5" t="str">
        <f>VLOOKUP(D1411,[1]Clientes!$A$1:$B$1485,2,0)</f>
        <v>NAC1270</v>
      </c>
      <c r="L1411" s="5" t="str">
        <f t="shared" ref="L1411:L1474" si="44">IF(A1411="Invoice",
    IF(LEFT(C1411,5)="TGDR-", "TGDR"&amp;RIGHT(C1411,LEN(C1411)-5), "HGI"&amp;C1411),
    IF(A1411="Credit Memo",
        IF(LEFT(C1411,5)="TGDR-", "CRM"&amp;RIGHT(C1411,LEN(C1411)-5), "CRM"&amp;C1411),
        "Revisar")
)</f>
        <v>HGI0125333</v>
      </c>
      <c r="M1411" s="5" t="str">
        <f t="shared" ref="M1411:M1474" si="45">IF(A1411="Invoice","I",IF(A1411="Credit Memo","C",IF(A1411="Payment","P","GJ")))</f>
        <v>I</v>
      </c>
      <c r="N1411" s="5">
        <f>IF(G1411=[1]Clientes!$C$3,[1]Clientes!$D$3,[1]Clientes!$D$2)</f>
        <v>13050505</v>
      </c>
    </row>
    <row r="1412" spans="1:14">
      <c r="A1412" s="6" t="s">
        <v>7</v>
      </c>
      <c r="B1412" s="7">
        <v>45495</v>
      </c>
      <c r="C1412" s="6" t="s">
        <v>4582</v>
      </c>
      <c r="D1412" s="6" t="s">
        <v>4576</v>
      </c>
      <c r="E1412" s="6" t="s">
        <v>16</v>
      </c>
      <c r="F1412" s="7">
        <v>45525</v>
      </c>
      <c r="G1412" s="6" t="s">
        <v>3102</v>
      </c>
      <c r="H1412" s="8">
        <v>10</v>
      </c>
      <c r="I1412" s="9">
        <v>88.71</v>
      </c>
      <c r="J1412" s="9">
        <v>88.71</v>
      </c>
      <c r="K1412" s="5" t="str">
        <f>VLOOKUP(D1412,[1]Clientes!$A$1:$B$1485,2,0)</f>
        <v>NAC1270</v>
      </c>
      <c r="L1412" s="5" t="str">
        <f t="shared" si="44"/>
        <v>HGI0125824</v>
      </c>
      <c r="M1412" s="5" t="str">
        <f t="shared" si="45"/>
        <v>I</v>
      </c>
      <c r="N1412" s="5">
        <f>IF(G1412=[1]Clientes!$C$3,[1]Clientes!$D$3,[1]Clientes!$D$2)</f>
        <v>13050505</v>
      </c>
    </row>
    <row r="1413" spans="1:14">
      <c r="A1413" s="6" t="s">
        <v>7</v>
      </c>
      <c r="B1413" s="7">
        <v>45303</v>
      </c>
      <c r="C1413" s="6" t="s">
        <v>4583</v>
      </c>
      <c r="D1413" s="6" t="s">
        <v>4584</v>
      </c>
      <c r="E1413" s="6" t="s">
        <v>16</v>
      </c>
      <c r="F1413" s="7">
        <v>45333</v>
      </c>
      <c r="G1413" s="6" t="s">
        <v>3102</v>
      </c>
      <c r="H1413" s="8">
        <v>202</v>
      </c>
      <c r="I1413" s="9">
        <v>649.98</v>
      </c>
      <c r="J1413" s="9">
        <v>649.98</v>
      </c>
      <c r="K1413" s="5" t="str">
        <f>VLOOKUP(D1413,[1]Clientes!$A$1:$B$1485,2,0)</f>
        <v>NAC1268</v>
      </c>
      <c r="L1413" s="5" t="str">
        <f t="shared" si="44"/>
        <v>HGI0119245</v>
      </c>
      <c r="M1413" s="5" t="str">
        <f t="shared" si="45"/>
        <v>I</v>
      </c>
      <c r="N1413" s="5">
        <f>IF(G1413=[1]Clientes!$C$3,[1]Clientes!$D$3,[1]Clientes!$D$2)</f>
        <v>13050505</v>
      </c>
    </row>
    <row r="1414" spans="1:14">
      <c r="A1414" s="6" t="s">
        <v>7</v>
      </c>
      <c r="B1414" s="7">
        <v>45320</v>
      </c>
      <c r="C1414" s="6" t="s">
        <v>4585</v>
      </c>
      <c r="D1414" s="6" t="s">
        <v>4584</v>
      </c>
      <c r="E1414" s="6" t="s">
        <v>16</v>
      </c>
      <c r="F1414" s="7">
        <v>45350</v>
      </c>
      <c r="G1414" s="6" t="s">
        <v>3102</v>
      </c>
      <c r="H1414" s="8">
        <v>185</v>
      </c>
      <c r="I1414" s="9">
        <v>178.74</v>
      </c>
      <c r="J1414" s="9">
        <v>178.74</v>
      </c>
      <c r="K1414" s="5" t="str">
        <f>VLOOKUP(D1414,[1]Clientes!$A$1:$B$1485,2,0)</f>
        <v>NAC1268</v>
      </c>
      <c r="L1414" s="5" t="str">
        <f t="shared" si="44"/>
        <v>HGI0120065</v>
      </c>
      <c r="M1414" s="5" t="str">
        <f t="shared" si="45"/>
        <v>I</v>
      </c>
      <c r="N1414" s="5">
        <f>IF(G1414=[1]Clientes!$C$3,[1]Clientes!$D$3,[1]Clientes!$D$2)</f>
        <v>13050505</v>
      </c>
    </row>
    <row r="1415" spans="1:14">
      <c r="A1415" s="6" t="s">
        <v>7</v>
      </c>
      <c r="B1415" s="7">
        <v>45411</v>
      </c>
      <c r="C1415" s="6" t="s">
        <v>4586</v>
      </c>
      <c r="D1415" s="6" t="s">
        <v>4584</v>
      </c>
      <c r="E1415" s="6" t="s">
        <v>16</v>
      </c>
      <c r="F1415" s="7">
        <v>45441</v>
      </c>
      <c r="G1415" s="6" t="s">
        <v>3102</v>
      </c>
      <c r="H1415" s="8">
        <v>94</v>
      </c>
      <c r="I1415" s="9">
        <v>440.22</v>
      </c>
      <c r="J1415" s="9">
        <v>440.22</v>
      </c>
      <c r="K1415" s="5" t="str">
        <f>VLOOKUP(D1415,[1]Clientes!$A$1:$B$1485,2,0)</f>
        <v>NAC1268</v>
      </c>
      <c r="L1415" s="5" t="str">
        <f t="shared" si="44"/>
        <v>HGI0123649</v>
      </c>
      <c r="M1415" s="5" t="str">
        <f t="shared" si="45"/>
        <v>I</v>
      </c>
      <c r="N1415" s="5">
        <f>IF(G1415=[1]Clientes!$C$3,[1]Clientes!$D$3,[1]Clientes!$D$2)</f>
        <v>13050505</v>
      </c>
    </row>
    <row r="1416" spans="1:14">
      <c r="A1416" s="6" t="s">
        <v>7</v>
      </c>
      <c r="B1416" s="7">
        <v>45154</v>
      </c>
      <c r="C1416" s="6" t="s">
        <v>4587</v>
      </c>
      <c r="D1416" s="6" t="s">
        <v>4588</v>
      </c>
      <c r="E1416" s="6" t="s">
        <v>16</v>
      </c>
      <c r="F1416" s="7">
        <v>45184</v>
      </c>
      <c r="G1416" s="6" t="s">
        <v>3102</v>
      </c>
      <c r="H1416" s="8">
        <v>351</v>
      </c>
      <c r="I1416" s="9">
        <v>216.33</v>
      </c>
      <c r="J1416" s="9">
        <v>216.33</v>
      </c>
      <c r="K1416" s="5" t="str">
        <f>VLOOKUP(D1416,[1]Clientes!$A$1:$B$1485,2,0)</f>
        <v>NAC1265</v>
      </c>
      <c r="L1416" s="5" t="str">
        <f t="shared" si="44"/>
        <v>HGI0114432</v>
      </c>
      <c r="M1416" s="5" t="str">
        <f t="shared" si="45"/>
        <v>I</v>
      </c>
      <c r="N1416" s="5">
        <f>IF(G1416=[1]Clientes!$C$3,[1]Clientes!$D$3,[1]Clientes!$D$2)</f>
        <v>13050505</v>
      </c>
    </row>
    <row r="1417" spans="1:14">
      <c r="A1417" s="6" t="s">
        <v>7</v>
      </c>
      <c r="B1417" s="7">
        <v>45314</v>
      </c>
      <c r="C1417" s="6" t="s">
        <v>4589</v>
      </c>
      <c r="D1417" s="6" t="s">
        <v>4588</v>
      </c>
      <c r="E1417" s="6" t="s">
        <v>16</v>
      </c>
      <c r="F1417" s="7">
        <v>45344</v>
      </c>
      <c r="G1417" s="6" t="s">
        <v>3102</v>
      </c>
      <c r="H1417" s="8">
        <v>191</v>
      </c>
      <c r="I1417" s="9">
        <v>1663.07</v>
      </c>
      <c r="J1417" s="9">
        <v>1663.07</v>
      </c>
      <c r="K1417" s="5" t="str">
        <f>VLOOKUP(D1417,[1]Clientes!$A$1:$B$1485,2,0)</f>
        <v>NAC1265</v>
      </c>
      <c r="L1417" s="5" t="str">
        <f t="shared" si="44"/>
        <v>HGI0119661</v>
      </c>
      <c r="M1417" s="5" t="str">
        <f t="shared" si="45"/>
        <v>I</v>
      </c>
      <c r="N1417" s="5">
        <f>IF(G1417=[1]Clientes!$C$3,[1]Clientes!$D$3,[1]Clientes!$D$2)</f>
        <v>13050505</v>
      </c>
    </row>
    <row r="1418" spans="1:14">
      <c r="A1418" s="6" t="s">
        <v>3099</v>
      </c>
      <c r="B1418" s="7">
        <v>45322</v>
      </c>
      <c r="C1418" s="6" t="s">
        <v>4590</v>
      </c>
      <c r="D1418" s="6" t="s">
        <v>4588</v>
      </c>
      <c r="E1418" s="6" t="s">
        <v>16</v>
      </c>
      <c r="F1418" s="7">
        <v>45352</v>
      </c>
      <c r="G1418" s="6" t="s">
        <v>3102</v>
      </c>
      <c r="H1418" s="8">
        <v>183</v>
      </c>
      <c r="I1418" s="9">
        <v>-30.87</v>
      </c>
      <c r="J1418" s="9">
        <v>-30.87</v>
      </c>
      <c r="K1418" s="5" t="str">
        <f>VLOOKUP(D1418,[1]Clientes!$A$1:$B$1485,2,0)</f>
        <v>NAC1265</v>
      </c>
      <c r="L1418" s="5" t="str">
        <f t="shared" si="44"/>
        <v>CRM0120591</v>
      </c>
      <c r="M1418" s="5" t="str">
        <f t="shared" si="45"/>
        <v>C</v>
      </c>
      <c r="N1418" s="5">
        <f>IF(G1418=[1]Clientes!$C$3,[1]Clientes!$D$3,[1]Clientes!$D$2)</f>
        <v>13050505</v>
      </c>
    </row>
    <row r="1419" spans="1:14">
      <c r="A1419" s="6" t="s">
        <v>7</v>
      </c>
      <c r="B1419" s="7">
        <v>45495</v>
      </c>
      <c r="C1419" s="6" t="s">
        <v>4591</v>
      </c>
      <c r="D1419" s="6" t="s">
        <v>4588</v>
      </c>
      <c r="E1419" s="6" t="s">
        <v>16</v>
      </c>
      <c r="F1419" s="7">
        <v>45525</v>
      </c>
      <c r="G1419" s="6" t="s">
        <v>3102</v>
      </c>
      <c r="H1419" s="8">
        <v>10</v>
      </c>
      <c r="I1419" s="9">
        <v>354.86</v>
      </c>
      <c r="J1419" s="9">
        <v>354.86</v>
      </c>
      <c r="K1419" s="5" t="str">
        <f>VLOOKUP(D1419,[1]Clientes!$A$1:$B$1485,2,0)</f>
        <v>NAC1265</v>
      </c>
      <c r="L1419" s="5" t="str">
        <f t="shared" si="44"/>
        <v>HGI0125823</v>
      </c>
      <c r="M1419" s="5" t="str">
        <f t="shared" si="45"/>
        <v>I</v>
      </c>
      <c r="N1419" s="5">
        <f>IF(G1419=[1]Clientes!$C$3,[1]Clientes!$D$3,[1]Clientes!$D$2)</f>
        <v>13050505</v>
      </c>
    </row>
    <row r="1420" spans="1:14">
      <c r="A1420" s="6" t="s">
        <v>7</v>
      </c>
      <c r="B1420" s="7">
        <v>45517</v>
      </c>
      <c r="C1420" s="6" t="s">
        <v>4592</v>
      </c>
      <c r="D1420" s="6" t="s">
        <v>4588</v>
      </c>
      <c r="E1420" s="6" t="s">
        <v>16</v>
      </c>
      <c r="F1420" s="7">
        <v>45547</v>
      </c>
      <c r="G1420" s="6" t="s">
        <v>3102</v>
      </c>
      <c r="H1420" s="8"/>
      <c r="I1420" s="9">
        <v>331.81</v>
      </c>
      <c r="J1420" s="9">
        <v>331.81</v>
      </c>
      <c r="K1420" s="5" t="str">
        <f>VLOOKUP(D1420,[1]Clientes!$A$1:$B$1485,2,0)</f>
        <v>NAC1265</v>
      </c>
      <c r="L1420" s="5" t="str">
        <f t="shared" si="44"/>
        <v>HGI0126445</v>
      </c>
      <c r="M1420" s="5" t="str">
        <f t="shared" si="45"/>
        <v>I</v>
      </c>
      <c r="N1420" s="5">
        <f>IF(G1420=[1]Clientes!$C$3,[1]Clientes!$D$3,[1]Clientes!$D$2)</f>
        <v>13050505</v>
      </c>
    </row>
    <row r="1421" spans="1:14">
      <c r="A1421" s="6" t="s">
        <v>7</v>
      </c>
      <c r="B1421" s="7">
        <v>45048</v>
      </c>
      <c r="C1421" s="6" t="s">
        <v>4593</v>
      </c>
      <c r="D1421" s="6" t="s">
        <v>4594</v>
      </c>
      <c r="E1421" s="6" t="s">
        <v>16</v>
      </c>
      <c r="F1421" s="7">
        <v>45078</v>
      </c>
      <c r="G1421" s="6" t="s">
        <v>3102</v>
      </c>
      <c r="H1421" s="8">
        <v>457</v>
      </c>
      <c r="I1421" s="9">
        <v>300.48</v>
      </c>
      <c r="J1421" s="9">
        <v>300.48</v>
      </c>
      <c r="K1421" s="5" t="str">
        <f>VLOOKUP(D1421,[1]Clientes!$A$1:$B$1485,2,0)</f>
        <v>NAC1269</v>
      </c>
      <c r="L1421" s="5" t="str">
        <f t="shared" si="44"/>
        <v>HGI0111799</v>
      </c>
      <c r="M1421" s="5" t="str">
        <f t="shared" si="45"/>
        <v>I</v>
      </c>
      <c r="N1421" s="5">
        <f>IF(G1421=[1]Clientes!$C$3,[1]Clientes!$D$3,[1]Clientes!$D$2)</f>
        <v>13050505</v>
      </c>
    </row>
    <row r="1422" spans="1:14">
      <c r="A1422" s="6" t="s">
        <v>7</v>
      </c>
      <c r="B1422" s="7">
        <v>45149</v>
      </c>
      <c r="C1422" s="6" t="s">
        <v>4595</v>
      </c>
      <c r="D1422" s="6" t="s">
        <v>4594</v>
      </c>
      <c r="E1422" s="6" t="s">
        <v>16</v>
      </c>
      <c r="F1422" s="7">
        <v>45179</v>
      </c>
      <c r="G1422" s="6" t="s">
        <v>3102</v>
      </c>
      <c r="H1422" s="8">
        <v>356</v>
      </c>
      <c r="I1422" s="9">
        <v>137.12</v>
      </c>
      <c r="J1422" s="9">
        <v>137.12</v>
      </c>
      <c r="K1422" s="5" t="str">
        <f>VLOOKUP(D1422,[1]Clientes!$A$1:$B$1485,2,0)</f>
        <v>NAC1269</v>
      </c>
      <c r="L1422" s="5" t="str">
        <f t="shared" si="44"/>
        <v>HGI0114361</v>
      </c>
      <c r="M1422" s="5" t="str">
        <f t="shared" si="45"/>
        <v>I</v>
      </c>
      <c r="N1422" s="5">
        <f>IF(G1422=[1]Clientes!$C$3,[1]Clientes!$D$3,[1]Clientes!$D$2)</f>
        <v>13050505</v>
      </c>
    </row>
    <row r="1423" spans="1:14">
      <c r="A1423" s="6" t="s">
        <v>7</v>
      </c>
      <c r="B1423" s="7">
        <v>45194</v>
      </c>
      <c r="C1423" s="6" t="s">
        <v>4596</v>
      </c>
      <c r="D1423" s="6" t="s">
        <v>4594</v>
      </c>
      <c r="E1423" s="6" t="s">
        <v>16</v>
      </c>
      <c r="F1423" s="7">
        <v>45224</v>
      </c>
      <c r="G1423" s="6" t="s">
        <v>3102</v>
      </c>
      <c r="H1423" s="8">
        <v>311</v>
      </c>
      <c r="I1423" s="9">
        <v>203.03</v>
      </c>
      <c r="J1423" s="9">
        <v>203.03</v>
      </c>
      <c r="K1423" s="5" t="str">
        <f>VLOOKUP(D1423,[1]Clientes!$A$1:$B$1485,2,0)</f>
        <v>NAC1269</v>
      </c>
      <c r="L1423" s="5" t="str">
        <f t="shared" si="44"/>
        <v>HGI0115337</v>
      </c>
      <c r="M1423" s="5" t="str">
        <f t="shared" si="45"/>
        <v>I</v>
      </c>
      <c r="N1423" s="5">
        <f>IF(G1423=[1]Clientes!$C$3,[1]Clientes!$D$3,[1]Clientes!$D$2)</f>
        <v>13050505</v>
      </c>
    </row>
    <row r="1424" spans="1:14">
      <c r="A1424" s="6" t="s">
        <v>7</v>
      </c>
      <c r="B1424" s="7">
        <v>45314</v>
      </c>
      <c r="C1424" s="6" t="s">
        <v>4597</v>
      </c>
      <c r="D1424" s="6" t="s">
        <v>4594</v>
      </c>
      <c r="E1424" s="6" t="s">
        <v>16</v>
      </c>
      <c r="F1424" s="7">
        <v>45344</v>
      </c>
      <c r="G1424" s="6" t="s">
        <v>3102</v>
      </c>
      <c r="H1424" s="8">
        <v>191</v>
      </c>
      <c r="I1424" s="9">
        <v>115.8</v>
      </c>
      <c r="J1424" s="9">
        <v>115.8</v>
      </c>
      <c r="K1424" s="5" t="str">
        <f>VLOOKUP(D1424,[1]Clientes!$A$1:$B$1485,2,0)</f>
        <v>NAC1269</v>
      </c>
      <c r="L1424" s="5" t="str">
        <f t="shared" si="44"/>
        <v>HGI0119659</v>
      </c>
      <c r="M1424" s="5" t="str">
        <f t="shared" si="45"/>
        <v>I</v>
      </c>
      <c r="N1424" s="5">
        <f>IF(G1424=[1]Clientes!$C$3,[1]Clientes!$D$3,[1]Clientes!$D$2)</f>
        <v>13050505</v>
      </c>
    </row>
    <row r="1425" spans="1:14">
      <c r="A1425" s="6" t="s">
        <v>7</v>
      </c>
      <c r="B1425" s="7">
        <v>45321</v>
      </c>
      <c r="C1425" s="6" t="s">
        <v>4598</v>
      </c>
      <c r="D1425" s="6" t="s">
        <v>4594</v>
      </c>
      <c r="E1425" s="6" t="s">
        <v>16</v>
      </c>
      <c r="F1425" s="7">
        <v>45351</v>
      </c>
      <c r="G1425" s="6" t="s">
        <v>3102</v>
      </c>
      <c r="H1425" s="8">
        <v>184</v>
      </c>
      <c r="I1425" s="9">
        <v>91.08</v>
      </c>
      <c r="J1425" s="9">
        <v>91.08</v>
      </c>
      <c r="K1425" s="5" t="str">
        <f>VLOOKUP(D1425,[1]Clientes!$A$1:$B$1485,2,0)</f>
        <v>NAC1269</v>
      </c>
      <c r="L1425" s="5" t="str">
        <f t="shared" si="44"/>
        <v>HGI0120118</v>
      </c>
      <c r="M1425" s="5" t="str">
        <f t="shared" si="45"/>
        <v>I</v>
      </c>
      <c r="N1425" s="5">
        <f>IF(G1425=[1]Clientes!$C$3,[1]Clientes!$D$3,[1]Clientes!$D$2)</f>
        <v>13050505</v>
      </c>
    </row>
    <row r="1426" spans="1:14">
      <c r="A1426" s="6" t="s">
        <v>3099</v>
      </c>
      <c r="B1426" s="7">
        <v>45322</v>
      </c>
      <c r="C1426" s="6" t="s">
        <v>4599</v>
      </c>
      <c r="D1426" s="6" t="s">
        <v>4594</v>
      </c>
      <c r="E1426" s="6" t="s">
        <v>16</v>
      </c>
      <c r="F1426" s="7">
        <v>45352</v>
      </c>
      <c r="G1426" s="6" t="s">
        <v>3102</v>
      </c>
      <c r="H1426" s="8">
        <v>183</v>
      </c>
      <c r="I1426" s="9">
        <v>-13.72</v>
      </c>
      <c r="J1426" s="9">
        <v>-13.72</v>
      </c>
      <c r="K1426" s="5" t="str">
        <f>VLOOKUP(D1426,[1]Clientes!$A$1:$B$1485,2,0)</f>
        <v>NAC1269</v>
      </c>
      <c r="L1426" s="5" t="str">
        <f t="shared" si="44"/>
        <v>CRM0120593</v>
      </c>
      <c r="M1426" s="5" t="str">
        <f t="shared" si="45"/>
        <v>C</v>
      </c>
      <c r="N1426" s="5">
        <f>IF(G1426=[1]Clientes!$C$3,[1]Clientes!$D$3,[1]Clientes!$D$2)</f>
        <v>13050505</v>
      </c>
    </row>
    <row r="1427" spans="1:14">
      <c r="A1427" s="6" t="s">
        <v>7</v>
      </c>
      <c r="B1427" s="7">
        <v>45365</v>
      </c>
      <c r="C1427" s="6" t="s">
        <v>4600</v>
      </c>
      <c r="D1427" s="6" t="s">
        <v>4594</v>
      </c>
      <c r="E1427" s="6" t="s">
        <v>16</v>
      </c>
      <c r="F1427" s="7">
        <v>45395</v>
      </c>
      <c r="G1427" s="6" t="s">
        <v>3102</v>
      </c>
      <c r="H1427" s="8">
        <v>140</v>
      </c>
      <c r="I1427" s="9">
        <v>115.92</v>
      </c>
      <c r="J1427" s="9">
        <v>115.92</v>
      </c>
      <c r="K1427" s="5" t="str">
        <f>VLOOKUP(D1427,[1]Clientes!$A$1:$B$1485,2,0)</f>
        <v>NAC1269</v>
      </c>
      <c r="L1427" s="5" t="str">
        <f t="shared" si="44"/>
        <v>HGI0121923</v>
      </c>
      <c r="M1427" s="5" t="str">
        <f t="shared" si="45"/>
        <v>I</v>
      </c>
      <c r="N1427" s="5">
        <f>IF(G1427=[1]Clientes!$C$3,[1]Clientes!$D$3,[1]Clientes!$D$2)</f>
        <v>13050505</v>
      </c>
    </row>
    <row r="1428" spans="1:14">
      <c r="A1428" s="6" t="s">
        <v>7</v>
      </c>
      <c r="B1428" s="7">
        <v>45406</v>
      </c>
      <c r="C1428" s="6" t="s">
        <v>4601</v>
      </c>
      <c r="D1428" s="6" t="s">
        <v>4594</v>
      </c>
      <c r="E1428" s="6" t="s">
        <v>16</v>
      </c>
      <c r="F1428" s="7">
        <v>45436</v>
      </c>
      <c r="G1428" s="6" t="s">
        <v>3102</v>
      </c>
      <c r="H1428" s="8">
        <v>99</v>
      </c>
      <c r="I1428" s="9">
        <v>214.79</v>
      </c>
      <c r="J1428" s="9">
        <v>214.79</v>
      </c>
      <c r="K1428" s="5" t="str">
        <f>VLOOKUP(D1428,[1]Clientes!$A$1:$B$1485,2,0)</f>
        <v>NAC1269</v>
      </c>
      <c r="L1428" s="5" t="str">
        <f t="shared" si="44"/>
        <v>HGI0123470</v>
      </c>
      <c r="M1428" s="5" t="str">
        <f t="shared" si="45"/>
        <v>I</v>
      </c>
      <c r="N1428" s="5">
        <f>IF(G1428=[1]Clientes!$C$3,[1]Clientes!$D$3,[1]Clientes!$D$2)</f>
        <v>13050505</v>
      </c>
    </row>
    <row r="1429" spans="1:14">
      <c r="A1429" s="6" t="s">
        <v>7</v>
      </c>
      <c r="B1429" s="7">
        <v>45414</v>
      </c>
      <c r="C1429" s="6" t="s">
        <v>4602</v>
      </c>
      <c r="D1429" s="6" t="s">
        <v>4594</v>
      </c>
      <c r="E1429" s="6" t="s">
        <v>16</v>
      </c>
      <c r="F1429" s="7">
        <v>45444</v>
      </c>
      <c r="G1429" s="6" t="s">
        <v>3102</v>
      </c>
      <c r="H1429" s="8">
        <v>91</v>
      </c>
      <c r="I1429" s="9">
        <v>246.49</v>
      </c>
      <c r="J1429" s="9">
        <v>246.49</v>
      </c>
      <c r="K1429" s="5" t="str">
        <f>VLOOKUP(D1429,[1]Clientes!$A$1:$B$1485,2,0)</f>
        <v>NAC1269</v>
      </c>
      <c r="L1429" s="5" t="str">
        <f t="shared" si="44"/>
        <v>HGI0123841</v>
      </c>
      <c r="M1429" s="5" t="str">
        <f t="shared" si="45"/>
        <v>I</v>
      </c>
      <c r="N1429" s="5">
        <f>IF(G1429=[1]Clientes!$C$3,[1]Clientes!$D$3,[1]Clientes!$D$2)</f>
        <v>13050505</v>
      </c>
    </row>
    <row r="1430" spans="1:14">
      <c r="A1430" s="6" t="s">
        <v>7</v>
      </c>
      <c r="B1430" s="7">
        <v>45433</v>
      </c>
      <c r="C1430" s="6" t="s">
        <v>4603</v>
      </c>
      <c r="D1430" s="6" t="s">
        <v>4594</v>
      </c>
      <c r="E1430" s="6" t="s">
        <v>16</v>
      </c>
      <c r="F1430" s="7">
        <v>45463</v>
      </c>
      <c r="G1430" s="6" t="s">
        <v>3102</v>
      </c>
      <c r="H1430" s="8">
        <v>72</v>
      </c>
      <c r="I1430" s="9">
        <v>356.46</v>
      </c>
      <c r="J1430" s="9">
        <v>356.46</v>
      </c>
      <c r="K1430" s="5" t="str">
        <f>VLOOKUP(D1430,[1]Clientes!$A$1:$B$1485,2,0)</f>
        <v>NAC1269</v>
      </c>
      <c r="L1430" s="5" t="str">
        <f t="shared" si="44"/>
        <v>HGI0124497</v>
      </c>
      <c r="M1430" s="5" t="str">
        <f t="shared" si="45"/>
        <v>I</v>
      </c>
      <c r="N1430" s="5">
        <f>IF(G1430=[1]Clientes!$C$3,[1]Clientes!$D$3,[1]Clientes!$D$2)</f>
        <v>13050505</v>
      </c>
    </row>
    <row r="1431" spans="1:14">
      <c r="A1431" s="6" t="s">
        <v>7</v>
      </c>
      <c r="B1431" s="7">
        <v>45495</v>
      </c>
      <c r="C1431" s="6" t="s">
        <v>4604</v>
      </c>
      <c r="D1431" s="6" t="s">
        <v>4594</v>
      </c>
      <c r="E1431" s="6" t="s">
        <v>16</v>
      </c>
      <c r="F1431" s="7">
        <v>45525</v>
      </c>
      <c r="G1431" s="6" t="s">
        <v>3102</v>
      </c>
      <c r="H1431" s="8">
        <v>10</v>
      </c>
      <c r="I1431" s="9">
        <v>88.71</v>
      </c>
      <c r="J1431" s="9">
        <v>88.71</v>
      </c>
      <c r="K1431" s="5" t="str">
        <f>VLOOKUP(D1431,[1]Clientes!$A$1:$B$1485,2,0)</f>
        <v>NAC1269</v>
      </c>
      <c r="L1431" s="5" t="str">
        <f t="shared" si="44"/>
        <v>HGI0125819</v>
      </c>
      <c r="M1431" s="5" t="str">
        <f t="shared" si="45"/>
        <v>I</v>
      </c>
      <c r="N1431" s="5">
        <f>IF(G1431=[1]Clientes!$C$3,[1]Clientes!$D$3,[1]Clientes!$D$2)</f>
        <v>13050505</v>
      </c>
    </row>
    <row r="1432" spans="1:14">
      <c r="A1432" s="6" t="s">
        <v>7</v>
      </c>
      <c r="B1432" s="7">
        <v>45496</v>
      </c>
      <c r="C1432" s="6" t="s">
        <v>4605</v>
      </c>
      <c r="D1432" s="6" t="s">
        <v>4594</v>
      </c>
      <c r="E1432" s="6" t="s">
        <v>16</v>
      </c>
      <c r="F1432" s="7">
        <v>45526</v>
      </c>
      <c r="G1432" s="6" t="s">
        <v>3102</v>
      </c>
      <c r="H1432" s="8">
        <v>9</v>
      </c>
      <c r="I1432" s="9">
        <v>200.18</v>
      </c>
      <c r="J1432" s="9">
        <v>200.18</v>
      </c>
      <c r="K1432" s="5" t="str">
        <f>VLOOKUP(D1432,[1]Clientes!$A$1:$B$1485,2,0)</f>
        <v>NAC1269</v>
      </c>
      <c r="L1432" s="5" t="str">
        <f t="shared" si="44"/>
        <v>HGI0125890</v>
      </c>
      <c r="M1432" s="5" t="str">
        <f t="shared" si="45"/>
        <v>I</v>
      </c>
      <c r="N1432" s="5">
        <f>IF(G1432=[1]Clientes!$C$3,[1]Clientes!$D$3,[1]Clientes!$D$2)</f>
        <v>13050505</v>
      </c>
    </row>
    <row r="1433" spans="1:14">
      <c r="A1433" s="6" t="s">
        <v>7</v>
      </c>
      <c r="B1433" s="7">
        <v>45110</v>
      </c>
      <c r="C1433" s="6" t="s">
        <v>4606</v>
      </c>
      <c r="D1433" s="6" t="s">
        <v>4607</v>
      </c>
      <c r="E1433" s="6" t="s">
        <v>16</v>
      </c>
      <c r="F1433" s="7">
        <v>45140</v>
      </c>
      <c r="G1433" s="6" t="s">
        <v>3102</v>
      </c>
      <c r="H1433" s="8">
        <v>395</v>
      </c>
      <c r="I1433" s="9">
        <v>246.11</v>
      </c>
      <c r="J1433" s="9">
        <v>246.11</v>
      </c>
      <c r="K1433" s="5" t="str">
        <f>VLOOKUP(D1433,[1]Clientes!$A$1:$B$1485,2,0)</f>
        <v>NAC1275</v>
      </c>
      <c r="L1433" s="5" t="str">
        <f t="shared" si="44"/>
        <v>HGI0113453</v>
      </c>
      <c r="M1433" s="5" t="str">
        <f t="shared" si="45"/>
        <v>I</v>
      </c>
      <c r="N1433" s="5">
        <f>IF(G1433=[1]Clientes!$C$3,[1]Clientes!$D$3,[1]Clientes!$D$2)</f>
        <v>13050505</v>
      </c>
    </row>
    <row r="1434" spans="1:14">
      <c r="A1434" s="6" t="s">
        <v>7</v>
      </c>
      <c r="B1434" s="7">
        <v>45510</v>
      </c>
      <c r="C1434" s="6" t="s">
        <v>4608</v>
      </c>
      <c r="D1434" s="6" t="s">
        <v>4607</v>
      </c>
      <c r="E1434" s="6" t="s">
        <v>16</v>
      </c>
      <c r="F1434" s="7">
        <v>45540</v>
      </c>
      <c r="G1434" s="6" t="s">
        <v>3102</v>
      </c>
      <c r="H1434" s="8"/>
      <c r="I1434" s="9">
        <v>180.73</v>
      </c>
      <c r="J1434" s="9">
        <v>180.73</v>
      </c>
      <c r="K1434" s="5" t="str">
        <f>VLOOKUP(D1434,[1]Clientes!$A$1:$B$1485,2,0)</f>
        <v>NAC1275</v>
      </c>
      <c r="L1434" s="5" t="str">
        <f t="shared" si="44"/>
        <v>HGI0126251</v>
      </c>
      <c r="M1434" s="5" t="str">
        <f t="shared" si="45"/>
        <v>I</v>
      </c>
      <c r="N1434" s="5">
        <f>IF(G1434=[1]Clientes!$C$3,[1]Clientes!$D$3,[1]Clientes!$D$2)</f>
        <v>13050505</v>
      </c>
    </row>
    <row r="1435" spans="1:14">
      <c r="A1435" s="6" t="s">
        <v>7</v>
      </c>
      <c r="B1435" s="7">
        <v>45301</v>
      </c>
      <c r="C1435" s="6" t="s">
        <v>4609</v>
      </c>
      <c r="D1435" s="6" t="s">
        <v>4610</v>
      </c>
      <c r="E1435" s="6" t="s">
        <v>16</v>
      </c>
      <c r="F1435" s="7">
        <v>45331</v>
      </c>
      <c r="G1435" s="6" t="s">
        <v>3102</v>
      </c>
      <c r="H1435" s="8">
        <v>204</v>
      </c>
      <c r="I1435" s="9">
        <v>95.74</v>
      </c>
      <c r="J1435" s="9">
        <v>95.74</v>
      </c>
      <c r="K1435" s="5" t="str">
        <f>VLOOKUP(D1435,[1]Clientes!$A$1:$B$1485,2,0)</f>
        <v>NAC1272</v>
      </c>
      <c r="L1435" s="5" t="str">
        <f t="shared" si="44"/>
        <v>HGI0119115</v>
      </c>
      <c r="M1435" s="5" t="str">
        <f t="shared" si="45"/>
        <v>I</v>
      </c>
      <c r="N1435" s="5">
        <f>IF(G1435=[1]Clientes!$C$3,[1]Clientes!$D$3,[1]Clientes!$D$2)</f>
        <v>13050505</v>
      </c>
    </row>
    <row r="1436" spans="1:14">
      <c r="A1436" s="6" t="s">
        <v>7</v>
      </c>
      <c r="B1436" s="7">
        <v>45091</v>
      </c>
      <c r="C1436" s="6" t="s">
        <v>4611</v>
      </c>
      <c r="D1436" s="6" t="s">
        <v>4612</v>
      </c>
      <c r="E1436" s="6" t="s">
        <v>16</v>
      </c>
      <c r="F1436" s="7">
        <v>45121</v>
      </c>
      <c r="G1436" s="6" t="s">
        <v>3102</v>
      </c>
      <c r="H1436" s="8">
        <v>414</v>
      </c>
      <c r="I1436" s="9">
        <v>262.91000000000003</v>
      </c>
      <c r="J1436" s="9">
        <v>262.91000000000003</v>
      </c>
      <c r="K1436" s="5" t="str">
        <f>VLOOKUP(D1436,[1]Clientes!$A$1:$B$1485,2,0)</f>
        <v>NAC1274</v>
      </c>
      <c r="L1436" s="5" t="str">
        <f t="shared" si="44"/>
        <v>HGI0113069</v>
      </c>
      <c r="M1436" s="5" t="str">
        <f t="shared" si="45"/>
        <v>I</v>
      </c>
      <c r="N1436" s="5">
        <f>IF(G1436=[1]Clientes!$C$3,[1]Clientes!$D$3,[1]Clientes!$D$2)</f>
        <v>13050505</v>
      </c>
    </row>
    <row r="1437" spans="1:14">
      <c r="A1437" s="6" t="s">
        <v>7</v>
      </c>
      <c r="B1437" s="7">
        <v>45217</v>
      </c>
      <c r="C1437" s="6" t="s">
        <v>4613</v>
      </c>
      <c r="D1437" s="6" t="s">
        <v>4612</v>
      </c>
      <c r="E1437" s="6" t="s">
        <v>16</v>
      </c>
      <c r="F1437" s="7">
        <v>45247</v>
      </c>
      <c r="G1437" s="6" t="s">
        <v>3102</v>
      </c>
      <c r="H1437" s="8">
        <v>288</v>
      </c>
      <c r="I1437" s="9">
        <v>568.86</v>
      </c>
      <c r="J1437" s="9">
        <v>568.86</v>
      </c>
      <c r="K1437" s="5" t="str">
        <f>VLOOKUP(D1437,[1]Clientes!$A$1:$B$1485,2,0)</f>
        <v>NAC1274</v>
      </c>
      <c r="L1437" s="5" t="str">
        <f t="shared" si="44"/>
        <v>HGI0116121</v>
      </c>
      <c r="M1437" s="5" t="str">
        <f t="shared" si="45"/>
        <v>I</v>
      </c>
      <c r="N1437" s="5">
        <f>IF(G1437=[1]Clientes!$C$3,[1]Clientes!$D$3,[1]Clientes!$D$2)</f>
        <v>13050505</v>
      </c>
    </row>
    <row r="1438" spans="1:14">
      <c r="A1438" s="6" t="s">
        <v>7</v>
      </c>
      <c r="B1438" s="7">
        <v>45359</v>
      </c>
      <c r="C1438" s="6" t="s">
        <v>4614</v>
      </c>
      <c r="D1438" s="6" t="s">
        <v>4612</v>
      </c>
      <c r="E1438" s="6" t="s">
        <v>16</v>
      </c>
      <c r="F1438" s="7">
        <v>45389</v>
      </c>
      <c r="G1438" s="6" t="s">
        <v>3102</v>
      </c>
      <c r="H1438" s="8">
        <v>146</v>
      </c>
      <c r="I1438" s="9">
        <v>258.72000000000003</v>
      </c>
      <c r="J1438" s="9">
        <v>258.72000000000003</v>
      </c>
      <c r="K1438" s="5" t="str">
        <f>VLOOKUP(D1438,[1]Clientes!$A$1:$B$1485,2,0)</f>
        <v>NAC1274</v>
      </c>
      <c r="L1438" s="5" t="str">
        <f t="shared" si="44"/>
        <v>HGI0121721</v>
      </c>
      <c r="M1438" s="5" t="str">
        <f t="shared" si="45"/>
        <v>I</v>
      </c>
      <c r="N1438" s="5">
        <f>IF(G1438=[1]Clientes!$C$3,[1]Clientes!$D$3,[1]Clientes!$D$2)</f>
        <v>13050505</v>
      </c>
    </row>
    <row r="1439" spans="1:14">
      <c r="A1439" s="6" t="s">
        <v>7</v>
      </c>
      <c r="B1439" s="7">
        <v>45364</v>
      </c>
      <c r="C1439" s="6" t="s">
        <v>4615</v>
      </c>
      <c r="D1439" s="6" t="s">
        <v>4612</v>
      </c>
      <c r="E1439" s="6" t="s">
        <v>16</v>
      </c>
      <c r="F1439" s="7">
        <v>45394</v>
      </c>
      <c r="G1439" s="6" t="s">
        <v>3102</v>
      </c>
      <c r="H1439" s="8">
        <v>141</v>
      </c>
      <c r="I1439" s="9">
        <v>191.12</v>
      </c>
      <c r="J1439" s="9">
        <v>191.12</v>
      </c>
      <c r="K1439" s="5" t="str">
        <f>VLOOKUP(D1439,[1]Clientes!$A$1:$B$1485,2,0)</f>
        <v>NAC1274</v>
      </c>
      <c r="L1439" s="5" t="str">
        <f t="shared" si="44"/>
        <v>HGI0121882</v>
      </c>
      <c r="M1439" s="5" t="str">
        <f t="shared" si="45"/>
        <v>I</v>
      </c>
      <c r="N1439" s="5">
        <f>IF(G1439=[1]Clientes!$C$3,[1]Clientes!$D$3,[1]Clientes!$D$2)</f>
        <v>13050505</v>
      </c>
    </row>
    <row r="1440" spans="1:14">
      <c r="A1440" s="6" t="s">
        <v>3099</v>
      </c>
      <c r="B1440" s="7">
        <v>45412</v>
      </c>
      <c r="C1440" s="6" t="s">
        <v>4616</v>
      </c>
      <c r="D1440" s="6" t="s">
        <v>4612</v>
      </c>
      <c r="E1440" s="6" t="s">
        <v>16</v>
      </c>
      <c r="F1440" s="7">
        <v>45442</v>
      </c>
      <c r="G1440" s="6" t="s">
        <v>3102</v>
      </c>
      <c r="H1440" s="8">
        <v>93</v>
      </c>
      <c r="I1440" s="9">
        <v>-16.53</v>
      </c>
      <c r="J1440" s="9">
        <v>-16.53</v>
      </c>
      <c r="K1440" s="5" t="str">
        <f>VLOOKUP(D1440,[1]Clientes!$A$1:$B$1485,2,0)</f>
        <v>NAC1274</v>
      </c>
      <c r="L1440" s="5" t="str">
        <f t="shared" si="44"/>
        <v>CRM0123945</v>
      </c>
      <c r="M1440" s="5" t="str">
        <f t="shared" si="45"/>
        <v>C</v>
      </c>
      <c r="N1440" s="5">
        <f>IF(G1440=[1]Clientes!$C$3,[1]Clientes!$D$3,[1]Clientes!$D$2)</f>
        <v>13050505</v>
      </c>
    </row>
    <row r="1441" spans="1:14">
      <c r="A1441" s="6" t="s">
        <v>3099</v>
      </c>
      <c r="B1441" s="7">
        <v>45412</v>
      </c>
      <c r="C1441" s="6" t="s">
        <v>4617</v>
      </c>
      <c r="D1441" s="6" t="s">
        <v>4612</v>
      </c>
      <c r="E1441" s="6" t="s">
        <v>16</v>
      </c>
      <c r="F1441" s="7">
        <v>45442</v>
      </c>
      <c r="G1441" s="6" t="s">
        <v>3102</v>
      </c>
      <c r="H1441" s="8">
        <v>93</v>
      </c>
      <c r="I1441" s="9">
        <v>-12.21</v>
      </c>
      <c r="J1441" s="9">
        <v>-12.21</v>
      </c>
      <c r="K1441" s="5" t="str">
        <f>VLOOKUP(D1441,[1]Clientes!$A$1:$B$1485,2,0)</f>
        <v>NAC1274</v>
      </c>
      <c r="L1441" s="5" t="str">
        <f t="shared" si="44"/>
        <v>CRM0123946</v>
      </c>
      <c r="M1441" s="5" t="str">
        <f t="shared" si="45"/>
        <v>C</v>
      </c>
      <c r="N1441" s="5">
        <f>IF(G1441=[1]Clientes!$C$3,[1]Clientes!$D$3,[1]Clientes!$D$2)</f>
        <v>13050505</v>
      </c>
    </row>
    <row r="1442" spans="1:14">
      <c r="A1442" s="6" t="s">
        <v>7</v>
      </c>
      <c r="B1442" s="7">
        <v>45495</v>
      </c>
      <c r="C1442" s="6" t="s">
        <v>4618</v>
      </c>
      <c r="D1442" s="6" t="s">
        <v>4612</v>
      </c>
      <c r="E1442" s="6" t="s">
        <v>16</v>
      </c>
      <c r="F1442" s="7">
        <v>45525</v>
      </c>
      <c r="G1442" s="6" t="s">
        <v>3102</v>
      </c>
      <c r="H1442" s="8">
        <v>10</v>
      </c>
      <c r="I1442" s="9">
        <v>177.43</v>
      </c>
      <c r="J1442" s="9">
        <v>177.43</v>
      </c>
      <c r="K1442" s="5" t="str">
        <f>VLOOKUP(D1442,[1]Clientes!$A$1:$B$1485,2,0)</f>
        <v>NAC1274</v>
      </c>
      <c r="L1442" s="5" t="str">
        <f t="shared" si="44"/>
        <v>HGI0125821</v>
      </c>
      <c r="M1442" s="5" t="str">
        <f t="shared" si="45"/>
        <v>I</v>
      </c>
      <c r="N1442" s="5">
        <f>IF(G1442=[1]Clientes!$C$3,[1]Clientes!$D$3,[1]Clientes!$D$2)</f>
        <v>13050505</v>
      </c>
    </row>
    <row r="1443" spans="1:14">
      <c r="A1443" s="6" t="s">
        <v>3099</v>
      </c>
      <c r="B1443" s="7">
        <v>45289</v>
      </c>
      <c r="C1443" s="6" t="s">
        <v>4619</v>
      </c>
      <c r="D1443" s="6" t="s">
        <v>4620</v>
      </c>
      <c r="E1443" s="6" t="s">
        <v>16</v>
      </c>
      <c r="F1443" s="7">
        <v>45319</v>
      </c>
      <c r="G1443" s="6" t="s">
        <v>3102</v>
      </c>
      <c r="H1443" s="8">
        <v>216</v>
      </c>
      <c r="I1443" s="9">
        <v>-24.86</v>
      </c>
      <c r="J1443" s="9">
        <v>-24.86</v>
      </c>
      <c r="K1443" s="5" t="str">
        <f>VLOOKUP(D1443,[1]Clientes!$A$1:$B$1485,2,0)</f>
        <v>NAC1280</v>
      </c>
      <c r="L1443" s="5" t="str">
        <f t="shared" si="44"/>
        <v>CRM0118854</v>
      </c>
      <c r="M1443" s="5" t="str">
        <f t="shared" si="45"/>
        <v>C</v>
      </c>
      <c r="N1443" s="5">
        <f>IF(G1443=[1]Clientes!$C$3,[1]Clientes!$D$3,[1]Clientes!$D$2)</f>
        <v>13050505</v>
      </c>
    </row>
    <row r="1444" spans="1:14">
      <c r="A1444" s="6" t="s">
        <v>7</v>
      </c>
      <c r="B1444" s="7">
        <v>45294</v>
      </c>
      <c r="C1444" s="6" t="s">
        <v>4621</v>
      </c>
      <c r="D1444" s="6" t="s">
        <v>4620</v>
      </c>
      <c r="E1444" s="6" t="s">
        <v>16</v>
      </c>
      <c r="F1444" s="7">
        <v>45324</v>
      </c>
      <c r="G1444" s="6" t="s">
        <v>3102</v>
      </c>
      <c r="H1444" s="8">
        <v>211</v>
      </c>
      <c r="I1444" s="9">
        <v>608.23</v>
      </c>
      <c r="J1444" s="9">
        <v>608.23</v>
      </c>
      <c r="K1444" s="5" t="str">
        <f>VLOOKUP(D1444,[1]Clientes!$A$1:$B$1485,2,0)</f>
        <v>NAC1280</v>
      </c>
      <c r="L1444" s="5" t="str">
        <f t="shared" si="44"/>
        <v>HGI0118809</v>
      </c>
      <c r="M1444" s="5" t="str">
        <f t="shared" si="45"/>
        <v>I</v>
      </c>
      <c r="N1444" s="5">
        <f>IF(G1444=[1]Clientes!$C$3,[1]Clientes!$D$3,[1]Clientes!$D$2)</f>
        <v>13050505</v>
      </c>
    </row>
    <row r="1445" spans="1:14">
      <c r="A1445" s="6" t="s">
        <v>3099</v>
      </c>
      <c r="B1445" s="7">
        <v>45322</v>
      </c>
      <c r="C1445" s="6" t="s">
        <v>4622</v>
      </c>
      <c r="D1445" s="6" t="s">
        <v>4620</v>
      </c>
      <c r="E1445" s="6" t="s">
        <v>16</v>
      </c>
      <c r="F1445" s="7">
        <v>45352</v>
      </c>
      <c r="G1445" s="6" t="s">
        <v>3102</v>
      </c>
      <c r="H1445" s="8">
        <v>183</v>
      </c>
      <c r="I1445" s="9">
        <v>-6.94</v>
      </c>
      <c r="J1445" s="9">
        <v>-6.94</v>
      </c>
      <c r="K1445" s="5" t="str">
        <f>VLOOKUP(D1445,[1]Clientes!$A$1:$B$1485,2,0)</f>
        <v>NAC1280</v>
      </c>
      <c r="L1445" s="5" t="str">
        <f t="shared" si="44"/>
        <v>CRM0120592</v>
      </c>
      <c r="M1445" s="5" t="str">
        <f t="shared" si="45"/>
        <v>C</v>
      </c>
      <c r="N1445" s="5">
        <f>IF(G1445=[1]Clientes!$C$3,[1]Clientes!$D$3,[1]Clientes!$D$2)</f>
        <v>13050505</v>
      </c>
    </row>
    <row r="1446" spans="1:14">
      <c r="A1446" s="6" t="s">
        <v>7</v>
      </c>
      <c r="B1446" s="7">
        <v>45386</v>
      </c>
      <c r="C1446" s="6" t="s">
        <v>4623</v>
      </c>
      <c r="D1446" s="6" t="s">
        <v>4620</v>
      </c>
      <c r="E1446" s="6" t="s">
        <v>16</v>
      </c>
      <c r="F1446" s="7">
        <v>45416</v>
      </c>
      <c r="G1446" s="6" t="s">
        <v>3102</v>
      </c>
      <c r="H1446" s="8">
        <v>119</v>
      </c>
      <c r="I1446" s="9">
        <v>634.75</v>
      </c>
      <c r="J1446" s="9">
        <v>634.75</v>
      </c>
      <c r="K1446" s="5" t="str">
        <f>VLOOKUP(D1446,[1]Clientes!$A$1:$B$1485,2,0)</f>
        <v>NAC1280</v>
      </c>
      <c r="L1446" s="5" t="str">
        <f t="shared" si="44"/>
        <v>HGI0122638</v>
      </c>
      <c r="M1446" s="5" t="str">
        <f t="shared" si="45"/>
        <v>I</v>
      </c>
      <c r="N1446" s="5">
        <f>IF(G1446=[1]Clientes!$C$3,[1]Clientes!$D$3,[1]Clientes!$D$2)</f>
        <v>13050505</v>
      </c>
    </row>
    <row r="1447" spans="1:14">
      <c r="A1447" s="6" t="s">
        <v>7</v>
      </c>
      <c r="B1447" s="7">
        <v>45517</v>
      </c>
      <c r="C1447" s="6" t="s">
        <v>4624</v>
      </c>
      <c r="D1447" s="6" t="s">
        <v>4620</v>
      </c>
      <c r="E1447" s="6" t="s">
        <v>16</v>
      </c>
      <c r="F1447" s="7">
        <v>45547</v>
      </c>
      <c r="G1447" s="6" t="s">
        <v>3102</v>
      </c>
      <c r="H1447" s="8"/>
      <c r="I1447" s="9">
        <v>177.34</v>
      </c>
      <c r="J1447" s="9">
        <v>177.34</v>
      </c>
      <c r="K1447" s="5" t="str">
        <f>VLOOKUP(D1447,[1]Clientes!$A$1:$B$1485,2,0)</f>
        <v>NAC1280</v>
      </c>
      <c r="L1447" s="5" t="str">
        <f t="shared" si="44"/>
        <v>HGI0126464</v>
      </c>
      <c r="M1447" s="5" t="str">
        <f t="shared" si="45"/>
        <v>I</v>
      </c>
      <c r="N1447" s="5">
        <f>IF(G1447=[1]Clientes!$C$3,[1]Clientes!$D$3,[1]Clientes!$D$2)</f>
        <v>13050505</v>
      </c>
    </row>
    <row r="1448" spans="1:14">
      <c r="A1448" s="6" t="s">
        <v>7</v>
      </c>
      <c r="B1448" s="7">
        <v>45037</v>
      </c>
      <c r="C1448" s="6" t="s">
        <v>4625</v>
      </c>
      <c r="D1448" s="6" t="s">
        <v>4626</v>
      </c>
      <c r="E1448" s="6" t="s">
        <v>16</v>
      </c>
      <c r="F1448" s="7">
        <v>45067</v>
      </c>
      <c r="G1448" s="6" t="s">
        <v>3102</v>
      </c>
      <c r="H1448" s="8">
        <v>468</v>
      </c>
      <c r="I1448" s="9">
        <v>96.89</v>
      </c>
      <c r="J1448" s="9">
        <v>96.89</v>
      </c>
      <c r="K1448" s="5" t="str">
        <f>VLOOKUP(D1448,[1]Clientes!$A$1:$B$1485,2,0)</f>
        <v>NAC1266</v>
      </c>
      <c r="L1448" s="5" t="str">
        <f t="shared" si="44"/>
        <v>HGI0111178</v>
      </c>
      <c r="M1448" s="5" t="str">
        <f t="shared" si="45"/>
        <v>I</v>
      </c>
      <c r="N1448" s="5">
        <f>IF(G1448=[1]Clientes!$C$3,[1]Clientes!$D$3,[1]Clientes!$D$2)</f>
        <v>13050505</v>
      </c>
    </row>
    <row r="1449" spans="1:14">
      <c r="A1449" s="6" t="s">
        <v>7</v>
      </c>
      <c r="B1449" s="7">
        <v>45061</v>
      </c>
      <c r="C1449" s="6" t="s">
        <v>4627</v>
      </c>
      <c r="D1449" s="6" t="s">
        <v>4626</v>
      </c>
      <c r="E1449" s="6" t="s">
        <v>16</v>
      </c>
      <c r="F1449" s="7">
        <v>45091</v>
      </c>
      <c r="G1449" s="6" t="s">
        <v>3102</v>
      </c>
      <c r="H1449" s="8">
        <v>444</v>
      </c>
      <c r="I1449" s="9">
        <v>96.79</v>
      </c>
      <c r="J1449" s="9">
        <v>96.79</v>
      </c>
      <c r="K1449" s="5" t="str">
        <f>VLOOKUP(D1449,[1]Clientes!$A$1:$B$1485,2,0)</f>
        <v>NAC1266</v>
      </c>
      <c r="L1449" s="5" t="str">
        <f t="shared" si="44"/>
        <v>HGI0112403</v>
      </c>
      <c r="M1449" s="5" t="str">
        <f t="shared" si="45"/>
        <v>I</v>
      </c>
      <c r="N1449" s="5">
        <f>IF(G1449=[1]Clientes!$C$3,[1]Clientes!$D$3,[1]Clientes!$D$2)</f>
        <v>13050505</v>
      </c>
    </row>
    <row r="1450" spans="1:14">
      <c r="A1450" s="6" t="s">
        <v>7</v>
      </c>
      <c r="B1450" s="7">
        <v>45107</v>
      </c>
      <c r="C1450" s="6" t="s">
        <v>4628</v>
      </c>
      <c r="D1450" s="6" t="s">
        <v>4626</v>
      </c>
      <c r="E1450" s="6" t="s">
        <v>16</v>
      </c>
      <c r="F1450" s="7">
        <v>45137</v>
      </c>
      <c r="G1450" s="6" t="s">
        <v>3102</v>
      </c>
      <c r="H1450" s="8">
        <v>398</v>
      </c>
      <c r="I1450" s="9">
        <v>262.91000000000003</v>
      </c>
      <c r="J1450" s="9">
        <v>262.91000000000003</v>
      </c>
      <c r="K1450" s="5" t="str">
        <f>VLOOKUP(D1450,[1]Clientes!$A$1:$B$1485,2,0)</f>
        <v>NAC1266</v>
      </c>
      <c r="L1450" s="5" t="str">
        <f t="shared" si="44"/>
        <v>HGI0113413</v>
      </c>
      <c r="M1450" s="5" t="str">
        <f t="shared" si="45"/>
        <v>I</v>
      </c>
      <c r="N1450" s="5">
        <f>IF(G1450=[1]Clientes!$C$3,[1]Clientes!$D$3,[1]Clientes!$D$2)</f>
        <v>13050505</v>
      </c>
    </row>
    <row r="1451" spans="1:14">
      <c r="A1451" s="6" t="s">
        <v>7</v>
      </c>
      <c r="B1451" s="7">
        <v>45167</v>
      </c>
      <c r="C1451" s="6" t="s">
        <v>4629</v>
      </c>
      <c r="D1451" s="6" t="s">
        <v>4626</v>
      </c>
      <c r="E1451" s="6" t="s">
        <v>16</v>
      </c>
      <c r="F1451" s="7">
        <v>45197</v>
      </c>
      <c r="G1451" s="6" t="s">
        <v>3102</v>
      </c>
      <c r="H1451" s="8">
        <v>338</v>
      </c>
      <c r="I1451" s="9">
        <v>176.95</v>
      </c>
      <c r="J1451" s="9">
        <v>176.95</v>
      </c>
      <c r="K1451" s="5" t="str">
        <f>VLOOKUP(D1451,[1]Clientes!$A$1:$B$1485,2,0)</f>
        <v>NAC1266</v>
      </c>
      <c r="L1451" s="5" t="str">
        <f t="shared" si="44"/>
        <v>HGI0114724</v>
      </c>
      <c r="M1451" s="5" t="str">
        <f t="shared" si="45"/>
        <v>I</v>
      </c>
      <c r="N1451" s="5">
        <f>IF(G1451=[1]Clientes!$C$3,[1]Clientes!$D$3,[1]Clientes!$D$2)</f>
        <v>13050505</v>
      </c>
    </row>
    <row r="1452" spans="1:14">
      <c r="A1452" s="6" t="s">
        <v>7</v>
      </c>
      <c r="B1452" s="7">
        <v>45215</v>
      </c>
      <c r="C1452" s="6" t="s">
        <v>4630</v>
      </c>
      <c r="D1452" s="6" t="s">
        <v>4626</v>
      </c>
      <c r="E1452" s="6" t="s">
        <v>16</v>
      </c>
      <c r="F1452" s="7">
        <v>45245</v>
      </c>
      <c r="G1452" s="6" t="s">
        <v>3102</v>
      </c>
      <c r="H1452" s="8">
        <v>290</v>
      </c>
      <c r="I1452" s="9">
        <v>303.04000000000002</v>
      </c>
      <c r="J1452" s="9">
        <v>303.04000000000002</v>
      </c>
      <c r="K1452" s="5" t="str">
        <f>VLOOKUP(D1452,[1]Clientes!$A$1:$B$1485,2,0)</f>
        <v>NAC1266</v>
      </c>
      <c r="L1452" s="5" t="str">
        <f t="shared" si="44"/>
        <v>HGI0116009</v>
      </c>
      <c r="M1452" s="5" t="str">
        <f t="shared" si="45"/>
        <v>I</v>
      </c>
      <c r="N1452" s="5">
        <f>IF(G1452=[1]Clientes!$C$3,[1]Clientes!$D$3,[1]Clientes!$D$2)</f>
        <v>13050505</v>
      </c>
    </row>
    <row r="1453" spans="1:14">
      <c r="A1453" s="6" t="s">
        <v>7</v>
      </c>
      <c r="B1453" s="7">
        <v>45279</v>
      </c>
      <c r="C1453" s="6" t="s">
        <v>4631</v>
      </c>
      <c r="D1453" s="6" t="s">
        <v>4626</v>
      </c>
      <c r="E1453" s="6" t="s">
        <v>16</v>
      </c>
      <c r="F1453" s="7">
        <v>45309</v>
      </c>
      <c r="G1453" s="6" t="s">
        <v>3102</v>
      </c>
      <c r="H1453" s="8">
        <v>226</v>
      </c>
      <c r="I1453" s="9">
        <v>176.9</v>
      </c>
      <c r="J1453" s="9">
        <v>176.9</v>
      </c>
      <c r="K1453" s="5" t="str">
        <f>VLOOKUP(D1453,[1]Clientes!$A$1:$B$1485,2,0)</f>
        <v>NAC1266</v>
      </c>
      <c r="L1453" s="5" t="str">
        <f t="shared" si="44"/>
        <v>HGI0118504</v>
      </c>
      <c r="M1453" s="5" t="str">
        <f t="shared" si="45"/>
        <v>I</v>
      </c>
      <c r="N1453" s="5">
        <f>IF(G1453=[1]Clientes!$C$3,[1]Clientes!$D$3,[1]Clientes!$D$2)</f>
        <v>13050505</v>
      </c>
    </row>
    <row r="1454" spans="1:14">
      <c r="A1454" s="6" t="s">
        <v>7</v>
      </c>
      <c r="B1454" s="7">
        <v>45301</v>
      </c>
      <c r="C1454" s="6" t="s">
        <v>4632</v>
      </c>
      <c r="D1454" s="6" t="s">
        <v>4626</v>
      </c>
      <c r="E1454" s="6" t="s">
        <v>16</v>
      </c>
      <c r="F1454" s="7">
        <v>45331</v>
      </c>
      <c r="G1454" s="6" t="s">
        <v>3102</v>
      </c>
      <c r="H1454" s="8">
        <v>204</v>
      </c>
      <c r="I1454" s="9">
        <v>182.57</v>
      </c>
      <c r="J1454" s="9">
        <v>182.57</v>
      </c>
      <c r="K1454" s="5" t="str">
        <f>VLOOKUP(D1454,[1]Clientes!$A$1:$B$1485,2,0)</f>
        <v>NAC1266</v>
      </c>
      <c r="L1454" s="5" t="str">
        <f t="shared" si="44"/>
        <v>HGI0119113</v>
      </c>
      <c r="M1454" s="5" t="str">
        <f t="shared" si="45"/>
        <v>I</v>
      </c>
      <c r="N1454" s="5">
        <f>IF(G1454=[1]Clientes!$C$3,[1]Clientes!$D$3,[1]Clientes!$D$2)</f>
        <v>13050505</v>
      </c>
    </row>
    <row r="1455" spans="1:14">
      <c r="A1455" s="6" t="s">
        <v>7</v>
      </c>
      <c r="B1455" s="7">
        <v>45303</v>
      </c>
      <c r="C1455" s="6" t="s">
        <v>4633</v>
      </c>
      <c r="D1455" s="6" t="s">
        <v>4626</v>
      </c>
      <c r="E1455" s="6" t="s">
        <v>16</v>
      </c>
      <c r="F1455" s="7">
        <v>45333</v>
      </c>
      <c r="G1455" s="6" t="s">
        <v>3102</v>
      </c>
      <c r="H1455" s="8">
        <v>202</v>
      </c>
      <c r="I1455" s="9">
        <v>205.4</v>
      </c>
      <c r="J1455" s="9">
        <v>205.4</v>
      </c>
      <c r="K1455" s="5" t="str">
        <f>VLOOKUP(D1455,[1]Clientes!$A$1:$B$1485,2,0)</f>
        <v>NAC1266</v>
      </c>
      <c r="L1455" s="5" t="str">
        <f t="shared" si="44"/>
        <v>HGI0119243</v>
      </c>
      <c r="M1455" s="5" t="str">
        <f t="shared" si="45"/>
        <v>I</v>
      </c>
      <c r="N1455" s="5">
        <f>IF(G1455=[1]Clientes!$C$3,[1]Clientes!$D$3,[1]Clientes!$D$2)</f>
        <v>13050505</v>
      </c>
    </row>
    <row r="1456" spans="1:14">
      <c r="A1456" s="6" t="s">
        <v>7</v>
      </c>
      <c r="B1456" s="7">
        <v>45378</v>
      </c>
      <c r="C1456" s="6" t="s">
        <v>4634</v>
      </c>
      <c r="D1456" s="6" t="s">
        <v>4626</v>
      </c>
      <c r="E1456" s="6" t="s">
        <v>16</v>
      </c>
      <c r="F1456" s="7">
        <v>45408</v>
      </c>
      <c r="G1456" s="6" t="s">
        <v>3102</v>
      </c>
      <c r="H1456" s="8">
        <v>127</v>
      </c>
      <c r="I1456" s="9">
        <v>177.29</v>
      </c>
      <c r="J1456" s="9">
        <v>177.29</v>
      </c>
      <c r="K1456" s="5" t="str">
        <f>VLOOKUP(D1456,[1]Clientes!$A$1:$B$1485,2,0)</f>
        <v>NAC1266</v>
      </c>
      <c r="L1456" s="5" t="str">
        <f t="shared" si="44"/>
        <v>HGI0122362</v>
      </c>
      <c r="M1456" s="5" t="str">
        <f t="shared" si="45"/>
        <v>I</v>
      </c>
      <c r="N1456" s="5">
        <f>IF(G1456=[1]Clientes!$C$3,[1]Clientes!$D$3,[1]Clientes!$D$2)</f>
        <v>13050505</v>
      </c>
    </row>
    <row r="1457" spans="1:14">
      <c r="A1457" s="6" t="s">
        <v>7</v>
      </c>
      <c r="B1457" s="7">
        <v>45413</v>
      </c>
      <c r="C1457" s="6" t="s">
        <v>4635</v>
      </c>
      <c r="D1457" s="6" t="s">
        <v>4626</v>
      </c>
      <c r="E1457" s="6" t="s">
        <v>16</v>
      </c>
      <c r="F1457" s="7">
        <v>45443</v>
      </c>
      <c r="G1457" s="6" t="s">
        <v>3102</v>
      </c>
      <c r="H1457" s="8">
        <v>92</v>
      </c>
      <c r="I1457" s="9">
        <v>349.52</v>
      </c>
      <c r="J1457" s="9">
        <v>349.52</v>
      </c>
      <c r="K1457" s="5" t="str">
        <f>VLOOKUP(D1457,[1]Clientes!$A$1:$B$1485,2,0)</f>
        <v>NAC1266</v>
      </c>
      <c r="L1457" s="5" t="str">
        <f t="shared" si="44"/>
        <v>HGI0123808</v>
      </c>
      <c r="M1457" s="5" t="str">
        <f t="shared" si="45"/>
        <v>I</v>
      </c>
      <c r="N1457" s="5">
        <f>IF(G1457=[1]Clientes!$C$3,[1]Clientes!$D$3,[1]Clientes!$D$2)</f>
        <v>13050505</v>
      </c>
    </row>
    <row r="1458" spans="1:14">
      <c r="A1458" s="6" t="s">
        <v>7</v>
      </c>
      <c r="B1458" s="7">
        <v>45443</v>
      </c>
      <c r="C1458" s="6" t="s">
        <v>4636</v>
      </c>
      <c r="D1458" s="6" t="s">
        <v>4626</v>
      </c>
      <c r="E1458" s="6" t="s">
        <v>16</v>
      </c>
      <c r="F1458" s="7">
        <v>45473</v>
      </c>
      <c r="G1458" s="6" t="s">
        <v>3102</v>
      </c>
      <c r="H1458" s="8">
        <v>62</v>
      </c>
      <c r="I1458" s="9">
        <v>501.5</v>
      </c>
      <c r="J1458" s="9">
        <v>501.5</v>
      </c>
      <c r="K1458" s="5" t="str">
        <f>VLOOKUP(D1458,[1]Clientes!$A$1:$B$1485,2,0)</f>
        <v>NAC1266</v>
      </c>
      <c r="L1458" s="5" t="str">
        <f t="shared" si="44"/>
        <v>HGI0124732</v>
      </c>
      <c r="M1458" s="5" t="str">
        <f t="shared" si="45"/>
        <v>I</v>
      </c>
      <c r="N1458" s="5">
        <f>IF(G1458=[1]Clientes!$C$3,[1]Clientes!$D$3,[1]Clientes!$D$2)</f>
        <v>13050505</v>
      </c>
    </row>
    <row r="1459" spans="1:14">
      <c r="A1459" s="6" t="s">
        <v>7</v>
      </c>
      <c r="B1459" s="7">
        <v>45449</v>
      </c>
      <c r="C1459" s="6" t="s">
        <v>4637</v>
      </c>
      <c r="D1459" s="6" t="s">
        <v>4626</v>
      </c>
      <c r="E1459" s="6" t="s">
        <v>16</v>
      </c>
      <c r="F1459" s="7">
        <v>45479</v>
      </c>
      <c r="G1459" s="6" t="s">
        <v>3102</v>
      </c>
      <c r="H1459" s="8">
        <v>56</v>
      </c>
      <c r="I1459" s="9">
        <v>90.56</v>
      </c>
      <c r="J1459" s="9">
        <v>90.56</v>
      </c>
      <c r="K1459" s="5" t="str">
        <f>VLOOKUP(D1459,[1]Clientes!$A$1:$B$1485,2,0)</f>
        <v>NAC1266</v>
      </c>
      <c r="L1459" s="5" t="str">
        <f t="shared" si="44"/>
        <v>HGI0124891</v>
      </c>
      <c r="M1459" s="5" t="str">
        <f t="shared" si="45"/>
        <v>I</v>
      </c>
      <c r="N1459" s="5">
        <f>IF(G1459=[1]Clientes!$C$3,[1]Clientes!$D$3,[1]Clientes!$D$2)</f>
        <v>13050505</v>
      </c>
    </row>
    <row r="1460" spans="1:14">
      <c r="A1460" s="6" t="s">
        <v>7</v>
      </c>
      <c r="B1460" s="7">
        <v>45495</v>
      </c>
      <c r="C1460" s="6" t="s">
        <v>4638</v>
      </c>
      <c r="D1460" s="6" t="s">
        <v>4626</v>
      </c>
      <c r="E1460" s="6" t="s">
        <v>16</v>
      </c>
      <c r="F1460" s="7">
        <v>45525</v>
      </c>
      <c r="G1460" s="6" t="s">
        <v>3102</v>
      </c>
      <c r="H1460" s="8">
        <v>10</v>
      </c>
      <c r="I1460" s="9">
        <v>203.57</v>
      </c>
      <c r="J1460" s="9">
        <v>203.57</v>
      </c>
      <c r="K1460" s="5" t="str">
        <f>VLOOKUP(D1460,[1]Clientes!$A$1:$B$1485,2,0)</f>
        <v>NAC1266</v>
      </c>
      <c r="L1460" s="5" t="str">
        <f t="shared" si="44"/>
        <v>HGI0125880</v>
      </c>
      <c r="M1460" s="5" t="str">
        <f t="shared" si="45"/>
        <v>I</v>
      </c>
      <c r="N1460" s="5">
        <f>IF(G1460=[1]Clientes!$C$3,[1]Clientes!$D$3,[1]Clientes!$D$2)</f>
        <v>13050505</v>
      </c>
    </row>
    <row r="1461" spans="1:14">
      <c r="A1461" s="6" t="s">
        <v>7</v>
      </c>
      <c r="B1461" s="7">
        <v>45005</v>
      </c>
      <c r="C1461" s="6" t="s">
        <v>4639</v>
      </c>
      <c r="D1461" s="6" t="s">
        <v>4640</v>
      </c>
      <c r="E1461" s="6" t="s">
        <v>16</v>
      </c>
      <c r="F1461" s="7">
        <v>45035</v>
      </c>
      <c r="G1461" s="6" t="s">
        <v>3102</v>
      </c>
      <c r="H1461" s="8">
        <v>500</v>
      </c>
      <c r="I1461" s="9">
        <v>208.55</v>
      </c>
      <c r="J1461" s="9">
        <v>208.55</v>
      </c>
      <c r="K1461" s="5" t="str">
        <f>VLOOKUP(D1461,[1]Clientes!$A$1:$B$1485,2,0)</f>
        <v>NAC1277</v>
      </c>
      <c r="L1461" s="5" t="str">
        <f t="shared" si="44"/>
        <v>HGI0109958</v>
      </c>
      <c r="M1461" s="5" t="str">
        <f t="shared" si="45"/>
        <v>I</v>
      </c>
      <c r="N1461" s="5">
        <f>IF(G1461=[1]Clientes!$C$3,[1]Clientes!$D$3,[1]Clientes!$D$2)</f>
        <v>13050505</v>
      </c>
    </row>
    <row r="1462" spans="1:14">
      <c r="A1462" s="6" t="s">
        <v>7</v>
      </c>
      <c r="B1462" s="7">
        <v>45217</v>
      </c>
      <c r="C1462" s="6" t="s">
        <v>4641</v>
      </c>
      <c r="D1462" s="6" t="s">
        <v>4640</v>
      </c>
      <c r="E1462" s="6" t="s">
        <v>16</v>
      </c>
      <c r="F1462" s="7">
        <v>45247</v>
      </c>
      <c r="G1462" s="6" t="s">
        <v>3102</v>
      </c>
      <c r="H1462" s="8">
        <v>288</v>
      </c>
      <c r="I1462" s="9">
        <v>265.66000000000003</v>
      </c>
      <c r="J1462" s="9">
        <v>265.66000000000003</v>
      </c>
      <c r="K1462" s="5" t="str">
        <f>VLOOKUP(D1462,[1]Clientes!$A$1:$B$1485,2,0)</f>
        <v>NAC1277</v>
      </c>
      <c r="L1462" s="5" t="str">
        <f t="shared" si="44"/>
        <v>HGI0116125</v>
      </c>
      <c r="M1462" s="5" t="str">
        <f t="shared" si="45"/>
        <v>I</v>
      </c>
      <c r="N1462" s="5">
        <f>IF(G1462=[1]Clientes!$C$3,[1]Clientes!$D$3,[1]Clientes!$D$2)</f>
        <v>13050505</v>
      </c>
    </row>
    <row r="1463" spans="1:14">
      <c r="A1463" s="6" t="s">
        <v>7</v>
      </c>
      <c r="B1463" s="7">
        <v>45315</v>
      </c>
      <c r="C1463" s="6" t="s">
        <v>4642</v>
      </c>
      <c r="D1463" s="6" t="s">
        <v>4640</v>
      </c>
      <c r="E1463" s="6" t="s">
        <v>16</v>
      </c>
      <c r="F1463" s="7">
        <v>45345</v>
      </c>
      <c r="G1463" s="6" t="s">
        <v>3102</v>
      </c>
      <c r="H1463" s="8">
        <v>190</v>
      </c>
      <c r="I1463" s="9">
        <v>270.68</v>
      </c>
      <c r="J1463" s="9">
        <v>270.68</v>
      </c>
      <c r="K1463" s="5" t="str">
        <f>VLOOKUP(D1463,[1]Clientes!$A$1:$B$1485,2,0)</f>
        <v>NAC1277</v>
      </c>
      <c r="L1463" s="5" t="str">
        <f t="shared" si="44"/>
        <v>HGI0119727</v>
      </c>
      <c r="M1463" s="5" t="str">
        <f t="shared" si="45"/>
        <v>I</v>
      </c>
      <c r="N1463" s="5">
        <f>IF(G1463=[1]Clientes!$C$3,[1]Clientes!$D$3,[1]Clientes!$D$2)</f>
        <v>13050505</v>
      </c>
    </row>
    <row r="1464" spans="1:14">
      <c r="A1464" s="6" t="s">
        <v>7</v>
      </c>
      <c r="B1464" s="7">
        <v>45331</v>
      </c>
      <c r="C1464" s="6" t="s">
        <v>4643</v>
      </c>
      <c r="D1464" s="6" t="s">
        <v>4640</v>
      </c>
      <c r="E1464" s="6" t="s">
        <v>16</v>
      </c>
      <c r="F1464" s="7">
        <v>45361</v>
      </c>
      <c r="G1464" s="6" t="s">
        <v>3102</v>
      </c>
      <c r="H1464" s="8">
        <v>174</v>
      </c>
      <c r="I1464" s="9">
        <v>469.86</v>
      </c>
      <c r="J1464" s="9">
        <v>469.86</v>
      </c>
      <c r="K1464" s="5" t="str">
        <f>VLOOKUP(D1464,[1]Clientes!$A$1:$B$1485,2,0)</f>
        <v>NAC1277</v>
      </c>
      <c r="L1464" s="5" t="str">
        <f t="shared" si="44"/>
        <v>HGI0120800</v>
      </c>
      <c r="M1464" s="5" t="str">
        <f t="shared" si="45"/>
        <v>I</v>
      </c>
      <c r="N1464" s="5">
        <f>IF(G1464=[1]Clientes!$C$3,[1]Clientes!$D$3,[1]Clientes!$D$2)</f>
        <v>13050505</v>
      </c>
    </row>
    <row r="1465" spans="1:14">
      <c r="A1465" s="6" t="s">
        <v>3099</v>
      </c>
      <c r="B1465" s="7">
        <v>45380</v>
      </c>
      <c r="C1465" s="6" t="s">
        <v>4644</v>
      </c>
      <c r="D1465" s="6" t="s">
        <v>4640</v>
      </c>
      <c r="E1465" s="6" t="s">
        <v>16</v>
      </c>
      <c r="F1465" s="7">
        <v>45410</v>
      </c>
      <c r="G1465" s="6" t="s">
        <v>3102</v>
      </c>
      <c r="H1465" s="8">
        <v>125</v>
      </c>
      <c r="I1465" s="9">
        <v>-30.02</v>
      </c>
      <c r="J1465" s="9">
        <v>-30.02</v>
      </c>
      <c r="K1465" s="5" t="str">
        <f>VLOOKUP(D1465,[1]Clientes!$A$1:$B$1485,2,0)</f>
        <v>NAC1277</v>
      </c>
      <c r="L1465" s="5" t="str">
        <f t="shared" si="44"/>
        <v>CRM0122590</v>
      </c>
      <c r="M1465" s="5" t="str">
        <f t="shared" si="45"/>
        <v>C</v>
      </c>
      <c r="N1465" s="5">
        <f>IF(G1465=[1]Clientes!$C$3,[1]Clientes!$D$3,[1]Clientes!$D$2)</f>
        <v>13050505</v>
      </c>
    </row>
    <row r="1466" spans="1:14">
      <c r="A1466" s="6" t="s">
        <v>7</v>
      </c>
      <c r="B1466" s="7">
        <v>45421</v>
      </c>
      <c r="C1466" s="6" t="s">
        <v>4645</v>
      </c>
      <c r="D1466" s="6" t="s">
        <v>4640</v>
      </c>
      <c r="E1466" s="6" t="s">
        <v>16</v>
      </c>
      <c r="F1466" s="7">
        <v>45451</v>
      </c>
      <c r="G1466" s="6" t="s">
        <v>3102</v>
      </c>
      <c r="H1466" s="8">
        <v>84</v>
      </c>
      <c r="I1466" s="9">
        <v>270.33999999999997</v>
      </c>
      <c r="J1466" s="9">
        <v>270.33999999999997</v>
      </c>
      <c r="K1466" s="5" t="str">
        <f>VLOOKUP(D1466,[1]Clientes!$A$1:$B$1485,2,0)</f>
        <v>NAC1277</v>
      </c>
      <c r="L1466" s="5" t="str">
        <f t="shared" si="44"/>
        <v>HGI0124186</v>
      </c>
      <c r="M1466" s="5" t="str">
        <f t="shared" si="45"/>
        <v>I</v>
      </c>
      <c r="N1466" s="5">
        <f>IF(G1466=[1]Clientes!$C$3,[1]Clientes!$D$3,[1]Clientes!$D$2)</f>
        <v>13050505</v>
      </c>
    </row>
    <row r="1467" spans="1:14">
      <c r="A1467" s="6" t="s">
        <v>3099</v>
      </c>
      <c r="B1467" s="7">
        <v>45468</v>
      </c>
      <c r="C1467" s="6" t="s">
        <v>4646</v>
      </c>
      <c r="D1467" s="6" t="s">
        <v>4640</v>
      </c>
      <c r="E1467" s="6" t="s">
        <v>16</v>
      </c>
      <c r="F1467" s="7">
        <v>45498</v>
      </c>
      <c r="G1467" s="6" t="s">
        <v>3102</v>
      </c>
      <c r="H1467" s="8">
        <v>37</v>
      </c>
      <c r="I1467" s="9">
        <v>-17.27</v>
      </c>
      <c r="J1467" s="9">
        <v>-17.27</v>
      </c>
      <c r="K1467" s="5" t="str">
        <f>VLOOKUP(D1467,[1]Clientes!$A$1:$B$1485,2,0)</f>
        <v>NAC1277</v>
      </c>
      <c r="L1467" s="5" t="str">
        <f t="shared" si="44"/>
        <v>CRM0125269</v>
      </c>
      <c r="M1467" s="5" t="str">
        <f t="shared" si="45"/>
        <v>C</v>
      </c>
      <c r="N1467" s="5">
        <f>IF(G1467=[1]Clientes!$C$3,[1]Clientes!$D$3,[1]Clientes!$D$2)</f>
        <v>13050505</v>
      </c>
    </row>
    <row r="1468" spans="1:14">
      <c r="A1468" s="6" t="s">
        <v>7</v>
      </c>
      <c r="B1468" s="7">
        <v>45497</v>
      </c>
      <c r="C1468" s="6" t="s">
        <v>4647</v>
      </c>
      <c r="D1468" s="6" t="s">
        <v>4640</v>
      </c>
      <c r="E1468" s="6" t="s">
        <v>16</v>
      </c>
      <c r="F1468" s="7">
        <v>45527</v>
      </c>
      <c r="G1468" s="6" t="s">
        <v>3102</v>
      </c>
      <c r="H1468" s="8">
        <v>8</v>
      </c>
      <c r="I1468" s="9">
        <v>95.14</v>
      </c>
      <c r="J1468" s="9">
        <v>95.14</v>
      </c>
      <c r="K1468" s="5" t="str">
        <f>VLOOKUP(D1468,[1]Clientes!$A$1:$B$1485,2,0)</f>
        <v>NAC1277</v>
      </c>
      <c r="L1468" s="5" t="str">
        <f t="shared" si="44"/>
        <v>HGI0125929</v>
      </c>
      <c r="M1468" s="5" t="str">
        <f t="shared" si="45"/>
        <v>I</v>
      </c>
      <c r="N1468" s="5">
        <f>IF(G1468=[1]Clientes!$C$3,[1]Clientes!$D$3,[1]Clientes!$D$2)</f>
        <v>13050505</v>
      </c>
    </row>
    <row r="1469" spans="1:14">
      <c r="A1469" s="6" t="s">
        <v>7</v>
      </c>
      <c r="B1469" s="7">
        <v>45047</v>
      </c>
      <c r="C1469" s="6" t="s">
        <v>4648</v>
      </c>
      <c r="D1469" s="6" t="s">
        <v>4649</v>
      </c>
      <c r="E1469" s="6" t="s">
        <v>16</v>
      </c>
      <c r="F1469" s="7">
        <v>45077</v>
      </c>
      <c r="G1469" s="6" t="s">
        <v>3102</v>
      </c>
      <c r="H1469" s="8">
        <v>458</v>
      </c>
      <c r="I1469" s="9">
        <v>735.28</v>
      </c>
      <c r="J1469" s="9">
        <v>735.28</v>
      </c>
      <c r="K1469" s="5" t="str">
        <f>VLOOKUP(D1469,[1]Clientes!$A$1:$B$1485,2,0)</f>
        <v>NAC1271</v>
      </c>
      <c r="L1469" s="5" t="str">
        <f t="shared" si="44"/>
        <v>HGI0111739</v>
      </c>
      <c r="M1469" s="5" t="str">
        <f t="shared" si="45"/>
        <v>I</v>
      </c>
      <c r="N1469" s="5">
        <f>IF(G1469=[1]Clientes!$C$3,[1]Clientes!$D$3,[1]Clientes!$D$2)</f>
        <v>13050505</v>
      </c>
    </row>
    <row r="1470" spans="1:14">
      <c r="A1470" s="6" t="s">
        <v>7</v>
      </c>
      <c r="B1470" s="7">
        <v>45068</v>
      </c>
      <c r="C1470" s="6" t="s">
        <v>4650</v>
      </c>
      <c r="D1470" s="6" t="s">
        <v>4649</v>
      </c>
      <c r="E1470" s="6" t="s">
        <v>16</v>
      </c>
      <c r="F1470" s="7">
        <v>45098</v>
      </c>
      <c r="G1470" s="6" t="s">
        <v>3102</v>
      </c>
      <c r="H1470" s="8">
        <v>437</v>
      </c>
      <c r="I1470" s="9">
        <v>545.29999999999995</v>
      </c>
      <c r="J1470" s="9">
        <v>545.29999999999995</v>
      </c>
      <c r="K1470" s="5" t="str">
        <f>VLOOKUP(D1470,[1]Clientes!$A$1:$B$1485,2,0)</f>
        <v>NAC1271</v>
      </c>
      <c r="L1470" s="5" t="str">
        <f t="shared" si="44"/>
        <v>HGI0112554</v>
      </c>
      <c r="M1470" s="5" t="str">
        <f t="shared" si="45"/>
        <v>I</v>
      </c>
      <c r="N1470" s="5">
        <f>IF(G1470=[1]Clientes!$C$3,[1]Clientes!$D$3,[1]Clientes!$D$2)</f>
        <v>13050505</v>
      </c>
    </row>
    <row r="1471" spans="1:14">
      <c r="A1471" s="6" t="s">
        <v>7</v>
      </c>
      <c r="B1471" s="7">
        <v>45114</v>
      </c>
      <c r="C1471" s="6" t="s">
        <v>4651</v>
      </c>
      <c r="D1471" s="6" t="s">
        <v>4649</v>
      </c>
      <c r="E1471" s="6" t="s">
        <v>16</v>
      </c>
      <c r="F1471" s="7">
        <v>45144</v>
      </c>
      <c r="G1471" s="6" t="s">
        <v>3102</v>
      </c>
      <c r="H1471" s="8">
        <v>391</v>
      </c>
      <c r="I1471" s="9">
        <v>304.87</v>
      </c>
      <c r="J1471" s="9">
        <v>304.87</v>
      </c>
      <c r="K1471" s="5" t="str">
        <f>VLOOKUP(D1471,[1]Clientes!$A$1:$B$1485,2,0)</f>
        <v>NAC1271</v>
      </c>
      <c r="L1471" s="5" t="str">
        <f t="shared" si="44"/>
        <v>HGI0113592</v>
      </c>
      <c r="M1471" s="5" t="str">
        <f t="shared" si="45"/>
        <v>I</v>
      </c>
      <c r="N1471" s="5">
        <f>IF(G1471=[1]Clientes!$C$3,[1]Clientes!$D$3,[1]Clientes!$D$2)</f>
        <v>13050505</v>
      </c>
    </row>
    <row r="1472" spans="1:14">
      <c r="A1472" s="6" t="s">
        <v>7</v>
      </c>
      <c r="B1472" s="7">
        <v>45180</v>
      </c>
      <c r="C1472" s="6" t="s">
        <v>4652</v>
      </c>
      <c r="D1472" s="6" t="s">
        <v>4649</v>
      </c>
      <c r="E1472" s="6" t="s">
        <v>16</v>
      </c>
      <c r="F1472" s="7">
        <v>45210</v>
      </c>
      <c r="G1472" s="6" t="s">
        <v>3102</v>
      </c>
      <c r="H1472" s="8">
        <v>325</v>
      </c>
      <c r="I1472" s="9">
        <v>447.93</v>
      </c>
      <c r="J1472" s="9">
        <v>447.93</v>
      </c>
      <c r="K1472" s="5" t="str">
        <f>VLOOKUP(D1472,[1]Clientes!$A$1:$B$1485,2,0)</f>
        <v>NAC1271</v>
      </c>
      <c r="L1472" s="5" t="str">
        <f t="shared" si="44"/>
        <v>HGI0115006</v>
      </c>
      <c r="M1472" s="5" t="str">
        <f t="shared" si="45"/>
        <v>I</v>
      </c>
      <c r="N1472" s="5">
        <f>IF(G1472=[1]Clientes!$C$3,[1]Clientes!$D$3,[1]Clientes!$D$2)</f>
        <v>13050505</v>
      </c>
    </row>
    <row r="1473" spans="1:14">
      <c r="A1473" s="6" t="s">
        <v>7</v>
      </c>
      <c r="B1473" s="7">
        <v>45295</v>
      </c>
      <c r="C1473" s="6" t="s">
        <v>4653</v>
      </c>
      <c r="D1473" s="6" t="s">
        <v>4649</v>
      </c>
      <c r="E1473" s="6" t="s">
        <v>16</v>
      </c>
      <c r="F1473" s="7">
        <v>45325</v>
      </c>
      <c r="G1473" s="6" t="s">
        <v>3102</v>
      </c>
      <c r="H1473" s="8">
        <v>210</v>
      </c>
      <c r="I1473" s="9">
        <v>1559.91</v>
      </c>
      <c r="J1473" s="9">
        <v>1559.91</v>
      </c>
      <c r="K1473" s="5" t="str">
        <f>VLOOKUP(D1473,[1]Clientes!$A$1:$B$1485,2,0)</f>
        <v>NAC1271</v>
      </c>
      <c r="L1473" s="5" t="str">
        <f t="shared" si="44"/>
        <v>HGI0118831</v>
      </c>
      <c r="M1473" s="5" t="str">
        <f t="shared" si="45"/>
        <v>I</v>
      </c>
      <c r="N1473" s="5">
        <f>IF(G1473=[1]Clientes!$C$3,[1]Clientes!$D$3,[1]Clientes!$D$2)</f>
        <v>13050505</v>
      </c>
    </row>
    <row r="1474" spans="1:14">
      <c r="A1474" s="6" t="s">
        <v>7</v>
      </c>
      <c r="B1474" s="7">
        <v>45350</v>
      </c>
      <c r="C1474" s="6" t="s">
        <v>4654</v>
      </c>
      <c r="D1474" s="6" t="s">
        <v>4649</v>
      </c>
      <c r="E1474" s="6" t="s">
        <v>16</v>
      </c>
      <c r="F1474" s="7">
        <v>45380</v>
      </c>
      <c r="G1474" s="6" t="s">
        <v>3102</v>
      </c>
      <c r="H1474" s="8">
        <v>155</v>
      </c>
      <c r="I1474" s="9">
        <v>191.79</v>
      </c>
      <c r="J1474" s="9">
        <v>191.79</v>
      </c>
      <c r="K1474" s="5" t="str">
        <f>VLOOKUP(D1474,[1]Clientes!$A$1:$B$1485,2,0)</f>
        <v>NAC1271</v>
      </c>
      <c r="L1474" s="5" t="str">
        <f t="shared" si="44"/>
        <v>HGI0121317</v>
      </c>
      <c r="M1474" s="5" t="str">
        <f t="shared" si="45"/>
        <v>I</v>
      </c>
      <c r="N1474" s="5">
        <f>IF(G1474=[1]Clientes!$C$3,[1]Clientes!$D$3,[1]Clientes!$D$2)</f>
        <v>13050505</v>
      </c>
    </row>
    <row r="1475" spans="1:14">
      <c r="A1475" s="6" t="s">
        <v>3099</v>
      </c>
      <c r="B1475" s="7">
        <v>45351</v>
      </c>
      <c r="C1475" s="6" t="s">
        <v>4655</v>
      </c>
      <c r="D1475" s="6" t="s">
        <v>4649</v>
      </c>
      <c r="E1475" s="6" t="s">
        <v>16</v>
      </c>
      <c r="F1475" s="7">
        <v>45381</v>
      </c>
      <c r="G1475" s="6" t="s">
        <v>3102</v>
      </c>
      <c r="H1475" s="8">
        <v>154</v>
      </c>
      <c r="I1475" s="9">
        <v>-99.66</v>
      </c>
      <c r="J1475" s="9">
        <v>-99.66</v>
      </c>
      <c r="K1475" s="5" t="str">
        <f>VLOOKUP(D1475,[1]Clientes!$A$1:$B$1485,2,0)</f>
        <v>NAC1271</v>
      </c>
      <c r="L1475" s="5" t="str">
        <f t="shared" ref="L1475:L1538" si="46">IF(A1475="Invoice",
    IF(LEFT(C1475,5)="TGDR-", "TGDR"&amp;RIGHT(C1475,LEN(C1475)-5), "HGI"&amp;C1475),
    IF(A1475="Credit Memo",
        IF(LEFT(C1475,5)="TGDR-", "CRM"&amp;RIGHT(C1475,LEN(C1475)-5), "CRM"&amp;C1475),
        "Revisar")
)</f>
        <v>CRM0121448</v>
      </c>
      <c r="M1475" s="5" t="str">
        <f t="shared" ref="M1475:M1538" si="47">IF(A1475="Invoice","I",IF(A1475="Credit Memo","C",IF(A1475="Payment","P","GJ")))</f>
        <v>C</v>
      </c>
      <c r="N1475" s="5">
        <f>IF(G1475=[1]Clientes!$C$3,[1]Clientes!$D$3,[1]Clientes!$D$2)</f>
        <v>13050505</v>
      </c>
    </row>
    <row r="1476" spans="1:14">
      <c r="A1476" s="6" t="s">
        <v>7</v>
      </c>
      <c r="B1476" s="7">
        <v>45413</v>
      </c>
      <c r="C1476" s="6" t="s">
        <v>4656</v>
      </c>
      <c r="D1476" s="6" t="s">
        <v>4649</v>
      </c>
      <c r="E1476" s="6" t="s">
        <v>16</v>
      </c>
      <c r="F1476" s="7">
        <v>45443</v>
      </c>
      <c r="G1476" s="6" t="s">
        <v>3102</v>
      </c>
      <c r="H1476" s="8">
        <v>92</v>
      </c>
      <c r="I1476" s="9">
        <v>349.31</v>
      </c>
      <c r="J1476" s="9">
        <v>349.31</v>
      </c>
      <c r="K1476" s="5" t="str">
        <f>VLOOKUP(D1476,[1]Clientes!$A$1:$B$1485,2,0)</f>
        <v>NAC1271</v>
      </c>
      <c r="L1476" s="5" t="str">
        <f t="shared" si="46"/>
        <v>HGI0123798</v>
      </c>
      <c r="M1476" s="5" t="str">
        <f t="shared" si="47"/>
        <v>I</v>
      </c>
      <c r="N1476" s="5">
        <f>IF(G1476=[1]Clientes!$C$3,[1]Clientes!$D$3,[1]Clientes!$D$2)</f>
        <v>13050505</v>
      </c>
    </row>
    <row r="1477" spans="1:14">
      <c r="A1477" s="6" t="s">
        <v>7</v>
      </c>
      <c r="B1477" s="7">
        <v>45516</v>
      </c>
      <c r="C1477" s="6" t="s">
        <v>4657</v>
      </c>
      <c r="D1477" s="6" t="s">
        <v>4649</v>
      </c>
      <c r="E1477" s="6" t="s">
        <v>16</v>
      </c>
      <c r="F1477" s="7">
        <v>45546</v>
      </c>
      <c r="G1477" s="6" t="s">
        <v>3102</v>
      </c>
      <c r="H1477" s="8"/>
      <c r="I1477" s="9">
        <v>338.21</v>
      </c>
      <c r="J1477" s="9">
        <v>338.21</v>
      </c>
      <c r="K1477" s="5" t="str">
        <f>VLOOKUP(D1477,[1]Clientes!$A$1:$B$1485,2,0)</f>
        <v>NAC1271</v>
      </c>
      <c r="L1477" s="5" t="str">
        <f t="shared" si="46"/>
        <v>HGI0126398</v>
      </c>
      <c r="M1477" s="5" t="str">
        <f t="shared" si="47"/>
        <v>I</v>
      </c>
      <c r="N1477" s="5">
        <f>IF(G1477=[1]Clientes!$C$3,[1]Clientes!$D$3,[1]Clientes!$D$2)</f>
        <v>13050505</v>
      </c>
    </row>
    <row r="1478" spans="1:14">
      <c r="A1478" s="6" t="s">
        <v>7</v>
      </c>
      <c r="B1478" s="7">
        <v>45217</v>
      </c>
      <c r="C1478" s="6" t="s">
        <v>4658</v>
      </c>
      <c r="D1478" s="6" t="s">
        <v>4659</v>
      </c>
      <c r="E1478" s="6" t="s">
        <v>16</v>
      </c>
      <c r="F1478" s="7">
        <v>45247</v>
      </c>
      <c r="G1478" s="6" t="s">
        <v>3102</v>
      </c>
      <c r="H1478" s="8">
        <v>288</v>
      </c>
      <c r="I1478" s="9">
        <v>64.41</v>
      </c>
      <c r="J1478" s="9">
        <v>64.41</v>
      </c>
      <c r="K1478" s="5" t="str">
        <f>VLOOKUP(D1478,[1]Clientes!$A$1:$B$1485,2,0)</f>
        <v>NAC1273</v>
      </c>
      <c r="L1478" s="5" t="str">
        <f t="shared" si="46"/>
        <v>HGI0116123</v>
      </c>
      <c r="M1478" s="5" t="str">
        <f t="shared" si="47"/>
        <v>I</v>
      </c>
      <c r="N1478" s="5">
        <f>IF(G1478=[1]Clientes!$C$3,[1]Clientes!$D$3,[1]Clientes!$D$2)</f>
        <v>13050505</v>
      </c>
    </row>
    <row r="1479" spans="1:14">
      <c r="A1479" s="6" t="s">
        <v>3099</v>
      </c>
      <c r="B1479" s="7">
        <v>45289</v>
      </c>
      <c r="C1479" s="6" t="s">
        <v>4660</v>
      </c>
      <c r="D1479" s="6" t="s">
        <v>4659</v>
      </c>
      <c r="E1479" s="6" t="s">
        <v>16</v>
      </c>
      <c r="F1479" s="7">
        <v>45319</v>
      </c>
      <c r="G1479" s="6" t="s">
        <v>3102</v>
      </c>
      <c r="H1479" s="8">
        <v>216</v>
      </c>
      <c r="I1479" s="9">
        <v>-6.15</v>
      </c>
      <c r="J1479" s="9">
        <v>-6.15</v>
      </c>
      <c r="K1479" s="5" t="str">
        <f>VLOOKUP(D1479,[1]Clientes!$A$1:$B$1485,2,0)</f>
        <v>NAC1273</v>
      </c>
      <c r="L1479" s="5" t="str">
        <f t="shared" si="46"/>
        <v>CRM0118848</v>
      </c>
      <c r="M1479" s="5" t="str">
        <f t="shared" si="47"/>
        <v>C</v>
      </c>
      <c r="N1479" s="5">
        <f>IF(G1479=[1]Clientes!$C$3,[1]Clientes!$D$3,[1]Clientes!$D$2)</f>
        <v>13050505</v>
      </c>
    </row>
    <row r="1480" spans="1:14">
      <c r="A1480" s="6" t="s">
        <v>7</v>
      </c>
      <c r="B1480" s="7">
        <v>45331</v>
      </c>
      <c r="C1480" s="6" t="s">
        <v>4661</v>
      </c>
      <c r="D1480" s="6" t="s">
        <v>4659</v>
      </c>
      <c r="E1480" s="6" t="s">
        <v>16</v>
      </c>
      <c r="F1480" s="7">
        <v>45361</v>
      </c>
      <c r="G1480" s="6" t="s">
        <v>3102</v>
      </c>
      <c r="H1480" s="8">
        <v>174</v>
      </c>
      <c r="I1480" s="9">
        <v>95.47</v>
      </c>
      <c r="J1480" s="9">
        <v>95.47</v>
      </c>
      <c r="K1480" s="5" t="str">
        <f>VLOOKUP(D1480,[1]Clientes!$A$1:$B$1485,2,0)</f>
        <v>NAC1273</v>
      </c>
      <c r="L1480" s="5" t="str">
        <f t="shared" si="46"/>
        <v>HGI0120821</v>
      </c>
      <c r="M1480" s="5" t="str">
        <f t="shared" si="47"/>
        <v>I</v>
      </c>
      <c r="N1480" s="5">
        <f>IF(G1480=[1]Clientes!$C$3,[1]Clientes!$D$3,[1]Clientes!$D$2)</f>
        <v>13050505</v>
      </c>
    </row>
    <row r="1481" spans="1:14">
      <c r="A1481" s="6" t="s">
        <v>7</v>
      </c>
      <c r="B1481" s="7">
        <v>45371</v>
      </c>
      <c r="C1481" s="6" t="s">
        <v>4662</v>
      </c>
      <c r="D1481" s="6" t="s">
        <v>4659</v>
      </c>
      <c r="E1481" s="6" t="s">
        <v>16</v>
      </c>
      <c r="F1481" s="7">
        <v>45401</v>
      </c>
      <c r="G1481" s="6" t="s">
        <v>3102</v>
      </c>
      <c r="H1481" s="8">
        <v>134</v>
      </c>
      <c r="I1481" s="9">
        <v>95.57</v>
      </c>
      <c r="J1481" s="9">
        <v>95.57</v>
      </c>
      <c r="K1481" s="5" t="str">
        <f>VLOOKUP(D1481,[1]Clientes!$A$1:$B$1485,2,0)</f>
        <v>NAC1273</v>
      </c>
      <c r="L1481" s="5" t="str">
        <f t="shared" si="46"/>
        <v>HGI0122117</v>
      </c>
      <c r="M1481" s="5" t="str">
        <f t="shared" si="47"/>
        <v>I</v>
      </c>
      <c r="N1481" s="5">
        <f>IF(G1481=[1]Clientes!$C$3,[1]Clientes!$D$3,[1]Clientes!$D$2)</f>
        <v>13050505</v>
      </c>
    </row>
    <row r="1482" spans="1:14">
      <c r="A1482" s="6" t="s">
        <v>3099</v>
      </c>
      <c r="B1482" s="7">
        <v>45380</v>
      </c>
      <c r="C1482" s="6" t="s">
        <v>4663</v>
      </c>
      <c r="D1482" s="6" t="s">
        <v>4659</v>
      </c>
      <c r="E1482" s="6" t="s">
        <v>16</v>
      </c>
      <c r="F1482" s="7">
        <v>45410</v>
      </c>
      <c r="G1482" s="6" t="s">
        <v>3102</v>
      </c>
      <c r="H1482" s="8">
        <v>125</v>
      </c>
      <c r="I1482" s="9">
        <v>-6.1</v>
      </c>
      <c r="J1482" s="9">
        <v>-6.1</v>
      </c>
      <c r="K1482" s="5" t="str">
        <f>VLOOKUP(D1482,[1]Clientes!$A$1:$B$1485,2,0)</f>
        <v>NAC1273</v>
      </c>
      <c r="L1482" s="5" t="str">
        <f t="shared" si="46"/>
        <v>CRM0122591</v>
      </c>
      <c r="M1482" s="5" t="str">
        <f t="shared" si="47"/>
        <v>C</v>
      </c>
      <c r="N1482" s="5">
        <f>IF(G1482=[1]Clientes!$C$3,[1]Clientes!$D$3,[1]Clientes!$D$2)</f>
        <v>13050505</v>
      </c>
    </row>
    <row r="1483" spans="1:14">
      <c r="A1483" s="6" t="s">
        <v>3099</v>
      </c>
      <c r="B1483" s="7">
        <v>45412</v>
      </c>
      <c r="C1483" s="6" t="s">
        <v>4664</v>
      </c>
      <c r="D1483" s="6" t="s">
        <v>4659</v>
      </c>
      <c r="E1483" s="6" t="s">
        <v>16</v>
      </c>
      <c r="F1483" s="7">
        <v>45442</v>
      </c>
      <c r="G1483" s="6" t="s">
        <v>3102</v>
      </c>
      <c r="H1483" s="8">
        <v>93</v>
      </c>
      <c r="I1483" s="9">
        <v>-6.11</v>
      </c>
      <c r="J1483" s="9">
        <v>-6.11</v>
      </c>
      <c r="K1483" s="5" t="str">
        <f>VLOOKUP(D1483,[1]Clientes!$A$1:$B$1485,2,0)</f>
        <v>NAC1273</v>
      </c>
      <c r="L1483" s="5" t="str">
        <f t="shared" si="46"/>
        <v>CRM0123947</v>
      </c>
      <c r="M1483" s="5" t="str">
        <f t="shared" si="47"/>
        <v>C</v>
      </c>
      <c r="N1483" s="5">
        <f>IF(G1483=[1]Clientes!$C$3,[1]Clientes!$D$3,[1]Clientes!$D$2)</f>
        <v>13050505</v>
      </c>
    </row>
    <row r="1484" spans="1:14">
      <c r="A1484" s="6" t="s">
        <v>7</v>
      </c>
      <c r="B1484" s="7">
        <v>45467</v>
      </c>
      <c r="C1484" s="6" t="s">
        <v>4665</v>
      </c>
      <c r="D1484" s="6" t="s">
        <v>4659</v>
      </c>
      <c r="E1484" s="6" t="s">
        <v>16</v>
      </c>
      <c r="F1484" s="7">
        <v>45497</v>
      </c>
      <c r="G1484" s="6" t="s">
        <v>3102</v>
      </c>
      <c r="H1484" s="8">
        <v>38</v>
      </c>
      <c r="I1484" s="9">
        <v>230</v>
      </c>
      <c r="J1484" s="9">
        <v>230</v>
      </c>
      <c r="K1484" s="5" t="str">
        <f>VLOOKUP(D1484,[1]Clientes!$A$1:$B$1485,2,0)</f>
        <v>NAC1273</v>
      </c>
      <c r="L1484" s="5" t="str">
        <f t="shared" si="46"/>
        <v>HGI0125257</v>
      </c>
      <c r="M1484" s="5" t="str">
        <f t="shared" si="47"/>
        <v>I</v>
      </c>
      <c r="N1484" s="5">
        <f>IF(G1484=[1]Clientes!$C$3,[1]Clientes!$D$3,[1]Clientes!$D$2)</f>
        <v>13050505</v>
      </c>
    </row>
    <row r="1485" spans="1:14">
      <c r="A1485" s="6" t="s">
        <v>7</v>
      </c>
      <c r="B1485" s="7">
        <v>45496</v>
      </c>
      <c r="C1485" s="6" t="s">
        <v>4666</v>
      </c>
      <c r="D1485" s="6" t="s">
        <v>4659</v>
      </c>
      <c r="E1485" s="6" t="s">
        <v>16</v>
      </c>
      <c r="F1485" s="7">
        <v>45526</v>
      </c>
      <c r="G1485" s="6" t="s">
        <v>3102</v>
      </c>
      <c r="H1485" s="8">
        <v>9</v>
      </c>
      <c r="I1485" s="9">
        <v>177.43</v>
      </c>
      <c r="J1485" s="9">
        <v>177.43</v>
      </c>
      <c r="K1485" s="5" t="str">
        <f>VLOOKUP(D1485,[1]Clientes!$A$1:$B$1485,2,0)</f>
        <v>NAC1273</v>
      </c>
      <c r="L1485" s="5" t="str">
        <f t="shared" si="46"/>
        <v>HGI0125887</v>
      </c>
      <c r="M1485" s="5" t="str">
        <f t="shared" si="47"/>
        <v>I</v>
      </c>
      <c r="N1485" s="5">
        <f>IF(G1485=[1]Clientes!$C$3,[1]Clientes!$D$3,[1]Clientes!$D$2)</f>
        <v>13050505</v>
      </c>
    </row>
    <row r="1486" spans="1:14">
      <c r="A1486" s="6" t="s">
        <v>7</v>
      </c>
      <c r="B1486" s="7">
        <v>45246</v>
      </c>
      <c r="C1486" s="6" t="s">
        <v>4667</v>
      </c>
      <c r="D1486" s="6" t="s">
        <v>1628</v>
      </c>
      <c r="E1486" s="6" t="s">
        <v>16</v>
      </c>
      <c r="F1486" s="7">
        <v>45276</v>
      </c>
      <c r="G1486" s="6" t="s">
        <v>3102</v>
      </c>
      <c r="H1486" s="8">
        <v>259</v>
      </c>
      <c r="I1486" s="9">
        <v>516.13</v>
      </c>
      <c r="J1486" s="9">
        <v>550.30999999999995</v>
      </c>
      <c r="K1486" s="5" t="str">
        <f>VLOOKUP(D1486,[1]Clientes!$A$1:$B$1370,2,0)</f>
        <v>NAC1281</v>
      </c>
      <c r="L1486" s="5" t="str">
        <f t="shared" si="46"/>
        <v>HGI0117381</v>
      </c>
      <c r="M1486" s="5" t="str">
        <f t="shared" si="47"/>
        <v>I</v>
      </c>
      <c r="N1486" s="5">
        <f>IF(G1486=[1]Clientes!$C$3,[1]Clientes!$D$3,[1]Clientes!$D$2)</f>
        <v>13050505</v>
      </c>
    </row>
    <row r="1487" spans="1:14">
      <c r="A1487" s="6" t="s">
        <v>7</v>
      </c>
      <c r="B1487" s="7">
        <v>45474</v>
      </c>
      <c r="C1487" s="6" t="s">
        <v>4668</v>
      </c>
      <c r="D1487" s="6" t="s">
        <v>1628</v>
      </c>
      <c r="E1487" s="6" t="s">
        <v>16</v>
      </c>
      <c r="F1487" s="7">
        <v>45504</v>
      </c>
      <c r="G1487" s="6" t="s">
        <v>3102</v>
      </c>
      <c r="H1487" s="8">
        <v>31</v>
      </c>
      <c r="I1487" s="9">
        <v>254.67</v>
      </c>
      <c r="J1487" s="9">
        <v>254.67</v>
      </c>
      <c r="K1487" s="5" t="str">
        <f>VLOOKUP(D1487,[1]Clientes!$A$1:$B$1370,2,0)</f>
        <v>NAC1281</v>
      </c>
      <c r="L1487" s="5" t="str">
        <f t="shared" si="46"/>
        <v>HGI0125421</v>
      </c>
      <c r="M1487" s="5" t="str">
        <f t="shared" si="47"/>
        <v>I</v>
      </c>
      <c r="N1487" s="5">
        <f>IF(G1487=[1]Clientes!$C$3,[1]Clientes!$D$3,[1]Clientes!$D$2)</f>
        <v>13050505</v>
      </c>
    </row>
    <row r="1488" spans="1:14">
      <c r="A1488" s="6" t="s">
        <v>3099</v>
      </c>
      <c r="B1488" s="7">
        <v>45345</v>
      </c>
      <c r="C1488" s="6" t="s">
        <v>4669</v>
      </c>
      <c r="D1488" s="6" t="s">
        <v>1716</v>
      </c>
      <c r="E1488" s="6" t="s">
        <v>16</v>
      </c>
      <c r="F1488" s="7">
        <v>45375</v>
      </c>
      <c r="G1488" s="6" t="s">
        <v>3102</v>
      </c>
      <c r="H1488" s="8">
        <v>160</v>
      </c>
      <c r="I1488" s="9">
        <v>-118</v>
      </c>
      <c r="J1488" s="9">
        <v>-118</v>
      </c>
      <c r="K1488" s="5" t="str">
        <f>VLOOKUP(D1488,[1]Clientes!$A$1:$B$1370,2,0)</f>
        <v>NAC1283</v>
      </c>
      <c r="L1488" s="5" t="str">
        <f t="shared" si="46"/>
        <v>CRM0121185</v>
      </c>
      <c r="M1488" s="5" t="str">
        <f t="shared" si="47"/>
        <v>C</v>
      </c>
      <c r="N1488" s="5">
        <f>IF(G1488=[1]Clientes!$C$3,[1]Clientes!$D$3,[1]Clientes!$D$2)</f>
        <v>13050505</v>
      </c>
    </row>
    <row r="1489" spans="1:14">
      <c r="A1489" s="6" t="s">
        <v>7</v>
      </c>
      <c r="B1489" s="7">
        <v>45524</v>
      </c>
      <c r="C1489" s="6" t="s">
        <v>4670</v>
      </c>
      <c r="D1489" s="6" t="s">
        <v>1716</v>
      </c>
      <c r="E1489" s="6" t="s">
        <v>16</v>
      </c>
      <c r="F1489" s="7">
        <v>45554</v>
      </c>
      <c r="G1489" s="6" t="s">
        <v>3102</v>
      </c>
      <c r="H1489" s="8"/>
      <c r="I1489" s="9">
        <v>98.5</v>
      </c>
      <c r="J1489" s="9">
        <v>98.5</v>
      </c>
      <c r="K1489" s="5" t="str">
        <f>VLOOKUP(D1489,[1]Clientes!$A$1:$B$1370,2,0)</f>
        <v>NAC1283</v>
      </c>
      <c r="L1489" s="5" t="str">
        <f t="shared" si="46"/>
        <v>HGI0126692</v>
      </c>
      <c r="M1489" s="5" t="str">
        <f t="shared" si="47"/>
        <v>I</v>
      </c>
      <c r="N1489" s="5">
        <f>IF(G1489=[1]Clientes!$C$3,[1]Clientes!$D$3,[1]Clientes!$D$2)</f>
        <v>13050505</v>
      </c>
    </row>
    <row r="1490" spans="1:14">
      <c r="A1490" s="6" t="s">
        <v>7</v>
      </c>
      <c r="B1490" s="7">
        <v>45524</v>
      </c>
      <c r="C1490" s="6" t="s">
        <v>4671</v>
      </c>
      <c r="D1490" s="6" t="s">
        <v>1716</v>
      </c>
      <c r="E1490" s="6" t="s">
        <v>16</v>
      </c>
      <c r="F1490" s="7">
        <v>45554</v>
      </c>
      <c r="G1490" s="6" t="s">
        <v>3102</v>
      </c>
      <c r="H1490" s="8"/>
      <c r="I1490" s="9">
        <v>1264</v>
      </c>
      <c r="J1490" s="9">
        <v>1264</v>
      </c>
      <c r="K1490" s="5" t="str">
        <f>VLOOKUP(D1490,[1]Clientes!$A$1:$B$1370,2,0)</f>
        <v>NAC1283</v>
      </c>
      <c r="L1490" s="5" t="str">
        <f t="shared" si="46"/>
        <v>HGI0126721</v>
      </c>
      <c r="M1490" s="5" t="str">
        <f t="shared" si="47"/>
        <v>I</v>
      </c>
      <c r="N1490" s="5">
        <f>IF(G1490=[1]Clientes!$C$3,[1]Clientes!$D$3,[1]Clientes!$D$2)</f>
        <v>13050505</v>
      </c>
    </row>
    <row r="1491" spans="1:14">
      <c r="A1491" s="6" t="s">
        <v>7</v>
      </c>
      <c r="B1491" s="7">
        <v>45532</v>
      </c>
      <c r="C1491" s="6" t="s">
        <v>4672</v>
      </c>
      <c r="D1491" s="6" t="s">
        <v>1716</v>
      </c>
      <c r="E1491" s="6" t="s">
        <v>16</v>
      </c>
      <c r="F1491" s="7">
        <v>45562</v>
      </c>
      <c r="G1491" s="6" t="s">
        <v>3102</v>
      </c>
      <c r="H1491" s="8"/>
      <c r="I1491" s="9">
        <v>11376</v>
      </c>
      <c r="J1491" s="9">
        <v>11376</v>
      </c>
      <c r="K1491" s="5" t="str">
        <f>VLOOKUP(D1491,[1]Clientes!$A$1:$B$1370,2,0)</f>
        <v>NAC1283</v>
      </c>
      <c r="L1491" s="5" t="str">
        <f t="shared" si="46"/>
        <v>HGI0126969</v>
      </c>
      <c r="M1491" s="5" t="str">
        <f t="shared" si="47"/>
        <v>I</v>
      </c>
      <c r="N1491" s="5">
        <f>IF(G1491=[1]Clientes!$C$3,[1]Clientes!$D$3,[1]Clientes!$D$2)</f>
        <v>13050505</v>
      </c>
    </row>
    <row r="1492" spans="1:14">
      <c r="A1492" s="6" t="s">
        <v>7</v>
      </c>
      <c r="B1492" s="7">
        <v>45532</v>
      </c>
      <c r="C1492" s="6" t="s">
        <v>4673</v>
      </c>
      <c r="D1492" s="6" t="s">
        <v>1716</v>
      </c>
      <c r="E1492" s="6" t="s">
        <v>16</v>
      </c>
      <c r="F1492" s="7">
        <v>45562</v>
      </c>
      <c r="G1492" s="6" t="s">
        <v>3102</v>
      </c>
      <c r="H1492" s="8"/>
      <c r="I1492" s="9">
        <v>10523.4</v>
      </c>
      <c r="J1492" s="9">
        <v>10523.4</v>
      </c>
      <c r="K1492" s="5" t="str">
        <f>VLOOKUP(D1492,[1]Clientes!$A$1:$B$1370,2,0)</f>
        <v>NAC1283</v>
      </c>
      <c r="L1492" s="5" t="str">
        <f t="shared" si="46"/>
        <v>HGI0127042</v>
      </c>
      <c r="M1492" s="5" t="str">
        <f t="shared" si="47"/>
        <v>I</v>
      </c>
      <c r="N1492" s="5">
        <f>IF(G1492=[1]Clientes!$C$3,[1]Clientes!$D$3,[1]Clientes!$D$2)</f>
        <v>13050505</v>
      </c>
    </row>
    <row r="1493" spans="1:14">
      <c r="A1493" s="6" t="s">
        <v>7</v>
      </c>
      <c r="B1493" s="7">
        <v>45531</v>
      </c>
      <c r="C1493" s="6" t="s">
        <v>4674</v>
      </c>
      <c r="D1493" s="6" t="s">
        <v>1730</v>
      </c>
      <c r="E1493" s="6" t="s">
        <v>16</v>
      </c>
      <c r="F1493" s="7">
        <v>45561</v>
      </c>
      <c r="G1493" s="6" t="s">
        <v>3102</v>
      </c>
      <c r="H1493" s="8"/>
      <c r="I1493" s="9">
        <v>5236</v>
      </c>
      <c r="J1493" s="9">
        <v>5236</v>
      </c>
      <c r="K1493" s="5" t="str">
        <f>VLOOKUP(D1493,[1]Clientes!$A$1:$B$1370,2,0)</f>
        <v>NAC1292</v>
      </c>
      <c r="L1493" s="5" t="str">
        <f t="shared" si="46"/>
        <v>HGI0126901</v>
      </c>
      <c r="M1493" s="5" t="str">
        <f t="shared" si="47"/>
        <v>I</v>
      </c>
      <c r="N1493" s="5">
        <f>IF(G1493=[1]Clientes!$C$3,[1]Clientes!$D$3,[1]Clientes!$D$2)</f>
        <v>13050505</v>
      </c>
    </row>
    <row r="1494" spans="1:14">
      <c r="A1494" s="6" t="s">
        <v>7</v>
      </c>
      <c r="B1494" s="7">
        <v>45169</v>
      </c>
      <c r="C1494" s="6" t="s">
        <v>4675</v>
      </c>
      <c r="D1494" s="6" t="s">
        <v>4676</v>
      </c>
      <c r="E1494" s="6" t="s">
        <v>16</v>
      </c>
      <c r="F1494" s="7">
        <v>45199</v>
      </c>
      <c r="G1494" s="6" t="s">
        <v>3478</v>
      </c>
      <c r="H1494" s="8">
        <v>336</v>
      </c>
      <c r="I1494" s="9">
        <v>4649.8900000000003</v>
      </c>
      <c r="J1494" s="9">
        <v>4649.8900000000003</v>
      </c>
      <c r="K1494" s="5" t="str">
        <f>VLOOKUP(D1494,[1]Clientes!$A$1:$B$1370,2,0)</f>
        <v>NAC1312</v>
      </c>
      <c r="L1494" s="5" t="str">
        <f t="shared" si="46"/>
        <v>TGDR202511</v>
      </c>
      <c r="M1494" s="5" t="str">
        <f t="shared" si="47"/>
        <v>I</v>
      </c>
      <c r="N1494" s="5">
        <f>IF(G1494=[1]Clientes!$C$3,[1]Clientes!$D$3,[1]Clientes!$D$2)</f>
        <v>13050101</v>
      </c>
    </row>
    <row r="1495" spans="1:14">
      <c r="A1495" s="6" t="s">
        <v>7</v>
      </c>
      <c r="B1495" s="7">
        <v>45198</v>
      </c>
      <c r="C1495" s="6" t="s">
        <v>4677</v>
      </c>
      <c r="D1495" s="6" t="s">
        <v>4676</v>
      </c>
      <c r="E1495" s="6" t="s">
        <v>16</v>
      </c>
      <c r="F1495" s="7">
        <v>45228</v>
      </c>
      <c r="G1495" s="6" t="s">
        <v>3478</v>
      </c>
      <c r="H1495" s="8">
        <v>307</v>
      </c>
      <c r="I1495" s="9">
        <v>1743.04</v>
      </c>
      <c r="J1495" s="9">
        <v>1743.04</v>
      </c>
      <c r="K1495" s="5" t="str">
        <f>VLOOKUP(D1495,[1]Clientes!$A$1:$B$1370,2,0)</f>
        <v>NAC1312</v>
      </c>
      <c r="L1495" s="5" t="str">
        <f t="shared" si="46"/>
        <v>TGDR202528</v>
      </c>
      <c r="M1495" s="5" t="str">
        <f t="shared" si="47"/>
        <v>I</v>
      </c>
      <c r="N1495" s="5">
        <f>IF(G1495=[1]Clientes!$C$3,[1]Clientes!$D$3,[1]Clientes!$D$2)</f>
        <v>13050101</v>
      </c>
    </row>
    <row r="1496" spans="1:14">
      <c r="A1496" s="6" t="s">
        <v>7</v>
      </c>
      <c r="B1496" s="7">
        <v>45337</v>
      </c>
      <c r="C1496" s="6" t="s">
        <v>4678</v>
      </c>
      <c r="D1496" s="6" t="s">
        <v>4676</v>
      </c>
      <c r="E1496" s="6" t="s">
        <v>16</v>
      </c>
      <c r="F1496" s="7">
        <v>45367</v>
      </c>
      <c r="G1496" s="6" t="s">
        <v>3478</v>
      </c>
      <c r="H1496" s="8">
        <v>168</v>
      </c>
      <c r="I1496" s="9">
        <v>24745.66</v>
      </c>
      <c r="J1496" s="9">
        <v>24745.66</v>
      </c>
      <c r="K1496" s="5" t="str">
        <f>VLOOKUP(D1496,[1]Clientes!$A$1:$B$1370,2,0)</f>
        <v>NAC1312</v>
      </c>
      <c r="L1496" s="5" t="str">
        <f t="shared" si="46"/>
        <v>HGI0120991</v>
      </c>
      <c r="M1496" s="5" t="str">
        <f t="shared" si="47"/>
        <v>I</v>
      </c>
      <c r="N1496" s="5">
        <f>IF(G1496=[1]Clientes!$C$3,[1]Clientes!$D$3,[1]Clientes!$D$2)</f>
        <v>13050101</v>
      </c>
    </row>
    <row r="1497" spans="1:14">
      <c r="A1497" s="6" t="s">
        <v>7</v>
      </c>
      <c r="B1497" s="7">
        <v>45351</v>
      </c>
      <c r="C1497" s="6" t="s">
        <v>4679</v>
      </c>
      <c r="D1497" s="6" t="s">
        <v>4676</v>
      </c>
      <c r="E1497" s="6" t="s">
        <v>16</v>
      </c>
      <c r="F1497" s="7">
        <v>45381</v>
      </c>
      <c r="G1497" s="6" t="s">
        <v>3478</v>
      </c>
      <c r="H1497" s="8">
        <v>154</v>
      </c>
      <c r="I1497" s="9">
        <v>482.89</v>
      </c>
      <c r="J1497" s="9">
        <v>482.89</v>
      </c>
      <c r="K1497" s="5" t="str">
        <f>VLOOKUP(D1497,[1]Clientes!$A$1:$B$1370,2,0)</f>
        <v>NAC1312</v>
      </c>
      <c r="L1497" s="5" t="str">
        <f t="shared" si="46"/>
        <v>HGI0121388</v>
      </c>
      <c r="M1497" s="5" t="str">
        <f t="shared" si="47"/>
        <v>I</v>
      </c>
      <c r="N1497" s="5">
        <f>IF(G1497=[1]Clientes!$C$3,[1]Clientes!$D$3,[1]Clientes!$D$2)</f>
        <v>13050101</v>
      </c>
    </row>
    <row r="1498" spans="1:14">
      <c r="A1498" s="6" t="s">
        <v>7</v>
      </c>
      <c r="B1498" s="7">
        <v>45351</v>
      </c>
      <c r="C1498" s="6" t="s">
        <v>4680</v>
      </c>
      <c r="D1498" s="6" t="s">
        <v>4676</v>
      </c>
      <c r="E1498" s="6" t="s">
        <v>16</v>
      </c>
      <c r="F1498" s="7">
        <v>45381</v>
      </c>
      <c r="G1498" s="6" t="s">
        <v>3478</v>
      </c>
      <c r="H1498" s="8">
        <v>154</v>
      </c>
      <c r="I1498" s="9">
        <v>5</v>
      </c>
      <c r="J1498" s="9">
        <v>5</v>
      </c>
      <c r="K1498" s="5" t="str">
        <f>VLOOKUP(D1498,[1]Clientes!$A$1:$B$1370,2,0)</f>
        <v>NAC1312</v>
      </c>
      <c r="L1498" s="5" t="str">
        <f t="shared" si="46"/>
        <v>HGI0121440</v>
      </c>
      <c r="M1498" s="5" t="str">
        <f t="shared" si="47"/>
        <v>I</v>
      </c>
      <c r="N1498" s="5">
        <f>IF(G1498=[1]Clientes!$C$3,[1]Clientes!$D$3,[1]Clientes!$D$2)</f>
        <v>13050101</v>
      </c>
    </row>
    <row r="1499" spans="1:14">
      <c r="A1499" s="6" t="s">
        <v>7</v>
      </c>
      <c r="B1499" s="7">
        <v>45366</v>
      </c>
      <c r="C1499" s="6" t="s">
        <v>4681</v>
      </c>
      <c r="D1499" s="6" t="s">
        <v>4676</v>
      </c>
      <c r="E1499" s="6" t="s">
        <v>16</v>
      </c>
      <c r="F1499" s="7">
        <v>45396</v>
      </c>
      <c r="G1499" s="6" t="s">
        <v>3478</v>
      </c>
      <c r="H1499" s="8">
        <v>139</v>
      </c>
      <c r="I1499" s="9">
        <v>53729.22</v>
      </c>
      <c r="J1499" s="9">
        <v>53729.22</v>
      </c>
      <c r="K1499" s="5" t="str">
        <f>VLOOKUP(D1499,[1]Clientes!$A$1:$B$1370,2,0)</f>
        <v>NAC1312</v>
      </c>
      <c r="L1499" s="5" t="str">
        <f t="shared" si="46"/>
        <v>HGI0121990</v>
      </c>
      <c r="M1499" s="5" t="str">
        <f t="shared" si="47"/>
        <v>I</v>
      </c>
      <c r="N1499" s="5">
        <f>IF(G1499=[1]Clientes!$C$3,[1]Clientes!$D$3,[1]Clientes!$D$2)</f>
        <v>13050101</v>
      </c>
    </row>
    <row r="1500" spans="1:14">
      <c r="A1500" s="6" t="s">
        <v>7</v>
      </c>
      <c r="B1500" s="7">
        <v>45386</v>
      </c>
      <c r="C1500" s="6" t="s">
        <v>4682</v>
      </c>
      <c r="D1500" s="6" t="s">
        <v>4676</v>
      </c>
      <c r="E1500" s="6" t="s">
        <v>16</v>
      </c>
      <c r="F1500" s="7">
        <v>45416</v>
      </c>
      <c r="G1500" s="6" t="s">
        <v>3478</v>
      </c>
      <c r="H1500" s="8">
        <v>119</v>
      </c>
      <c r="I1500" s="9">
        <v>51775.14</v>
      </c>
      <c r="J1500" s="9">
        <v>51775.14</v>
      </c>
      <c r="K1500" s="5" t="str">
        <f>VLOOKUP(D1500,[1]Clientes!$A$1:$B$1370,2,0)</f>
        <v>NAC1312</v>
      </c>
      <c r="L1500" s="5" t="str">
        <f t="shared" si="46"/>
        <v>HGI0122644</v>
      </c>
      <c r="M1500" s="5" t="str">
        <f t="shared" si="47"/>
        <v>I</v>
      </c>
      <c r="N1500" s="5">
        <f>IF(G1500=[1]Clientes!$C$3,[1]Clientes!$D$3,[1]Clientes!$D$2)</f>
        <v>13050101</v>
      </c>
    </row>
    <row r="1501" spans="1:14">
      <c r="A1501" s="6" t="s">
        <v>7</v>
      </c>
      <c r="B1501" s="7">
        <v>45398</v>
      </c>
      <c r="C1501" s="6" t="s">
        <v>4683</v>
      </c>
      <c r="D1501" s="6" t="s">
        <v>4676</v>
      </c>
      <c r="E1501" s="6" t="s">
        <v>16</v>
      </c>
      <c r="F1501" s="7">
        <v>45428</v>
      </c>
      <c r="G1501" s="6" t="s">
        <v>3478</v>
      </c>
      <c r="H1501" s="8">
        <v>107</v>
      </c>
      <c r="I1501" s="9">
        <v>3585.24</v>
      </c>
      <c r="J1501" s="9">
        <v>3585.24</v>
      </c>
      <c r="K1501" s="5" t="str">
        <f>VLOOKUP(D1501,[1]Clientes!$A$1:$B$1370,2,0)</f>
        <v>NAC1312</v>
      </c>
      <c r="L1501" s="5" t="str">
        <f t="shared" si="46"/>
        <v>HGI0123129</v>
      </c>
      <c r="M1501" s="5" t="str">
        <f t="shared" si="47"/>
        <v>I</v>
      </c>
      <c r="N1501" s="5">
        <f>IF(G1501=[1]Clientes!$C$3,[1]Clientes!$D$3,[1]Clientes!$D$2)</f>
        <v>13050101</v>
      </c>
    </row>
    <row r="1502" spans="1:14">
      <c r="A1502" s="6" t="s">
        <v>7</v>
      </c>
      <c r="B1502" s="7">
        <v>45398</v>
      </c>
      <c r="C1502" s="6" t="s">
        <v>4684</v>
      </c>
      <c r="D1502" s="6" t="s">
        <v>4676</v>
      </c>
      <c r="E1502" s="6" t="s">
        <v>16</v>
      </c>
      <c r="F1502" s="7">
        <v>45428</v>
      </c>
      <c r="G1502" s="6" t="s">
        <v>3478</v>
      </c>
      <c r="H1502" s="8">
        <v>107</v>
      </c>
      <c r="I1502" s="9">
        <v>46289.09</v>
      </c>
      <c r="J1502" s="9">
        <v>46289.09</v>
      </c>
      <c r="K1502" s="5" t="str">
        <f>VLOOKUP(D1502,[1]Clientes!$A$1:$B$1370,2,0)</f>
        <v>NAC1312</v>
      </c>
      <c r="L1502" s="5" t="str">
        <f t="shared" si="46"/>
        <v>HGI0123130</v>
      </c>
      <c r="M1502" s="5" t="str">
        <f t="shared" si="47"/>
        <v>I</v>
      </c>
      <c r="N1502" s="5">
        <f>IF(G1502=[1]Clientes!$C$3,[1]Clientes!$D$3,[1]Clientes!$D$2)</f>
        <v>13050101</v>
      </c>
    </row>
    <row r="1503" spans="1:14">
      <c r="A1503" s="6" t="s">
        <v>7</v>
      </c>
      <c r="B1503" s="7">
        <v>45398</v>
      </c>
      <c r="C1503" s="6" t="s">
        <v>4685</v>
      </c>
      <c r="D1503" s="6" t="s">
        <v>4676</v>
      </c>
      <c r="E1503" s="6" t="s">
        <v>16</v>
      </c>
      <c r="F1503" s="7">
        <v>45428</v>
      </c>
      <c r="G1503" s="6" t="s">
        <v>3478</v>
      </c>
      <c r="H1503" s="8">
        <v>107</v>
      </c>
      <c r="I1503" s="9">
        <v>2522.46</v>
      </c>
      <c r="J1503" s="9">
        <v>2522.46</v>
      </c>
      <c r="K1503" s="5" t="str">
        <f>VLOOKUP(D1503,[1]Clientes!$A$1:$B$1370,2,0)</f>
        <v>NAC1312</v>
      </c>
      <c r="L1503" s="5" t="str">
        <f t="shared" si="46"/>
        <v>HGI0123131</v>
      </c>
      <c r="M1503" s="5" t="str">
        <f t="shared" si="47"/>
        <v>I</v>
      </c>
      <c r="N1503" s="5">
        <f>IF(G1503=[1]Clientes!$C$3,[1]Clientes!$D$3,[1]Clientes!$D$2)</f>
        <v>13050101</v>
      </c>
    </row>
    <row r="1504" spans="1:14">
      <c r="A1504" s="6" t="s">
        <v>7</v>
      </c>
      <c r="B1504" s="7">
        <v>45408</v>
      </c>
      <c r="C1504" s="6" t="s">
        <v>4686</v>
      </c>
      <c r="D1504" s="6" t="s">
        <v>4676</v>
      </c>
      <c r="E1504" s="6" t="s">
        <v>16</v>
      </c>
      <c r="F1504" s="7">
        <v>45438</v>
      </c>
      <c r="G1504" s="6" t="s">
        <v>3478</v>
      </c>
      <c r="H1504" s="8">
        <v>97</v>
      </c>
      <c r="I1504" s="9">
        <v>53063.24</v>
      </c>
      <c r="J1504" s="9">
        <v>53063.24</v>
      </c>
      <c r="K1504" s="5" t="str">
        <f>VLOOKUP(D1504,[1]Clientes!$A$1:$B$1370,2,0)</f>
        <v>NAC1312</v>
      </c>
      <c r="L1504" s="5" t="str">
        <f t="shared" si="46"/>
        <v>HGI0123528</v>
      </c>
      <c r="M1504" s="5" t="str">
        <f t="shared" si="47"/>
        <v>I</v>
      </c>
      <c r="N1504" s="5">
        <f>IF(G1504=[1]Clientes!$C$3,[1]Clientes!$D$3,[1]Clientes!$D$2)</f>
        <v>13050101</v>
      </c>
    </row>
    <row r="1505" spans="1:14">
      <c r="A1505" s="6" t="s">
        <v>7</v>
      </c>
      <c r="B1505" s="7">
        <v>45526</v>
      </c>
      <c r="C1505" s="6" t="s">
        <v>4687</v>
      </c>
      <c r="D1505" s="6" t="s">
        <v>4676</v>
      </c>
      <c r="E1505" s="6" t="s">
        <v>16</v>
      </c>
      <c r="F1505" s="7">
        <v>45556</v>
      </c>
      <c r="G1505" s="6" t="s">
        <v>3102</v>
      </c>
      <c r="H1505" s="8"/>
      <c r="I1505" s="9">
        <v>43289.91</v>
      </c>
      <c r="J1505" s="9">
        <v>43289.91</v>
      </c>
      <c r="K1505" s="5" t="str">
        <f>VLOOKUP(D1505,[1]Clientes!$A$1:$B$1370,2,0)</f>
        <v>NAC1312</v>
      </c>
      <c r="L1505" s="5" t="str">
        <f t="shared" si="46"/>
        <v>HGI0126787</v>
      </c>
      <c r="M1505" s="5" t="str">
        <f t="shared" si="47"/>
        <v>I</v>
      </c>
      <c r="N1505" s="5">
        <f>IF(G1505=[1]Clientes!$C$3,[1]Clientes!$D$3,[1]Clientes!$D$2)</f>
        <v>13050505</v>
      </c>
    </row>
    <row r="1506" spans="1:14">
      <c r="A1506" s="6" t="s">
        <v>7</v>
      </c>
      <c r="B1506" s="7">
        <v>45530</v>
      </c>
      <c r="C1506" s="6" t="s">
        <v>4688</v>
      </c>
      <c r="D1506" s="6" t="s">
        <v>1752</v>
      </c>
      <c r="E1506" s="6" t="s">
        <v>16</v>
      </c>
      <c r="F1506" s="7">
        <v>45560</v>
      </c>
      <c r="G1506" s="6" t="s">
        <v>3102</v>
      </c>
      <c r="H1506" s="8"/>
      <c r="I1506" s="9">
        <v>378</v>
      </c>
      <c r="J1506" s="9">
        <v>378</v>
      </c>
      <c r="K1506" s="5" t="str">
        <f>VLOOKUP(D1506,[1]Clientes!$A$1:$B$1370,2,0)</f>
        <v>NAC1313</v>
      </c>
      <c r="L1506" s="5" t="str">
        <f t="shared" si="46"/>
        <v>HGI0126893</v>
      </c>
      <c r="M1506" s="5" t="str">
        <f t="shared" si="47"/>
        <v>I</v>
      </c>
      <c r="N1506" s="5">
        <f>IF(G1506=[1]Clientes!$C$3,[1]Clientes!$D$3,[1]Clientes!$D$2)</f>
        <v>13050505</v>
      </c>
    </row>
    <row r="1507" spans="1:14">
      <c r="A1507" s="6" t="s">
        <v>3265</v>
      </c>
      <c r="B1507" s="7">
        <v>45532</v>
      </c>
      <c r="C1507" s="6" t="s">
        <v>4689</v>
      </c>
      <c r="D1507" s="6" t="s">
        <v>4690</v>
      </c>
      <c r="E1507" s="6"/>
      <c r="F1507" s="7"/>
      <c r="G1507" s="6" t="s">
        <v>3102</v>
      </c>
      <c r="H1507" s="8"/>
      <c r="I1507" s="9">
        <v>250</v>
      </c>
      <c r="J1507" s="9">
        <v>250</v>
      </c>
      <c r="K1507" s="5" t="str">
        <f>VLOOKUP(D1507,[1]Clientes!$A$1:$B$1485,2,0)</f>
        <v>NAC1319</v>
      </c>
      <c r="L1507" s="5" t="str">
        <f t="shared" si="46"/>
        <v>Revisar</v>
      </c>
      <c r="M1507" s="5" t="str">
        <f t="shared" si="47"/>
        <v>GJ</v>
      </c>
      <c r="N1507" s="5">
        <f>IF(G1507=[1]Clientes!$C$3,[1]Clientes!$D$3,[1]Clientes!$D$2)</f>
        <v>13050505</v>
      </c>
    </row>
    <row r="1508" spans="1:14">
      <c r="A1508" s="6" t="s">
        <v>3099</v>
      </c>
      <c r="B1508" s="7">
        <v>45531</v>
      </c>
      <c r="C1508" s="6" t="s">
        <v>4691</v>
      </c>
      <c r="D1508" s="6" t="s">
        <v>4690</v>
      </c>
      <c r="E1508" s="6" t="s">
        <v>16</v>
      </c>
      <c r="F1508" s="7">
        <v>45561</v>
      </c>
      <c r="G1508" s="6" t="s">
        <v>3102</v>
      </c>
      <c r="H1508" s="8"/>
      <c r="I1508" s="9">
        <v>-250</v>
      </c>
      <c r="J1508" s="9">
        <v>-250</v>
      </c>
      <c r="K1508" s="5" t="str">
        <f>VLOOKUP(D1508,[1]Clientes!$A$1:$B$1485,2,0)</f>
        <v>NAC1319</v>
      </c>
      <c r="L1508" s="5" t="str">
        <f t="shared" si="46"/>
        <v>CRM0126875</v>
      </c>
      <c r="M1508" s="5" t="str">
        <f t="shared" si="47"/>
        <v>C</v>
      </c>
      <c r="N1508" s="5">
        <f>IF(G1508=[1]Clientes!$C$3,[1]Clientes!$D$3,[1]Clientes!$D$2)</f>
        <v>13050505</v>
      </c>
    </row>
    <row r="1509" spans="1:14">
      <c r="A1509" s="6" t="s">
        <v>7</v>
      </c>
      <c r="B1509" s="7">
        <v>45120</v>
      </c>
      <c r="C1509" s="6" t="s">
        <v>4692</v>
      </c>
      <c r="D1509" s="6" t="s">
        <v>4693</v>
      </c>
      <c r="E1509" s="6" t="s">
        <v>16</v>
      </c>
      <c r="F1509" s="7">
        <v>45150</v>
      </c>
      <c r="G1509" s="6" t="s">
        <v>3102</v>
      </c>
      <c r="H1509" s="8">
        <v>385</v>
      </c>
      <c r="I1509" s="9">
        <v>6549</v>
      </c>
      <c r="J1509" s="9">
        <v>22500</v>
      </c>
      <c r="K1509" s="5" t="str">
        <f>VLOOKUP(D1509,[1]Clientes!$A$1:$B$1485,2,0)</f>
        <v>NAC1315</v>
      </c>
      <c r="L1509" s="5" t="str">
        <f t="shared" si="46"/>
        <v>HGI0113716</v>
      </c>
      <c r="M1509" s="5" t="str">
        <f t="shared" si="47"/>
        <v>I</v>
      </c>
      <c r="N1509" s="5">
        <f>IF(G1509=[1]Clientes!$C$3,[1]Clientes!$D$3,[1]Clientes!$D$2)</f>
        <v>13050505</v>
      </c>
    </row>
    <row r="1510" spans="1:14">
      <c r="A1510" s="6" t="s">
        <v>7</v>
      </c>
      <c r="B1510" s="7">
        <v>45224</v>
      </c>
      <c r="C1510" s="6" t="s">
        <v>4694</v>
      </c>
      <c r="D1510" s="6" t="s">
        <v>4693</v>
      </c>
      <c r="E1510" s="6" t="s">
        <v>16</v>
      </c>
      <c r="F1510" s="7">
        <v>45254</v>
      </c>
      <c r="G1510" s="6" t="s">
        <v>3102</v>
      </c>
      <c r="H1510" s="8">
        <v>281</v>
      </c>
      <c r="I1510" s="9">
        <v>700</v>
      </c>
      <c r="J1510" s="9">
        <v>14940</v>
      </c>
      <c r="K1510" s="5" t="str">
        <f>VLOOKUP(D1510,[1]Clientes!$A$1:$B$1485,2,0)</f>
        <v>NAC1315</v>
      </c>
      <c r="L1510" s="5" t="str">
        <f t="shared" si="46"/>
        <v>HGI0116489</v>
      </c>
      <c r="M1510" s="5" t="str">
        <f t="shared" si="47"/>
        <v>I</v>
      </c>
      <c r="N1510" s="5">
        <f>IF(G1510=[1]Clientes!$C$3,[1]Clientes!$D$3,[1]Clientes!$D$2)</f>
        <v>13050505</v>
      </c>
    </row>
    <row r="1511" spans="1:14">
      <c r="A1511" s="6" t="s">
        <v>7</v>
      </c>
      <c r="B1511" s="7">
        <v>45304</v>
      </c>
      <c r="C1511" s="6" t="s">
        <v>4695</v>
      </c>
      <c r="D1511" s="6" t="s">
        <v>4693</v>
      </c>
      <c r="E1511" s="6" t="s">
        <v>16</v>
      </c>
      <c r="F1511" s="7">
        <v>45334</v>
      </c>
      <c r="G1511" s="6" t="s">
        <v>3102</v>
      </c>
      <c r="H1511" s="8">
        <v>201</v>
      </c>
      <c r="I1511" s="9">
        <v>1200</v>
      </c>
      <c r="J1511" s="9">
        <v>116875</v>
      </c>
      <c r="K1511" s="5" t="str">
        <f>VLOOKUP(D1511,[1]Clientes!$A$1:$B$1485,2,0)</f>
        <v>NAC1315</v>
      </c>
      <c r="L1511" s="5" t="str">
        <f t="shared" si="46"/>
        <v>HGI0119269</v>
      </c>
      <c r="M1511" s="5" t="str">
        <f t="shared" si="47"/>
        <v>I</v>
      </c>
      <c r="N1511" s="5">
        <f>IF(G1511=[1]Clientes!$C$3,[1]Clientes!$D$3,[1]Clientes!$D$2)</f>
        <v>13050505</v>
      </c>
    </row>
    <row r="1512" spans="1:14">
      <c r="A1512" s="6" t="s">
        <v>7</v>
      </c>
      <c r="B1512" s="7">
        <v>45204</v>
      </c>
      <c r="C1512" s="6" t="s">
        <v>4696</v>
      </c>
      <c r="D1512" s="6" t="s">
        <v>4697</v>
      </c>
      <c r="E1512" s="6" t="s">
        <v>16</v>
      </c>
      <c r="F1512" s="7">
        <v>45234</v>
      </c>
      <c r="G1512" s="6" t="s">
        <v>3102</v>
      </c>
      <c r="H1512" s="8">
        <v>301</v>
      </c>
      <c r="I1512" s="9">
        <v>563.97</v>
      </c>
      <c r="J1512" s="9">
        <v>18772</v>
      </c>
      <c r="K1512" s="5" t="str">
        <f>VLOOKUP(D1512,[1]Clientes!$A$1:$B$1485,2,0)</f>
        <v>NAC1322</v>
      </c>
      <c r="L1512" s="5" t="str">
        <f t="shared" si="46"/>
        <v>HGI0115702</v>
      </c>
      <c r="M1512" s="5" t="str">
        <f t="shared" si="47"/>
        <v>I</v>
      </c>
      <c r="N1512" s="5">
        <f>IF(G1512=[1]Clientes!$C$3,[1]Clientes!$D$3,[1]Clientes!$D$2)</f>
        <v>13050505</v>
      </c>
    </row>
    <row r="1513" spans="1:14">
      <c r="A1513" s="6" t="s">
        <v>7</v>
      </c>
      <c r="B1513" s="7">
        <v>45310</v>
      </c>
      <c r="C1513" s="6" t="s">
        <v>4698</v>
      </c>
      <c r="D1513" s="6" t="s">
        <v>4697</v>
      </c>
      <c r="E1513" s="6" t="s">
        <v>16</v>
      </c>
      <c r="F1513" s="7">
        <v>45340</v>
      </c>
      <c r="G1513" s="6" t="s">
        <v>3102</v>
      </c>
      <c r="H1513" s="8">
        <v>195</v>
      </c>
      <c r="I1513" s="9">
        <v>396</v>
      </c>
      <c r="J1513" s="9">
        <v>396</v>
      </c>
      <c r="K1513" s="5" t="str">
        <f>VLOOKUP(D1513,[1]Clientes!$A$1:$B$1485,2,0)</f>
        <v>NAC1322</v>
      </c>
      <c r="L1513" s="5" t="str">
        <f t="shared" si="46"/>
        <v>HGI0119533</v>
      </c>
      <c r="M1513" s="5" t="str">
        <f t="shared" si="47"/>
        <v>I</v>
      </c>
      <c r="N1513" s="5">
        <f>IF(G1513=[1]Clientes!$C$3,[1]Clientes!$D$3,[1]Clientes!$D$2)</f>
        <v>13050505</v>
      </c>
    </row>
    <row r="1514" spans="1:14">
      <c r="A1514" s="6" t="s">
        <v>7</v>
      </c>
      <c r="B1514" s="7">
        <v>45316</v>
      </c>
      <c r="C1514" s="6" t="s">
        <v>4699</v>
      </c>
      <c r="D1514" s="6" t="s">
        <v>4697</v>
      </c>
      <c r="E1514" s="6" t="s">
        <v>16</v>
      </c>
      <c r="F1514" s="7">
        <v>45346</v>
      </c>
      <c r="G1514" s="6" t="s">
        <v>3102</v>
      </c>
      <c r="H1514" s="8">
        <v>189</v>
      </c>
      <c r="I1514" s="9">
        <v>728.5</v>
      </c>
      <c r="J1514" s="9">
        <v>22908.6</v>
      </c>
      <c r="K1514" s="5" t="str">
        <f>VLOOKUP(D1514,[1]Clientes!$A$1:$B$1485,2,0)</f>
        <v>NAC1322</v>
      </c>
      <c r="L1514" s="5" t="str">
        <f t="shared" si="46"/>
        <v>HGI0119907</v>
      </c>
      <c r="M1514" s="5" t="str">
        <f t="shared" si="47"/>
        <v>I</v>
      </c>
      <c r="N1514" s="5">
        <f>IF(G1514=[1]Clientes!$C$3,[1]Clientes!$D$3,[1]Clientes!$D$2)</f>
        <v>13050505</v>
      </c>
    </row>
    <row r="1515" spans="1:14">
      <c r="A1515" s="6" t="s">
        <v>7</v>
      </c>
      <c r="B1515" s="7">
        <v>45356</v>
      </c>
      <c r="C1515" s="6" t="s">
        <v>4700</v>
      </c>
      <c r="D1515" s="6" t="s">
        <v>4697</v>
      </c>
      <c r="E1515" s="6" t="s">
        <v>16</v>
      </c>
      <c r="F1515" s="7">
        <v>45386</v>
      </c>
      <c r="G1515" s="6" t="s">
        <v>3102</v>
      </c>
      <c r="H1515" s="8">
        <v>149</v>
      </c>
      <c r="I1515" s="9">
        <v>129.6</v>
      </c>
      <c r="J1515" s="9">
        <v>29040</v>
      </c>
      <c r="K1515" s="5" t="str">
        <f>VLOOKUP(D1515,[1]Clientes!$A$1:$B$1485,2,0)</f>
        <v>NAC1322</v>
      </c>
      <c r="L1515" s="5" t="str">
        <f t="shared" si="46"/>
        <v>HGI0121587</v>
      </c>
      <c r="M1515" s="5" t="str">
        <f t="shared" si="47"/>
        <v>I</v>
      </c>
      <c r="N1515" s="5">
        <f>IF(G1515=[1]Clientes!$C$3,[1]Clientes!$D$3,[1]Clientes!$D$2)</f>
        <v>13050505</v>
      </c>
    </row>
    <row r="1516" spans="1:14">
      <c r="A1516" s="6" t="s">
        <v>3265</v>
      </c>
      <c r="B1516" s="7">
        <v>45462</v>
      </c>
      <c r="C1516" s="6" t="s">
        <v>4701</v>
      </c>
      <c r="D1516" s="6" t="s">
        <v>4697</v>
      </c>
      <c r="E1516" s="6"/>
      <c r="F1516" s="7"/>
      <c r="G1516" s="6" t="s">
        <v>3102</v>
      </c>
      <c r="H1516" s="8"/>
      <c r="I1516" s="9">
        <v>-200</v>
      </c>
      <c r="J1516" s="9">
        <v>-200</v>
      </c>
      <c r="K1516" s="5" t="str">
        <f>VLOOKUP(D1516,[1]Clientes!$A$1:$B$1485,2,0)</f>
        <v>NAC1322</v>
      </c>
      <c r="L1516" s="5" t="str">
        <f t="shared" si="46"/>
        <v>Revisar</v>
      </c>
      <c r="M1516" s="5" t="str">
        <f t="shared" si="47"/>
        <v>GJ</v>
      </c>
      <c r="N1516" s="5">
        <f>IF(G1516=[1]Clientes!$C$3,[1]Clientes!$D$3,[1]Clientes!$D$2)</f>
        <v>13050505</v>
      </c>
    </row>
    <row r="1517" spans="1:14">
      <c r="A1517" s="6" t="s">
        <v>3265</v>
      </c>
      <c r="B1517" s="7">
        <v>45517</v>
      </c>
      <c r="C1517" s="6" t="s">
        <v>4689</v>
      </c>
      <c r="D1517" s="6" t="s">
        <v>4697</v>
      </c>
      <c r="E1517" s="6"/>
      <c r="F1517" s="7"/>
      <c r="G1517" s="6" t="s">
        <v>3102</v>
      </c>
      <c r="H1517" s="8"/>
      <c r="I1517" s="9">
        <v>100</v>
      </c>
      <c r="J1517" s="9">
        <v>100</v>
      </c>
      <c r="K1517" s="5" t="str">
        <f>VLOOKUP(D1517,[1]Clientes!$A$1:$B$1485,2,0)</f>
        <v>NAC1322</v>
      </c>
      <c r="L1517" s="5" t="str">
        <f t="shared" si="46"/>
        <v>Revisar</v>
      </c>
      <c r="M1517" s="5" t="str">
        <f t="shared" si="47"/>
        <v>GJ</v>
      </c>
      <c r="N1517" s="5">
        <f>IF(G1517=[1]Clientes!$C$3,[1]Clientes!$D$3,[1]Clientes!$D$2)</f>
        <v>13050505</v>
      </c>
    </row>
    <row r="1518" spans="1:14">
      <c r="A1518" s="6" t="s">
        <v>3265</v>
      </c>
      <c r="B1518" s="7">
        <v>45517</v>
      </c>
      <c r="C1518" s="6" t="s">
        <v>4689</v>
      </c>
      <c r="D1518" s="6" t="s">
        <v>4697</v>
      </c>
      <c r="E1518" s="6"/>
      <c r="F1518" s="7"/>
      <c r="G1518" s="6" t="s">
        <v>3102</v>
      </c>
      <c r="H1518" s="8"/>
      <c r="I1518" s="9">
        <v>250</v>
      </c>
      <c r="J1518" s="9">
        <v>250</v>
      </c>
      <c r="K1518" s="5" t="str">
        <f>VLOOKUP(D1518,[1]Clientes!$A$1:$B$1485,2,0)</f>
        <v>NAC1322</v>
      </c>
      <c r="L1518" s="5" t="str">
        <f t="shared" si="46"/>
        <v>Revisar</v>
      </c>
      <c r="M1518" s="5" t="str">
        <f t="shared" si="47"/>
        <v>GJ</v>
      </c>
      <c r="N1518" s="5">
        <f>IF(G1518=[1]Clientes!$C$3,[1]Clientes!$D$3,[1]Clientes!$D$2)</f>
        <v>13050505</v>
      </c>
    </row>
    <row r="1519" spans="1:14">
      <c r="A1519" s="6" t="s">
        <v>7</v>
      </c>
      <c r="B1519" s="7">
        <v>45492</v>
      </c>
      <c r="C1519" s="6" t="s">
        <v>4702</v>
      </c>
      <c r="D1519" s="6" t="s">
        <v>4697</v>
      </c>
      <c r="E1519" s="6" t="s">
        <v>16</v>
      </c>
      <c r="F1519" s="7">
        <v>45522</v>
      </c>
      <c r="G1519" s="6" t="s">
        <v>3102</v>
      </c>
      <c r="H1519" s="8">
        <v>13</v>
      </c>
      <c r="I1519" s="9">
        <v>432</v>
      </c>
      <c r="J1519" s="9">
        <v>3963.2</v>
      </c>
      <c r="K1519" s="5" t="str">
        <f>VLOOKUP(D1519,[1]Clientes!$A$1:$B$1485,2,0)</f>
        <v>NAC1322</v>
      </c>
      <c r="L1519" s="5" t="str">
        <f t="shared" si="46"/>
        <v>HGI0125854</v>
      </c>
      <c r="M1519" s="5" t="str">
        <f t="shared" si="47"/>
        <v>I</v>
      </c>
      <c r="N1519" s="5">
        <f>IF(G1519=[1]Clientes!$C$3,[1]Clientes!$D$3,[1]Clientes!$D$2)</f>
        <v>13050505</v>
      </c>
    </row>
    <row r="1520" spans="1:14">
      <c r="A1520" s="6" t="s">
        <v>7</v>
      </c>
      <c r="B1520" s="7">
        <v>45510</v>
      </c>
      <c r="C1520" s="6" t="s">
        <v>4703</v>
      </c>
      <c r="D1520" s="6" t="s">
        <v>4697</v>
      </c>
      <c r="E1520" s="6" t="s">
        <v>16</v>
      </c>
      <c r="F1520" s="7">
        <v>45540</v>
      </c>
      <c r="G1520" s="6" t="s">
        <v>3102</v>
      </c>
      <c r="H1520" s="8"/>
      <c r="I1520" s="9">
        <v>10672.32</v>
      </c>
      <c r="J1520" s="9">
        <v>10672.32</v>
      </c>
      <c r="K1520" s="5" t="str">
        <f>VLOOKUP(D1520,[1]Clientes!$A$1:$B$1485,2,0)</f>
        <v>NAC1322</v>
      </c>
      <c r="L1520" s="5" t="str">
        <f t="shared" si="46"/>
        <v>HGI0126246</v>
      </c>
      <c r="M1520" s="5" t="str">
        <f t="shared" si="47"/>
        <v>I</v>
      </c>
      <c r="N1520" s="5">
        <f>IF(G1520=[1]Clientes!$C$3,[1]Clientes!$D$3,[1]Clientes!$D$2)</f>
        <v>13050505</v>
      </c>
    </row>
    <row r="1521" spans="1:14">
      <c r="A1521" s="6" t="s">
        <v>3099</v>
      </c>
      <c r="B1521" s="7">
        <v>45517</v>
      </c>
      <c r="C1521" s="6" t="s">
        <v>4704</v>
      </c>
      <c r="D1521" s="6" t="s">
        <v>4697</v>
      </c>
      <c r="E1521" s="6" t="s">
        <v>16</v>
      </c>
      <c r="F1521" s="7">
        <v>45547</v>
      </c>
      <c r="G1521" s="6" t="s">
        <v>3102</v>
      </c>
      <c r="H1521" s="8"/>
      <c r="I1521" s="9">
        <v>-100</v>
      </c>
      <c r="J1521" s="9">
        <v>-100</v>
      </c>
      <c r="K1521" s="5" t="str">
        <f>VLOOKUP(D1521,[1]Clientes!$A$1:$B$1485,2,0)</f>
        <v>NAC1322</v>
      </c>
      <c r="L1521" s="5" t="str">
        <f t="shared" si="46"/>
        <v>CRM0126408</v>
      </c>
      <c r="M1521" s="5" t="str">
        <f t="shared" si="47"/>
        <v>C</v>
      </c>
      <c r="N1521" s="5">
        <f>IF(G1521=[1]Clientes!$C$3,[1]Clientes!$D$3,[1]Clientes!$D$2)</f>
        <v>13050505</v>
      </c>
    </row>
    <row r="1522" spans="1:14">
      <c r="A1522" s="6" t="s">
        <v>3099</v>
      </c>
      <c r="B1522" s="7">
        <v>45517</v>
      </c>
      <c r="C1522" s="6" t="s">
        <v>4705</v>
      </c>
      <c r="D1522" s="6" t="s">
        <v>4697</v>
      </c>
      <c r="E1522" s="6" t="s">
        <v>16</v>
      </c>
      <c r="F1522" s="7">
        <v>45547</v>
      </c>
      <c r="G1522" s="6" t="s">
        <v>3102</v>
      </c>
      <c r="H1522" s="8"/>
      <c r="I1522" s="9">
        <v>-250</v>
      </c>
      <c r="J1522" s="9">
        <v>-250</v>
      </c>
      <c r="K1522" s="5" t="str">
        <f>VLOOKUP(D1522,[1]Clientes!$A$1:$B$1485,2,0)</f>
        <v>NAC1322</v>
      </c>
      <c r="L1522" s="5" t="str">
        <f t="shared" si="46"/>
        <v>CRM0126409</v>
      </c>
      <c r="M1522" s="5" t="str">
        <f t="shared" si="47"/>
        <v>C</v>
      </c>
      <c r="N1522" s="5">
        <f>IF(G1522=[1]Clientes!$C$3,[1]Clientes!$D$3,[1]Clientes!$D$2)</f>
        <v>13050505</v>
      </c>
    </row>
    <row r="1523" spans="1:14">
      <c r="A1523" s="6" t="s">
        <v>7</v>
      </c>
      <c r="B1523" s="7">
        <v>45526</v>
      </c>
      <c r="C1523" s="6" t="s">
        <v>4706</v>
      </c>
      <c r="D1523" s="6" t="s">
        <v>4697</v>
      </c>
      <c r="E1523" s="6" t="s">
        <v>16</v>
      </c>
      <c r="F1523" s="7">
        <v>45556</v>
      </c>
      <c r="G1523" s="6" t="s">
        <v>3102</v>
      </c>
      <c r="H1523" s="8"/>
      <c r="I1523" s="9">
        <v>30409.200000000001</v>
      </c>
      <c r="J1523" s="9">
        <v>30409.200000000001</v>
      </c>
      <c r="K1523" s="5" t="str">
        <f>VLOOKUP(D1523,[1]Clientes!$A$1:$B$1485,2,0)</f>
        <v>NAC1322</v>
      </c>
      <c r="L1523" s="5" t="str">
        <f t="shared" si="46"/>
        <v>HGI0126800</v>
      </c>
      <c r="M1523" s="5" t="str">
        <f t="shared" si="47"/>
        <v>I</v>
      </c>
      <c r="N1523" s="5">
        <f>IF(G1523=[1]Clientes!$C$3,[1]Clientes!$D$3,[1]Clientes!$D$2)</f>
        <v>13050505</v>
      </c>
    </row>
    <row r="1524" spans="1:14">
      <c r="A1524" s="6" t="s">
        <v>7</v>
      </c>
      <c r="B1524" s="7">
        <v>45422</v>
      </c>
      <c r="C1524" s="6" t="s">
        <v>4707</v>
      </c>
      <c r="D1524" s="6" t="s">
        <v>4708</v>
      </c>
      <c r="E1524" s="6" t="s">
        <v>16</v>
      </c>
      <c r="F1524" s="7">
        <v>45452</v>
      </c>
      <c r="G1524" s="6" t="s">
        <v>3102</v>
      </c>
      <c r="H1524" s="8">
        <v>83</v>
      </c>
      <c r="I1524" s="9">
        <v>200</v>
      </c>
      <c r="J1524" s="9">
        <v>16807.5</v>
      </c>
      <c r="K1524" s="5" t="str">
        <f>VLOOKUP(D1524,[1]Clientes!$A$1:$B$1485,2,0)</f>
        <v>NAC1314</v>
      </c>
      <c r="L1524" s="5" t="str">
        <f t="shared" si="46"/>
        <v>HGI0124201</v>
      </c>
      <c r="M1524" s="5" t="str">
        <f t="shared" si="47"/>
        <v>I</v>
      </c>
      <c r="N1524" s="5">
        <f>IF(G1524=[1]Clientes!$C$3,[1]Clientes!$D$3,[1]Clientes!$D$2)</f>
        <v>13050505</v>
      </c>
    </row>
    <row r="1525" spans="1:14">
      <c r="A1525" s="6" t="s">
        <v>7</v>
      </c>
      <c r="B1525" s="7">
        <v>45518</v>
      </c>
      <c r="C1525" s="6" t="s">
        <v>4709</v>
      </c>
      <c r="D1525" s="6" t="s">
        <v>4708</v>
      </c>
      <c r="E1525" s="6" t="s">
        <v>16</v>
      </c>
      <c r="F1525" s="7">
        <v>45548</v>
      </c>
      <c r="G1525" s="6" t="s">
        <v>3102</v>
      </c>
      <c r="H1525" s="8"/>
      <c r="I1525" s="9">
        <v>16807.5</v>
      </c>
      <c r="J1525" s="9">
        <v>16807.5</v>
      </c>
      <c r="K1525" s="5" t="str">
        <f>VLOOKUP(D1525,[1]Clientes!$A$1:$B$1485,2,0)</f>
        <v>NAC1314</v>
      </c>
      <c r="L1525" s="5" t="str">
        <f t="shared" si="46"/>
        <v>HGI0126470</v>
      </c>
      <c r="M1525" s="5" t="str">
        <f t="shared" si="47"/>
        <v>I</v>
      </c>
      <c r="N1525" s="5">
        <f>IF(G1525=[1]Clientes!$C$3,[1]Clientes!$D$3,[1]Clientes!$D$2)</f>
        <v>13050505</v>
      </c>
    </row>
    <row r="1526" spans="1:14">
      <c r="A1526" s="6" t="s">
        <v>7</v>
      </c>
      <c r="B1526" s="7">
        <v>45180</v>
      </c>
      <c r="C1526" s="6" t="s">
        <v>4710</v>
      </c>
      <c r="D1526" s="6" t="s">
        <v>4711</v>
      </c>
      <c r="E1526" s="6" t="s">
        <v>16</v>
      </c>
      <c r="F1526" s="7">
        <v>45210</v>
      </c>
      <c r="G1526" s="6" t="s">
        <v>3102</v>
      </c>
      <c r="H1526" s="8">
        <v>325</v>
      </c>
      <c r="I1526" s="9">
        <v>500</v>
      </c>
      <c r="J1526" s="9">
        <v>2340</v>
      </c>
      <c r="K1526" s="5" t="str">
        <f>VLOOKUP(D1526,[1]Clientes!$A$1:$B$1485,2,0)</f>
        <v>NAC1317</v>
      </c>
      <c r="L1526" s="5" t="str">
        <f t="shared" si="46"/>
        <v>HGI0115032</v>
      </c>
      <c r="M1526" s="5" t="str">
        <f t="shared" si="47"/>
        <v>I</v>
      </c>
      <c r="N1526" s="5">
        <f>IF(G1526=[1]Clientes!$C$3,[1]Clientes!$D$3,[1]Clientes!$D$2)</f>
        <v>13050505</v>
      </c>
    </row>
    <row r="1527" spans="1:14">
      <c r="A1527" s="6" t="s">
        <v>7</v>
      </c>
      <c r="B1527" s="7">
        <v>45317</v>
      </c>
      <c r="C1527" s="6" t="s">
        <v>4712</v>
      </c>
      <c r="D1527" s="6" t="s">
        <v>4711</v>
      </c>
      <c r="E1527" s="6" t="s">
        <v>16</v>
      </c>
      <c r="F1527" s="7">
        <v>45347</v>
      </c>
      <c r="G1527" s="6" t="s">
        <v>3102</v>
      </c>
      <c r="H1527" s="8">
        <v>188</v>
      </c>
      <c r="I1527" s="9">
        <v>1873</v>
      </c>
      <c r="J1527" s="9">
        <v>2531.84</v>
      </c>
      <c r="K1527" s="5" t="str">
        <f>VLOOKUP(D1527,[1]Clientes!$A$1:$B$1485,2,0)</f>
        <v>NAC1317</v>
      </c>
      <c r="L1527" s="5" t="str">
        <f t="shared" si="46"/>
        <v>HGI0119972</v>
      </c>
      <c r="M1527" s="5" t="str">
        <f t="shared" si="47"/>
        <v>I</v>
      </c>
      <c r="N1527" s="5">
        <f>IF(G1527=[1]Clientes!$C$3,[1]Clientes!$D$3,[1]Clientes!$D$2)</f>
        <v>13050505</v>
      </c>
    </row>
    <row r="1528" spans="1:14">
      <c r="A1528" s="6" t="s">
        <v>7</v>
      </c>
      <c r="B1528" s="7">
        <v>45495</v>
      </c>
      <c r="C1528" s="6" t="s">
        <v>4713</v>
      </c>
      <c r="D1528" s="6" t="s">
        <v>4711</v>
      </c>
      <c r="E1528" s="6" t="s">
        <v>16</v>
      </c>
      <c r="F1528" s="7">
        <v>45525</v>
      </c>
      <c r="G1528" s="6" t="s">
        <v>3102</v>
      </c>
      <c r="H1528" s="8">
        <v>10</v>
      </c>
      <c r="I1528" s="9">
        <v>10500</v>
      </c>
      <c r="J1528" s="9">
        <v>10500</v>
      </c>
      <c r="K1528" s="5" t="str">
        <f>VLOOKUP(D1528,[1]Clientes!$A$1:$B$1485,2,0)</f>
        <v>NAC1317</v>
      </c>
      <c r="L1528" s="5" t="str">
        <f t="shared" si="46"/>
        <v>HGI0125827</v>
      </c>
      <c r="M1528" s="5" t="str">
        <f t="shared" si="47"/>
        <v>I</v>
      </c>
      <c r="N1528" s="5">
        <f>IF(G1528=[1]Clientes!$C$3,[1]Clientes!$D$3,[1]Clientes!$D$2)</f>
        <v>13050505</v>
      </c>
    </row>
    <row r="1529" spans="1:14">
      <c r="A1529" s="6" t="s">
        <v>7</v>
      </c>
      <c r="B1529" s="7">
        <v>45167</v>
      </c>
      <c r="C1529" s="6" t="s">
        <v>4714</v>
      </c>
      <c r="D1529" s="6" t="s">
        <v>4715</v>
      </c>
      <c r="E1529" s="6" t="s">
        <v>16</v>
      </c>
      <c r="F1529" s="7">
        <v>45197</v>
      </c>
      <c r="G1529" s="6" t="s">
        <v>3102</v>
      </c>
      <c r="H1529" s="8">
        <v>338</v>
      </c>
      <c r="I1529" s="9">
        <v>754</v>
      </c>
      <c r="J1529" s="9">
        <v>28834</v>
      </c>
      <c r="K1529" s="5" t="str">
        <f>VLOOKUP(D1529,[1]Clientes!$A$1:$B$1485,2,0)</f>
        <v>NAC1320</v>
      </c>
      <c r="L1529" s="5" t="str">
        <f t="shared" si="46"/>
        <v>HGI0114755</v>
      </c>
      <c r="M1529" s="5" t="str">
        <f t="shared" si="47"/>
        <v>I</v>
      </c>
      <c r="N1529" s="5">
        <f>IF(G1529=[1]Clientes!$C$3,[1]Clientes!$D$3,[1]Clientes!$D$2)</f>
        <v>13050505</v>
      </c>
    </row>
    <row r="1530" spans="1:14">
      <c r="A1530" s="6" t="s">
        <v>7</v>
      </c>
      <c r="B1530" s="7">
        <v>45169</v>
      </c>
      <c r="C1530" s="6" t="s">
        <v>4716</v>
      </c>
      <c r="D1530" s="6" t="s">
        <v>4715</v>
      </c>
      <c r="E1530" s="6" t="s">
        <v>16</v>
      </c>
      <c r="F1530" s="7">
        <v>45199</v>
      </c>
      <c r="G1530" s="6" t="s">
        <v>3102</v>
      </c>
      <c r="H1530" s="8">
        <v>336</v>
      </c>
      <c r="I1530" s="9">
        <v>3460.12</v>
      </c>
      <c r="J1530" s="9">
        <v>23301.24</v>
      </c>
      <c r="K1530" s="5" t="str">
        <f>VLOOKUP(D1530,[1]Clientes!$A$1:$B$1485,2,0)</f>
        <v>NAC1320</v>
      </c>
      <c r="L1530" s="5" t="str">
        <f t="shared" si="46"/>
        <v>HGI0114780</v>
      </c>
      <c r="M1530" s="5" t="str">
        <f t="shared" si="47"/>
        <v>I</v>
      </c>
      <c r="N1530" s="5">
        <f>IF(G1530=[1]Clientes!$C$3,[1]Clientes!$D$3,[1]Clientes!$D$2)</f>
        <v>13050505</v>
      </c>
    </row>
    <row r="1531" spans="1:14">
      <c r="A1531" s="6" t="s">
        <v>7</v>
      </c>
      <c r="B1531" s="7">
        <v>45310</v>
      </c>
      <c r="C1531" s="6" t="s">
        <v>4717</v>
      </c>
      <c r="D1531" s="6" t="s">
        <v>4715</v>
      </c>
      <c r="E1531" s="6" t="s">
        <v>16</v>
      </c>
      <c r="F1531" s="7">
        <v>45340</v>
      </c>
      <c r="G1531" s="6" t="s">
        <v>3102</v>
      </c>
      <c r="H1531" s="8">
        <v>195</v>
      </c>
      <c r="I1531" s="9">
        <v>58</v>
      </c>
      <c r="J1531" s="9">
        <v>32140.799999999999</v>
      </c>
      <c r="K1531" s="5" t="str">
        <f>VLOOKUP(D1531,[1]Clientes!$A$1:$B$1485,2,0)</f>
        <v>NAC1320</v>
      </c>
      <c r="L1531" s="5" t="str">
        <f t="shared" si="46"/>
        <v>HGI0119501</v>
      </c>
      <c r="M1531" s="5" t="str">
        <f t="shared" si="47"/>
        <v>I</v>
      </c>
      <c r="N1531" s="5">
        <f>IF(G1531=[1]Clientes!$C$3,[1]Clientes!$D$3,[1]Clientes!$D$2)</f>
        <v>13050505</v>
      </c>
    </row>
    <row r="1532" spans="1:14">
      <c r="A1532" s="6" t="s">
        <v>7</v>
      </c>
      <c r="B1532" s="7">
        <v>45322</v>
      </c>
      <c r="C1532" s="6" t="s">
        <v>4718</v>
      </c>
      <c r="D1532" s="6" t="s">
        <v>4715</v>
      </c>
      <c r="E1532" s="6" t="s">
        <v>16</v>
      </c>
      <c r="F1532" s="7">
        <v>45352</v>
      </c>
      <c r="G1532" s="6" t="s">
        <v>3102</v>
      </c>
      <c r="H1532" s="8">
        <v>183</v>
      </c>
      <c r="I1532" s="9">
        <v>17544</v>
      </c>
      <c r="J1532" s="9">
        <v>17544</v>
      </c>
      <c r="K1532" s="5" t="str">
        <f>VLOOKUP(D1532,[1]Clientes!$A$1:$B$1485,2,0)</f>
        <v>NAC1320</v>
      </c>
      <c r="L1532" s="5" t="str">
        <f t="shared" si="46"/>
        <v>HGI0120268</v>
      </c>
      <c r="M1532" s="5" t="str">
        <f t="shared" si="47"/>
        <v>I</v>
      </c>
      <c r="N1532" s="5">
        <f>IF(G1532=[1]Clientes!$C$3,[1]Clientes!$D$3,[1]Clientes!$D$2)</f>
        <v>13050505</v>
      </c>
    </row>
    <row r="1533" spans="1:14">
      <c r="A1533" s="6" t="s">
        <v>3099</v>
      </c>
      <c r="B1533" s="7">
        <v>45345</v>
      </c>
      <c r="C1533" s="6" t="s">
        <v>4719</v>
      </c>
      <c r="D1533" s="6" t="s">
        <v>4715</v>
      </c>
      <c r="E1533" s="6" t="s">
        <v>16</v>
      </c>
      <c r="F1533" s="7">
        <v>45375</v>
      </c>
      <c r="G1533" s="6" t="s">
        <v>3102</v>
      </c>
      <c r="H1533" s="8">
        <v>160</v>
      </c>
      <c r="I1533" s="9">
        <v>-7294.08</v>
      </c>
      <c r="J1533" s="9">
        <v>-7294.08</v>
      </c>
      <c r="K1533" s="5" t="str">
        <f>VLOOKUP(D1533,[1]Clientes!$A$1:$B$1485,2,0)</f>
        <v>NAC1320</v>
      </c>
      <c r="L1533" s="5" t="str">
        <f t="shared" si="46"/>
        <v>CRM0121186</v>
      </c>
      <c r="M1533" s="5" t="str">
        <f t="shared" si="47"/>
        <v>C</v>
      </c>
      <c r="N1533" s="5">
        <f>IF(G1533=[1]Clientes!$C$3,[1]Clientes!$D$3,[1]Clientes!$D$2)</f>
        <v>13050505</v>
      </c>
    </row>
    <row r="1534" spans="1:14">
      <c r="A1534" s="6" t="s">
        <v>7</v>
      </c>
      <c r="B1534" s="7">
        <v>45383</v>
      </c>
      <c r="C1534" s="6" t="s">
        <v>4720</v>
      </c>
      <c r="D1534" s="6" t="s">
        <v>4715</v>
      </c>
      <c r="E1534" s="6" t="s">
        <v>16</v>
      </c>
      <c r="F1534" s="7">
        <v>45413</v>
      </c>
      <c r="G1534" s="6" t="s">
        <v>3102</v>
      </c>
      <c r="H1534" s="8">
        <v>122</v>
      </c>
      <c r="I1534" s="9">
        <v>11544</v>
      </c>
      <c r="J1534" s="9">
        <v>20552</v>
      </c>
      <c r="K1534" s="5" t="str">
        <f>VLOOKUP(D1534,[1]Clientes!$A$1:$B$1485,2,0)</f>
        <v>NAC1320</v>
      </c>
      <c r="L1534" s="5" t="str">
        <f t="shared" si="46"/>
        <v>HGI0122490</v>
      </c>
      <c r="M1534" s="5" t="str">
        <f t="shared" si="47"/>
        <v>I</v>
      </c>
      <c r="N1534" s="5">
        <f>IF(G1534=[1]Clientes!$C$3,[1]Clientes!$D$3,[1]Clientes!$D$2)</f>
        <v>13050505</v>
      </c>
    </row>
    <row r="1535" spans="1:14">
      <c r="A1535" s="6" t="s">
        <v>7</v>
      </c>
      <c r="B1535" s="7">
        <v>45386</v>
      </c>
      <c r="C1535" s="6" t="s">
        <v>4721</v>
      </c>
      <c r="D1535" s="6" t="s">
        <v>4715</v>
      </c>
      <c r="E1535" s="6" t="s">
        <v>16</v>
      </c>
      <c r="F1535" s="7">
        <v>45416</v>
      </c>
      <c r="G1535" s="6" t="s">
        <v>3102</v>
      </c>
      <c r="H1535" s="8">
        <v>119</v>
      </c>
      <c r="I1535" s="9">
        <v>1100</v>
      </c>
      <c r="J1535" s="9">
        <v>6600</v>
      </c>
      <c r="K1535" s="5" t="str">
        <f>VLOOKUP(D1535,[1]Clientes!$A$1:$B$1485,2,0)</f>
        <v>NAC1320</v>
      </c>
      <c r="L1535" s="5" t="str">
        <f t="shared" si="46"/>
        <v>HGI0122612</v>
      </c>
      <c r="M1535" s="5" t="str">
        <f t="shared" si="47"/>
        <v>I</v>
      </c>
      <c r="N1535" s="5">
        <f>IF(G1535=[1]Clientes!$C$3,[1]Clientes!$D$3,[1]Clientes!$D$2)</f>
        <v>13050505</v>
      </c>
    </row>
    <row r="1536" spans="1:14">
      <c r="A1536" s="6" t="s">
        <v>3099</v>
      </c>
      <c r="B1536" s="7">
        <v>45412</v>
      </c>
      <c r="C1536" s="6" t="s">
        <v>4722</v>
      </c>
      <c r="D1536" s="6" t="s">
        <v>4715</v>
      </c>
      <c r="E1536" s="6" t="s">
        <v>16</v>
      </c>
      <c r="F1536" s="7">
        <v>45442</v>
      </c>
      <c r="G1536" s="6" t="s">
        <v>3102</v>
      </c>
      <c r="H1536" s="8">
        <v>93</v>
      </c>
      <c r="I1536" s="9">
        <v>-200</v>
      </c>
      <c r="J1536" s="9">
        <v>-200</v>
      </c>
      <c r="K1536" s="5" t="str">
        <f>VLOOKUP(D1536,[1]Clientes!$A$1:$B$1485,2,0)</f>
        <v>NAC1320</v>
      </c>
      <c r="L1536" s="5" t="str">
        <f t="shared" si="46"/>
        <v>CRM0123771</v>
      </c>
      <c r="M1536" s="5" t="str">
        <f t="shared" si="47"/>
        <v>C</v>
      </c>
      <c r="N1536" s="5">
        <f>IF(G1536=[1]Clientes!$C$3,[1]Clientes!$D$3,[1]Clientes!$D$2)</f>
        <v>13050505</v>
      </c>
    </row>
    <row r="1537" spans="1:14">
      <c r="A1537" s="6" t="s">
        <v>7</v>
      </c>
      <c r="B1537" s="7">
        <v>45209</v>
      </c>
      <c r="C1537" s="6" t="s">
        <v>4723</v>
      </c>
      <c r="D1537" s="6" t="s">
        <v>4724</v>
      </c>
      <c r="E1537" s="6" t="s">
        <v>16</v>
      </c>
      <c r="F1537" s="7">
        <v>45239</v>
      </c>
      <c r="G1537" s="6" t="s">
        <v>3102</v>
      </c>
      <c r="H1537" s="8">
        <v>296</v>
      </c>
      <c r="I1537" s="9">
        <v>1675</v>
      </c>
      <c r="J1537" s="9">
        <v>1675</v>
      </c>
      <c r="K1537" s="5" t="str">
        <f>VLOOKUP(D1537,[1]Clientes!$A$1:$B$1485,2,0)</f>
        <v>NAC1316</v>
      </c>
      <c r="L1537" s="5" t="str">
        <f t="shared" si="46"/>
        <v>HGI0116415</v>
      </c>
      <c r="M1537" s="5" t="str">
        <f t="shared" si="47"/>
        <v>I</v>
      </c>
      <c r="N1537" s="5">
        <f>IF(G1537=[1]Clientes!$C$3,[1]Clientes!$D$3,[1]Clientes!$D$2)</f>
        <v>13050505</v>
      </c>
    </row>
    <row r="1538" spans="1:14">
      <c r="A1538" s="6" t="s">
        <v>7</v>
      </c>
      <c r="B1538" s="7">
        <v>45260</v>
      </c>
      <c r="C1538" s="6" t="s">
        <v>4725</v>
      </c>
      <c r="D1538" s="6" t="s">
        <v>4724</v>
      </c>
      <c r="E1538" s="6" t="s">
        <v>16</v>
      </c>
      <c r="F1538" s="7">
        <v>45290</v>
      </c>
      <c r="G1538" s="6" t="s">
        <v>3102</v>
      </c>
      <c r="H1538" s="8">
        <v>245</v>
      </c>
      <c r="I1538" s="9">
        <v>9755</v>
      </c>
      <c r="J1538" s="9">
        <v>53638.7</v>
      </c>
      <c r="K1538" s="5" t="str">
        <f>VLOOKUP(D1538,[1]Clientes!$A$1:$B$1485,2,0)</f>
        <v>NAC1316</v>
      </c>
      <c r="L1538" s="5" t="str">
        <f t="shared" si="46"/>
        <v>HGI0117825</v>
      </c>
      <c r="M1538" s="5" t="str">
        <f t="shared" si="47"/>
        <v>I</v>
      </c>
      <c r="N1538" s="5">
        <f>IF(G1538=[1]Clientes!$C$3,[1]Clientes!$D$3,[1]Clientes!$D$2)</f>
        <v>13050505</v>
      </c>
    </row>
    <row r="1539" spans="1:14">
      <c r="A1539" s="6" t="s">
        <v>7</v>
      </c>
      <c r="B1539" s="7">
        <v>45279</v>
      </c>
      <c r="C1539" s="6" t="s">
        <v>4726</v>
      </c>
      <c r="D1539" s="6" t="s">
        <v>4724</v>
      </c>
      <c r="E1539" s="6" t="s">
        <v>16</v>
      </c>
      <c r="F1539" s="7">
        <v>45309</v>
      </c>
      <c r="G1539" s="6" t="s">
        <v>3102</v>
      </c>
      <c r="H1539" s="8">
        <v>226</v>
      </c>
      <c r="I1539" s="9">
        <v>6732.37</v>
      </c>
      <c r="J1539" s="9">
        <v>118808.48</v>
      </c>
      <c r="K1539" s="5" t="str">
        <f>VLOOKUP(D1539,[1]Clientes!$A$1:$B$1485,2,0)</f>
        <v>NAC1316</v>
      </c>
      <c r="L1539" s="5" t="str">
        <f t="shared" ref="L1539:L1602" si="48">IF(A1539="Invoice",
    IF(LEFT(C1539,5)="TGDR-", "TGDR"&amp;RIGHT(C1539,LEN(C1539)-5), "HGI"&amp;C1539),
    IF(A1539="Credit Memo",
        IF(LEFT(C1539,5)="TGDR-", "CRM"&amp;RIGHT(C1539,LEN(C1539)-5), "CRM"&amp;C1539),
        "Revisar")
)</f>
        <v>HGI0118494</v>
      </c>
      <c r="M1539" s="5" t="str">
        <f t="shared" ref="M1539:M1602" si="49">IF(A1539="Invoice","I",IF(A1539="Credit Memo","C",IF(A1539="Payment","P","GJ")))</f>
        <v>I</v>
      </c>
      <c r="N1539" s="5">
        <f>IF(G1539=[1]Clientes!$C$3,[1]Clientes!$D$3,[1]Clientes!$D$2)</f>
        <v>13050505</v>
      </c>
    </row>
    <row r="1540" spans="1:14">
      <c r="A1540" s="6" t="s">
        <v>7</v>
      </c>
      <c r="B1540" s="7">
        <v>45286</v>
      </c>
      <c r="C1540" s="6" t="s">
        <v>4727</v>
      </c>
      <c r="D1540" s="6" t="s">
        <v>4724</v>
      </c>
      <c r="E1540" s="6" t="s">
        <v>16</v>
      </c>
      <c r="F1540" s="7">
        <v>45316</v>
      </c>
      <c r="G1540" s="6" t="s">
        <v>3102</v>
      </c>
      <c r="H1540" s="8">
        <v>219</v>
      </c>
      <c r="I1540" s="9">
        <v>297.5</v>
      </c>
      <c r="J1540" s="9">
        <v>9247.5</v>
      </c>
      <c r="K1540" s="5" t="str">
        <f>VLOOKUP(D1540,[1]Clientes!$A$1:$B$1485,2,0)</f>
        <v>NAC1316</v>
      </c>
      <c r="L1540" s="5" t="str">
        <f t="shared" si="48"/>
        <v>HGI0118587</v>
      </c>
      <c r="M1540" s="5" t="str">
        <f t="shared" si="49"/>
        <v>I</v>
      </c>
      <c r="N1540" s="5">
        <f>IF(G1540=[1]Clientes!$C$3,[1]Clientes!$D$3,[1]Clientes!$D$2)</f>
        <v>13050505</v>
      </c>
    </row>
    <row r="1541" spans="1:14">
      <c r="A1541" s="6" t="s">
        <v>7</v>
      </c>
      <c r="B1541" s="7">
        <v>45299</v>
      </c>
      <c r="C1541" s="6" t="s">
        <v>4728</v>
      </c>
      <c r="D1541" s="6" t="s">
        <v>4724</v>
      </c>
      <c r="E1541" s="6" t="s">
        <v>16</v>
      </c>
      <c r="F1541" s="7">
        <v>45329</v>
      </c>
      <c r="G1541" s="6" t="s">
        <v>3102</v>
      </c>
      <c r="H1541" s="8">
        <v>206</v>
      </c>
      <c r="I1541" s="9">
        <v>1816.56</v>
      </c>
      <c r="J1541" s="9">
        <v>16383</v>
      </c>
      <c r="K1541" s="5" t="str">
        <f>VLOOKUP(D1541,[1]Clientes!$A$1:$B$1485,2,0)</f>
        <v>NAC1316</v>
      </c>
      <c r="L1541" s="5" t="str">
        <f t="shared" si="48"/>
        <v>HGI0118978</v>
      </c>
      <c r="M1541" s="5" t="str">
        <f t="shared" si="49"/>
        <v>I</v>
      </c>
      <c r="N1541" s="5">
        <f>IF(G1541=[1]Clientes!$C$3,[1]Clientes!$D$3,[1]Clientes!$D$2)</f>
        <v>13050505</v>
      </c>
    </row>
    <row r="1542" spans="1:14">
      <c r="A1542" s="6" t="s">
        <v>7</v>
      </c>
      <c r="B1542" s="7">
        <v>45447</v>
      </c>
      <c r="C1542" s="6" t="s">
        <v>4729</v>
      </c>
      <c r="D1542" s="6" t="s">
        <v>4724</v>
      </c>
      <c r="E1542" s="6" t="s">
        <v>16</v>
      </c>
      <c r="F1542" s="7">
        <v>45477</v>
      </c>
      <c r="G1542" s="6" t="s">
        <v>3102</v>
      </c>
      <c r="H1542" s="8">
        <v>58</v>
      </c>
      <c r="I1542" s="9">
        <v>450</v>
      </c>
      <c r="J1542" s="9">
        <v>9760</v>
      </c>
      <c r="K1542" s="5" t="str">
        <f>VLOOKUP(D1542,[1]Clientes!$A$1:$B$1485,2,0)</f>
        <v>NAC1316</v>
      </c>
      <c r="L1542" s="5" t="str">
        <f t="shared" si="48"/>
        <v>HGI0124829</v>
      </c>
      <c r="M1542" s="5" t="str">
        <f t="shared" si="49"/>
        <v>I</v>
      </c>
      <c r="N1542" s="5">
        <f>IF(G1542=[1]Clientes!$C$3,[1]Clientes!$D$3,[1]Clientes!$D$2)</f>
        <v>13050505</v>
      </c>
    </row>
    <row r="1543" spans="1:14">
      <c r="A1543" s="6" t="s">
        <v>7</v>
      </c>
      <c r="B1543" s="7">
        <v>45488</v>
      </c>
      <c r="C1543" s="6" t="s">
        <v>4730</v>
      </c>
      <c r="D1543" s="6" t="s">
        <v>4724</v>
      </c>
      <c r="E1543" s="6" t="s">
        <v>16</v>
      </c>
      <c r="F1543" s="7">
        <v>45518</v>
      </c>
      <c r="G1543" s="6" t="s">
        <v>3102</v>
      </c>
      <c r="H1543" s="8">
        <v>17</v>
      </c>
      <c r="I1543" s="9">
        <v>1988.1</v>
      </c>
      <c r="J1543" s="9">
        <v>83768.73</v>
      </c>
      <c r="K1543" s="5" t="str">
        <f>VLOOKUP(D1543,[1]Clientes!$A$1:$B$1485,2,0)</f>
        <v>NAC1316</v>
      </c>
      <c r="L1543" s="5" t="str">
        <f t="shared" si="48"/>
        <v>HGI0125791</v>
      </c>
      <c r="M1543" s="5" t="str">
        <f t="shared" si="49"/>
        <v>I</v>
      </c>
      <c r="N1543" s="5">
        <f>IF(G1543=[1]Clientes!$C$3,[1]Clientes!$D$3,[1]Clientes!$D$2)</f>
        <v>13050505</v>
      </c>
    </row>
    <row r="1544" spans="1:14">
      <c r="A1544" s="6" t="s">
        <v>3265</v>
      </c>
      <c r="B1544" s="7">
        <v>45532</v>
      </c>
      <c r="C1544" s="6" t="s">
        <v>4689</v>
      </c>
      <c r="D1544" s="6" t="s">
        <v>4724</v>
      </c>
      <c r="E1544" s="6"/>
      <c r="F1544" s="7"/>
      <c r="G1544" s="6" t="s">
        <v>3102</v>
      </c>
      <c r="H1544" s="8"/>
      <c r="I1544" s="9">
        <v>250</v>
      </c>
      <c r="J1544" s="9">
        <v>250</v>
      </c>
      <c r="K1544" s="5" t="str">
        <f>VLOOKUP(D1544,[1]Clientes!$A$1:$B$1485,2,0)</f>
        <v>NAC1316</v>
      </c>
      <c r="L1544" s="5" t="str">
        <f t="shared" si="48"/>
        <v>Revisar</v>
      </c>
      <c r="M1544" s="5" t="str">
        <f t="shared" si="49"/>
        <v>GJ</v>
      </c>
      <c r="N1544" s="5">
        <f>IF(G1544=[1]Clientes!$C$3,[1]Clientes!$D$3,[1]Clientes!$D$2)</f>
        <v>13050505</v>
      </c>
    </row>
    <row r="1545" spans="1:14">
      <c r="A1545" s="6" t="s">
        <v>3265</v>
      </c>
      <c r="B1545" s="7">
        <v>45532</v>
      </c>
      <c r="C1545" s="6" t="s">
        <v>4689</v>
      </c>
      <c r="D1545" s="6" t="s">
        <v>4724</v>
      </c>
      <c r="E1545" s="6"/>
      <c r="F1545" s="7"/>
      <c r="G1545" s="6" t="s">
        <v>3102</v>
      </c>
      <c r="H1545" s="8"/>
      <c r="I1545" s="9">
        <v>500</v>
      </c>
      <c r="J1545" s="9">
        <v>500</v>
      </c>
      <c r="K1545" s="5" t="str">
        <f>VLOOKUP(D1545,[1]Clientes!$A$1:$B$1485,2,0)</f>
        <v>NAC1316</v>
      </c>
      <c r="L1545" s="5" t="str">
        <f t="shared" si="48"/>
        <v>Revisar</v>
      </c>
      <c r="M1545" s="5" t="str">
        <f t="shared" si="49"/>
        <v>GJ</v>
      </c>
      <c r="N1545" s="5">
        <f>IF(G1545=[1]Clientes!$C$3,[1]Clientes!$D$3,[1]Clientes!$D$2)</f>
        <v>13050505</v>
      </c>
    </row>
    <row r="1546" spans="1:14">
      <c r="A1546" s="6" t="s">
        <v>3265</v>
      </c>
      <c r="B1546" s="7">
        <v>45532</v>
      </c>
      <c r="C1546" s="6" t="s">
        <v>4689</v>
      </c>
      <c r="D1546" s="6" t="s">
        <v>4724</v>
      </c>
      <c r="E1546" s="6"/>
      <c r="F1546" s="7"/>
      <c r="G1546" s="6" t="s">
        <v>3102</v>
      </c>
      <c r="H1546" s="8"/>
      <c r="I1546" s="9">
        <v>250</v>
      </c>
      <c r="J1546" s="9">
        <v>250</v>
      </c>
      <c r="K1546" s="5" t="str">
        <f>VLOOKUP(D1546,[1]Clientes!$A$1:$B$1485,2,0)</f>
        <v>NAC1316</v>
      </c>
      <c r="L1546" s="5" t="str">
        <f t="shared" si="48"/>
        <v>Revisar</v>
      </c>
      <c r="M1546" s="5" t="str">
        <f t="shared" si="49"/>
        <v>GJ</v>
      </c>
      <c r="N1546" s="5">
        <f>IF(G1546=[1]Clientes!$C$3,[1]Clientes!$D$3,[1]Clientes!$D$2)</f>
        <v>13050505</v>
      </c>
    </row>
    <row r="1547" spans="1:14">
      <c r="A1547" s="6" t="s">
        <v>3099</v>
      </c>
      <c r="B1547" s="7">
        <v>45531</v>
      </c>
      <c r="C1547" s="6" t="s">
        <v>4731</v>
      </c>
      <c r="D1547" s="6" t="s">
        <v>4724</v>
      </c>
      <c r="E1547" s="6" t="s">
        <v>16</v>
      </c>
      <c r="F1547" s="7">
        <v>45561</v>
      </c>
      <c r="G1547" s="6" t="s">
        <v>3102</v>
      </c>
      <c r="H1547" s="8"/>
      <c r="I1547" s="9">
        <v>-250</v>
      </c>
      <c r="J1547" s="9">
        <v>-250</v>
      </c>
      <c r="K1547" s="5" t="str">
        <f>VLOOKUP(D1547,[1]Clientes!$A$1:$B$1485,2,0)</f>
        <v>NAC1316</v>
      </c>
      <c r="L1547" s="5" t="str">
        <f t="shared" si="48"/>
        <v>CRM0126873</v>
      </c>
      <c r="M1547" s="5" t="str">
        <f t="shared" si="49"/>
        <v>C</v>
      </c>
      <c r="N1547" s="5">
        <f>IF(G1547=[1]Clientes!$C$3,[1]Clientes!$D$3,[1]Clientes!$D$2)</f>
        <v>13050505</v>
      </c>
    </row>
    <row r="1548" spans="1:14">
      <c r="A1548" s="6" t="s">
        <v>3099</v>
      </c>
      <c r="B1548" s="7">
        <v>45531</v>
      </c>
      <c r="C1548" s="6" t="s">
        <v>4732</v>
      </c>
      <c r="D1548" s="6" t="s">
        <v>4724</v>
      </c>
      <c r="E1548" s="6" t="s">
        <v>16</v>
      </c>
      <c r="F1548" s="7">
        <v>45561</v>
      </c>
      <c r="G1548" s="6" t="s">
        <v>3102</v>
      </c>
      <c r="H1548" s="8"/>
      <c r="I1548" s="9">
        <v>-500</v>
      </c>
      <c r="J1548" s="9">
        <v>-500</v>
      </c>
      <c r="K1548" s="5" t="str">
        <f>VLOOKUP(D1548,[1]Clientes!$A$1:$B$1485,2,0)</f>
        <v>NAC1316</v>
      </c>
      <c r="L1548" s="5" t="str">
        <f t="shared" si="48"/>
        <v>CRM0126874</v>
      </c>
      <c r="M1548" s="5" t="str">
        <f t="shared" si="49"/>
        <v>C</v>
      </c>
      <c r="N1548" s="5">
        <f>IF(G1548=[1]Clientes!$C$3,[1]Clientes!$D$3,[1]Clientes!$D$2)</f>
        <v>13050505</v>
      </c>
    </row>
    <row r="1549" spans="1:14">
      <c r="A1549" s="6" t="s">
        <v>3099</v>
      </c>
      <c r="B1549" s="7">
        <v>45531</v>
      </c>
      <c r="C1549" s="6" t="s">
        <v>4733</v>
      </c>
      <c r="D1549" s="6" t="s">
        <v>4724</v>
      </c>
      <c r="E1549" s="6" t="s">
        <v>16</v>
      </c>
      <c r="F1549" s="7">
        <v>45561</v>
      </c>
      <c r="G1549" s="6" t="s">
        <v>3102</v>
      </c>
      <c r="H1549" s="8"/>
      <c r="I1549" s="9">
        <v>-250</v>
      </c>
      <c r="J1549" s="9">
        <v>-250</v>
      </c>
      <c r="K1549" s="5" t="str">
        <f>VLOOKUP(D1549,[1]Clientes!$A$1:$B$1485,2,0)</f>
        <v>NAC1316</v>
      </c>
      <c r="L1549" s="5" t="str">
        <f t="shared" si="48"/>
        <v>CRM0126878</v>
      </c>
      <c r="M1549" s="5" t="str">
        <f t="shared" si="49"/>
        <v>C</v>
      </c>
      <c r="N1549" s="5">
        <f>IF(G1549=[1]Clientes!$C$3,[1]Clientes!$D$3,[1]Clientes!$D$2)</f>
        <v>13050505</v>
      </c>
    </row>
    <row r="1550" spans="1:14">
      <c r="A1550" s="6" t="s">
        <v>7</v>
      </c>
      <c r="B1550" s="7">
        <v>45232</v>
      </c>
      <c r="C1550" s="6" t="s">
        <v>4734</v>
      </c>
      <c r="D1550" s="6" t="s">
        <v>4735</v>
      </c>
      <c r="E1550" s="6" t="s">
        <v>16</v>
      </c>
      <c r="F1550" s="7">
        <v>45262</v>
      </c>
      <c r="G1550" s="6" t="s">
        <v>3102</v>
      </c>
      <c r="H1550" s="8">
        <v>273</v>
      </c>
      <c r="I1550" s="9">
        <v>1604.5</v>
      </c>
      <c r="J1550" s="9">
        <v>9162.2199999999993</v>
      </c>
      <c r="K1550" s="5" t="str">
        <f>VLOOKUP(D1550,[1]Clientes!$A$1:$B$1485,2,0)</f>
        <v>NAC1318</v>
      </c>
      <c r="L1550" s="5" t="str">
        <f t="shared" si="48"/>
        <v>HGI0116791</v>
      </c>
      <c r="M1550" s="5" t="str">
        <f t="shared" si="49"/>
        <v>I</v>
      </c>
      <c r="N1550" s="5">
        <f>IF(G1550=[1]Clientes!$C$3,[1]Clientes!$D$3,[1]Clientes!$D$2)</f>
        <v>13050505</v>
      </c>
    </row>
    <row r="1551" spans="1:14">
      <c r="A1551" s="6" t="s">
        <v>7</v>
      </c>
      <c r="B1551" s="7">
        <v>45377</v>
      </c>
      <c r="C1551" s="6" t="s">
        <v>4736</v>
      </c>
      <c r="D1551" s="6" t="s">
        <v>4735</v>
      </c>
      <c r="E1551" s="6" t="s">
        <v>16</v>
      </c>
      <c r="F1551" s="7">
        <v>45407</v>
      </c>
      <c r="G1551" s="6" t="s">
        <v>3102</v>
      </c>
      <c r="H1551" s="8">
        <v>128</v>
      </c>
      <c r="I1551" s="9">
        <v>11214.68</v>
      </c>
      <c r="J1551" s="9">
        <v>58003.93</v>
      </c>
      <c r="K1551" s="5" t="str">
        <f>VLOOKUP(D1551,[1]Clientes!$A$1:$B$1485,2,0)</f>
        <v>NAC1318</v>
      </c>
      <c r="L1551" s="5" t="str">
        <f t="shared" si="48"/>
        <v>HGI0122285</v>
      </c>
      <c r="M1551" s="5" t="str">
        <f t="shared" si="49"/>
        <v>I</v>
      </c>
      <c r="N1551" s="5">
        <f>IF(G1551=[1]Clientes!$C$3,[1]Clientes!$D$3,[1]Clientes!$D$2)</f>
        <v>13050505</v>
      </c>
    </row>
    <row r="1552" spans="1:14">
      <c r="A1552" s="6" t="s">
        <v>7</v>
      </c>
      <c r="B1552" s="7">
        <v>45320</v>
      </c>
      <c r="C1552" s="6" t="s">
        <v>4737</v>
      </c>
      <c r="D1552" s="6" t="s">
        <v>1812</v>
      </c>
      <c r="E1552" s="6" t="s">
        <v>16</v>
      </c>
      <c r="F1552" s="7">
        <v>45350</v>
      </c>
      <c r="G1552" s="6" t="s">
        <v>3102</v>
      </c>
      <c r="H1552" s="8">
        <v>185</v>
      </c>
      <c r="I1552" s="9">
        <v>594</v>
      </c>
      <c r="J1552" s="9">
        <v>6566.32</v>
      </c>
      <c r="K1552" s="5" t="str">
        <f>VLOOKUP(D1552,[1]Clientes!$A$1:$B$1370,2,0)</f>
        <v>NAC1327</v>
      </c>
      <c r="L1552" s="5" t="str">
        <f t="shared" si="48"/>
        <v>HGI0120029</v>
      </c>
      <c r="M1552" s="5" t="str">
        <f t="shared" si="49"/>
        <v>I</v>
      </c>
      <c r="N1552" s="5">
        <f>IF(G1552=[1]Clientes!$C$3,[1]Clientes!$D$3,[1]Clientes!$D$2)</f>
        <v>13050505</v>
      </c>
    </row>
    <row r="1553" spans="1:14">
      <c r="A1553" s="6" t="s">
        <v>7</v>
      </c>
      <c r="B1553" s="7">
        <v>45337</v>
      </c>
      <c r="C1553" s="6" t="s">
        <v>4738</v>
      </c>
      <c r="D1553" s="6" t="s">
        <v>1812</v>
      </c>
      <c r="E1553" s="6" t="s">
        <v>16</v>
      </c>
      <c r="F1553" s="7">
        <v>45367</v>
      </c>
      <c r="G1553" s="6" t="s">
        <v>3102</v>
      </c>
      <c r="H1553" s="8">
        <v>168</v>
      </c>
      <c r="I1553" s="9">
        <v>93.24</v>
      </c>
      <c r="J1553" s="9">
        <v>3108</v>
      </c>
      <c r="K1553" s="5" t="str">
        <f>VLOOKUP(D1553,[1]Clientes!$A$1:$B$1370,2,0)</f>
        <v>NAC1327</v>
      </c>
      <c r="L1553" s="5" t="str">
        <f t="shared" si="48"/>
        <v>HGI0120969</v>
      </c>
      <c r="M1553" s="5" t="str">
        <f t="shared" si="49"/>
        <v>I</v>
      </c>
      <c r="N1553" s="5">
        <f>IF(G1553=[1]Clientes!$C$3,[1]Clientes!$D$3,[1]Clientes!$D$2)</f>
        <v>13050505</v>
      </c>
    </row>
    <row r="1554" spans="1:14">
      <c r="A1554" s="6" t="s">
        <v>3099</v>
      </c>
      <c r="B1554" s="7">
        <v>45345</v>
      </c>
      <c r="C1554" s="6" t="s">
        <v>4739</v>
      </c>
      <c r="D1554" s="6" t="s">
        <v>1812</v>
      </c>
      <c r="E1554" s="6" t="s">
        <v>16</v>
      </c>
      <c r="F1554" s="7">
        <v>45375</v>
      </c>
      <c r="G1554" s="6" t="s">
        <v>3102</v>
      </c>
      <c r="H1554" s="8">
        <v>160</v>
      </c>
      <c r="I1554" s="9">
        <v>-77.7</v>
      </c>
      <c r="J1554" s="9">
        <v>-77.7</v>
      </c>
      <c r="K1554" s="5" t="str">
        <f>VLOOKUP(D1554,[1]Clientes!$A$1:$B$1370,2,0)</f>
        <v>NAC1327</v>
      </c>
      <c r="L1554" s="5" t="str">
        <f t="shared" si="48"/>
        <v>CRM0121187</v>
      </c>
      <c r="M1554" s="5" t="str">
        <f t="shared" si="49"/>
        <v>C</v>
      </c>
      <c r="N1554" s="5">
        <f>IF(G1554=[1]Clientes!$C$3,[1]Clientes!$D$3,[1]Clientes!$D$2)</f>
        <v>13050505</v>
      </c>
    </row>
    <row r="1555" spans="1:14">
      <c r="A1555" s="6" t="s">
        <v>7</v>
      </c>
      <c r="B1555" s="7">
        <v>45355</v>
      </c>
      <c r="C1555" s="6" t="s">
        <v>4740</v>
      </c>
      <c r="D1555" s="6" t="s">
        <v>1812</v>
      </c>
      <c r="E1555" s="6" t="s">
        <v>16</v>
      </c>
      <c r="F1555" s="7">
        <v>45385</v>
      </c>
      <c r="G1555" s="6" t="s">
        <v>3102</v>
      </c>
      <c r="H1555" s="8">
        <v>150</v>
      </c>
      <c r="I1555" s="9">
        <v>93.24</v>
      </c>
      <c r="J1555" s="9">
        <v>621.6</v>
      </c>
      <c r="K1555" s="5" t="str">
        <f>VLOOKUP(D1555,[1]Clientes!$A$1:$B$1370,2,0)</f>
        <v>NAC1327</v>
      </c>
      <c r="L1555" s="5" t="str">
        <f t="shared" si="48"/>
        <v>HGI0121495</v>
      </c>
      <c r="M1555" s="5" t="str">
        <f t="shared" si="49"/>
        <v>I</v>
      </c>
      <c r="N1555" s="5">
        <f>IF(G1555=[1]Clientes!$C$3,[1]Clientes!$D$3,[1]Clientes!$D$2)</f>
        <v>13050505</v>
      </c>
    </row>
    <row r="1556" spans="1:14">
      <c r="A1556" s="6" t="s">
        <v>7</v>
      </c>
      <c r="B1556" s="7">
        <v>45397</v>
      </c>
      <c r="C1556" s="6" t="s">
        <v>4741</v>
      </c>
      <c r="D1556" s="6" t="s">
        <v>1812</v>
      </c>
      <c r="E1556" s="6" t="s">
        <v>16</v>
      </c>
      <c r="F1556" s="7">
        <v>45427</v>
      </c>
      <c r="G1556" s="6" t="s">
        <v>3102</v>
      </c>
      <c r="H1556" s="8">
        <v>108</v>
      </c>
      <c r="I1556" s="9">
        <v>274.54000000000002</v>
      </c>
      <c r="J1556" s="9">
        <v>1864.8</v>
      </c>
      <c r="K1556" s="5" t="str">
        <f>VLOOKUP(D1556,[1]Clientes!$A$1:$B$1370,2,0)</f>
        <v>NAC1327</v>
      </c>
      <c r="L1556" s="5" t="str">
        <f t="shared" si="48"/>
        <v>HGI0123014</v>
      </c>
      <c r="M1556" s="5" t="str">
        <f t="shared" si="49"/>
        <v>I</v>
      </c>
      <c r="N1556" s="5">
        <f>IF(G1556=[1]Clientes!$C$3,[1]Clientes!$D$3,[1]Clientes!$D$2)</f>
        <v>13050505</v>
      </c>
    </row>
    <row r="1557" spans="1:14">
      <c r="A1557" s="6" t="s">
        <v>7</v>
      </c>
      <c r="B1557" s="7">
        <v>45399</v>
      </c>
      <c r="C1557" s="6" t="s">
        <v>4742</v>
      </c>
      <c r="D1557" s="6" t="s">
        <v>1812</v>
      </c>
      <c r="E1557" s="6" t="s">
        <v>16</v>
      </c>
      <c r="F1557" s="7">
        <v>45429</v>
      </c>
      <c r="G1557" s="6" t="s">
        <v>3102</v>
      </c>
      <c r="H1557" s="8">
        <v>106</v>
      </c>
      <c r="I1557" s="9">
        <v>155.4</v>
      </c>
      <c r="J1557" s="9">
        <v>2486.4</v>
      </c>
      <c r="K1557" s="5" t="str">
        <f>VLOOKUP(D1557,[1]Clientes!$A$1:$B$1370,2,0)</f>
        <v>NAC1327</v>
      </c>
      <c r="L1557" s="5" t="str">
        <f t="shared" si="48"/>
        <v>HGI0123151</v>
      </c>
      <c r="M1557" s="5" t="str">
        <f t="shared" si="49"/>
        <v>I</v>
      </c>
      <c r="N1557" s="5">
        <f>IF(G1557=[1]Clientes!$C$3,[1]Clientes!$D$3,[1]Clientes!$D$2)</f>
        <v>13050505</v>
      </c>
    </row>
    <row r="1558" spans="1:14">
      <c r="A1558" s="6" t="s">
        <v>7</v>
      </c>
      <c r="B1558" s="7">
        <v>45415</v>
      </c>
      <c r="C1558" s="6" t="s">
        <v>4743</v>
      </c>
      <c r="D1558" s="6" t="s">
        <v>1812</v>
      </c>
      <c r="E1558" s="6" t="s">
        <v>16</v>
      </c>
      <c r="F1558" s="7">
        <v>45445</v>
      </c>
      <c r="G1558" s="6" t="s">
        <v>3102</v>
      </c>
      <c r="H1558" s="8">
        <v>90</v>
      </c>
      <c r="I1558" s="9">
        <v>31.08</v>
      </c>
      <c r="J1558" s="9">
        <v>1864.8</v>
      </c>
      <c r="K1558" s="5" t="str">
        <f>VLOOKUP(D1558,[1]Clientes!$A$1:$B$1370,2,0)</f>
        <v>NAC1327</v>
      </c>
      <c r="L1558" s="5" t="str">
        <f t="shared" si="48"/>
        <v>HGI0123883</v>
      </c>
      <c r="M1558" s="5" t="str">
        <f t="shared" si="49"/>
        <v>I</v>
      </c>
      <c r="N1558" s="5">
        <f>IF(G1558=[1]Clientes!$C$3,[1]Clientes!$D$3,[1]Clientes!$D$2)</f>
        <v>13050505</v>
      </c>
    </row>
    <row r="1559" spans="1:14">
      <c r="A1559" s="6" t="s">
        <v>7</v>
      </c>
      <c r="B1559" s="7">
        <v>45432</v>
      </c>
      <c r="C1559" s="6" t="s">
        <v>4744</v>
      </c>
      <c r="D1559" s="6" t="s">
        <v>1812</v>
      </c>
      <c r="E1559" s="6" t="s">
        <v>16</v>
      </c>
      <c r="F1559" s="7">
        <v>45462</v>
      </c>
      <c r="G1559" s="6" t="s">
        <v>3102</v>
      </c>
      <c r="H1559" s="8">
        <v>73</v>
      </c>
      <c r="I1559" s="9">
        <v>1647.24</v>
      </c>
      <c r="J1559" s="9">
        <v>3108</v>
      </c>
      <c r="K1559" s="5" t="str">
        <f>VLOOKUP(D1559,[1]Clientes!$A$1:$B$1370,2,0)</f>
        <v>NAC1327</v>
      </c>
      <c r="L1559" s="5" t="str">
        <f t="shared" si="48"/>
        <v>HGI0124508</v>
      </c>
      <c r="M1559" s="5" t="str">
        <f t="shared" si="49"/>
        <v>I</v>
      </c>
      <c r="N1559" s="5">
        <f>IF(G1559=[1]Clientes!$C$3,[1]Clientes!$D$3,[1]Clientes!$D$2)</f>
        <v>13050505</v>
      </c>
    </row>
    <row r="1560" spans="1:14">
      <c r="A1560" s="6" t="s">
        <v>7</v>
      </c>
      <c r="B1560" s="7">
        <v>45440</v>
      </c>
      <c r="C1560" s="6" t="s">
        <v>4745</v>
      </c>
      <c r="D1560" s="6" t="s">
        <v>1812</v>
      </c>
      <c r="E1560" s="6" t="s">
        <v>16</v>
      </c>
      <c r="F1560" s="7">
        <v>45470</v>
      </c>
      <c r="G1560" s="6" t="s">
        <v>3102</v>
      </c>
      <c r="H1560" s="8">
        <v>65</v>
      </c>
      <c r="I1560" s="9">
        <v>1864.8</v>
      </c>
      <c r="J1560" s="9">
        <v>1864.8</v>
      </c>
      <c r="K1560" s="5" t="str">
        <f>VLOOKUP(D1560,[1]Clientes!$A$1:$B$1370,2,0)</f>
        <v>NAC1327</v>
      </c>
      <c r="L1560" s="5" t="str">
        <f t="shared" si="48"/>
        <v>HGI0124651</v>
      </c>
      <c r="M1560" s="5" t="str">
        <f t="shared" si="49"/>
        <v>I</v>
      </c>
      <c r="N1560" s="5">
        <f>IF(G1560=[1]Clientes!$C$3,[1]Clientes!$D$3,[1]Clientes!$D$2)</f>
        <v>13050505</v>
      </c>
    </row>
    <row r="1561" spans="1:14">
      <c r="A1561" s="6" t="s">
        <v>7</v>
      </c>
      <c r="B1561" s="7">
        <v>45440</v>
      </c>
      <c r="C1561" s="6" t="s">
        <v>4746</v>
      </c>
      <c r="D1561" s="6" t="s">
        <v>1812</v>
      </c>
      <c r="E1561" s="6" t="s">
        <v>16</v>
      </c>
      <c r="F1561" s="7">
        <v>45470</v>
      </c>
      <c r="G1561" s="6" t="s">
        <v>3102</v>
      </c>
      <c r="H1561" s="8">
        <v>65</v>
      </c>
      <c r="I1561" s="9">
        <v>31.08</v>
      </c>
      <c r="J1561" s="9">
        <v>3108</v>
      </c>
      <c r="K1561" s="5" t="str">
        <f>VLOOKUP(D1561,[1]Clientes!$A$1:$B$1370,2,0)</f>
        <v>NAC1327</v>
      </c>
      <c r="L1561" s="5" t="str">
        <f t="shared" si="48"/>
        <v>HGI0124653</v>
      </c>
      <c r="M1561" s="5" t="str">
        <f t="shared" si="49"/>
        <v>I</v>
      </c>
      <c r="N1561" s="5">
        <f>IF(G1561=[1]Clientes!$C$3,[1]Clientes!$D$3,[1]Clientes!$D$2)</f>
        <v>13050505</v>
      </c>
    </row>
    <row r="1562" spans="1:14">
      <c r="A1562" s="6" t="s">
        <v>7</v>
      </c>
      <c r="B1562" s="7">
        <v>45440</v>
      </c>
      <c r="C1562" s="6" t="s">
        <v>4747</v>
      </c>
      <c r="D1562" s="6" t="s">
        <v>1812</v>
      </c>
      <c r="E1562" s="6" t="s">
        <v>16</v>
      </c>
      <c r="F1562" s="7">
        <v>45470</v>
      </c>
      <c r="G1562" s="6" t="s">
        <v>3102</v>
      </c>
      <c r="H1562" s="8">
        <v>65</v>
      </c>
      <c r="I1562" s="9">
        <v>62.16</v>
      </c>
      <c r="J1562" s="9">
        <v>3108</v>
      </c>
      <c r="K1562" s="5" t="str">
        <f>VLOOKUP(D1562,[1]Clientes!$A$1:$B$1370,2,0)</f>
        <v>NAC1327</v>
      </c>
      <c r="L1562" s="5" t="str">
        <f t="shared" si="48"/>
        <v>HGI0124654</v>
      </c>
      <c r="M1562" s="5" t="str">
        <f t="shared" si="49"/>
        <v>I</v>
      </c>
      <c r="N1562" s="5">
        <f>IF(G1562=[1]Clientes!$C$3,[1]Clientes!$D$3,[1]Clientes!$D$2)</f>
        <v>13050505</v>
      </c>
    </row>
    <row r="1563" spans="1:14">
      <c r="A1563" s="6" t="s">
        <v>7</v>
      </c>
      <c r="B1563" s="7">
        <v>45448</v>
      </c>
      <c r="C1563" s="6" t="s">
        <v>4748</v>
      </c>
      <c r="D1563" s="6" t="s">
        <v>1812</v>
      </c>
      <c r="E1563" s="6" t="s">
        <v>16</v>
      </c>
      <c r="F1563" s="7">
        <v>45478</v>
      </c>
      <c r="G1563" s="6" t="s">
        <v>3102</v>
      </c>
      <c r="H1563" s="8">
        <v>57</v>
      </c>
      <c r="I1563" s="9">
        <v>62.16</v>
      </c>
      <c r="J1563" s="9">
        <v>3108</v>
      </c>
      <c r="K1563" s="5" t="str">
        <f>VLOOKUP(D1563,[1]Clientes!$A$1:$B$1370,2,0)</f>
        <v>NAC1327</v>
      </c>
      <c r="L1563" s="5" t="str">
        <f t="shared" si="48"/>
        <v>HGI0124841</v>
      </c>
      <c r="M1563" s="5" t="str">
        <f t="shared" si="49"/>
        <v>I</v>
      </c>
      <c r="N1563" s="5">
        <f>IF(G1563=[1]Clientes!$C$3,[1]Clientes!$D$3,[1]Clientes!$D$2)</f>
        <v>13050505</v>
      </c>
    </row>
    <row r="1564" spans="1:14">
      <c r="A1564" s="6" t="s">
        <v>7</v>
      </c>
      <c r="B1564" s="7">
        <v>45471</v>
      </c>
      <c r="C1564" s="6" t="s">
        <v>4749</v>
      </c>
      <c r="D1564" s="6" t="s">
        <v>1812</v>
      </c>
      <c r="E1564" s="6" t="s">
        <v>16</v>
      </c>
      <c r="F1564" s="7">
        <v>45501</v>
      </c>
      <c r="G1564" s="6" t="s">
        <v>3102</v>
      </c>
      <c r="H1564" s="8">
        <v>34</v>
      </c>
      <c r="I1564" s="9">
        <v>69.84</v>
      </c>
      <c r="J1564" s="9">
        <v>1780.92</v>
      </c>
      <c r="K1564" s="5" t="str">
        <f>VLOOKUP(D1564,[1]Clientes!$A$1:$B$1370,2,0)</f>
        <v>NAC1327</v>
      </c>
      <c r="L1564" s="5" t="str">
        <f t="shared" si="48"/>
        <v>HGI0125384</v>
      </c>
      <c r="M1564" s="5" t="str">
        <f t="shared" si="49"/>
        <v>I</v>
      </c>
      <c r="N1564" s="5">
        <f>IF(G1564=[1]Clientes!$C$3,[1]Clientes!$D$3,[1]Clientes!$D$2)</f>
        <v>13050505</v>
      </c>
    </row>
    <row r="1565" spans="1:14">
      <c r="A1565" s="6" t="s">
        <v>7</v>
      </c>
      <c r="B1565" s="7">
        <v>45471</v>
      </c>
      <c r="C1565" s="6" t="s">
        <v>4750</v>
      </c>
      <c r="D1565" s="6" t="s">
        <v>1812</v>
      </c>
      <c r="E1565" s="6" t="s">
        <v>16</v>
      </c>
      <c r="F1565" s="7">
        <v>45501</v>
      </c>
      <c r="G1565" s="6" t="s">
        <v>3102</v>
      </c>
      <c r="H1565" s="8">
        <v>34</v>
      </c>
      <c r="I1565" s="9">
        <v>293</v>
      </c>
      <c r="J1565" s="9">
        <v>2163.3200000000002</v>
      </c>
      <c r="K1565" s="5" t="str">
        <f>VLOOKUP(D1565,[1]Clientes!$A$1:$B$1370,2,0)</f>
        <v>NAC1327</v>
      </c>
      <c r="L1565" s="5" t="str">
        <f t="shared" si="48"/>
        <v>HGI0125385</v>
      </c>
      <c r="M1565" s="5" t="str">
        <f t="shared" si="49"/>
        <v>I</v>
      </c>
      <c r="N1565" s="5">
        <f>IF(G1565=[1]Clientes!$C$3,[1]Clientes!$D$3,[1]Clientes!$D$2)</f>
        <v>13050505</v>
      </c>
    </row>
    <row r="1566" spans="1:14">
      <c r="A1566" s="6" t="s">
        <v>7</v>
      </c>
      <c r="B1566" s="7">
        <v>45471</v>
      </c>
      <c r="C1566" s="6" t="s">
        <v>4751</v>
      </c>
      <c r="D1566" s="6" t="s">
        <v>1812</v>
      </c>
      <c r="E1566" s="6" t="s">
        <v>16</v>
      </c>
      <c r="F1566" s="7">
        <v>45501</v>
      </c>
      <c r="G1566" s="6" t="s">
        <v>3102</v>
      </c>
      <c r="H1566" s="8">
        <v>34</v>
      </c>
      <c r="I1566" s="9">
        <v>45.92</v>
      </c>
      <c r="J1566" s="9">
        <v>2589</v>
      </c>
      <c r="K1566" s="5" t="str">
        <f>VLOOKUP(D1566,[1]Clientes!$A$1:$B$1370,2,0)</f>
        <v>NAC1327</v>
      </c>
      <c r="L1566" s="5" t="str">
        <f t="shared" si="48"/>
        <v>HGI0125387</v>
      </c>
      <c r="M1566" s="5" t="str">
        <f t="shared" si="49"/>
        <v>I</v>
      </c>
      <c r="N1566" s="5">
        <f>IF(G1566=[1]Clientes!$C$3,[1]Clientes!$D$3,[1]Clientes!$D$2)</f>
        <v>13050505</v>
      </c>
    </row>
    <row r="1567" spans="1:14">
      <c r="A1567" s="6" t="s">
        <v>7</v>
      </c>
      <c r="B1567" s="7">
        <v>45474</v>
      </c>
      <c r="C1567" s="6" t="s">
        <v>4752</v>
      </c>
      <c r="D1567" s="6" t="s">
        <v>1812</v>
      </c>
      <c r="E1567" s="6" t="s">
        <v>16</v>
      </c>
      <c r="F1567" s="7">
        <v>45504</v>
      </c>
      <c r="G1567" s="6" t="s">
        <v>3102</v>
      </c>
      <c r="H1567" s="8">
        <v>31</v>
      </c>
      <c r="I1567" s="9">
        <v>33.65</v>
      </c>
      <c r="J1567" s="9">
        <v>1886.76</v>
      </c>
      <c r="K1567" s="5" t="str">
        <f>VLOOKUP(D1567,[1]Clientes!$A$1:$B$1370,2,0)</f>
        <v>NAC1327</v>
      </c>
      <c r="L1567" s="5" t="str">
        <f t="shared" si="48"/>
        <v>HGI0125401</v>
      </c>
      <c r="M1567" s="5" t="str">
        <f t="shared" si="49"/>
        <v>I</v>
      </c>
      <c r="N1567" s="5">
        <f>IF(G1567=[1]Clientes!$C$3,[1]Clientes!$D$3,[1]Clientes!$D$2)</f>
        <v>13050505</v>
      </c>
    </row>
    <row r="1568" spans="1:14">
      <c r="A1568" s="6" t="s">
        <v>7</v>
      </c>
      <c r="B1568" s="7">
        <v>45474</v>
      </c>
      <c r="C1568" s="6" t="s">
        <v>4753</v>
      </c>
      <c r="D1568" s="6" t="s">
        <v>1812</v>
      </c>
      <c r="E1568" s="6" t="s">
        <v>16</v>
      </c>
      <c r="F1568" s="7">
        <v>45504</v>
      </c>
      <c r="G1568" s="6" t="s">
        <v>3102</v>
      </c>
      <c r="H1568" s="8">
        <v>31</v>
      </c>
      <c r="I1568" s="9">
        <v>69.84</v>
      </c>
      <c r="J1568" s="9">
        <v>1187.28</v>
      </c>
      <c r="K1568" s="5" t="str">
        <f>VLOOKUP(D1568,[1]Clientes!$A$1:$B$1370,2,0)</f>
        <v>NAC1327</v>
      </c>
      <c r="L1568" s="5" t="str">
        <f t="shared" si="48"/>
        <v>HGI0125404</v>
      </c>
      <c r="M1568" s="5" t="str">
        <f t="shared" si="49"/>
        <v>I</v>
      </c>
      <c r="N1568" s="5">
        <f>IF(G1568=[1]Clientes!$C$3,[1]Clientes!$D$3,[1]Clientes!$D$2)</f>
        <v>13050505</v>
      </c>
    </row>
    <row r="1569" spans="1:14">
      <c r="A1569" s="6" t="s">
        <v>7</v>
      </c>
      <c r="B1569" s="7">
        <v>45475</v>
      </c>
      <c r="C1569" s="6" t="s">
        <v>4754</v>
      </c>
      <c r="D1569" s="6" t="s">
        <v>1812</v>
      </c>
      <c r="E1569" s="6" t="s">
        <v>16</v>
      </c>
      <c r="F1569" s="7">
        <v>45505</v>
      </c>
      <c r="G1569" s="6" t="s">
        <v>3102</v>
      </c>
      <c r="H1569" s="8">
        <v>30</v>
      </c>
      <c r="I1569" s="9">
        <v>264</v>
      </c>
      <c r="J1569" s="9">
        <v>264</v>
      </c>
      <c r="K1569" s="5" t="str">
        <f>VLOOKUP(D1569,[1]Clientes!$A$1:$B$1370,2,0)</f>
        <v>NAC1327</v>
      </c>
      <c r="L1569" s="5" t="str">
        <f t="shared" si="48"/>
        <v>HGI0125445</v>
      </c>
      <c r="M1569" s="5" t="str">
        <f t="shared" si="49"/>
        <v>I</v>
      </c>
      <c r="N1569" s="5">
        <f>IF(G1569=[1]Clientes!$C$3,[1]Clientes!$D$3,[1]Clientes!$D$2)</f>
        <v>13050505</v>
      </c>
    </row>
    <row r="1570" spans="1:14">
      <c r="A1570" s="6" t="s">
        <v>7</v>
      </c>
      <c r="B1570" s="7">
        <v>45491</v>
      </c>
      <c r="C1570" s="6" t="s">
        <v>4755</v>
      </c>
      <c r="D1570" s="6" t="s">
        <v>1812</v>
      </c>
      <c r="E1570" s="6" t="s">
        <v>16</v>
      </c>
      <c r="F1570" s="7">
        <v>45521</v>
      </c>
      <c r="G1570" s="6" t="s">
        <v>3102</v>
      </c>
      <c r="H1570" s="8">
        <v>14</v>
      </c>
      <c r="I1570" s="9">
        <v>124.32</v>
      </c>
      <c r="J1570" s="9">
        <v>3108</v>
      </c>
      <c r="K1570" s="5" t="str">
        <f>VLOOKUP(D1570,[1]Clientes!$A$1:$B$1370,2,0)</f>
        <v>NAC1327</v>
      </c>
      <c r="L1570" s="5" t="str">
        <f t="shared" si="48"/>
        <v>HGI0125877</v>
      </c>
      <c r="M1570" s="5" t="str">
        <f t="shared" si="49"/>
        <v>I</v>
      </c>
      <c r="N1570" s="5">
        <f>IF(G1570=[1]Clientes!$C$3,[1]Clientes!$D$3,[1]Clientes!$D$2)</f>
        <v>13050505</v>
      </c>
    </row>
    <row r="1571" spans="1:14">
      <c r="A1571" s="6" t="s">
        <v>7</v>
      </c>
      <c r="B1571" s="7">
        <v>45497</v>
      </c>
      <c r="C1571" s="6" t="s">
        <v>4756</v>
      </c>
      <c r="D1571" s="6" t="s">
        <v>1812</v>
      </c>
      <c r="E1571" s="6" t="s">
        <v>16</v>
      </c>
      <c r="F1571" s="7">
        <v>45527</v>
      </c>
      <c r="G1571" s="6" t="s">
        <v>3102</v>
      </c>
      <c r="H1571" s="8">
        <v>8</v>
      </c>
      <c r="I1571" s="9">
        <v>3108</v>
      </c>
      <c r="J1571" s="9">
        <v>3108</v>
      </c>
      <c r="K1571" s="5" t="str">
        <f>VLOOKUP(D1571,[1]Clientes!$A$1:$B$1370,2,0)</f>
        <v>NAC1327</v>
      </c>
      <c r="L1571" s="5" t="str">
        <f t="shared" si="48"/>
        <v>HGI0125912</v>
      </c>
      <c r="M1571" s="5" t="str">
        <f t="shared" si="49"/>
        <v>I</v>
      </c>
      <c r="N1571" s="5">
        <f>IF(G1571=[1]Clientes!$C$3,[1]Clientes!$D$3,[1]Clientes!$D$2)</f>
        <v>13050505</v>
      </c>
    </row>
    <row r="1572" spans="1:14">
      <c r="A1572" s="6" t="s">
        <v>7</v>
      </c>
      <c r="B1572" s="7">
        <v>45497</v>
      </c>
      <c r="C1572" s="6" t="s">
        <v>4757</v>
      </c>
      <c r="D1572" s="6" t="s">
        <v>1812</v>
      </c>
      <c r="E1572" s="6" t="s">
        <v>16</v>
      </c>
      <c r="F1572" s="7">
        <v>45527</v>
      </c>
      <c r="G1572" s="6" t="s">
        <v>3102</v>
      </c>
      <c r="H1572" s="8">
        <v>8</v>
      </c>
      <c r="I1572" s="9">
        <v>3108</v>
      </c>
      <c r="J1572" s="9">
        <v>3108</v>
      </c>
      <c r="K1572" s="5" t="str">
        <f>VLOOKUP(D1572,[1]Clientes!$A$1:$B$1370,2,0)</f>
        <v>NAC1327</v>
      </c>
      <c r="L1572" s="5" t="str">
        <f t="shared" si="48"/>
        <v>HGI0125913</v>
      </c>
      <c r="M1572" s="5" t="str">
        <f t="shared" si="49"/>
        <v>I</v>
      </c>
      <c r="N1572" s="5">
        <f>IF(G1572=[1]Clientes!$C$3,[1]Clientes!$D$3,[1]Clientes!$D$2)</f>
        <v>13050505</v>
      </c>
    </row>
    <row r="1573" spans="1:14">
      <c r="A1573" s="6" t="s">
        <v>7</v>
      </c>
      <c r="B1573" s="7">
        <v>45497</v>
      </c>
      <c r="C1573" s="6" t="s">
        <v>4758</v>
      </c>
      <c r="D1573" s="6" t="s">
        <v>1812</v>
      </c>
      <c r="E1573" s="6" t="s">
        <v>16</v>
      </c>
      <c r="F1573" s="7">
        <v>45527</v>
      </c>
      <c r="G1573" s="6" t="s">
        <v>3102</v>
      </c>
      <c r="H1573" s="8">
        <v>8</v>
      </c>
      <c r="I1573" s="9">
        <v>3108</v>
      </c>
      <c r="J1573" s="9">
        <v>3108</v>
      </c>
      <c r="K1573" s="5" t="str">
        <f>VLOOKUP(D1573,[1]Clientes!$A$1:$B$1370,2,0)</f>
        <v>NAC1327</v>
      </c>
      <c r="L1573" s="5" t="str">
        <f t="shared" si="48"/>
        <v>HGI0125914</v>
      </c>
      <c r="M1573" s="5" t="str">
        <f t="shared" si="49"/>
        <v>I</v>
      </c>
      <c r="N1573" s="5">
        <f>IF(G1573=[1]Clientes!$C$3,[1]Clientes!$D$3,[1]Clientes!$D$2)</f>
        <v>13050505</v>
      </c>
    </row>
    <row r="1574" spans="1:14">
      <c r="A1574" s="6" t="s">
        <v>7</v>
      </c>
      <c r="B1574" s="7">
        <v>45497</v>
      </c>
      <c r="C1574" s="6" t="s">
        <v>4759</v>
      </c>
      <c r="D1574" s="6" t="s">
        <v>1812</v>
      </c>
      <c r="E1574" s="6" t="s">
        <v>16</v>
      </c>
      <c r="F1574" s="7">
        <v>45527</v>
      </c>
      <c r="G1574" s="6" t="s">
        <v>3102</v>
      </c>
      <c r="H1574" s="8">
        <v>8</v>
      </c>
      <c r="I1574" s="9">
        <v>621.6</v>
      </c>
      <c r="J1574" s="9">
        <v>621.6</v>
      </c>
      <c r="K1574" s="5" t="str">
        <f>VLOOKUP(D1574,[1]Clientes!$A$1:$B$1370,2,0)</f>
        <v>NAC1327</v>
      </c>
      <c r="L1574" s="5" t="str">
        <f t="shared" si="48"/>
        <v>HGI0125915</v>
      </c>
      <c r="M1574" s="5" t="str">
        <f t="shared" si="49"/>
        <v>I</v>
      </c>
      <c r="N1574" s="5">
        <f>IF(G1574=[1]Clientes!$C$3,[1]Clientes!$D$3,[1]Clientes!$D$2)</f>
        <v>13050505</v>
      </c>
    </row>
    <row r="1575" spans="1:14">
      <c r="A1575" s="6" t="s">
        <v>7</v>
      </c>
      <c r="B1575" s="7">
        <v>45497</v>
      </c>
      <c r="C1575" s="6" t="s">
        <v>4760</v>
      </c>
      <c r="D1575" s="6" t="s">
        <v>1812</v>
      </c>
      <c r="E1575" s="6" t="s">
        <v>16</v>
      </c>
      <c r="F1575" s="7">
        <v>45527</v>
      </c>
      <c r="G1575" s="6" t="s">
        <v>3102</v>
      </c>
      <c r="H1575" s="8">
        <v>8</v>
      </c>
      <c r="I1575" s="9">
        <v>1864.8</v>
      </c>
      <c r="J1575" s="9">
        <v>1864.8</v>
      </c>
      <c r="K1575" s="5" t="str">
        <f>VLOOKUP(D1575,[1]Clientes!$A$1:$B$1370,2,0)</f>
        <v>NAC1327</v>
      </c>
      <c r="L1575" s="5" t="str">
        <f t="shared" si="48"/>
        <v>HGI0125916</v>
      </c>
      <c r="M1575" s="5" t="str">
        <f t="shared" si="49"/>
        <v>I</v>
      </c>
      <c r="N1575" s="5">
        <f>IF(G1575=[1]Clientes!$C$3,[1]Clientes!$D$3,[1]Clientes!$D$2)</f>
        <v>13050505</v>
      </c>
    </row>
    <row r="1576" spans="1:14">
      <c r="A1576" s="6" t="s">
        <v>7</v>
      </c>
      <c r="B1576" s="7">
        <v>45497</v>
      </c>
      <c r="C1576" s="6" t="s">
        <v>4761</v>
      </c>
      <c r="D1576" s="6" t="s">
        <v>1812</v>
      </c>
      <c r="E1576" s="6" t="s">
        <v>16</v>
      </c>
      <c r="F1576" s="7">
        <v>45527</v>
      </c>
      <c r="G1576" s="6" t="s">
        <v>3102</v>
      </c>
      <c r="H1576" s="8">
        <v>8</v>
      </c>
      <c r="I1576" s="9">
        <v>1117.44</v>
      </c>
      <c r="J1576" s="9">
        <v>1117.44</v>
      </c>
      <c r="K1576" s="5" t="str">
        <f>VLOOKUP(D1576,[1]Clientes!$A$1:$B$1370,2,0)</f>
        <v>NAC1327</v>
      </c>
      <c r="L1576" s="5" t="str">
        <f t="shared" si="48"/>
        <v>HGI0125941</v>
      </c>
      <c r="M1576" s="5" t="str">
        <f t="shared" si="49"/>
        <v>I</v>
      </c>
      <c r="N1576" s="5">
        <f>IF(G1576=[1]Clientes!$C$3,[1]Clientes!$D$3,[1]Clientes!$D$2)</f>
        <v>13050505</v>
      </c>
    </row>
    <row r="1577" spans="1:14">
      <c r="A1577" s="6" t="s">
        <v>7</v>
      </c>
      <c r="B1577" s="7">
        <v>45509</v>
      </c>
      <c r="C1577" s="6" t="s">
        <v>4762</v>
      </c>
      <c r="D1577" s="6" t="s">
        <v>1812</v>
      </c>
      <c r="E1577" s="6" t="s">
        <v>16</v>
      </c>
      <c r="F1577" s="7">
        <v>45539</v>
      </c>
      <c r="G1577" s="6" t="s">
        <v>3102</v>
      </c>
      <c r="H1577" s="8"/>
      <c r="I1577" s="9">
        <v>1864.8</v>
      </c>
      <c r="J1577" s="9">
        <v>1864.8</v>
      </c>
      <c r="K1577" s="5" t="str">
        <f>VLOOKUP(D1577,[1]Clientes!$A$1:$B$1370,2,0)</f>
        <v>NAC1327</v>
      </c>
      <c r="L1577" s="5" t="str">
        <f t="shared" si="48"/>
        <v>HGI0126197</v>
      </c>
      <c r="M1577" s="5" t="str">
        <f t="shared" si="49"/>
        <v>I</v>
      </c>
      <c r="N1577" s="5">
        <f>IF(G1577=[1]Clientes!$C$3,[1]Clientes!$D$3,[1]Clientes!$D$2)</f>
        <v>13050505</v>
      </c>
    </row>
    <row r="1578" spans="1:14">
      <c r="A1578" s="6" t="s">
        <v>7</v>
      </c>
      <c r="B1578" s="7">
        <v>45513</v>
      </c>
      <c r="C1578" s="6" t="s">
        <v>4763</v>
      </c>
      <c r="D1578" s="6" t="s">
        <v>1812</v>
      </c>
      <c r="E1578" s="6" t="s">
        <v>16</v>
      </c>
      <c r="F1578" s="7">
        <v>45543</v>
      </c>
      <c r="G1578" s="6" t="s">
        <v>3102</v>
      </c>
      <c r="H1578" s="8"/>
      <c r="I1578" s="9">
        <v>3108</v>
      </c>
      <c r="J1578" s="9">
        <v>3108</v>
      </c>
      <c r="K1578" s="5" t="str">
        <f>VLOOKUP(D1578,[1]Clientes!$A$1:$B$1370,2,0)</f>
        <v>NAC1327</v>
      </c>
      <c r="L1578" s="5" t="str">
        <f t="shared" si="48"/>
        <v>HGI0126347</v>
      </c>
      <c r="M1578" s="5" t="str">
        <f t="shared" si="49"/>
        <v>I</v>
      </c>
      <c r="N1578" s="5">
        <f>IF(G1578=[1]Clientes!$C$3,[1]Clientes!$D$3,[1]Clientes!$D$2)</f>
        <v>13050505</v>
      </c>
    </row>
    <row r="1579" spans="1:14">
      <c r="A1579" s="6" t="s">
        <v>7</v>
      </c>
      <c r="B1579" s="7">
        <v>45523</v>
      </c>
      <c r="C1579" s="6" t="s">
        <v>4764</v>
      </c>
      <c r="D1579" s="6" t="s">
        <v>1812</v>
      </c>
      <c r="E1579" s="6" t="s">
        <v>16</v>
      </c>
      <c r="F1579" s="7">
        <v>45553</v>
      </c>
      <c r="G1579" s="6" t="s">
        <v>3102</v>
      </c>
      <c r="H1579" s="8"/>
      <c r="I1579" s="9">
        <v>3108</v>
      </c>
      <c r="J1579" s="9">
        <v>3108</v>
      </c>
      <c r="K1579" s="5" t="str">
        <f>VLOOKUP(D1579,[1]Clientes!$A$1:$B$1370,2,0)</f>
        <v>NAC1327</v>
      </c>
      <c r="L1579" s="5" t="str">
        <f t="shared" si="48"/>
        <v>HGI0126668</v>
      </c>
      <c r="M1579" s="5" t="str">
        <f t="shared" si="49"/>
        <v>I</v>
      </c>
      <c r="N1579" s="5">
        <f>IF(G1579=[1]Clientes!$C$3,[1]Clientes!$D$3,[1]Clientes!$D$2)</f>
        <v>13050505</v>
      </c>
    </row>
    <row r="1580" spans="1:14">
      <c r="A1580" s="6" t="s">
        <v>7</v>
      </c>
      <c r="B1580" s="7">
        <v>45523</v>
      </c>
      <c r="C1580" s="6" t="s">
        <v>4765</v>
      </c>
      <c r="D1580" s="6" t="s">
        <v>1812</v>
      </c>
      <c r="E1580" s="6" t="s">
        <v>16</v>
      </c>
      <c r="F1580" s="7">
        <v>45553</v>
      </c>
      <c r="G1580" s="6" t="s">
        <v>3102</v>
      </c>
      <c r="H1580" s="8"/>
      <c r="I1580" s="9">
        <v>3108</v>
      </c>
      <c r="J1580" s="9">
        <v>3108</v>
      </c>
      <c r="K1580" s="5" t="str">
        <f>VLOOKUP(D1580,[1]Clientes!$A$1:$B$1370,2,0)</f>
        <v>NAC1327</v>
      </c>
      <c r="L1580" s="5" t="str">
        <f t="shared" si="48"/>
        <v>HGI0126669</v>
      </c>
      <c r="M1580" s="5" t="str">
        <f t="shared" si="49"/>
        <v>I</v>
      </c>
      <c r="N1580" s="5">
        <f>IF(G1580=[1]Clientes!$C$3,[1]Clientes!$D$3,[1]Clientes!$D$2)</f>
        <v>13050505</v>
      </c>
    </row>
    <row r="1581" spans="1:14">
      <c r="A1581" s="6" t="s">
        <v>7</v>
      </c>
      <c r="B1581" s="7">
        <v>45523</v>
      </c>
      <c r="C1581" s="6" t="s">
        <v>4766</v>
      </c>
      <c r="D1581" s="6" t="s">
        <v>1812</v>
      </c>
      <c r="E1581" s="6" t="s">
        <v>16</v>
      </c>
      <c r="F1581" s="7">
        <v>45553</v>
      </c>
      <c r="G1581" s="6" t="s">
        <v>3102</v>
      </c>
      <c r="H1581" s="8"/>
      <c r="I1581" s="9">
        <v>3108</v>
      </c>
      <c r="J1581" s="9">
        <v>3108</v>
      </c>
      <c r="K1581" s="5" t="str">
        <f>VLOOKUP(D1581,[1]Clientes!$A$1:$B$1370,2,0)</f>
        <v>NAC1327</v>
      </c>
      <c r="L1581" s="5" t="str">
        <f t="shared" si="48"/>
        <v>HGI0126670</v>
      </c>
      <c r="M1581" s="5" t="str">
        <f t="shared" si="49"/>
        <v>I</v>
      </c>
      <c r="N1581" s="5">
        <f>IF(G1581=[1]Clientes!$C$3,[1]Clientes!$D$3,[1]Clientes!$D$2)</f>
        <v>13050505</v>
      </c>
    </row>
    <row r="1582" spans="1:14">
      <c r="A1582" s="6" t="s">
        <v>7</v>
      </c>
      <c r="B1582" s="7">
        <v>45523</v>
      </c>
      <c r="C1582" s="6" t="s">
        <v>4767</v>
      </c>
      <c r="D1582" s="6" t="s">
        <v>1812</v>
      </c>
      <c r="E1582" s="6" t="s">
        <v>16</v>
      </c>
      <c r="F1582" s="7">
        <v>45553</v>
      </c>
      <c r="G1582" s="6" t="s">
        <v>3102</v>
      </c>
      <c r="H1582" s="8"/>
      <c r="I1582" s="9">
        <v>2486.4</v>
      </c>
      <c r="J1582" s="9">
        <v>2486.4</v>
      </c>
      <c r="K1582" s="5" t="str">
        <f>VLOOKUP(D1582,[1]Clientes!$A$1:$B$1370,2,0)</f>
        <v>NAC1327</v>
      </c>
      <c r="L1582" s="5" t="str">
        <f t="shared" si="48"/>
        <v>HGI0126716</v>
      </c>
      <c r="M1582" s="5" t="str">
        <f t="shared" si="49"/>
        <v>I</v>
      </c>
      <c r="N1582" s="5">
        <f>IF(G1582=[1]Clientes!$C$3,[1]Clientes!$D$3,[1]Clientes!$D$2)</f>
        <v>13050505</v>
      </c>
    </row>
    <row r="1583" spans="1:14">
      <c r="A1583" s="6" t="s">
        <v>7</v>
      </c>
      <c r="B1583" s="7">
        <v>45523</v>
      </c>
      <c r="C1583" s="6" t="s">
        <v>4768</v>
      </c>
      <c r="D1583" s="6" t="s">
        <v>1812</v>
      </c>
      <c r="E1583" s="6" t="s">
        <v>16</v>
      </c>
      <c r="F1583" s="7">
        <v>45553</v>
      </c>
      <c r="G1583" s="6" t="s">
        <v>3102</v>
      </c>
      <c r="H1583" s="8"/>
      <c r="I1583" s="9">
        <v>2486.4</v>
      </c>
      <c r="J1583" s="9">
        <v>2486.4</v>
      </c>
      <c r="K1583" s="5" t="str">
        <f>VLOOKUP(D1583,[1]Clientes!$A$1:$B$1370,2,0)</f>
        <v>NAC1327</v>
      </c>
      <c r="L1583" s="5" t="str">
        <f t="shared" si="48"/>
        <v>HGI0126717</v>
      </c>
      <c r="M1583" s="5" t="str">
        <f t="shared" si="49"/>
        <v>I</v>
      </c>
      <c r="N1583" s="5">
        <f>IF(G1583=[1]Clientes!$C$3,[1]Clientes!$D$3,[1]Clientes!$D$2)</f>
        <v>13050505</v>
      </c>
    </row>
    <row r="1584" spans="1:14">
      <c r="A1584" s="6" t="s">
        <v>3099</v>
      </c>
      <c r="B1584" s="7">
        <v>45524</v>
      </c>
      <c r="C1584" s="6" t="s">
        <v>4769</v>
      </c>
      <c r="D1584" s="6" t="s">
        <v>1812</v>
      </c>
      <c r="E1584" s="6" t="s">
        <v>16</v>
      </c>
      <c r="F1584" s="7">
        <v>45554</v>
      </c>
      <c r="G1584" s="6" t="s">
        <v>3102</v>
      </c>
      <c r="H1584" s="8"/>
      <c r="I1584" s="9">
        <v>-31.08</v>
      </c>
      <c r="J1584" s="9">
        <v>-31.08</v>
      </c>
      <c r="K1584" s="5" t="str">
        <f>VLOOKUP(D1584,[1]Clientes!$A$1:$B$1370,2,0)</f>
        <v>NAC1327</v>
      </c>
      <c r="L1584" s="5" t="str">
        <f t="shared" si="48"/>
        <v>CRM0126675</v>
      </c>
      <c r="M1584" s="5" t="str">
        <f t="shared" si="49"/>
        <v>C</v>
      </c>
      <c r="N1584" s="5">
        <f>IF(G1584=[1]Clientes!$C$3,[1]Clientes!$D$3,[1]Clientes!$D$2)</f>
        <v>13050505</v>
      </c>
    </row>
    <row r="1585" spans="1:14">
      <c r="A1585" s="6" t="s">
        <v>3099</v>
      </c>
      <c r="B1585" s="7">
        <v>45524</v>
      </c>
      <c r="C1585" s="6" t="s">
        <v>4770</v>
      </c>
      <c r="D1585" s="6" t="s">
        <v>1812</v>
      </c>
      <c r="E1585" s="6" t="s">
        <v>16</v>
      </c>
      <c r="F1585" s="7">
        <v>45554</v>
      </c>
      <c r="G1585" s="6" t="s">
        <v>3102</v>
      </c>
      <c r="H1585" s="8"/>
      <c r="I1585" s="9">
        <v>-62.16</v>
      </c>
      <c r="J1585" s="9">
        <v>-62.16</v>
      </c>
      <c r="K1585" s="5" t="str">
        <f>VLOOKUP(D1585,[1]Clientes!$A$1:$B$1370,2,0)</f>
        <v>NAC1327</v>
      </c>
      <c r="L1585" s="5" t="str">
        <f t="shared" si="48"/>
        <v>CRM0126676</v>
      </c>
      <c r="M1585" s="5" t="str">
        <f t="shared" si="49"/>
        <v>C</v>
      </c>
      <c r="N1585" s="5">
        <f>IF(G1585=[1]Clientes!$C$3,[1]Clientes!$D$3,[1]Clientes!$D$2)</f>
        <v>13050505</v>
      </c>
    </row>
    <row r="1586" spans="1:14">
      <c r="A1586" s="6" t="s">
        <v>7</v>
      </c>
      <c r="B1586" s="7">
        <v>45524</v>
      </c>
      <c r="C1586" s="6" t="s">
        <v>4771</v>
      </c>
      <c r="D1586" s="6" t="s">
        <v>1812</v>
      </c>
      <c r="E1586" s="6" t="s">
        <v>16</v>
      </c>
      <c r="F1586" s="7">
        <v>45554</v>
      </c>
      <c r="G1586" s="6" t="s">
        <v>3102</v>
      </c>
      <c r="H1586" s="8"/>
      <c r="I1586" s="9">
        <v>3108</v>
      </c>
      <c r="J1586" s="9">
        <v>3108</v>
      </c>
      <c r="K1586" s="5" t="str">
        <f>VLOOKUP(D1586,[1]Clientes!$A$1:$B$1370,2,0)</f>
        <v>NAC1327</v>
      </c>
      <c r="L1586" s="5" t="str">
        <f t="shared" si="48"/>
        <v>HGI0126722</v>
      </c>
      <c r="M1586" s="5" t="str">
        <f t="shared" si="49"/>
        <v>I</v>
      </c>
      <c r="N1586" s="5">
        <f>IF(G1586=[1]Clientes!$C$3,[1]Clientes!$D$3,[1]Clientes!$D$2)</f>
        <v>13050505</v>
      </c>
    </row>
    <row r="1587" spans="1:14">
      <c r="A1587" s="6" t="s">
        <v>3099</v>
      </c>
      <c r="B1587" s="7">
        <v>45528</v>
      </c>
      <c r="C1587" s="6" t="s">
        <v>4772</v>
      </c>
      <c r="D1587" s="6" t="s">
        <v>1812</v>
      </c>
      <c r="E1587" s="6" t="s">
        <v>16</v>
      </c>
      <c r="F1587" s="7">
        <v>45558</v>
      </c>
      <c r="G1587" s="6" t="s">
        <v>3102</v>
      </c>
      <c r="H1587" s="8"/>
      <c r="I1587" s="9">
        <v>-124.32</v>
      </c>
      <c r="J1587" s="9">
        <v>-124.32</v>
      </c>
      <c r="K1587" s="5" t="str">
        <f>VLOOKUP(D1587,[1]Clientes!$A$1:$B$1370,2,0)</f>
        <v>NAC1327</v>
      </c>
      <c r="L1587" s="5" t="str">
        <f t="shared" si="48"/>
        <v>CRM0126829</v>
      </c>
      <c r="M1587" s="5" t="str">
        <f t="shared" si="49"/>
        <v>C</v>
      </c>
      <c r="N1587" s="5">
        <f>IF(G1587=[1]Clientes!$C$3,[1]Clientes!$D$3,[1]Clientes!$D$2)</f>
        <v>13050505</v>
      </c>
    </row>
    <row r="1588" spans="1:14">
      <c r="A1588" s="6" t="s">
        <v>7</v>
      </c>
      <c r="B1588" s="7">
        <v>45531</v>
      </c>
      <c r="C1588" s="6" t="s">
        <v>4773</v>
      </c>
      <c r="D1588" s="6" t="s">
        <v>1812</v>
      </c>
      <c r="E1588" s="6" t="s">
        <v>16</v>
      </c>
      <c r="F1588" s="7">
        <v>45561</v>
      </c>
      <c r="G1588" s="6" t="s">
        <v>3102</v>
      </c>
      <c r="H1588" s="8"/>
      <c r="I1588" s="9">
        <v>1864.8</v>
      </c>
      <c r="J1588" s="9">
        <v>1864.8</v>
      </c>
      <c r="K1588" s="5" t="str">
        <f>VLOOKUP(D1588,[1]Clientes!$A$1:$B$1370,2,0)</f>
        <v>NAC1327</v>
      </c>
      <c r="L1588" s="5" t="str">
        <f t="shared" si="48"/>
        <v>HGI0126947</v>
      </c>
      <c r="M1588" s="5" t="str">
        <f t="shared" si="49"/>
        <v>I</v>
      </c>
      <c r="N1588" s="5">
        <f>IF(G1588=[1]Clientes!$C$3,[1]Clientes!$D$3,[1]Clientes!$D$2)</f>
        <v>13050505</v>
      </c>
    </row>
    <row r="1589" spans="1:14">
      <c r="A1589" s="6" t="s">
        <v>7</v>
      </c>
      <c r="B1589" s="7">
        <v>45531</v>
      </c>
      <c r="C1589" s="6" t="s">
        <v>4774</v>
      </c>
      <c r="D1589" s="6" t="s">
        <v>1812</v>
      </c>
      <c r="E1589" s="6" t="s">
        <v>16</v>
      </c>
      <c r="F1589" s="7">
        <v>45561</v>
      </c>
      <c r="G1589" s="6" t="s">
        <v>3102</v>
      </c>
      <c r="H1589" s="8"/>
      <c r="I1589" s="9">
        <v>3108</v>
      </c>
      <c r="J1589" s="9">
        <v>3108</v>
      </c>
      <c r="K1589" s="5" t="str">
        <f>VLOOKUP(D1589,[1]Clientes!$A$1:$B$1370,2,0)</f>
        <v>NAC1327</v>
      </c>
      <c r="L1589" s="5" t="str">
        <f t="shared" si="48"/>
        <v>HGI0126948</v>
      </c>
      <c r="M1589" s="5" t="str">
        <f t="shared" si="49"/>
        <v>I</v>
      </c>
      <c r="N1589" s="5">
        <f>IF(G1589=[1]Clientes!$C$3,[1]Clientes!$D$3,[1]Clientes!$D$2)</f>
        <v>13050505</v>
      </c>
    </row>
    <row r="1590" spans="1:14">
      <c r="A1590" s="6" t="s">
        <v>7</v>
      </c>
      <c r="B1590" s="7">
        <v>45531</v>
      </c>
      <c r="C1590" s="6" t="s">
        <v>4775</v>
      </c>
      <c r="D1590" s="6" t="s">
        <v>1812</v>
      </c>
      <c r="E1590" s="6" t="s">
        <v>16</v>
      </c>
      <c r="F1590" s="7">
        <v>45561</v>
      </c>
      <c r="G1590" s="6" t="s">
        <v>3102</v>
      </c>
      <c r="H1590" s="8"/>
      <c r="I1590" s="9">
        <v>3108</v>
      </c>
      <c r="J1590" s="9">
        <v>3108</v>
      </c>
      <c r="K1590" s="5" t="str">
        <f>VLOOKUP(D1590,[1]Clientes!$A$1:$B$1370,2,0)</f>
        <v>NAC1327</v>
      </c>
      <c r="L1590" s="5" t="str">
        <f t="shared" si="48"/>
        <v>HGI0126949</v>
      </c>
      <c r="M1590" s="5" t="str">
        <f t="shared" si="49"/>
        <v>I</v>
      </c>
      <c r="N1590" s="5">
        <f>IF(G1590=[1]Clientes!$C$3,[1]Clientes!$D$3,[1]Clientes!$D$2)</f>
        <v>13050505</v>
      </c>
    </row>
    <row r="1591" spans="1:14">
      <c r="A1591" s="6" t="s">
        <v>7</v>
      </c>
      <c r="B1591" s="7">
        <v>45532</v>
      </c>
      <c r="C1591" s="6" t="s">
        <v>4776</v>
      </c>
      <c r="D1591" s="6" t="s">
        <v>4777</v>
      </c>
      <c r="E1591" s="6" t="s">
        <v>213</v>
      </c>
      <c r="F1591" s="7">
        <v>45532</v>
      </c>
      <c r="G1591" s="6" t="s">
        <v>3102</v>
      </c>
      <c r="H1591" s="8">
        <v>3</v>
      </c>
      <c r="I1591" s="9">
        <v>113.23</v>
      </c>
      <c r="J1591" s="9">
        <v>113.23</v>
      </c>
      <c r="K1591" s="5" t="str">
        <f>VLOOKUP(D1591,[1]Clientes!$A$1:$B$1370,2,0)</f>
        <v>SH02833</v>
      </c>
      <c r="L1591" s="5" t="str">
        <f t="shared" si="48"/>
        <v>HGI0127011</v>
      </c>
      <c r="M1591" s="5" t="str">
        <f t="shared" si="49"/>
        <v>I</v>
      </c>
      <c r="N1591" s="5">
        <f>IF(G1591=[1]Clientes!$C$3,[1]Clientes!$D$3,[1]Clientes!$D$2)</f>
        <v>13050505</v>
      </c>
    </row>
    <row r="1592" spans="1:14">
      <c r="A1592" s="6" t="s">
        <v>7</v>
      </c>
      <c r="B1592" s="7">
        <v>45167</v>
      </c>
      <c r="C1592" s="6" t="s">
        <v>4778</v>
      </c>
      <c r="D1592" s="6" t="s">
        <v>240</v>
      </c>
      <c r="E1592" s="6" t="s">
        <v>16</v>
      </c>
      <c r="F1592" s="7">
        <v>45197</v>
      </c>
      <c r="G1592" s="6" t="s">
        <v>3102</v>
      </c>
      <c r="H1592" s="8">
        <v>338</v>
      </c>
      <c r="I1592" s="9">
        <v>787.12</v>
      </c>
      <c r="J1592" s="9">
        <v>787.12</v>
      </c>
      <c r="K1592" s="5" t="str">
        <f>VLOOKUP(D1592,[1]Clientes!$A$1:$B$1370,2,0)</f>
        <v>CAN0059</v>
      </c>
      <c r="L1592" s="5" t="str">
        <f t="shared" si="48"/>
        <v>HGI0114706</v>
      </c>
      <c r="M1592" s="5" t="str">
        <f t="shared" si="49"/>
        <v>I</v>
      </c>
      <c r="N1592" s="5">
        <f>IF(G1592=[1]Clientes!$C$3,[1]Clientes!$D$3,[1]Clientes!$D$2)</f>
        <v>13050505</v>
      </c>
    </row>
    <row r="1593" spans="1:14">
      <c r="A1593" s="6" t="s">
        <v>7</v>
      </c>
      <c r="B1593" s="7">
        <v>45258</v>
      </c>
      <c r="C1593" s="6" t="s">
        <v>4779</v>
      </c>
      <c r="D1593" s="6" t="s">
        <v>240</v>
      </c>
      <c r="E1593" s="6" t="s">
        <v>16</v>
      </c>
      <c r="F1593" s="7">
        <v>45288</v>
      </c>
      <c r="G1593" s="6" t="s">
        <v>3102</v>
      </c>
      <c r="H1593" s="8">
        <v>247</v>
      </c>
      <c r="I1593" s="9">
        <v>18.649999999999999</v>
      </c>
      <c r="J1593" s="9">
        <v>391.65</v>
      </c>
      <c r="K1593" s="5" t="str">
        <f>VLOOKUP(D1593,[1]Clientes!$A$1:$B$1370,2,0)</f>
        <v>CAN0059</v>
      </c>
      <c r="L1593" s="5" t="str">
        <f t="shared" si="48"/>
        <v>HGI0117738</v>
      </c>
      <c r="M1593" s="5" t="str">
        <f t="shared" si="49"/>
        <v>I</v>
      </c>
      <c r="N1593" s="5">
        <f>IF(G1593=[1]Clientes!$C$3,[1]Clientes!$D$3,[1]Clientes!$D$2)</f>
        <v>13050505</v>
      </c>
    </row>
    <row r="1594" spans="1:14">
      <c r="A1594" s="6" t="s">
        <v>7</v>
      </c>
      <c r="B1594" s="7">
        <v>45288</v>
      </c>
      <c r="C1594" s="6" t="s">
        <v>4780</v>
      </c>
      <c r="D1594" s="6" t="s">
        <v>240</v>
      </c>
      <c r="E1594" s="6" t="s">
        <v>16</v>
      </c>
      <c r="F1594" s="7">
        <v>45318</v>
      </c>
      <c r="G1594" s="6" t="s">
        <v>3102</v>
      </c>
      <c r="H1594" s="8">
        <v>217</v>
      </c>
      <c r="I1594" s="9">
        <v>402.5</v>
      </c>
      <c r="J1594" s="9">
        <v>9964.5</v>
      </c>
      <c r="K1594" s="5" t="str">
        <f>VLOOKUP(D1594,[1]Clientes!$A$1:$B$1370,2,0)</f>
        <v>CAN0059</v>
      </c>
      <c r="L1594" s="5" t="str">
        <f t="shared" si="48"/>
        <v>HGI0118657</v>
      </c>
      <c r="M1594" s="5" t="str">
        <f t="shared" si="49"/>
        <v>I</v>
      </c>
      <c r="N1594" s="5">
        <f>IF(G1594=[1]Clientes!$C$3,[1]Clientes!$D$3,[1]Clientes!$D$2)</f>
        <v>13050505</v>
      </c>
    </row>
    <row r="1595" spans="1:14">
      <c r="A1595" s="6" t="s">
        <v>7</v>
      </c>
      <c r="B1595" s="7">
        <v>45294</v>
      </c>
      <c r="C1595" s="6" t="s">
        <v>4781</v>
      </c>
      <c r="D1595" s="6" t="s">
        <v>240</v>
      </c>
      <c r="E1595" s="6" t="s">
        <v>16</v>
      </c>
      <c r="F1595" s="7">
        <v>45324</v>
      </c>
      <c r="G1595" s="6" t="s">
        <v>3102</v>
      </c>
      <c r="H1595" s="8">
        <v>211</v>
      </c>
      <c r="I1595" s="9">
        <v>182.5</v>
      </c>
      <c r="J1595" s="9">
        <v>3832.5</v>
      </c>
      <c r="K1595" s="5" t="str">
        <f>VLOOKUP(D1595,[1]Clientes!$A$1:$B$1370,2,0)</f>
        <v>CAN0059</v>
      </c>
      <c r="L1595" s="5" t="str">
        <f t="shared" si="48"/>
        <v>HGI0118885</v>
      </c>
      <c r="M1595" s="5" t="str">
        <f t="shared" si="49"/>
        <v>I</v>
      </c>
      <c r="N1595" s="5">
        <f>IF(G1595=[1]Clientes!$C$3,[1]Clientes!$D$3,[1]Clientes!$D$2)</f>
        <v>13050505</v>
      </c>
    </row>
    <row r="1596" spans="1:14">
      <c r="A1596" s="6" t="s">
        <v>7</v>
      </c>
      <c r="B1596" s="7">
        <v>45296</v>
      </c>
      <c r="C1596" s="6" t="s">
        <v>4782</v>
      </c>
      <c r="D1596" s="6" t="s">
        <v>240</v>
      </c>
      <c r="E1596" s="6" t="s">
        <v>16</v>
      </c>
      <c r="F1596" s="7">
        <v>45326</v>
      </c>
      <c r="G1596" s="6" t="s">
        <v>3102</v>
      </c>
      <c r="H1596" s="8">
        <v>209</v>
      </c>
      <c r="I1596" s="9">
        <v>148.63</v>
      </c>
      <c r="J1596" s="9">
        <v>3121.13</v>
      </c>
      <c r="K1596" s="5" t="str">
        <f>VLOOKUP(D1596,[1]Clientes!$A$1:$B$1370,2,0)</f>
        <v>CAN0059</v>
      </c>
      <c r="L1596" s="5" t="str">
        <f t="shared" si="48"/>
        <v>HGI0118956</v>
      </c>
      <c r="M1596" s="5" t="str">
        <f t="shared" si="49"/>
        <v>I</v>
      </c>
      <c r="N1596" s="5">
        <f>IF(G1596=[1]Clientes!$C$3,[1]Clientes!$D$3,[1]Clientes!$D$2)</f>
        <v>13050505</v>
      </c>
    </row>
    <row r="1597" spans="1:14">
      <c r="A1597" s="6" t="s">
        <v>7</v>
      </c>
      <c r="B1597" s="7">
        <v>45296</v>
      </c>
      <c r="C1597" s="6" t="s">
        <v>4783</v>
      </c>
      <c r="D1597" s="6" t="s">
        <v>240</v>
      </c>
      <c r="E1597" s="6" t="s">
        <v>16</v>
      </c>
      <c r="F1597" s="7">
        <v>45326</v>
      </c>
      <c r="G1597" s="6" t="s">
        <v>3102</v>
      </c>
      <c r="H1597" s="8">
        <v>209</v>
      </c>
      <c r="I1597" s="9">
        <v>178.4</v>
      </c>
      <c r="J1597" s="9">
        <v>3746.4</v>
      </c>
      <c r="K1597" s="5" t="str">
        <f>VLOOKUP(D1597,[1]Clientes!$A$1:$B$1370,2,0)</f>
        <v>CAN0059</v>
      </c>
      <c r="L1597" s="5" t="str">
        <f t="shared" si="48"/>
        <v>HGI0118958</v>
      </c>
      <c r="M1597" s="5" t="str">
        <f t="shared" si="49"/>
        <v>I</v>
      </c>
      <c r="N1597" s="5">
        <f>IF(G1597=[1]Clientes!$C$3,[1]Clientes!$D$3,[1]Clientes!$D$2)</f>
        <v>13050505</v>
      </c>
    </row>
    <row r="1598" spans="1:14">
      <c r="A1598" s="6" t="s">
        <v>7</v>
      </c>
      <c r="B1598" s="7">
        <v>45351</v>
      </c>
      <c r="C1598" s="6" t="s">
        <v>4784</v>
      </c>
      <c r="D1598" s="6" t="s">
        <v>240</v>
      </c>
      <c r="E1598" s="6" t="s">
        <v>16</v>
      </c>
      <c r="F1598" s="7">
        <v>45381</v>
      </c>
      <c r="G1598" s="6" t="s">
        <v>3102</v>
      </c>
      <c r="H1598" s="8">
        <v>154</v>
      </c>
      <c r="I1598" s="9">
        <v>17.260000000000002</v>
      </c>
      <c r="J1598" s="9">
        <v>362.43</v>
      </c>
      <c r="K1598" s="5" t="str">
        <f>VLOOKUP(D1598,[1]Clientes!$A$1:$B$1370,2,0)</f>
        <v>CAN0059</v>
      </c>
      <c r="L1598" s="5" t="str">
        <f t="shared" si="48"/>
        <v>HGI0121365</v>
      </c>
      <c r="M1598" s="5" t="str">
        <f t="shared" si="49"/>
        <v>I</v>
      </c>
      <c r="N1598" s="5">
        <f>IF(G1598=[1]Clientes!$C$3,[1]Clientes!$D$3,[1]Clientes!$D$2)</f>
        <v>13050505</v>
      </c>
    </row>
    <row r="1599" spans="1:14">
      <c r="A1599" s="6" t="s">
        <v>7</v>
      </c>
      <c r="B1599" s="7">
        <v>45356</v>
      </c>
      <c r="C1599" s="6" t="s">
        <v>4785</v>
      </c>
      <c r="D1599" s="6" t="s">
        <v>240</v>
      </c>
      <c r="E1599" s="6" t="s">
        <v>16</v>
      </c>
      <c r="F1599" s="7">
        <v>45386</v>
      </c>
      <c r="G1599" s="6" t="s">
        <v>3102</v>
      </c>
      <c r="H1599" s="8">
        <v>149</v>
      </c>
      <c r="I1599" s="9">
        <v>55.15</v>
      </c>
      <c r="J1599" s="9">
        <v>1158.1500000000001</v>
      </c>
      <c r="K1599" s="5" t="str">
        <f>VLOOKUP(D1599,[1]Clientes!$A$1:$B$1370,2,0)</f>
        <v>CAN0059</v>
      </c>
      <c r="L1599" s="5" t="str">
        <f t="shared" si="48"/>
        <v>HGI0121588</v>
      </c>
      <c r="M1599" s="5" t="str">
        <f t="shared" si="49"/>
        <v>I</v>
      </c>
      <c r="N1599" s="5">
        <f>IF(G1599=[1]Clientes!$C$3,[1]Clientes!$D$3,[1]Clientes!$D$2)</f>
        <v>13050505</v>
      </c>
    </row>
    <row r="1600" spans="1:14">
      <c r="A1600" s="6" t="s">
        <v>7</v>
      </c>
      <c r="B1600" s="7">
        <v>45364</v>
      </c>
      <c r="C1600" s="6" t="s">
        <v>4786</v>
      </c>
      <c r="D1600" s="6" t="s">
        <v>240</v>
      </c>
      <c r="E1600" s="6" t="s">
        <v>16</v>
      </c>
      <c r="F1600" s="7">
        <v>45394</v>
      </c>
      <c r="G1600" s="6" t="s">
        <v>3102</v>
      </c>
      <c r="H1600" s="8">
        <v>141</v>
      </c>
      <c r="I1600" s="9">
        <v>49.14</v>
      </c>
      <c r="J1600" s="9">
        <v>1031.94</v>
      </c>
      <c r="K1600" s="5" t="str">
        <f>VLOOKUP(D1600,[1]Clientes!$A$1:$B$1370,2,0)</f>
        <v>CAN0059</v>
      </c>
      <c r="L1600" s="5" t="str">
        <f t="shared" si="48"/>
        <v>HGI0121871</v>
      </c>
      <c r="M1600" s="5" t="str">
        <f t="shared" si="49"/>
        <v>I</v>
      </c>
      <c r="N1600" s="5">
        <f>IF(G1600=[1]Clientes!$C$3,[1]Clientes!$D$3,[1]Clientes!$D$2)</f>
        <v>13050505</v>
      </c>
    </row>
    <row r="1601" spans="1:14">
      <c r="A1601" s="6" t="s">
        <v>7</v>
      </c>
      <c r="B1601" s="7">
        <v>45391</v>
      </c>
      <c r="C1601" s="6" t="s">
        <v>4787</v>
      </c>
      <c r="D1601" s="6" t="s">
        <v>240</v>
      </c>
      <c r="E1601" s="6" t="s">
        <v>16</v>
      </c>
      <c r="F1601" s="7">
        <v>45421</v>
      </c>
      <c r="G1601" s="6" t="s">
        <v>3102</v>
      </c>
      <c r="H1601" s="8">
        <v>114</v>
      </c>
      <c r="I1601" s="9">
        <v>220.13</v>
      </c>
      <c r="J1601" s="9">
        <v>1690.13</v>
      </c>
      <c r="K1601" s="5" t="str">
        <f>VLOOKUP(D1601,[1]Clientes!$A$1:$B$1370,2,0)</f>
        <v>CAN0059</v>
      </c>
      <c r="L1601" s="5" t="str">
        <f t="shared" si="48"/>
        <v>HGI0122781</v>
      </c>
      <c r="M1601" s="5" t="str">
        <f t="shared" si="49"/>
        <v>I</v>
      </c>
      <c r="N1601" s="5">
        <f>IF(G1601=[1]Clientes!$C$3,[1]Clientes!$D$3,[1]Clientes!$D$2)</f>
        <v>13050505</v>
      </c>
    </row>
    <row r="1602" spans="1:14">
      <c r="A1602" s="6" t="s">
        <v>3099</v>
      </c>
      <c r="B1602" s="7">
        <v>45519</v>
      </c>
      <c r="C1602" s="6" t="s">
        <v>4788</v>
      </c>
      <c r="D1602" s="6" t="s">
        <v>240</v>
      </c>
      <c r="E1602" s="6" t="s">
        <v>16</v>
      </c>
      <c r="F1602" s="7">
        <v>45549</v>
      </c>
      <c r="G1602" s="6" t="s">
        <v>3102</v>
      </c>
      <c r="H1602" s="8"/>
      <c r="I1602" s="9">
        <v>-220.13</v>
      </c>
      <c r="J1602" s="9">
        <v>-220.13</v>
      </c>
      <c r="K1602" s="5" t="str">
        <f>VLOOKUP(D1602,[1]Clientes!$A$1:$B$1370,2,0)</f>
        <v>CAN0059</v>
      </c>
      <c r="L1602" s="5" t="str">
        <f t="shared" si="48"/>
        <v>CRM0126518</v>
      </c>
      <c r="M1602" s="5" t="str">
        <f t="shared" si="49"/>
        <v>C</v>
      </c>
      <c r="N1602" s="5">
        <f>IF(G1602=[1]Clientes!$C$3,[1]Clientes!$D$3,[1]Clientes!$D$2)</f>
        <v>13050505</v>
      </c>
    </row>
    <row r="1603" spans="1:14">
      <c r="A1603" s="6" t="s">
        <v>3139</v>
      </c>
      <c r="B1603" s="7">
        <v>45398</v>
      </c>
      <c r="C1603" s="6" t="s">
        <v>4789</v>
      </c>
      <c r="D1603" s="6" t="s">
        <v>247</v>
      </c>
      <c r="E1603" s="6"/>
      <c r="F1603" s="7"/>
      <c r="G1603" s="6" t="s">
        <v>3102</v>
      </c>
      <c r="H1603" s="8"/>
      <c r="I1603" s="9">
        <v>-28.5</v>
      </c>
      <c r="J1603" s="9">
        <v>-247.71</v>
      </c>
      <c r="K1603" s="5" t="str">
        <f>VLOOKUP(D1603,[1]Clientes!$A$1:$B$1370,2,0)</f>
        <v>CAN0060</v>
      </c>
      <c r="L1603" s="5" t="str">
        <f t="shared" ref="L1603:L1666" si="50">IF(A1603="Invoice",
    IF(LEFT(C1603,5)="TGDR-", "TGDR"&amp;RIGHT(C1603,LEN(C1603)-5), "HGI"&amp;C1603),
    IF(A1603="Credit Memo",
        IF(LEFT(C1603,5)="TGDR-", "CRM"&amp;RIGHT(C1603,LEN(C1603)-5), "CRM"&amp;C1603),
        "Revisar")
)</f>
        <v>Revisar</v>
      </c>
      <c r="M1603" s="5" t="str">
        <f t="shared" ref="M1603:M1666" si="51">IF(A1603="Invoice","I",IF(A1603="Credit Memo","C",IF(A1603="Payment","P","GJ")))</f>
        <v>P</v>
      </c>
      <c r="N1603" s="5">
        <f>IF(G1603=[1]Clientes!$C$3,[1]Clientes!$D$3,[1]Clientes!$D$2)</f>
        <v>13050505</v>
      </c>
    </row>
    <row r="1604" spans="1:14">
      <c r="A1604" s="6" t="s">
        <v>7</v>
      </c>
      <c r="B1604" s="7">
        <v>45518</v>
      </c>
      <c r="C1604" s="6" t="s">
        <v>4790</v>
      </c>
      <c r="D1604" s="6" t="s">
        <v>1900</v>
      </c>
      <c r="E1604" s="6" t="s">
        <v>16</v>
      </c>
      <c r="F1604" s="7">
        <v>45548</v>
      </c>
      <c r="G1604" s="6" t="s">
        <v>3102</v>
      </c>
      <c r="H1604" s="8"/>
      <c r="I1604" s="9">
        <v>366.87</v>
      </c>
      <c r="J1604" s="9">
        <v>366.87</v>
      </c>
      <c r="K1604" s="5" t="str">
        <f>VLOOKUP(D1604,[1]Clientes!$A$1:$B$1370,2,0)</f>
        <v>NAC1332</v>
      </c>
      <c r="L1604" s="5" t="str">
        <f t="shared" si="50"/>
        <v>HGI0126476</v>
      </c>
      <c r="M1604" s="5" t="str">
        <f t="shared" si="51"/>
        <v>I</v>
      </c>
      <c r="N1604" s="5">
        <f>IF(G1604=[1]Clientes!$C$3,[1]Clientes!$D$3,[1]Clientes!$D$2)</f>
        <v>13050505</v>
      </c>
    </row>
    <row r="1605" spans="1:14">
      <c r="A1605" s="6" t="s">
        <v>7</v>
      </c>
      <c r="B1605" s="7">
        <v>45519</v>
      </c>
      <c r="C1605" s="6" t="s">
        <v>4791</v>
      </c>
      <c r="D1605" s="6" t="s">
        <v>1900</v>
      </c>
      <c r="E1605" s="6" t="s">
        <v>16</v>
      </c>
      <c r="F1605" s="7">
        <v>45549</v>
      </c>
      <c r="G1605" s="6" t="s">
        <v>3102</v>
      </c>
      <c r="H1605" s="8"/>
      <c r="I1605" s="9">
        <v>220</v>
      </c>
      <c r="J1605" s="9">
        <v>220</v>
      </c>
      <c r="K1605" s="5" t="str">
        <f>VLOOKUP(D1605,[1]Clientes!$A$1:$B$1370,2,0)</f>
        <v>NAC1332</v>
      </c>
      <c r="L1605" s="5" t="str">
        <f t="shared" si="50"/>
        <v>HGI0126538</v>
      </c>
      <c r="M1605" s="5" t="str">
        <f t="shared" si="51"/>
        <v>I</v>
      </c>
      <c r="N1605" s="5">
        <f>IF(G1605=[1]Clientes!$C$3,[1]Clientes!$D$3,[1]Clientes!$D$2)</f>
        <v>13050505</v>
      </c>
    </row>
    <row r="1606" spans="1:14">
      <c r="A1606" s="6" t="s">
        <v>3139</v>
      </c>
      <c r="B1606" s="7">
        <v>45307</v>
      </c>
      <c r="C1606" s="6"/>
      <c r="D1606" s="6" t="s">
        <v>1903</v>
      </c>
      <c r="E1606" s="6"/>
      <c r="F1606" s="7"/>
      <c r="G1606" s="6" t="s">
        <v>3102</v>
      </c>
      <c r="H1606" s="8"/>
      <c r="I1606" s="9">
        <v>-0.14000000000000001</v>
      </c>
      <c r="J1606" s="9">
        <v>-20683.740000000002</v>
      </c>
      <c r="K1606" s="5" t="str">
        <f>VLOOKUP(D1606,[1]Clientes!$A$1:$B$1370,2,0)</f>
        <v>NAC1333</v>
      </c>
      <c r="L1606" s="5" t="str">
        <f t="shared" si="50"/>
        <v>Revisar</v>
      </c>
      <c r="M1606" s="5" t="str">
        <f t="shared" si="51"/>
        <v>P</v>
      </c>
      <c r="N1606" s="5">
        <f>IF(G1606=[1]Clientes!$C$3,[1]Clientes!$D$3,[1]Clientes!$D$2)</f>
        <v>13050505</v>
      </c>
    </row>
    <row r="1607" spans="1:14">
      <c r="A1607" s="6" t="s">
        <v>7</v>
      </c>
      <c r="B1607" s="7">
        <v>45303</v>
      </c>
      <c r="C1607" s="6" t="s">
        <v>4792</v>
      </c>
      <c r="D1607" s="6" t="s">
        <v>1903</v>
      </c>
      <c r="E1607" s="6" t="s">
        <v>16</v>
      </c>
      <c r="F1607" s="7">
        <v>45333</v>
      </c>
      <c r="G1607" s="6" t="s">
        <v>3102</v>
      </c>
      <c r="H1607" s="8">
        <v>202</v>
      </c>
      <c r="I1607" s="9">
        <v>84.11</v>
      </c>
      <c r="J1607" s="9">
        <v>8411</v>
      </c>
      <c r="K1607" s="5" t="str">
        <f>VLOOKUP(D1607,[1]Clientes!$A$1:$B$1370,2,0)</f>
        <v>NAC1333</v>
      </c>
      <c r="L1607" s="5" t="str">
        <f t="shared" si="50"/>
        <v>HGI0119220</v>
      </c>
      <c r="M1607" s="5" t="str">
        <f t="shared" si="51"/>
        <v>I</v>
      </c>
      <c r="N1607" s="5">
        <f>IF(G1607=[1]Clientes!$C$3,[1]Clientes!$D$3,[1]Clientes!$D$2)</f>
        <v>13050505</v>
      </c>
    </row>
    <row r="1608" spans="1:14">
      <c r="A1608" s="6" t="s">
        <v>7</v>
      </c>
      <c r="B1608" s="7">
        <v>45446</v>
      </c>
      <c r="C1608" s="6" t="s">
        <v>4793</v>
      </c>
      <c r="D1608" s="6" t="s">
        <v>1903</v>
      </c>
      <c r="E1608" s="6" t="s">
        <v>16</v>
      </c>
      <c r="F1608" s="7">
        <v>45476</v>
      </c>
      <c r="G1608" s="6" t="s">
        <v>3102</v>
      </c>
      <c r="H1608" s="8">
        <v>59</v>
      </c>
      <c r="I1608" s="9">
        <v>3284</v>
      </c>
      <c r="J1608" s="9">
        <v>3284</v>
      </c>
      <c r="K1608" s="5" t="str">
        <f>VLOOKUP(D1608,[1]Clientes!$A$1:$B$1370,2,0)</f>
        <v>NAC1333</v>
      </c>
      <c r="L1608" s="5" t="str">
        <f t="shared" si="50"/>
        <v>HGI0124781</v>
      </c>
      <c r="M1608" s="5" t="str">
        <f t="shared" si="51"/>
        <v>I</v>
      </c>
      <c r="N1608" s="5">
        <f>IF(G1608=[1]Clientes!$C$3,[1]Clientes!$D$3,[1]Clientes!$D$2)</f>
        <v>13050505</v>
      </c>
    </row>
    <row r="1609" spans="1:14">
      <c r="A1609" s="6" t="s">
        <v>7</v>
      </c>
      <c r="B1609" s="7">
        <v>45512</v>
      </c>
      <c r="C1609" s="6" t="s">
        <v>4794</v>
      </c>
      <c r="D1609" s="6" t="s">
        <v>1903</v>
      </c>
      <c r="E1609" s="6" t="s">
        <v>16</v>
      </c>
      <c r="F1609" s="7">
        <v>45542</v>
      </c>
      <c r="G1609" s="6" t="s">
        <v>3102</v>
      </c>
      <c r="H1609" s="8"/>
      <c r="I1609" s="9">
        <v>7299.9</v>
      </c>
      <c r="J1609" s="9">
        <v>7299.9</v>
      </c>
      <c r="K1609" s="5" t="str">
        <f>VLOOKUP(D1609,[1]Clientes!$A$1:$B$1370,2,0)</f>
        <v>NAC1333</v>
      </c>
      <c r="L1609" s="5" t="str">
        <f t="shared" si="50"/>
        <v>HGI0126313</v>
      </c>
      <c r="M1609" s="5" t="str">
        <f t="shared" si="51"/>
        <v>I</v>
      </c>
      <c r="N1609" s="5">
        <f>IF(G1609=[1]Clientes!$C$3,[1]Clientes!$D$3,[1]Clientes!$D$2)</f>
        <v>13050505</v>
      </c>
    </row>
    <row r="1610" spans="1:14">
      <c r="A1610" s="6" t="s">
        <v>7</v>
      </c>
      <c r="B1610" s="7">
        <v>45523</v>
      </c>
      <c r="C1610" s="6" t="s">
        <v>4795</v>
      </c>
      <c r="D1610" s="6" t="s">
        <v>1903</v>
      </c>
      <c r="E1610" s="6" t="s">
        <v>16</v>
      </c>
      <c r="F1610" s="7">
        <v>45553</v>
      </c>
      <c r="G1610" s="6" t="s">
        <v>3102</v>
      </c>
      <c r="H1610" s="8"/>
      <c r="I1610" s="9">
        <v>9436</v>
      </c>
      <c r="J1610" s="9">
        <v>9436</v>
      </c>
      <c r="K1610" s="5" t="str">
        <f>VLOOKUP(D1610,[1]Clientes!$A$1:$B$1370,2,0)</f>
        <v>NAC1333</v>
      </c>
      <c r="L1610" s="5" t="str">
        <f t="shared" si="50"/>
        <v>HGI0126623</v>
      </c>
      <c r="M1610" s="5" t="str">
        <f t="shared" si="51"/>
        <v>I</v>
      </c>
      <c r="N1610" s="5">
        <f>IF(G1610=[1]Clientes!$C$3,[1]Clientes!$D$3,[1]Clientes!$D$2)</f>
        <v>13050505</v>
      </c>
    </row>
    <row r="1611" spans="1:14">
      <c r="A1611" s="6" t="s">
        <v>3265</v>
      </c>
      <c r="B1611" s="7">
        <v>45282</v>
      </c>
      <c r="C1611" s="6" t="s">
        <v>4796</v>
      </c>
      <c r="D1611" s="6" t="s">
        <v>4797</v>
      </c>
      <c r="E1611" s="6"/>
      <c r="F1611" s="7"/>
      <c r="G1611" s="6" t="s">
        <v>3102</v>
      </c>
      <c r="H1611" s="8"/>
      <c r="I1611" s="9">
        <v>48.29</v>
      </c>
      <c r="J1611" s="9">
        <v>48.29</v>
      </c>
      <c r="K1611" s="5" t="str">
        <f>VLOOKUP(D1611,[1]Clientes!$A$1:$B$1485,2,0)</f>
        <v>SH02288</v>
      </c>
      <c r="L1611" s="5" t="str">
        <f t="shared" si="50"/>
        <v>Revisar</v>
      </c>
      <c r="M1611" s="5" t="str">
        <f t="shared" si="51"/>
        <v>GJ</v>
      </c>
      <c r="N1611" s="5">
        <f>IF(G1611=[1]Clientes!$C$3,[1]Clientes!$D$3,[1]Clientes!$D$2)</f>
        <v>13050505</v>
      </c>
    </row>
    <row r="1612" spans="1:14">
      <c r="A1612" s="6" t="s">
        <v>3099</v>
      </c>
      <c r="B1612" s="7">
        <v>45519</v>
      </c>
      <c r="C1612" s="6" t="s">
        <v>4798</v>
      </c>
      <c r="D1612" s="6" t="s">
        <v>1913</v>
      </c>
      <c r="E1612" s="6" t="s">
        <v>16</v>
      </c>
      <c r="F1612" s="7">
        <v>45549</v>
      </c>
      <c r="G1612" s="6" t="s">
        <v>3102</v>
      </c>
      <c r="H1612" s="8"/>
      <c r="I1612" s="9">
        <v>-47.94</v>
      </c>
      <c r="J1612" s="9">
        <v>-47.94</v>
      </c>
      <c r="K1612" s="5" t="str">
        <f>VLOOKUP(D1612,[1]Clientes!$A$1:$B$1370,2,0)</f>
        <v>NAC1346</v>
      </c>
      <c r="L1612" s="5" t="str">
        <f t="shared" si="50"/>
        <v>CRM0126509</v>
      </c>
      <c r="M1612" s="5" t="str">
        <f t="shared" si="51"/>
        <v>C</v>
      </c>
      <c r="N1612" s="5">
        <f>IF(G1612=[1]Clientes!$C$3,[1]Clientes!$D$3,[1]Clientes!$D$2)</f>
        <v>13050505</v>
      </c>
    </row>
    <row r="1613" spans="1:14">
      <c r="A1613" s="6" t="s">
        <v>7</v>
      </c>
      <c r="B1613" s="7">
        <v>45526</v>
      </c>
      <c r="C1613" s="6" t="s">
        <v>4799</v>
      </c>
      <c r="D1613" s="6" t="s">
        <v>1913</v>
      </c>
      <c r="E1613" s="6" t="s">
        <v>16</v>
      </c>
      <c r="F1613" s="7">
        <v>45556</v>
      </c>
      <c r="G1613" s="6" t="s">
        <v>3102</v>
      </c>
      <c r="H1613" s="8"/>
      <c r="I1613" s="9">
        <v>1177.6300000000001</v>
      </c>
      <c r="J1613" s="9">
        <v>1177.6300000000001</v>
      </c>
      <c r="K1613" s="5" t="str">
        <f>VLOOKUP(D1613,[1]Clientes!$A$1:$B$1370,2,0)</f>
        <v>NAC1346</v>
      </c>
      <c r="L1613" s="5" t="str">
        <f t="shared" si="50"/>
        <v>HGI0126805</v>
      </c>
      <c r="M1613" s="5" t="str">
        <f t="shared" si="51"/>
        <v>I</v>
      </c>
      <c r="N1613" s="5">
        <f>IF(G1613=[1]Clientes!$C$3,[1]Clientes!$D$3,[1]Clientes!$D$2)</f>
        <v>13050505</v>
      </c>
    </row>
    <row r="1614" spans="1:14">
      <c r="A1614" s="6" t="s">
        <v>7</v>
      </c>
      <c r="B1614" s="7">
        <v>45511</v>
      </c>
      <c r="C1614" s="6" t="s">
        <v>4800</v>
      </c>
      <c r="D1614" s="6" t="s">
        <v>1917</v>
      </c>
      <c r="E1614" s="6" t="s">
        <v>16</v>
      </c>
      <c r="F1614" s="7">
        <v>45541</v>
      </c>
      <c r="G1614" s="6" t="s">
        <v>3102</v>
      </c>
      <c r="H1614" s="8"/>
      <c r="I1614" s="9">
        <v>197.25</v>
      </c>
      <c r="J1614" s="9">
        <v>3118.88</v>
      </c>
      <c r="K1614" s="5" t="str">
        <f>VLOOKUP(D1614,[1]Clientes!$A$1:$B$1370,2,0)</f>
        <v>NAC1348</v>
      </c>
      <c r="L1614" s="5" t="str">
        <f t="shared" si="50"/>
        <v>HGI0126278</v>
      </c>
      <c r="M1614" s="5" t="str">
        <f t="shared" si="51"/>
        <v>I</v>
      </c>
      <c r="N1614" s="5">
        <f>IF(G1614=[1]Clientes!$C$3,[1]Clientes!$D$3,[1]Clientes!$D$2)</f>
        <v>13050505</v>
      </c>
    </row>
    <row r="1615" spans="1:14">
      <c r="A1615" s="6" t="s">
        <v>3099</v>
      </c>
      <c r="B1615" s="7">
        <v>45260</v>
      </c>
      <c r="C1615" s="6" t="s">
        <v>4801</v>
      </c>
      <c r="D1615" s="6" t="s">
        <v>1921</v>
      </c>
      <c r="E1615" s="6" t="s">
        <v>213</v>
      </c>
      <c r="F1615" s="7">
        <v>45260</v>
      </c>
      <c r="G1615" s="6" t="s">
        <v>3102</v>
      </c>
      <c r="H1615" s="8">
        <v>275</v>
      </c>
      <c r="I1615" s="9">
        <v>-169.96</v>
      </c>
      <c r="J1615" s="9">
        <v>-169.96</v>
      </c>
      <c r="K1615" s="5" t="str">
        <f>VLOOKUP(D1615,[1]Clientes!$A$1:$B$1370,2,0)</f>
        <v>NAC1349</v>
      </c>
      <c r="L1615" s="5" t="str">
        <f t="shared" si="50"/>
        <v>CRM0118058</v>
      </c>
      <c r="M1615" s="5" t="str">
        <f t="shared" si="51"/>
        <v>C</v>
      </c>
      <c r="N1615" s="5">
        <f>IF(G1615=[1]Clientes!$C$3,[1]Clientes!$D$3,[1]Clientes!$D$2)</f>
        <v>13050505</v>
      </c>
    </row>
    <row r="1616" spans="1:14">
      <c r="A1616" s="6" t="s">
        <v>3099</v>
      </c>
      <c r="B1616" s="7">
        <v>45351</v>
      </c>
      <c r="C1616" s="6" t="s">
        <v>4802</v>
      </c>
      <c r="D1616" s="6" t="s">
        <v>1921</v>
      </c>
      <c r="E1616" s="6" t="s">
        <v>213</v>
      </c>
      <c r="F1616" s="7">
        <v>45351</v>
      </c>
      <c r="G1616" s="6" t="s">
        <v>3102</v>
      </c>
      <c r="H1616" s="8">
        <v>184</v>
      </c>
      <c r="I1616" s="9">
        <v>-178.85</v>
      </c>
      <c r="J1616" s="9">
        <v>-178.85</v>
      </c>
      <c r="K1616" s="5" t="str">
        <f>VLOOKUP(D1616,[1]Clientes!$A$1:$B$1370,2,0)</f>
        <v>NAC1349</v>
      </c>
      <c r="L1616" s="5" t="str">
        <f t="shared" si="50"/>
        <v>CRM0121455</v>
      </c>
      <c r="M1616" s="5" t="str">
        <f t="shared" si="51"/>
        <v>C</v>
      </c>
      <c r="N1616" s="5">
        <f>IF(G1616=[1]Clientes!$C$3,[1]Clientes!$D$3,[1]Clientes!$D$2)</f>
        <v>13050505</v>
      </c>
    </row>
    <row r="1617" spans="1:14">
      <c r="A1617" s="6" t="s">
        <v>7</v>
      </c>
      <c r="B1617" s="7">
        <v>45231</v>
      </c>
      <c r="C1617" s="6" t="s">
        <v>4803</v>
      </c>
      <c r="D1617" s="6" t="s">
        <v>4804</v>
      </c>
      <c r="E1617" s="6" t="s">
        <v>16</v>
      </c>
      <c r="F1617" s="7">
        <v>45261</v>
      </c>
      <c r="G1617" s="6" t="s">
        <v>3102</v>
      </c>
      <c r="H1617" s="8">
        <v>274</v>
      </c>
      <c r="I1617" s="9">
        <v>424.57</v>
      </c>
      <c r="J1617" s="9">
        <v>424.57</v>
      </c>
      <c r="K1617" s="5" t="str">
        <f>VLOOKUP(D1617,[1]Clientes!$A$1:$B$1370,2,0)</f>
        <v>NAC1354</v>
      </c>
      <c r="L1617" s="5" t="str">
        <f t="shared" si="50"/>
        <v>HGI0116779</v>
      </c>
      <c r="M1617" s="5" t="str">
        <f t="shared" si="51"/>
        <v>I</v>
      </c>
      <c r="N1617" s="5">
        <f>IF(G1617=[1]Clientes!$C$3,[1]Clientes!$D$3,[1]Clientes!$D$2)</f>
        <v>13050505</v>
      </c>
    </row>
    <row r="1618" spans="1:14">
      <c r="A1618" s="6" t="s">
        <v>3099</v>
      </c>
      <c r="B1618" s="7">
        <v>45260</v>
      </c>
      <c r="C1618" s="6" t="s">
        <v>4805</v>
      </c>
      <c r="D1618" s="6" t="s">
        <v>1928</v>
      </c>
      <c r="E1618" s="6" t="s">
        <v>16</v>
      </c>
      <c r="F1618" s="7">
        <v>45290</v>
      </c>
      <c r="G1618" s="6" t="s">
        <v>3102</v>
      </c>
      <c r="H1618" s="8">
        <v>245</v>
      </c>
      <c r="I1618" s="9">
        <v>-421.28</v>
      </c>
      <c r="J1618" s="9">
        <v>-421.28</v>
      </c>
      <c r="K1618" s="5" t="str">
        <f>VLOOKUP(D1618,[1]Clientes!$A$1:$B$1370,2,0)</f>
        <v>NAC1356</v>
      </c>
      <c r="L1618" s="5" t="str">
        <f t="shared" si="50"/>
        <v>CRM0118050</v>
      </c>
      <c r="M1618" s="5" t="str">
        <f t="shared" si="51"/>
        <v>C</v>
      </c>
      <c r="N1618" s="5">
        <f>IF(G1618=[1]Clientes!$C$3,[1]Clientes!$D$3,[1]Clientes!$D$2)</f>
        <v>13050505</v>
      </c>
    </row>
    <row r="1619" spans="1:14">
      <c r="A1619" s="6" t="s">
        <v>7</v>
      </c>
      <c r="B1619" s="7">
        <v>45498</v>
      </c>
      <c r="C1619" s="6" t="s">
        <v>4806</v>
      </c>
      <c r="D1619" s="6" t="s">
        <v>1934</v>
      </c>
      <c r="E1619" s="6" t="s">
        <v>16</v>
      </c>
      <c r="F1619" s="7">
        <v>45528</v>
      </c>
      <c r="G1619" s="6" t="s">
        <v>3102</v>
      </c>
      <c r="H1619" s="8">
        <v>7</v>
      </c>
      <c r="I1619" s="9">
        <v>19320</v>
      </c>
      <c r="J1619" s="9">
        <v>19320</v>
      </c>
      <c r="K1619" s="5" t="str">
        <f>VLOOKUP(D1619,[1]Clientes!$A$1:$B$1370,2,0)</f>
        <v>NAC1359</v>
      </c>
      <c r="L1619" s="5" t="str">
        <f t="shared" si="50"/>
        <v>HGI0125962</v>
      </c>
      <c r="M1619" s="5" t="str">
        <f t="shared" si="51"/>
        <v>I</v>
      </c>
      <c r="N1619" s="5">
        <f>IF(G1619=[1]Clientes!$C$3,[1]Clientes!$D$3,[1]Clientes!$D$2)</f>
        <v>13050505</v>
      </c>
    </row>
    <row r="1620" spans="1:14">
      <c r="A1620" s="6" t="s">
        <v>3099</v>
      </c>
      <c r="B1620" s="7">
        <v>45524</v>
      </c>
      <c r="C1620" s="6" t="s">
        <v>4807</v>
      </c>
      <c r="D1620" s="6" t="s">
        <v>1934</v>
      </c>
      <c r="E1620" s="6" t="s">
        <v>16</v>
      </c>
      <c r="F1620" s="7">
        <v>45554</v>
      </c>
      <c r="G1620" s="6" t="s">
        <v>3102</v>
      </c>
      <c r="H1620" s="8"/>
      <c r="I1620" s="9">
        <v>-1110.9000000000001</v>
      </c>
      <c r="J1620" s="9">
        <v>-1110.9000000000001</v>
      </c>
      <c r="K1620" s="5" t="str">
        <f>VLOOKUP(D1620,[1]Clientes!$A$1:$B$1370,2,0)</f>
        <v>NAC1359</v>
      </c>
      <c r="L1620" s="5" t="str">
        <f t="shared" si="50"/>
        <v>CRM0126678</v>
      </c>
      <c r="M1620" s="5" t="str">
        <f t="shared" si="51"/>
        <v>C</v>
      </c>
      <c r="N1620" s="5">
        <f>IF(G1620=[1]Clientes!$C$3,[1]Clientes!$D$3,[1]Clientes!$D$2)</f>
        <v>13050505</v>
      </c>
    </row>
    <row r="1621" spans="1:14">
      <c r="A1621" s="6" t="s">
        <v>7</v>
      </c>
      <c r="B1621" s="7">
        <v>45532</v>
      </c>
      <c r="C1621" s="6" t="s">
        <v>4808</v>
      </c>
      <c r="D1621" s="6" t="s">
        <v>252</v>
      </c>
      <c r="E1621" s="6" t="s">
        <v>16</v>
      </c>
      <c r="F1621" s="7">
        <v>45562</v>
      </c>
      <c r="G1621" s="6" t="s">
        <v>3102</v>
      </c>
      <c r="H1621" s="8"/>
      <c r="I1621" s="9">
        <v>1333.4</v>
      </c>
      <c r="J1621" s="9">
        <v>1333.4</v>
      </c>
      <c r="K1621" s="5" t="str">
        <f>VLOOKUP(D1621,[1]Clientes!$A$1:$B$1370,2,0)</f>
        <v>CAN0065</v>
      </c>
      <c r="L1621" s="5" t="str">
        <f t="shared" si="50"/>
        <v>HGI0126975</v>
      </c>
      <c r="M1621" s="5" t="str">
        <f t="shared" si="51"/>
        <v>I</v>
      </c>
      <c r="N1621" s="5">
        <f>IF(G1621=[1]Clientes!$C$3,[1]Clientes!$D$3,[1]Clientes!$D$2)</f>
        <v>13050505</v>
      </c>
    </row>
    <row r="1622" spans="1:14">
      <c r="A1622" s="6" t="s">
        <v>7</v>
      </c>
      <c r="B1622" s="7">
        <v>45437</v>
      </c>
      <c r="C1622" s="6" t="s">
        <v>4809</v>
      </c>
      <c r="D1622" s="6" t="s">
        <v>4810</v>
      </c>
      <c r="E1622" s="6" t="s">
        <v>16</v>
      </c>
      <c r="F1622" s="7">
        <v>45467</v>
      </c>
      <c r="G1622" s="6" t="s">
        <v>3102</v>
      </c>
      <c r="H1622" s="8">
        <v>68</v>
      </c>
      <c r="I1622" s="9">
        <v>17355</v>
      </c>
      <c r="J1622" s="9">
        <v>19080</v>
      </c>
      <c r="K1622" s="5" t="str">
        <f>VLOOKUP(D1622,[1]Clientes!$A$1:$B$1370,2,0)</f>
        <v>NAC1376</v>
      </c>
      <c r="L1622" s="5" t="str">
        <f t="shared" si="50"/>
        <v>HGI0124593</v>
      </c>
      <c r="M1622" s="5" t="str">
        <f t="shared" si="51"/>
        <v>I</v>
      </c>
      <c r="N1622" s="5">
        <f>IF(G1622=[1]Clientes!$C$3,[1]Clientes!$D$3,[1]Clientes!$D$2)</f>
        <v>13050505</v>
      </c>
    </row>
    <row r="1623" spans="1:14">
      <c r="A1623" s="6" t="s">
        <v>7</v>
      </c>
      <c r="B1623" s="7">
        <v>45526</v>
      </c>
      <c r="C1623" s="6" t="s">
        <v>4811</v>
      </c>
      <c r="D1623" s="6" t="s">
        <v>1954</v>
      </c>
      <c r="E1623" s="6" t="s">
        <v>16</v>
      </c>
      <c r="F1623" s="7">
        <v>45556</v>
      </c>
      <c r="G1623" s="6" t="s">
        <v>3102</v>
      </c>
      <c r="H1623" s="8"/>
      <c r="I1623" s="9">
        <v>6224</v>
      </c>
      <c r="J1623" s="9">
        <v>6224</v>
      </c>
      <c r="K1623" s="5" t="str">
        <f>VLOOKUP(D1623,[1]Clientes!$A$1:$B$1370,2,0)</f>
        <v>NAC1380</v>
      </c>
      <c r="L1623" s="5" t="str">
        <f t="shared" si="50"/>
        <v>HGI0126759</v>
      </c>
      <c r="M1623" s="5" t="str">
        <f t="shared" si="51"/>
        <v>I</v>
      </c>
      <c r="N1623" s="5">
        <f>IF(G1623=[1]Clientes!$C$3,[1]Clientes!$D$3,[1]Clientes!$D$2)</f>
        <v>13050505</v>
      </c>
    </row>
    <row r="1624" spans="1:14">
      <c r="A1624" s="6" t="s">
        <v>3099</v>
      </c>
      <c r="B1624" s="7">
        <v>45401</v>
      </c>
      <c r="C1624" s="6" t="s">
        <v>4812</v>
      </c>
      <c r="D1624" s="6" t="s">
        <v>1959</v>
      </c>
      <c r="E1624" s="6" t="s">
        <v>16</v>
      </c>
      <c r="F1624" s="7">
        <v>45431</v>
      </c>
      <c r="G1624" s="6" t="s">
        <v>3102</v>
      </c>
      <c r="H1624" s="8">
        <v>104</v>
      </c>
      <c r="I1624" s="9">
        <v>-5.28</v>
      </c>
      <c r="J1624" s="9">
        <v>-70.28</v>
      </c>
      <c r="K1624" s="5" t="str">
        <f>VLOOKUP(D1624,[1]Clientes!$A$1:$B$1370,2,0)</f>
        <v>NAC1381</v>
      </c>
      <c r="L1624" s="5" t="str">
        <f t="shared" si="50"/>
        <v>CRM0123227</v>
      </c>
      <c r="M1624" s="5" t="str">
        <f t="shared" si="51"/>
        <v>C</v>
      </c>
      <c r="N1624" s="5">
        <f>IF(G1624=[1]Clientes!$C$3,[1]Clientes!$D$3,[1]Clientes!$D$2)</f>
        <v>13050505</v>
      </c>
    </row>
    <row r="1625" spans="1:14">
      <c r="A1625" s="6" t="s">
        <v>7</v>
      </c>
      <c r="B1625" s="7">
        <v>45504</v>
      </c>
      <c r="C1625" s="6" t="s">
        <v>4813</v>
      </c>
      <c r="D1625" s="6" t="s">
        <v>1962</v>
      </c>
      <c r="E1625" s="6" t="s">
        <v>16</v>
      </c>
      <c r="F1625" s="7">
        <v>45534</v>
      </c>
      <c r="G1625" s="6" t="s">
        <v>3102</v>
      </c>
      <c r="H1625" s="8">
        <v>1</v>
      </c>
      <c r="I1625" s="9">
        <v>12060</v>
      </c>
      <c r="J1625" s="9">
        <v>12060</v>
      </c>
      <c r="K1625" s="5" t="str">
        <f>VLOOKUP(D1625,[1]Clientes!$A$1:$B$1370,2,0)</f>
        <v>NAC1382</v>
      </c>
      <c r="L1625" s="5" t="str">
        <f t="shared" si="50"/>
        <v>HGI0126118</v>
      </c>
      <c r="M1625" s="5" t="str">
        <f t="shared" si="51"/>
        <v>I</v>
      </c>
      <c r="N1625" s="5">
        <f>IF(G1625=[1]Clientes!$C$3,[1]Clientes!$D$3,[1]Clientes!$D$2)</f>
        <v>13050505</v>
      </c>
    </row>
    <row r="1626" spans="1:14">
      <c r="A1626" s="6" t="s">
        <v>7</v>
      </c>
      <c r="B1626" s="7">
        <v>45509</v>
      </c>
      <c r="C1626" s="6" t="s">
        <v>4814</v>
      </c>
      <c r="D1626" s="6" t="s">
        <v>1962</v>
      </c>
      <c r="E1626" s="6" t="s">
        <v>16</v>
      </c>
      <c r="F1626" s="7">
        <v>45539</v>
      </c>
      <c r="G1626" s="6" t="s">
        <v>3102</v>
      </c>
      <c r="H1626" s="8"/>
      <c r="I1626" s="9">
        <v>3780</v>
      </c>
      <c r="J1626" s="9">
        <v>3780</v>
      </c>
      <c r="K1626" s="5" t="str">
        <f>VLOOKUP(D1626,[1]Clientes!$A$1:$B$1370,2,0)</f>
        <v>NAC1382</v>
      </c>
      <c r="L1626" s="5" t="str">
        <f t="shared" si="50"/>
        <v>HGI0126235</v>
      </c>
      <c r="M1626" s="5" t="str">
        <f t="shared" si="51"/>
        <v>I</v>
      </c>
      <c r="N1626" s="5">
        <f>IF(G1626=[1]Clientes!$C$3,[1]Clientes!$D$3,[1]Clientes!$D$2)</f>
        <v>13050505</v>
      </c>
    </row>
    <row r="1627" spans="1:14">
      <c r="A1627" s="6" t="s">
        <v>7</v>
      </c>
      <c r="B1627" s="7">
        <v>45510</v>
      </c>
      <c r="C1627" s="6" t="s">
        <v>4815</v>
      </c>
      <c r="D1627" s="6" t="s">
        <v>1962</v>
      </c>
      <c r="E1627" s="6" t="s">
        <v>16</v>
      </c>
      <c r="F1627" s="7">
        <v>45540</v>
      </c>
      <c r="G1627" s="6" t="s">
        <v>3102</v>
      </c>
      <c r="H1627" s="8"/>
      <c r="I1627" s="9">
        <v>9750</v>
      </c>
      <c r="J1627" s="9">
        <v>9750</v>
      </c>
      <c r="K1627" s="5" t="str">
        <f>VLOOKUP(D1627,[1]Clientes!$A$1:$B$1370,2,0)</f>
        <v>NAC1382</v>
      </c>
      <c r="L1627" s="5" t="str">
        <f t="shared" si="50"/>
        <v>HGI0126272</v>
      </c>
      <c r="M1627" s="5" t="str">
        <f t="shared" si="51"/>
        <v>I</v>
      </c>
      <c r="N1627" s="5">
        <f>IF(G1627=[1]Clientes!$C$3,[1]Clientes!$D$3,[1]Clientes!$D$2)</f>
        <v>13050505</v>
      </c>
    </row>
    <row r="1628" spans="1:14">
      <c r="A1628" s="6" t="s">
        <v>7</v>
      </c>
      <c r="B1628" s="7">
        <v>45513</v>
      </c>
      <c r="C1628" s="6" t="s">
        <v>4816</v>
      </c>
      <c r="D1628" s="6" t="s">
        <v>1962</v>
      </c>
      <c r="E1628" s="6" t="s">
        <v>16</v>
      </c>
      <c r="F1628" s="7">
        <v>45543</v>
      </c>
      <c r="G1628" s="6" t="s">
        <v>3102</v>
      </c>
      <c r="H1628" s="8"/>
      <c r="I1628" s="9">
        <v>31577.52</v>
      </c>
      <c r="J1628" s="9">
        <v>31577.52</v>
      </c>
      <c r="K1628" s="5" t="str">
        <f>VLOOKUP(D1628,[1]Clientes!$A$1:$B$1370,2,0)</f>
        <v>NAC1382</v>
      </c>
      <c r="L1628" s="5" t="str">
        <f t="shared" si="50"/>
        <v>HGI0126355</v>
      </c>
      <c r="M1628" s="5" t="str">
        <f t="shared" si="51"/>
        <v>I</v>
      </c>
      <c r="N1628" s="5">
        <f>IF(G1628=[1]Clientes!$C$3,[1]Clientes!$D$3,[1]Clientes!$D$2)</f>
        <v>13050505</v>
      </c>
    </row>
    <row r="1629" spans="1:14">
      <c r="A1629" s="6" t="s">
        <v>7</v>
      </c>
      <c r="B1629" s="7">
        <v>45513</v>
      </c>
      <c r="C1629" s="6" t="s">
        <v>4817</v>
      </c>
      <c r="D1629" s="6" t="s">
        <v>1962</v>
      </c>
      <c r="E1629" s="6" t="s">
        <v>16</v>
      </c>
      <c r="F1629" s="7">
        <v>45543</v>
      </c>
      <c r="G1629" s="6" t="s">
        <v>3102</v>
      </c>
      <c r="H1629" s="8"/>
      <c r="I1629" s="9">
        <v>38208.81</v>
      </c>
      <c r="J1629" s="9">
        <v>38208.81</v>
      </c>
      <c r="K1629" s="5" t="str">
        <f>VLOOKUP(D1629,[1]Clientes!$A$1:$B$1370,2,0)</f>
        <v>NAC1382</v>
      </c>
      <c r="L1629" s="5" t="str">
        <f t="shared" si="50"/>
        <v>HGI0126376</v>
      </c>
      <c r="M1629" s="5" t="str">
        <f t="shared" si="51"/>
        <v>I</v>
      </c>
      <c r="N1629" s="5">
        <f>IF(G1629=[1]Clientes!$C$3,[1]Clientes!$D$3,[1]Clientes!$D$2)</f>
        <v>13050505</v>
      </c>
    </row>
    <row r="1630" spans="1:14">
      <c r="A1630" s="6" t="s">
        <v>7</v>
      </c>
      <c r="B1630" s="7">
        <v>45520</v>
      </c>
      <c r="C1630" s="6" t="s">
        <v>4818</v>
      </c>
      <c r="D1630" s="6" t="s">
        <v>1962</v>
      </c>
      <c r="E1630" s="6" t="s">
        <v>16</v>
      </c>
      <c r="F1630" s="7">
        <v>45550</v>
      </c>
      <c r="G1630" s="6" t="s">
        <v>3102</v>
      </c>
      <c r="H1630" s="8"/>
      <c r="I1630" s="9">
        <v>7395.84</v>
      </c>
      <c r="J1630" s="9">
        <v>7395.84</v>
      </c>
      <c r="K1630" s="5" t="str">
        <f>VLOOKUP(D1630,[1]Clientes!$A$1:$B$1370,2,0)</f>
        <v>NAC1382</v>
      </c>
      <c r="L1630" s="5" t="str">
        <f t="shared" si="50"/>
        <v>HGI0126599</v>
      </c>
      <c r="M1630" s="5" t="str">
        <f t="shared" si="51"/>
        <v>I</v>
      </c>
      <c r="N1630" s="5">
        <f>IF(G1630=[1]Clientes!$C$3,[1]Clientes!$D$3,[1]Clientes!$D$2)</f>
        <v>13050505</v>
      </c>
    </row>
    <row r="1631" spans="1:14">
      <c r="A1631" s="6" t="s">
        <v>7</v>
      </c>
      <c r="B1631" s="7">
        <v>45530</v>
      </c>
      <c r="C1631" s="6" t="s">
        <v>4819</v>
      </c>
      <c r="D1631" s="6" t="s">
        <v>1962</v>
      </c>
      <c r="E1631" s="6" t="s">
        <v>16</v>
      </c>
      <c r="F1631" s="7">
        <v>45560</v>
      </c>
      <c r="G1631" s="6" t="s">
        <v>3102</v>
      </c>
      <c r="H1631" s="8"/>
      <c r="I1631" s="9">
        <v>22530</v>
      </c>
      <c r="J1631" s="9">
        <v>22530</v>
      </c>
      <c r="K1631" s="5" t="str">
        <f>VLOOKUP(D1631,[1]Clientes!$A$1:$B$1370,2,0)</f>
        <v>NAC1382</v>
      </c>
      <c r="L1631" s="5" t="str">
        <f t="shared" si="50"/>
        <v>HGI0126852</v>
      </c>
      <c r="M1631" s="5" t="str">
        <f t="shared" si="51"/>
        <v>I</v>
      </c>
      <c r="N1631" s="5">
        <f>IF(G1631=[1]Clientes!$C$3,[1]Clientes!$D$3,[1]Clientes!$D$2)</f>
        <v>13050505</v>
      </c>
    </row>
    <row r="1632" spans="1:14">
      <c r="A1632" s="6" t="s">
        <v>7</v>
      </c>
      <c r="B1632" s="7">
        <v>45530</v>
      </c>
      <c r="C1632" s="6" t="s">
        <v>4820</v>
      </c>
      <c r="D1632" s="6" t="s">
        <v>1962</v>
      </c>
      <c r="E1632" s="6" t="s">
        <v>16</v>
      </c>
      <c r="F1632" s="7">
        <v>45560</v>
      </c>
      <c r="G1632" s="6" t="s">
        <v>3102</v>
      </c>
      <c r="H1632" s="8"/>
      <c r="I1632" s="9">
        <v>4531</v>
      </c>
      <c r="J1632" s="9">
        <v>4531</v>
      </c>
      <c r="K1632" s="5" t="str">
        <f>VLOOKUP(D1632,[1]Clientes!$A$1:$B$1370,2,0)</f>
        <v>NAC1382</v>
      </c>
      <c r="L1632" s="5" t="str">
        <f t="shared" si="50"/>
        <v>HGI0126853</v>
      </c>
      <c r="M1632" s="5" t="str">
        <f t="shared" si="51"/>
        <v>I</v>
      </c>
      <c r="N1632" s="5">
        <f>IF(G1632=[1]Clientes!$C$3,[1]Clientes!$D$3,[1]Clientes!$D$2)</f>
        <v>13050505</v>
      </c>
    </row>
    <row r="1633" spans="1:14">
      <c r="A1633" s="6" t="s">
        <v>7</v>
      </c>
      <c r="B1633" s="7">
        <v>45532</v>
      </c>
      <c r="C1633" s="6" t="s">
        <v>4821</v>
      </c>
      <c r="D1633" s="6" t="s">
        <v>1962</v>
      </c>
      <c r="E1633" s="6" t="s">
        <v>16</v>
      </c>
      <c r="F1633" s="7">
        <v>45562</v>
      </c>
      <c r="G1633" s="6" t="s">
        <v>3102</v>
      </c>
      <c r="H1633" s="8"/>
      <c r="I1633" s="9">
        <v>7560</v>
      </c>
      <c r="J1633" s="9">
        <v>7560</v>
      </c>
      <c r="K1633" s="5" t="str">
        <f>VLOOKUP(D1633,[1]Clientes!$A$1:$B$1370,2,0)</f>
        <v>NAC1382</v>
      </c>
      <c r="L1633" s="5" t="str">
        <f t="shared" si="50"/>
        <v>HGI0127050</v>
      </c>
      <c r="M1633" s="5" t="str">
        <f t="shared" si="51"/>
        <v>I</v>
      </c>
      <c r="N1633" s="5">
        <f>IF(G1633=[1]Clientes!$C$3,[1]Clientes!$D$3,[1]Clientes!$D$2)</f>
        <v>13050505</v>
      </c>
    </row>
    <row r="1634" spans="1:14">
      <c r="A1634" s="6" t="s">
        <v>7</v>
      </c>
      <c r="B1634" s="7">
        <v>45526</v>
      </c>
      <c r="C1634" s="6" t="s">
        <v>4822</v>
      </c>
      <c r="D1634" s="6" t="s">
        <v>4823</v>
      </c>
      <c r="E1634" s="6" t="s">
        <v>16</v>
      </c>
      <c r="F1634" s="7">
        <v>45556</v>
      </c>
      <c r="G1634" s="6" t="s">
        <v>3102</v>
      </c>
      <c r="H1634" s="8"/>
      <c r="I1634" s="9">
        <v>2743</v>
      </c>
      <c r="J1634" s="9">
        <v>2743</v>
      </c>
      <c r="K1634" s="5" t="str">
        <f>VLOOKUP(D1634,[1]Clientes!$A$1:$B$1370,2,0)</f>
        <v>NAC1385</v>
      </c>
      <c r="L1634" s="5" t="str">
        <f t="shared" si="50"/>
        <v>HGI0126761</v>
      </c>
      <c r="M1634" s="5" t="str">
        <f t="shared" si="51"/>
        <v>I</v>
      </c>
      <c r="N1634" s="5">
        <f>IF(G1634=[1]Clientes!$C$3,[1]Clientes!$D$3,[1]Clientes!$D$2)</f>
        <v>13050505</v>
      </c>
    </row>
    <row r="1635" spans="1:14">
      <c r="A1635" s="6" t="s">
        <v>7</v>
      </c>
      <c r="B1635" s="7">
        <v>45475</v>
      </c>
      <c r="C1635" s="6" t="s">
        <v>4824</v>
      </c>
      <c r="D1635" s="6" t="s">
        <v>1977</v>
      </c>
      <c r="E1635" s="6" t="s">
        <v>16</v>
      </c>
      <c r="F1635" s="7">
        <v>45505</v>
      </c>
      <c r="G1635" s="6" t="s">
        <v>3102</v>
      </c>
      <c r="H1635" s="8">
        <v>30</v>
      </c>
      <c r="I1635" s="9">
        <v>2970</v>
      </c>
      <c r="J1635" s="9">
        <v>2970</v>
      </c>
      <c r="K1635" s="5" t="str">
        <f>VLOOKUP(D1635,[1]Clientes!$A$1:$B$1370,2,0)</f>
        <v>NAC1395</v>
      </c>
      <c r="L1635" s="5" t="str">
        <f t="shared" si="50"/>
        <v>HGI0125454</v>
      </c>
      <c r="M1635" s="5" t="str">
        <f t="shared" si="51"/>
        <v>I</v>
      </c>
      <c r="N1635" s="5">
        <f>IF(G1635=[1]Clientes!$C$3,[1]Clientes!$D$3,[1]Clientes!$D$2)</f>
        <v>13050505</v>
      </c>
    </row>
    <row r="1636" spans="1:14">
      <c r="A1636" s="6" t="s">
        <v>7</v>
      </c>
      <c r="B1636" s="7">
        <v>45483</v>
      </c>
      <c r="C1636" s="6" t="s">
        <v>4825</v>
      </c>
      <c r="D1636" s="6" t="s">
        <v>1977</v>
      </c>
      <c r="E1636" s="6" t="s">
        <v>16</v>
      </c>
      <c r="F1636" s="7">
        <v>45513</v>
      </c>
      <c r="G1636" s="6" t="s">
        <v>3102</v>
      </c>
      <c r="H1636" s="8">
        <v>22</v>
      </c>
      <c r="I1636" s="9">
        <v>2944</v>
      </c>
      <c r="J1636" s="9">
        <v>2944</v>
      </c>
      <c r="K1636" s="5" t="str">
        <f>VLOOKUP(D1636,[1]Clientes!$A$1:$B$1370,2,0)</f>
        <v>NAC1395</v>
      </c>
      <c r="L1636" s="5" t="str">
        <f t="shared" si="50"/>
        <v>HGI0125616</v>
      </c>
      <c r="M1636" s="5" t="str">
        <f t="shared" si="51"/>
        <v>I</v>
      </c>
      <c r="N1636" s="5">
        <f>IF(G1636=[1]Clientes!$C$3,[1]Clientes!$D$3,[1]Clientes!$D$2)</f>
        <v>13050505</v>
      </c>
    </row>
    <row r="1637" spans="1:14">
      <c r="A1637" s="6" t="s">
        <v>7</v>
      </c>
      <c r="B1637" s="7">
        <v>45484</v>
      </c>
      <c r="C1637" s="6" t="s">
        <v>4826</v>
      </c>
      <c r="D1637" s="6" t="s">
        <v>1977</v>
      </c>
      <c r="E1637" s="6" t="s">
        <v>16</v>
      </c>
      <c r="F1637" s="7">
        <v>45514</v>
      </c>
      <c r="G1637" s="6" t="s">
        <v>3102</v>
      </c>
      <c r="H1637" s="8">
        <v>21</v>
      </c>
      <c r="I1637" s="9">
        <v>3960</v>
      </c>
      <c r="J1637" s="9">
        <v>3960</v>
      </c>
      <c r="K1637" s="5" t="str">
        <f>VLOOKUP(D1637,[1]Clientes!$A$1:$B$1370,2,0)</f>
        <v>NAC1395</v>
      </c>
      <c r="L1637" s="5" t="str">
        <f t="shared" si="50"/>
        <v>HGI0125657</v>
      </c>
      <c r="M1637" s="5" t="str">
        <f t="shared" si="51"/>
        <v>I</v>
      </c>
      <c r="N1637" s="5">
        <f>IF(G1637=[1]Clientes!$C$3,[1]Clientes!$D$3,[1]Clientes!$D$2)</f>
        <v>13050505</v>
      </c>
    </row>
    <row r="1638" spans="1:14">
      <c r="A1638" s="6" t="s">
        <v>7</v>
      </c>
      <c r="B1638" s="7">
        <v>45516</v>
      </c>
      <c r="C1638" s="6" t="s">
        <v>4827</v>
      </c>
      <c r="D1638" s="6" t="s">
        <v>1977</v>
      </c>
      <c r="E1638" s="6" t="s">
        <v>16</v>
      </c>
      <c r="F1638" s="7">
        <v>45546</v>
      </c>
      <c r="G1638" s="6" t="s">
        <v>3102</v>
      </c>
      <c r="H1638" s="8"/>
      <c r="I1638" s="9">
        <v>1997</v>
      </c>
      <c r="J1638" s="9">
        <v>1997</v>
      </c>
      <c r="K1638" s="5" t="str">
        <f>VLOOKUP(D1638,[1]Clientes!$A$1:$B$1370,2,0)</f>
        <v>NAC1395</v>
      </c>
      <c r="L1638" s="5" t="str">
        <f t="shared" si="50"/>
        <v>HGI0126394</v>
      </c>
      <c r="M1638" s="5" t="str">
        <f t="shared" si="51"/>
        <v>I</v>
      </c>
      <c r="N1638" s="5">
        <f>IF(G1638=[1]Clientes!$C$3,[1]Clientes!$D$3,[1]Clientes!$D$2)</f>
        <v>13050505</v>
      </c>
    </row>
    <row r="1639" spans="1:14">
      <c r="A1639" s="6" t="s">
        <v>7</v>
      </c>
      <c r="B1639" s="7">
        <v>45516</v>
      </c>
      <c r="C1639" s="6" t="s">
        <v>4828</v>
      </c>
      <c r="D1639" s="6" t="s">
        <v>1977</v>
      </c>
      <c r="E1639" s="6" t="s">
        <v>16</v>
      </c>
      <c r="F1639" s="7">
        <v>45546</v>
      </c>
      <c r="G1639" s="6" t="s">
        <v>3102</v>
      </c>
      <c r="H1639" s="8"/>
      <c r="I1639" s="9">
        <v>3680</v>
      </c>
      <c r="J1639" s="9">
        <v>3680</v>
      </c>
      <c r="K1639" s="5" t="str">
        <f>VLOOKUP(D1639,[1]Clientes!$A$1:$B$1370,2,0)</f>
        <v>NAC1395</v>
      </c>
      <c r="L1639" s="5" t="str">
        <f t="shared" si="50"/>
        <v>HGI0126395</v>
      </c>
      <c r="M1639" s="5" t="str">
        <f t="shared" si="51"/>
        <v>I</v>
      </c>
      <c r="N1639" s="5">
        <f>IF(G1639=[1]Clientes!$C$3,[1]Clientes!$D$3,[1]Clientes!$D$2)</f>
        <v>13050505</v>
      </c>
    </row>
    <row r="1640" spans="1:14">
      <c r="A1640" s="6" t="s">
        <v>3265</v>
      </c>
      <c r="B1640" s="7">
        <v>44378</v>
      </c>
      <c r="C1640" s="6" t="s">
        <v>4829</v>
      </c>
      <c r="D1640" s="6" t="s">
        <v>4830</v>
      </c>
      <c r="E1640" s="6"/>
      <c r="F1640" s="7"/>
      <c r="G1640" s="6" t="s">
        <v>3102</v>
      </c>
      <c r="H1640" s="8"/>
      <c r="I1640" s="9">
        <v>-340.25</v>
      </c>
      <c r="J1640" s="9">
        <v>-340.25</v>
      </c>
      <c r="K1640" s="5">
        <f>VLOOKUP(D1640,[1]Clientes!$A$1:$B$1485,2,0)</f>
        <v>0</v>
      </c>
      <c r="L1640" s="5" t="str">
        <f t="shared" si="50"/>
        <v>Revisar</v>
      </c>
      <c r="M1640" s="5" t="str">
        <f t="shared" si="51"/>
        <v>GJ</v>
      </c>
      <c r="N1640" s="5">
        <f>IF(G1640=[1]Clientes!$C$3,[1]Clientes!$D$3,[1]Clientes!$D$2)</f>
        <v>13050505</v>
      </c>
    </row>
    <row r="1641" spans="1:14">
      <c r="A1641" s="6" t="s">
        <v>7</v>
      </c>
      <c r="B1641" s="7">
        <v>45531</v>
      </c>
      <c r="C1641" s="6" t="s">
        <v>4831</v>
      </c>
      <c r="D1641" s="6" t="s">
        <v>4832</v>
      </c>
      <c r="E1641" s="6" t="s">
        <v>213</v>
      </c>
      <c r="F1641" s="7">
        <v>45531</v>
      </c>
      <c r="G1641" s="6" t="s">
        <v>3102</v>
      </c>
      <c r="H1641" s="8">
        <v>4</v>
      </c>
      <c r="I1641" s="9">
        <v>261.25</v>
      </c>
      <c r="J1641" s="9">
        <v>261.25</v>
      </c>
      <c r="K1641" s="5" t="str">
        <f>VLOOKUP(D1641,[1]Clientes!$A$1:$B$1485,2,0)</f>
        <v>SH02823</v>
      </c>
      <c r="L1641" s="5" t="str">
        <f t="shared" si="50"/>
        <v>HGI0126959</v>
      </c>
      <c r="M1641" s="5" t="str">
        <f t="shared" si="51"/>
        <v>I</v>
      </c>
      <c r="N1641" s="5">
        <f>IF(G1641=[1]Clientes!$C$3,[1]Clientes!$D$3,[1]Clientes!$D$2)</f>
        <v>13050505</v>
      </c>
    </row>
    <row r="1642" spans="1:14">
      <c r="A1642" s="6" t="s">
        <v>7</v>
      </c>
      <c r="B1642" s="7">
        <v>45531</v>
      </c>
      <c r="C1642" s="6" t="s">
        <v>4833</v>
      </c>
      <c r="D1642" s="6" t="s">
        <v>4834</v>
      </c>
      <c r="E1642" s="6" t="s">
        <v>213</v>
      </c>
      <c r="F1642" s="7">
        <v>45531</v>
      </c>
      <c r="G1642" s="6" t="s">
        <v>3102</v>
      </c>
      <c r="H1642" s="8">
        <v>4</v>
      </c>
      <c r="I1642" s="9">
        <v>63.15</v>
      </c>
      <c r="J1642" s="9">
        <v>63.15</v>
      </c>
      <c r="K1642" s="5" t="str">
        <f>VLOOKUP(D1642,[1]Clientes!$A$1:$B$1370,2,0)</f>
        <v>SH02824</v>
      </c>
      <c r="L1642" s="5" t="str">
        <f t="shared" si="50"/>
        <v>HGI0126963</v>
      </c>
      <c r="M1642" s="5" t="str">
        <f t="shared" si="51"/>
        <v>I</v>
      </c>
      <c r="N1642" s="5">
        <f>IF(G1642=[1]Clientes!$C$3,[1]Clientes!$D$3,[1]Clientes!$D$2)</f>
        <v>13050505</v>
      </c>
    </row>
    <row r="1643" spans="1:14">
      <c r="A1643" s="6" t="s">
        <v>3265</v>
      </c>
      <c r="B1643" s="7">
        <v>45471</v>
      </c>
      <c r="C1643" s="6" t="s">
        <v>4235</v>
      </c>
      <c r="D1643" s="6" t="s">
        <v>1994</v>
      </c>
      <c r="E1643" s="6"/>
      <c r="F1643" s="7"/>
      <c r="G1643" s="6" t="s">
        <v>3102</v>
      </c>
      <c r="H1643" s="8"/>
      <c r="I1643" s="9">
        <v>-85.32</v>
      </c>
      <c r="J1643" s="9">
        <v>-85.32</v>
      </c>
      <c r="K1643" s="5" t="str">
        <f>VLOOKUP(D1643,[1]Clientes!$A$1:$B$1370,2,0)</f>
        <v>NAC1404</v>
      </c>
      <c r="L1643" s="5" t="str">
        <f t="shared" si="50"/>
        <v>Revisar</v>
      </c>
      <c r="M1643" s="5" t="str">
        <f t="shared" si="51"/>
        <v>GJ</v>
      </c>
      <c r="N1643" s="5">
        <f>IF(G1643=[1]Clientes!$C$3,[1]Clientes!$D$3,[1]Clientes!$D$2)</f>
        <v>13050505</v>
      </c>
    </row>
    <row r="1644" spans="1:14">
      <c r="A1644" s="6" t="s">
        <v>7</v>
      </c>
      <c r="B1644" s="7">
        <v>45233</v>
      </c>
      <c r="C1644" s="6" t="s">
        <v>4835</v>
      </c>
      <c r="D1644" s="6" t="s">
        <v>264</v>
      </c>
      <c r="E1644" s="6" t="s">
        <v>213</v>
      </c>
      <c r="F1644" s="7">
        <v>45233</v>
      </c>
      <c r="G1644" s="6" t="s">
        <v>3102</v>
      </c>
      <c r="H1644" s="8">
        <v>302</v>
      </c>
      <c r="I1644" s="9">
        <v>159.12</v>
      </c>
      <c r="J1644" s="9">
        <v>1383.12</v>
      </c>
      <c r="K1644" s="5" t="str">
        <f>VLOOKUP(D1644,[1]Clientes!$A$1:$B$1370,2,0)</f>
        <v>CAN0069</v>
      </c>
      <c r="L1644" s="5" t="str">
        <f t="shared" si="50"/>
        <v>HGI0116988</v>
      </c>
      <c r="M1644" s="5" t="str">
        <f t="shared" si="51"/>
        <v>I</v>
      </c>
      <c r="N1644" s="5">
        <f>IF(G1644=[1]Clientes!$C$3,[1]Clientes!$D$3,[1]Clientes!$D$2)</f>
        <v>13050505</v>
      </c>
    </row>
    <row r="1645" spans="1:14">
      <c r="A1645" s="6" t="s">
        <v>7</v>
      </c>
      <c r="B1645" s="7">
        <v>45233</v>
      </c>
      <c r="C1645" s="6" t="s">
        <v>4836</v>
      </c>
      <c r="D1645" s="6" t="s">
        <v>264</v>
      </c>
      <c r="E1645" s="6" t="s">
        <v>213</v>
      </c>
      <c r="F1645" s="7">
        <v>45233</v>
      </c>
      <c r="G1645" s="6" t="s">
        <v>3102</v>
      </c>
      <c r="H1645" s="8">
        <v>302</v>
      </c>
      <c r="I1645" s="9">
        <v>381.03</v>
      </c>
      <c r="J1645" s="9">
        <v>3312.03</v>
      </c>
      <c r="K1645" s="5" t="str">
        <f>VLOOKUP(D1645,[1]Clientes!$A$1:$B$1370,2,0)</f>
        <v>CAN0069</v>
      </c>
      <c r="L1645" s="5" t="str">
        <f t="shared" si="50"/>
        <v>HGI0116989</v>
      </c>
      <c r="M1645" s="5" t="str">
        <f t="shared" si="51"/>
        <v>I</v>
      </c>
      <c r="N1645" s="5">
        <f>IF(G1645=[1]Clientes!$C$3,[1]Clientes!$D$3,[1]Clientes!$D$2)</f>
        <v>13050505</v>
      </c>
    </row>
    <row r="1646" spans="1:14">
      <c r="A1646" s="6" t="s">
        <v>7</v>
      </c>
      <c r="B1646" s="7">
        <v>45503</v>
      </c>
      <c r="C1646" s="6" t="s">
        <v>4837</v>
      </c>
      <c r="D1646" s="6" t="s">
        <v>1997</v>
      </c>
      <c r="E1646" s="6" t="s">
        <v>16</v>
      </c>
      <c r="F1646" s="7">
        <v>45533</v>
      </c>
      <c r="G1646" s="6" t="s">
        <v>3102</v>
      </c>
      <c r="H1646" s="8">
        <v>2</v>
      </c>
      <c r="I1646" s="9">
        <v>219</v>
      </c>
      <c r="J1646" s="9">
        <v>219</v>
      </c>
      <c r="K1646" s="5" t="str">
        <f>VLOOKUP(D1646,[1]Clientes!$A$1:$B$1370,2,0)</f>
        <v>NAC1408</v>
      </c>
      <c r="L1646" s="5" t="str">
        <f t="shared" si="50"/>
        <v>HGI0126043</v>
      </c>
      <c r="M1646" s="5" t="str">
        <f t="shared" si="51"/>
        <v>I</v>
      </c>
      <c r="N1646" s="5">
        <f>IF(G1646=[1]Clientes!$C$3,[1]Clientes!$D$3,[1]Clientes!$D$2)</f>
        <v>13050505</v>
      </c>
    </row>
    <row r="1647" spans="1:14">
      <c r="A1647" s="6" t="s">
        <v>7</v>
      </c>
      <c r="B1647" s="7">
        <v>45503</v>
      </c>
      <c r="C1647" s="6" t="s">
        <v>4838</v>
      </c>
      <c r="D1647" s="6" t="s">
        <v>1997</v>
      </c>
      <c r="E1647" s="6" t="s">
        <v>16</v>
      </c>
      <c r="F1647" s="7">
        <v>45533</v>
      </c>
      <c r="G1647" s="6" t="s">
        <v>3102</v>
      </c>
      <c r="H1647" s="8">
        <v>2</v>
      </c>
      <c r="I1647" s="9">
        <v>224</v>
      </c>
      <c r="J1647" s="9">
        <v>224</v>
      </c>
      <c r="K1647" s="5" t="str">
        <f>VLOOKUP(D1647,[1]Clientes!$A$1:$B$1370,2,0)</f>
        <v>NAC1408</v>
      </c>
      <c r="L1647" s="5" t="str">
        <f t="shared" si="50"/>
        <v>HGI0126044</v>
      </c>
      <c r="M1647" s="5" t="str">
        <f t="shared" si="51"/>
        <v>I</v>
      </c>
      <c r="N1647" s="5">
        <f>IF(G1647=[1]Clientes!$C$3,[1]Clientes!$D$3,[1]Clientes!$D$2)</f>
        <v>13050505</v>
      </c>
    </row>
    <row r="1648" spans="1:14">
      <c r="A1648" s="6" t="s">
        <v>7</v>
      </c>
      <c r="B1648" s="7">
        <v>45503</v>
      </c>
      <c r="C1648" s="6" t="s">
        <v>4839</v>
      </c>
      <c r="D1648" s="6" t="s">
        <v>1997</v>
      </c>
      <c r="E1648" s="6" t="s">
        <v>16</v>
      </c>
      <c r="F1648" s="7">
        <v>45533</v>
      </c>
      <c r="G1648" s="6" t="s">
        <v>3102</v>
      </c>
      <c r="H1648" s="8">
        <v>2</v>
      </c>
      <c r="I1648" s="9">
        <v>219</v>
      </c>
      <c r="J1648" s="9">
        <v>219</v>
      </c>
      <c r="K1648" s="5" t="str">
        <f>VLOOKUP(D1648,[1]Clientes!$A$1:$B$1370,2,0)</f>
        <v>NAC1408</v>
      </c>
      <c r="L1648" s="5" t="str">
        <f t="shared" si="50"/>
        <v>HGI0126045</v>
      </c>
      <c r="M1648" s="5" t="str">
        <f t="shared" si="51"/>
        <v>I</v>
      </c>
      <c r="N1648" s="5">
        <f>IF(G1648=[1]Clientes!$C$3,[1]Clientes!$D$3,[1]Clientes!$D$2)</f>
        <v>13050505</v>
      </c>
    </row>
    <row r="1649" spans="1:14">
      <c r="A1649" s="6" t="s">
        <v>7</v>
      </c>
      <c r="B1649" s="7">
        <v>45506</v>
      </c>
      <c r="C1649" s="6" t="s">
        <v>4840</v>
      </c>
      <c r="D1649" s="6" t="s">
        <v>4841</v>
      </c>
      <c r="E1649" s="6" t="s">
        <v>16</v>
      </c>
      <c r="F1649" s="7">
        <v>45536</v>
      </c>
      <c r="G1649" s="6" t="s">
        <v>3102</v>
      </c>
      <c r="H1649" s="8"/>
      <c r="I1649" s="9">
        <v>42427.92</v>
      </c>
      <c r="J1649" s="9">
        <v>42427.92</v>
      </c>
      <c r="K1649" s="5" t="str">
        <f>VLOOKUP(D1649,[1]Clientes!$A$1:$B$1485,2,0)</f>
        <v>CAN0070</v>
      </c>
      <c r="L1649" s="5" t="str">
        <f t="shared" si="50"/>
        <v>HGI0126270</v>
      </c>
      <c r="M1649" s="5" t="str">
        <f t="shared" si="51"/>
        <v>I</v>
      </c>
      <c r="N1649" s="5">
        <f>IF(G1649=[1]Clientes!$C$3,[1]Clientes!$D$3,[1]Clientes!$D$2)</f>
        <v>13050505</v>
      </c>
    </row>
    <row r="1650" spans="1:14">
      <c r="A1650" s="6" t="s">
        <v>7</v>
      </c>
      <c r="B1650" s="7">
        <v>45229</v>
      </c>
      <c r="C1650" s="6" t="s">
        <v>4842</v>
      </c>
      <c r="D1650" s="6" t="s">
        <v>2003</v>
      </c>
      <c r="E1650" s="6" t="s">
        <v>382</v>
      </c>
      <c r="F1650" s="7">
        <v>45289</v>
      </c>
      <c r="G1650" s="6" t="s">
        <v>3102</v>
      </c>
      <c r="H1650" s="8">
        <v>246</v>
      </c>
      <c r="I1650" s="9">
        <v>17836.3</v>
      </c>
      <c r="J1650" s="9">
        <v>17836.3</v>
      </c>
      <c r="K1650" s="5" t="str">
        <f>VLOOKUP(D1650,[1]Clientes!$A$1:$B$1370,2,0)</f>
        <v>NAC1413</v>
      </c>
      <c r="L1650" s="5" t="str">
        <f t="shared" si="50"/>
        <v>HGI0116559</v>
      </c>
      <c r="M1650" s="5" t="str">
        <f t="shared" si="51"/>
        <v>I</v>
      </c>
      <c r="N1650" s="5">
        <f>IF(G1650=[1]Clientes!$C$3,[1]Clientes!$D$3,[1]Clientes!$D$2)</f>
        <v>13050505</v>
      </c>
    </row>
    <row r="1651" spans="1:14">
      <c r="A1651" s="6" t="s">
        <v>7</v>
      </c>
      <c r="B1651" s="7">
        <v>45512</v>
      </c>
      <c r="C1651" s="6" t="s">
        <v>4843</v>
      </c>
      <c r="D1651" s="6" t="s">
        <v>2003</v>
      </c>
      <c r="E1651" s="6" t="s">
        <v>382</v>
      </c>
      <c r="F1651" s="7">
        <v>45572</v>
      </c>
      <c r="G1651" s="6" t="s">
        <v>3102</v>
      </c>
      <c r="H1651" s="8"/>
      <c r="I1651" s="9">
        <v>32927.58</v>
      </c>
      <c r="J1651" s="9">
        <v>32927.58</v>
      </c>
      <c r="K1651" s="5" t="str">
        <f>VLOOKUP(D1651,[1]Clientes!$A$1:$B$1370,2,0)</f>
        <v>NAC1413</v>
      </c>
      <c r="L1651" s="5" t="str">
        <f t="shared" si="50"/>
        <v>HGI0126340</v>
      </c>
      <c r="M1651" s="5" t="str">
        <f t="shared" si="51"/>
        <v>I</v>
      </c>
      <c r="N1651" s="5">
        <f>IF(G1651=[1]Clientes!$C$3,[1]Clientes!$D$3,[1]Clientes!$D$2)</f>
        <v>13050505</v>
      </c>
    </row>
    <row r="1652" spans="1:14">
      <c r="A1652" s="6" t="s">
        <v>7</v>
      </c>
      <c r="B1652" s="7">
        <v>45525</v>
      </c>
      <c r="C1652" s="6" t="s">
        <v>4844</v>
      </c>
      <c r="D1652" s="6" t="s">
        <v>2006</v>
      </c>
      <c r="E1652" s="6" t="s">
        <v>16</v>
      </c>
      <c r="F1652" s="7">
        <v>45555</v>
      </c>
      <c r="G1652" s="6" t="s">
        <v>3102</v>
      </c>
      <c r="H1652" s="8"/>
      <c r="I1652" s="9">
        <v>36250</v>
      </c>
      <c r="J1652" s="9">
        <v>36250</v>
      </c>
      <c r="K1652" s="5" t="str">
        <f>VLOOKUP(D1652,[1]Clientes!$A$1:$B$1370,2,0)</f>
        <v>NAC1417</v>
      </c>
      <c r="L1652" s="5" t="str">
        <f t="shared" si="50"/>
        <v>HGI0126732</v>
      </c>
      <c r="M1652" s="5" t="str">
        <f t="shared" si="51"/>
        <v>I</v>
      </c>
      <c r="N1652" s="5">
        <f>IF(G1652=[1]Clientes!$C$3,[1]Clientes!$D$3,[1]Clientes!$D$2)</f>
        <v>13050505</v>
      </c>
    </row>
    <row r="1653" spans="1:14">
      <c r="A1653" s="6" t="s">
        <v>7</v>
      </c>
      <c r="B1653" s="7">
        <v>45525</v>
      </c>
      <c r="C1653" s="6" t="s">
        <v>4845</v>
      </c>
      <c r="D1653" s="6" t="s">
        <v>2006</v>
      </c>
      <c r="E1653" s="6" t="s">
        <v>16</v>
      </c>
      <c r="F1653" s="7">
        <v>45555</v>
      </c>
      <c r="G1653" s="6" t="s">
        <v>3102</v>
      </c>
      <c r="H1653" s="8"/>
      <c r="I1653" s="9">
        <v>9455</v>
      </c>
      <c r="J1653" s="9">
        <v>9455</v>
      </c>
      <c r="K1653" s="5" t="str">
        <f>VLOOKUP(D1653,[1]Clientes!$A$1:$B$1370,2,0)</f>
        <v>NAC1417</v>
      </c>
      <c r="L1653" s="5" t="str">
        <f t="shared" si="50"/>
        <v>HGI0126733</v>
      </c>
      <c r="M1653" s="5" t="str">
        <f t="shared" si="51"/>
        <v>I</v>
      </c>
      <c r="N1653" s="5">
        <f>IF(G1653=[1]Clientes!$C$3,[1]Clientes!$D$3,[1]Clientes!$D$2)</f>
        <v>13050505</v>
      </c>
    </row>
    <row r="1654" spans="1:14">
      <c r="A1654" s="6" t="s">
        <v>7</v>
      </c>
      <c r="B1654" s="7">
        <v>45525</v>
      </c>
      <c r="C1654" s="6" t="s">
        <v>4846</v>
      </c>
      <c r="D1654" s="6" t="s">
        <v>2006</v>
      </c>
      <c r="E1654" s="6" t="s">
        <v>16</v>
      </c>
      <c r="F1654" s="7">
        <v>45555</v>
      </c>
      <c r="G1654" s="6" t="s">
        <v>3102</v>
      </c>
      <c r="H1654" s="8"/>
      <c r="I1654" s="9">
        <v>23400</v>
      </c>
      <c r="J1654" s="9">
        <v>23400</v>
      </c>
      <c r="K1654" s="5" t="str">
        <f>VLOOKUP(D1654,[1]Clientes!$A$1:$B$1370,2,0)</f>
        <v>NAC1417</v>
      </c>
      <c r="L1654" s="5" t="str">
        <f t="shared" si="50"/>
        <v>HGI0126734</v>
      </c>
      <c r="M1654" s="5" t="str">
        <f t="shared" si="51"/>
        <v>I</v>
      </c>
      <c r="N1654" s="5">
        <f>IF(G1654=[1]Clientes!$C$3,[1]Clientes!$D$3,[1]Clientes!$D$2)</f>
        <v>13050505</v>
      </c>
    </row>
    <row r="1655" spans="1:14">
      <c r="A1655" s="6" t="s">
        <v>7</v>
      </c>
      <c r="B1655" s="7">
        <v>45516</v>
      </c>
      <c r="C1655" s="6" t="s">
        <v>4847</v>
      </c>
      <c r="D1655" s="6" t="s">
        <v>2010</v>
      </c>
      <c r="E1655" s="6" t="s">
        <v>16</v>
      </c>
      <c r="F1655" s="7">
        <v>45546</v>
      </c>
      <c r="G1655" s="6" t="s">
        <v>3102</v>
      </c>
      <c r="H1655" s="8"/>
      <c r="I1655" s="9">
        <v>738.5</v>
      </c>
      <c r="J1655" s="9">
        <v>738.5</v>
      </c>
      <c r="K1655" s="5" t="str">
        <f>VLOOKUP(D1655,[1]Clientes!$A$1:$B$1370,2,0)</f>
        <v>NAC1419</v>
      </c>
      <c r="L1655" s="5" t="str">
        <f t="shared" si="50"/>
        <v>HGI0126392</v>
      </c>
      <c r="M1655" s="5" t="str">
        <f t="shared" si="51"/>
        <v>I</v>
      </c>
      <c r="N1655" s="5">
        <f>IF(G1655=[1]Clientes!$C$3,[1]Clientes!$D$3,[1]Clientes!$D$2)</f>
        <v>13050505</v>
      </c>
    </row>
    <row r="1656" spans="1:14">
      <c r="A1656" s="6" t="s">
        <v>7</v>
      </c>
      <c r="B1656" s="7">
        <v>45503</v>
      </c>
      <c r="C1656" s="6" t="s">
        <v>4848</v>
      </c>
      <c r="D1656" s="6" t="s">
        <v>2013</v>
      </c>
      <c r="E1656" s="6" t="s">
        <v>16</v>
      </c>
      <c r="F1656" s="7">
        <v>45533</v>
      </c>
      <c r="G1656" s="6" t="s">
        <v>3102</v>
      </c>
      <c r="H1656" s="8">
        <v>2</v>
      </c>
      <c r="I1656" s="9">
        <v>989</v>
      </c>
      <c r="J1656" s="9">
        <v>989</v>
      </c>
      <c r="K1656" s="5" t="str">
        <f>VLOOKUP(D1656,[1]Clientes!$A$1:$B$1370,2,0)</f>
        <v>NAC1424</v>
      </c>
      <c r="L1656" s="5" t="str">
        <f t="shared" si="50"/>
        <v>HGI0126084</v>
      </c>
      <c r="M1656" s="5" t="str">
        <f t="shared" si="51"/>
        <v>I</v>
      </c>
      <c r="N1656" s="5">
        <f>IF(G1656=[1]Clientes!$C$3,[1]Clientes!$D$3,[1]Clientes!$D$2)</f>
        <v>13050505</v>
      </c>
    </row>
    <row r="1657" spans="1:14">
      <c r="A1657" s="6" t="s">
        <v>7</v>
      </c>
      <c r="B1657" s="7">
        <v>45504</v>
      </c>
      <c r="C1657" s="6" t="s">
        <v>4849</v>
      </c>
      <c r="D1657" s="6" t="s">
        <v>2013</v>
      </c>
      <c r="E1657" s="6" t="s">
        <v>16</v>
      </c>
      <c r="F1657" s="7">
        <v>45534</v>
      </c>
      <c r="G1657" s="6" t="s">
        <v>3102</v>
      </c>
      <c r="H1657" s="8">
        <v>1</v>
      </c>
      <c r="I1657" s="9">
        <v>667.7</v>
      </c>
      <c r="J1657" s="9">
        <v>667.7</v>
      </c>
      <c r="K1657" s="5" t="str">
        <f>VLOOKUP(D1657,[1]Clientes!$A$1:$B$1370,2,0)</f>
        <v>NAC1424</v>
      </c>
      <c r="L1657" s="5" t="str">
        <f t="shared" si="50"/>
        <v>HGI0126100</v>
      </c>
      <c r="M1657" s="5" t="str">
        <f t="shared" si="51"/>
        <v>I</v>
      </c>
      <c r="N1657" s="5">
        <f>IF(G1657=[1]Clientes!$C$3,[1]Clientes!$D$3,[1]Clientes!$D$2)</f>
        <v>13050505</v>
      </c>
    </row>
    <row r="1658" spans="1:14">
      <c r="A1658" s="6" t="s">
        <v>7</v>
      </c>
      <c r="B1658" s="7">
        <v>45505</v>
      </c>
      <c r="C1658" s="6" t="s">
        <v>4850</v>
      </c>
      <c r="D1658" s="6" t="s">
        <v>2013</v>
      </c>
      <c r="E1658" s="6" t="s">
        <v>16</v>
      </c>
      <c r="F1658" s="7">
        <v>45535</v>
      </c>
      <c r="G1658" s="6" t="s">
        <v>3102</v>
      </c>
      <c r="H1658" s="8"/>
      <c r="I1658" s="9">
        <v>7560</v>
      </c>
      <c r="J1658" s="9">
        <v>7560</v>
      </c>
      <c r="K1658" s="5" t="str">
        <f>VLOOKUP(D1658,[1]Clientes!$A$1:$B$1370,2,0)</f>
        <v>NAC1424</v>
      </c>
      <c r="L1658" s="5" t="str">
        <f t="shared" si="50"/>
        <v>HGI0126120</v>
      </c>
      <c r="M1658" s="5" t="str">
        <f t="shared" si="51"/>
        <v>I</v>
      </c>
      <c r="N1658" s="5">
        <f>IF(G1658=[1]Clientes!$C$3,[1]Clientes!$D$3,[1]Clientes!$D$2)</f>
        <v>13050505</v>
      </c>
    </row>
    <row r="1659" spans="1:14">
      <c r="A1659" s="6" t="s">
        <v>7</v>
      </c>
      <c r="B1659" s="7">
        <v>45505</v>
      </c>
      <c r="C1659" s="6" t="s">
        <v>4851</v>
      </c>
      <c r="D1659" s="6" t="s">
        <v>2013</v>
      </c>
      <c r="E1659" s="6" t="s">
        <v>16</v>
      </c>
      <c r="F1659" s="7">
        <v>45535</v>
      </c>
      <c r="G1659" s="6" t="s">
        <v>3102</v>
      </c>
      <c r="H1659" s="8"/>
      <c r="I1659" s="9">
        <v>12040</v>
      </c>
      <c r="J1659" s="9">
        <v>12040</v>
      </c>
      <c r="K1659" s="5" t="str">
        <f>VLOOKUP(D1659,[1]Clientes!$A$1:$B$1370,2,0)</f>
        <v>NAC1424</v>
      </c>
      <c r="L1659" s="5" t="str">
        <f t="shared" si="50"/>
        <v>HGI0126121</v>
      </c>
      <c r="M1659" s="5" t="str">
        <f t="shared" si="51"/>
        <v>I</v>
      </c>
      <c r="N1659" s="5">
        <f>IF(G1659=[1]Clientes!$C$3,[1]Clientes!$D$3,[1]Clientes!$D$2)</f>
        <v>13050505</v>
      </c>
    </row>
    <row r="1660" spans="1:14">
      <c r="A1660" s="6" t="s">
        <v>7</v>
      </c>
      <c r="B1660" s="7">
        <v>45505</v>
      </c>
      <c r="C1660" s="6" t="s">
        <v>4852</v>
      </c>
      <c r="D1660" s="6" t="s">
        <v>2013</v>
      </c>
      <c r="E1660" s="6" t="s">
        <v>16</v>
      </c>
      <c r="F1660" s="7">
        <v>45535</v>
      </c>
      <c r="G1660" s="6" t="s">
        <v>3102</v>
      </c>
      <c r="H1660" s="8"/>
      <c r="I1660" s="9">
        <v>1130</v>
      </c>
      <c r="J1660" s="9">
        <v>1130</v>
      </c>
      <c r="K1660" s="5" t="str">
        <f>VLOOKUP(D1660,[1]Clientes!$A$1:$B$1370,2,0)</f>
        <v>NAC1424</v>
      </c>
      <c r="L1660" s="5" t="str">
        <f t="shared" si="50"/>
        <v>HGI0126138</v>
      </c>
      <c r="M1660" s="5" t="str">
        <f t="shared" si="51"/>
        <v>I</v>
      </c>
      <c r="N1660" s="5">
        <f>IF(G1660=[1]Clientes!$C$3,[1]Clientes!$D$3,[1]Clientes!$D$2)</f>
        <v>13050505</v>
      </c>
    </row>
    <row r="1661" spans="1:14">
      <c r="A1661" s="6" t="s">
        <v>7</v>
      </c>
      <c r="B1661" s="7">
        <v>45505</v>
      </c>
      <c r="C1661" s="6" t="s">
        <v>4853</v>
      </c>
      <c r="D1661" s="6" t="s">
        <v>2013</v>
      </c>
      <c r="E1661" s="6" t="s">
        <v>16</v>
      </c>
      <c r="F1661" s="7">
        <v>45535</v>
      </c>
      <c r="G1661" s="6" t="s">
        <v>3102</v>
      </c>
      <c r="H1661" s="8"/>
      <c r="I1661" s="9">
        <v>895</v>
      </c>
      <c r="J1661" s="9">
        <v>895</v>
      </c>
      <c r="K1661" s="5" t="str">
        <f>VLOOKUP(D1661,[1]Clientes!$A$1:$B$1370,2,0)</f>
        <v>NAC1424</v>
      </c>
      <c r="L1661" s="5" t="str">
        <f t="shared" si="50"/>
        <v>HGI0126139</v>
      </c>
      <c r="M1661" s="5" t="str">
        <f t="shared" si="51"/>
        <v>I</v>
      </c>
      <c r="N1661" s="5">
        <f>IF(G1661=[1]Clientes!$C$3,[1]Clientes!$D$3,[1]Clientes!$D$2)</f>
        <v>13050505</v>
      </c>
    </row>
    <row r="1662" spans="1:14">
      <c r="A1662" s="6" t="s">
        <v>7</v>
      </c>
      <c r="B1662" s="7">
        <v>45506</v>
      </c>
      <c r="C1662" s="6" t="s">
        <v>4854</v>
      </c>
      <c r="D1662" s="6" t="s">
        <v>2013</v>
      </c>
      <c r="E1662" s="6" t="s">
        <v>16</v>
      </c>
      <c r="F1662" s="7">
        <v>45536</v>
      </c>
      <c r="G1662" s="6" t="s">
        <v>3102</v>
      </c>
      <c r="H1662" s="8"/>
      <c r="I1662" s="9">
        <v>8683.68</v>
      </c>
      <c r="J1662" s="9">
        <v>8683.68</v>
      </c>
      <c r="K1662" s="5" t="str">
        <f>VLOOKUP(D1662,[1]Clientes!$A$1:$B$1370,2,0)</f>
        <v>NAC1424</v>
      </c>
      <c r="L1662" s="5" t="str">
        <f t="shared" si="50"/>
        <v>HGI0126153</v>
      </c>
      <c r="M1662" s="5" t="str">
        <f t="shared" si="51"/>
        <v>I</v>
      </c>
      <c r="N1662" s="5">
        <f>IF(G1662=[1]Clientes!$C$3,[1]Clientes!$D$3,[1]Clientes!$D$2)</f>
        <v>13050505</v>
      </c>
    </row>
    <row r="1663" spans="1:14">
      <c r="A1663" s="6" t="s">
        <v>7</v>
      </c>
      <c r="B1663" s="7">
        <v>45506</v>
      </c>
      <c r="C1663" s="6" t="s">
        <v>4855</v>
      </c>
      <c r="D1663" s="6" t="s">
        <v>2013</v>
      </c>
      <c r="E1663" s="6" t="s">
        <v>16</v>
      </c>
      <c r="F1663" s="7">
        <v>45536</v>
      </c>
      <c r="G1663" s="6" t="s">
        <v>3102</v>
      </c>
      <c r="H1663" s="8"/>
      <c r="I1663" s="9">
        <v>2400</v>
      </c>
      <c r="J1663" s="9">
        <v>2400</v>
      </c>
      <c r="K1663" s="5" t="str">
        <f>VLOOKUP(D1663,[1]Clientes!$A$1:$B$1370,2,0)</f>
        <v>NAC1424</v>
      </c>
      <c r="L1663" s="5" t="str">
        <f t="shared" si="50"/>
        <v>HGI0126163</v>
      </c>
      <c r="M1663" s="5" t="str">
        <f t="shared" si="51"/>
        <v>I</v>
      </c>
      <c r="N1663" s="5">
        <f>IF(G1663=[1]Clientes!$C$3,[1]Clientes!$D$3,[1]Clientes!$D$2)</f>
        <v>13050505</v>
      </c>
    </row>
    <row r="1664" spans="1:14">
      <c r="A1664" s="6" t="s">
        <v>7</v>
      </c>
      <c r="B1664" s="7">
        <v>45509</v>
      </c>
      <c r="C1664" s="6" t="s">
        <v>4856</v>
      </c>
      <c r="D1664" s="6" t="s">
        <v>2013</v>
      </c>
      <c r="E1664" s="6" t="s">
        <v>16</v>
      </c>
      <c r="F1664" s="7">
        <v>45539</v>
      </c>
      <c r="G1664" s="6" t="s">
        <v>3102</v>
      </c>
      <c r="H1664" s="8"/>
      <c r="I1664" s="9">
        <v>1623</v>
      </c>
      <c r="J1664" s="9">
        <v>1623</v>
      </c>
      <c r="K1664" s="5" t="str">
        <f>VLOOKUP(D1664,[1]Clientes!$A$1:$B$1370,2,0)</f>
        <v>NAC1424</v>
      </c>
      <c r="L1664" s="5" t="str">
        <f t="shared" si="50"/>
        <v>HGI0126198</v>
      </c>
      <c r="M1664" s="5" t="str">
        <f t="shared" si="51"/>
        <v>I</v>
      </c>
      <c r="N1664" s="5">
        <f>IF(G1664=[1]Clientes!$C$3,[1]Clientes!$D$3,[1]Clientes!$D$2)</f>
        <v>13050505</v>
      </c>
    </row>
    <row r="1665" spans="1:14">
      <c r="A1665" s="6" t="s">
        <v>7</v>
      </c>
      <c r="B1665" s="7">
        <v>45510</v>
      </c>
      <c r="C1665" s="6" t="s">
        <v>4857</v>
      </c>
      <c r="D1665" s="6" t="s">
        <v>2013</v>
      </c>
      <c r="E1665" s="6" t="s">
        <v>16</v>
      </c>
      <c r="F1665" s="7">
        <v>45540</v>
      </c>
      <c r="G1665" s="6" t="s">
        <v>3102</v>
      </c>
      <c r="H1665" s="8"/>
      <c r="I1665" s="9">
        <v>297</v>
      </c>
      <c r="J1665" s="9">
        <v>297</v>
      </c>
      <c r="K1665" s="5" t="str">
        <f>VLOOKUP(D1665,[1]Clientes!$A$1:$B$1370,2,0)</f>
        <v>NAC1424</v>
      </c>
      <c r="L1665" s="5" t="str">
        <f t="shared" si="50"/>
        <v>HGI0126253</v>
      </c>
      <c r="M1665" s="5" t="str">
        <f t="shared" si="51"/>
        <v>I</v>
      </c>
      <c r="N1665" s="5">
        <f>IF(G1665=[1]Clientes!$C$3,[1]Clientes!$D$3,[1]Clientes!$D$2)</f>
        <v>13050505</v>
      </c>
    </row>
    <row r="1666" spans="1:14">
      <c r="A1666" s="6" t="s">
        <v>7</v>
      </c>
      <c r="B1666" s="7">
        <v>45511</v>
      </c>
      <c r="C1666" s="6" t="s">
        <v>4858</v>
      </c>
      <c r="D1666" s="6" t="s">
        <v>2013</v>
      </c>
      <c r="E1666" s="6" t="s">
        <v>16</v>
      </c>
      <c r="F1666" s="7">
        <v>45541</v>
      </c>
      <c r="G1666" s="6" t="s">
        <v>3102</v>
      </c>
      <c r="H1666" s="8"/>
      <c r="I1666" s="9">
        <v>1221.5</v>
      </c>
      <c r="J1666" s="9">
        <v>1221.5</v>
      </c>
      <c r="K1666" s="5" t="str">
        <f>VLOOKUP(D1666,[1]Clientes!$A$1:$B$1370,2,0)</f>
        <v>NAC1424</v>
      </c>
      <c r="L1666" s="5" t="str">
        <f t="shared" si="50"/>
        <v>HGI0126298</v>
      </c>
      <c r="M1666" s="5" t="str">
        <f t="shared" si="51"/>
        <v>I</v>
      </c>
      <c r="N1666" s="5">
        <f>IF(G1666=[1]Clientes!$C$3,[1]Clientes!$D$3,[1]Clientes!$D$2)</f>
        <v>13050505</v>
      </c>
    </row>
    <row r="1667" spans="1:14">
      <c r="A1667" s="6" t="s">
        <v>7</v>
      </c>
      <c r="B1667" s="7">
        <v>45516</v>
      </c>
      <c r="C1667" s="6" t="s">
        <v>4859</v>
      </c>
      <c r="D1667" s="6" t="s">
        <v>2013</v>
      </c>
      <c r="E1667" s="6" t="s">
        <v>16</v>
      </c>
      <c r="F1667" s="7">
        <v>45546</v>
      </c>
      <c r="G1667" s="6" t="s">
        <v>3102</v>
      </c>
      <c r="H1667" s="8"/>
      <c r="I1667" s="9">
        <v>895</v>
      </c>
      <c r="J1667" s="9">
        <v>895</v>
      </c>
      <c r="K1667" s="5" t="str">
        <f>VLOOKUP(D1667,[1]Clientes!$A$1:$B$1370,2,0)</f>
        <v>NAC1424</v>
      </c>
      <c r="L1667" s="5" t="str">
        <f t="shared" ref="L1667:L1730" si="52">IF(A1667="Invoice",
    IF(LEFT(C1667,5)="TGDR-", "TGDR"&amp;RIGHT(C1667,LEN(C1667)-5), "HGI"&amp;C1667),
    IF(A1667="Credit Memo",
        IF(LEFT(C1667,5)="TGDR-", "CRM"&amp;RIGHT(C1667,LEN(C1667)-5), "CRM"&amp;C1667),
        "Revisar")
)</f>
        <v>HGI0126434</v>
      </c>
      <c r="M1667" s="5" t="str">
        <f t="shared" ref="M1667:M1730" si="53">IF(A1667="Invoice","I",IF(A1667="Credit Memo","C",IF(A1667="Payment","P","GJ")))</f>
        <v>I</v>
      </c>
      <c r="N1667" s="5">
        <f>IF(G1667=[1]Clientes!$C$3,[1]Clientes!$D$3,[1]Clientes!$D$2)</f>
        <v>13050505</v>
      </c>
    </row>
    <row r="1668" spans="1:14">
      <c r="A1668" s="6" t="s">
        <v>7</v>
      </c>
      <c r="B1668" s="7">
        <v>45518</v>
      </c>
      <c r="C1668" s="6" t="s">
        <v>4860</v>
      </c>
      <c r="D1668" s="6" t="s">
        <v>2013</v>
      </c>
      <c r="E1668" s="6" t="s">
        <v>16</v>
      </c>
      <c r="F1668" s="7">
        <v>45548</v>
      </c>
      <c r="G1668" s="6" t="s">
        <v>3102</v>
      </c>
      <c r="H1668" s="8"/>
      <c r="I1668" s="9">
        <v>678</v>
      </c>
      <c r="J1668" s="9">
        <v>678</v>
      </c>
      <c r="K1668" s="5" t="str">
        <f>VLOOKUP(D1668,[1]Clientes!$A$1:$B$1370,2,0)</f>
        <v>NAC1424</v>
      </c>
      <c r="L1668" s="5" t="str">
        <f t="shared" si="52"/>
        <v>HGI0126477</v>
      </c>
      <c r="M1668" s="5" t="str">
        <f t="shared" si="53"/>
        <v>I</v>
      </c>
      <c r="N1668" s="5">
        <f>IF(G1668=[1]Clientes!$C$3,[1]Clientes!$D$3,[1]Clientes!$D$2)</f>
        <v>13050505</v>
      </c>
    </row>
    <row r="1669" spans="1:14">
      <c r="A1669" s="6" t="s">
        <v>7</v>
      </c>
      <c r="B1669" s="7">
        <v>45519</v>
      </c>
      <c r="C1669" s="6" t="s">
        <v>4861</v>
      </c>
      <c r="D1669" s="6" t="s">
        <v>2013</v>
      </c>
      <c r="E1669" s="6" t="s">
        <v>16</v>
      </c>
      <c r="F1669" s="7">
        <v>45549</v>
      </c>
      <c r="G1669" s="6" t="s">
        <v>3102</v>
      </c>
      <c r="H1669" s="8"/>
      <c r="I1669" s="9">
        <v>88</v>
      </c>
      <c r="J1669" s="9">
        <v>88</v>
      </c>
      <c r="K1669" s="5" t="str">
        <f>VLOOKUP(D1669,[1]Clientes!$A$1:$B$1370,2,0)</f>
        <v>NAC1424</v>
      </c>
      <c r="L1669" s="5" t="str">
        <f t="shared" si="52"/>
        <v>HGI0126547</v>
      </c>
      <c r="M1669" s="5" t="str">
        <f t="shared" si="53"/>
        <v>I</v>
      </c>
      <c r="N1669" s="5">
        <f>IF(G1669=[1]Clientes!$C$3,[1]Clientes!$D$3,[1]Clientes!$D$2)</f>
        <v>13050505</v>
      </c>
    </row>
    <row r="1670" spans="1:14">
      <c r="A1670" s="6" t="s">
        <v>7</v>
      </c>
      <c r="B1670" s="7">
        <v>45520</v>
      </c>
      <c r="C1670" s="6" t="s">
        <v>4862</v>
      </c>
      <c r="D1670" s="6" t="s">
        <v>2013</v>
      </c>
      <c r="E1670" s="6" t="s">
        <v>16</v>
      </c>
      <c r="F1670" s="7">
        <v>45550</v>
      </c>
      <c r="G1670" s="6" t="s">
        <v>3102</v>
      </c>
      <c r="H1670" s="8"/>
      <c r="I1670" s="9">
        <v>378</v>
      </c>
      <c r="J1670" s="9">
        <v>378</v>
      </c>
      <c r="K1670" s="5" t="str">
        <f>VLOOKUP(D1670,[1]Clientes!$A$1:$B$1370,2,0)</f>
        <v>NAC1424</v>
      </c>
      <c r="L1670" s="5" t="str">
        <f t="shared" si="52"/>
        <v>HGI0126614</v>
      </c>
      <c r="M1670" s="5" t="str">
        <f t="shared" si="53"/>
        <v>I</v>
      </c>
      <c r="N1670" s="5">
        <f>IF(G1670=[1]Clientes!$C$3,[1]Clientes!$D$3,[1]Clientes!$D$2)</f>
        <v>13050505</v>
      </c>
    </row>
    <row r="1671" spans="1:14">
      <c r="A1671" s="6" t="s">
        <v>7</v>
      </c>
      <c r="B1671" s="7">
        <v>45520</v>
      </c>
      <c r="C1671" s="6" t="s">
        <v>4863</v>
      </c>
      <c r="D1671" s="6" t="s">
        <v>2013</v>
      </c>
      <c r="E1671" s="6" t="s">
        <v>16</v>
      </c>
      <c r="F1671" s="7">
        <v>45550</v>
      </c>
      <c r="G1671" s="6" t="s">
        <v>3102</v>
      </c>
      <c r="H1671" s="8"/>
      <c r="I1671" s="9">
        <v>1800</v>
      </c>
      <c r="J1671" s="9">
        <v>1800</v>
      </c>
      <c r="K1671" s="5" t="str">
        <f>VLOOKUP(D1671,[1]Clientes!$A$1:$B$1370,2,0)</f>
        <v>NAC1424</v>
      </c>
      <c r="L1671" s="5" t="str">
        <f t="shared" si="52"/>
        <v>HGI0126617</v>
      </c>
      <c r="M1671" s="5" t="str">
        <f t="shared" si="53"/>
        <v>I</v>
      </c>
      <c r="N1671" s="5">
        <f>IF(G1671=[1]Clientes!$C$3,[1]Clientes!$D$3,[1]Clientes!$D$2)</f>
        <v>13050505</v>
      </c>
    </row>
    <row r="1672" spans="1:14">
      <c r="A1672" s="6" t="s">
        <v>7</v>
      </c>
      <c r="B1672" s="7">
        <v>45523</v>
      </c>
      <c r="C1672" s="6" t="s">
        <v>4864</v>
      </c>
      <c r="D1672" s="6" t="s">
        <v>2013</v>
      </c>
      <c r="E1672" s="6" t="s">
        <v>16</v>
      </c>
      <c r="F1672" s="7">
        <v>45553</v>
      </c>
      <c r="G1672" s="6" t="s">
        <v>3102</v>
      </c>
      <c r="H1672" s="8"/>
      <c r="I1672" s="9">
        <v>1194</v>
      </c>
      <c r="J1672" s="9">
        <v>1194</v>
      </c>
      <c r="K1672" s="5" t="str">
        <f>VLOOKUP(D1672,[1]Clientes!$A$1:$B$1370,2,0)</f>
        <v>NAC1424</v>
      </c>
      <c r="L1672" s="5" t="str">
        <f t="shared" si="52"/>
        <v>HGI0126627</v>
      </c>
      <c r="M1672" s="5" t="str">
        <f t="shared" si="53"/>
        <v>I</v>
      </c>
      <c r="N1672" s="5">
        <f>IF(G1672=[1]Clientes!$C$3,[1]Clientes!$D$3,[1]Clientes!$D$2)</f>
        <v>13050505</v>
      </c>
    </row>
    <row r="1673" spans="1:14">
      <c r="A1673" s="6" t="s">
        <v>7</v>
      </c>
      <c r="B1673" s="7">
        <v>45525</v>
      </c>
      <c r="C1673" s="6" t="s">
        <v>4865</v>
      </c>
      <c r="D1673" s="6" t="s">
        <v>2013</v>
      </c>
      <c r="E1673" s="6" t="s">
        <v>16</v>
      </c>
      <c r="F1673" s="7">
        <v>45555</v>
      </c>
      <c r="G1673" s="6" t="s">
        <v>3102</v>
      </c>
      <c r="H1673" s="8"/>
      <c r="I1673" s="9">
        <v>716</v>
      </c>
      <c r="J1673" s="9">
        <v>716</v>
      </c>
      <c r="K1673" s="5" t="str">
        <f>VLOOKUP(D1673,[1]Clientes!$A$1:$B$1370,2,0)</f>
        <v>NAC1424</v>
      </c>
      <c r="L1673" s="5" t="str">
        <f t="shared" si="52"/>
        <v>HGI0126755</v>
      </c>
      <c r="M1673" s="5" t="str">
        <f t="shared" si="53"/>
        <v>I</v>
      </c>
      <c r="N1673" s="5">
        <f>IF(G1673=[1]Clientes!$C$3,[1]Clientes!$D$3,[1]Clientes!$D$2)</f>
        <v>13050505</v>
      </c>
    </row>
    <row r="1674" spans="1:14">
      <c r="A1674" s="6" t="s">
        <v>7</v>
      </c>
      <c r="B1674" s="7">
        <v>45530</v>
      </c>
      <c r="C1674" s="6" t="s">
        <v>4866</v>
      </c>
      <c r="D1674" s="6" t="s">
        <v>2013</v>
      </c>
      <c r="E1674" s="6" t="s">
        <v>16</v>
      </c>
      <c r="F1674" s="7">
        <v>45560</v>
      </c>
      <c r="G1674" s="6" t="s">
        <v>3102</v>
      </c>
      <c r="H1674" s="8"/>
      <c r="I1674" s="9">
        <v>1611</v>
      </c>
      <c r="J1674" s="9">
        <v>1611</v>
      </c>
      <c r="K1674" s="5" t="str">
        <f>VLOOKUP(D1674,[1]Clientes!$A$1:$B$1370,2,0)</f>
        <v>NAC1424</v>
      </c>
      <c r="L1674" s="5" t="str">
        <f t="shared" si="52"/>
        <v>HGI0126857</v>
      </c>
      <c r="M1674" s="5" t="str">
        <f t="shared" si="53"/>
        <v>I</v>
      </c>
      <c r="N1674" s="5">
        <f>IF(G1674=[1]Clientes!$C$3,[1]Clientes!$D$3,[1]Clientes!$D$2)</f>
        <v>13050505</v>
      </c>
    </row>
    <row r="1675" spans="1:14">
      <c r="A1675" s="6" t="s">
        <v>7</v>
      </c>
      <c r="B1675" s="7">
        <v>45530</v>
      </c>
      <c r="C1675" s="6" t="s">
        <v>4867</v>
      </c>
      <c r="D1675" s="6" t="s">
        <v>2013</v>
      </c>
      <c r="E1675" s="6" t="s">
        <v>16</v>
      </c>
      <c r="F1675" s="7">
        <v>45560</v>
      </c>
      <c r="G1675" s="6" t="s">
        <v>3102</v>
      </c>
      <c r="H1675" s="8"/>
      <c r="I1675" s="9">
        <v>223.75</v>
      </c>
      <c r="J1675" s="9">
        <v>223.75</v>
      </c>
      <c r="K1675" s="5" t="str">
        <f>VLOOKUP(D1675,[1]Clientes!$A$1:$B$1370,2,0)</f>
        <v>NAC1424</v>
      </c>
      <c r="L1675" s="5" t="str">
        <f t="shared" si="52"/>
        <v>HGI0126889</v>
      </c>
      <c r="M1675" s="5" t="str">
        <f t="shared" si="53"/>
        <v>I</v>
      </c>
      <c r="N1675" s="5">
        <f>IF(G1675=[1]Clientes!$C$3,[1]Clientes!$D$3,[1]Clientes!$D$2)</f>
        <v>13050505</v>
      </c>
    </row>
    <row r="1676" spans="1:14">
      <c r="A1676" s="6" t="s">
        <v>7</v>
      </c>
      <c r="B1676" s="7">
        <v>45532</v>
      </c>
      <c r="C1676" s="6" t="s">
        <v>4868</v>
      </c>
      <c r="D1676" s="6" t="s">
        <v>2013</v>
      </c>
      <c r="E1676" s="6" t="s">
        <v>16</v>
      </c>
      <c r="F1676" s="7">
        <v>45562</v>
      </c>
      <c r="G1676" s="6" t="s">
        <v>3102</v>
      </c>
      <c r="H1676" s="8"/>
      <c r="I1676" s="9">
        <v>1130</v>
      </c>
      <c r="J1676" s="9">
        <v>1130</v>
      </c>
      <c r="K1676" s="5" t="str">
        <f>VLOOKUP(D1676,[1]Clientes!$A$1:$B$1370,2,0)</f>
        <v>NAC1424</v>
      </c>
      <c r="L1676" s="5" t="str">
        <f t="shared" si="52"/>
        <v>HGI0127002</v>
      </c>
      <c r="M1676" s="5" t="str">
        <f t="shared" si="53"/>
        <v>I</v>
      </c>
      <c r="N1676" s="5">
        <f>IF(G1676=[1]Clientes!$C$3,[1]Clientes!$D$3,[1]Clientes!$D$2)</f>
        <v>13050505</v>
      </c>
    </row>
    <row r="1677" spans="1:14">
      <c r="A1677" s="6" t="s">
        <v>7</v>
      </c>
      <c r="B1677" s="7">
        <v>45532</v>
      </c>
      <c r="C1677" s="6" t="s">
        <v>4869</v>
      </c>
      <c r="D1677" s="6" t="s">
        <v>2013</v>
      </c>
      <c r="E1677" s="6" t="s">
        <v>16</v>
      </c>
      <c r="F1677" s="7">
        <v>45562</v>
      </c>
      <c r="G1677" s="6" t="s">
        <v>3102</v>
      </c>
      <c r="H1677" s="8"/>
      <c r="I1677" s="9">
        <v>1067</v>
      </c>
      <c r="J1677" s="9">
        <v>1067</v>
      </c>
      <c r="K1677" s="5" t="str">
        <f>VLOOKUP(D1677,[1]Clientes!$A$1:$B$1370,2,0)</f>
        <v>NAC1424</v>
      </c>
      <c r="L1677" s="5" t="str">
        <f t="shared" si="52"/>
        <v>HGI0127004</v>
      </c>
      <c r="M1677" s="5" t="str">
        <f t="shared" si="53"/>
        <v>I</v>
      </c>
      <c r="N1677" s="5">
        <f>IF(G1677=[1]Clientes!$C$3,[1]Clientes!$D$3,[1]Clientes!$D$2)</f>
        <v>13050505</v>
      </c>
    </row>
    <row r="1678" spans="1:14">
      <c r="A1678" s="6" t="s">
        <v>7</v>
      </c>
      <c r="B1678" s="7">
        <v>45532</v>
      </c>
      <c r="C1678" s="6" t="s">
        <v>4870</v>
      </c>
      <c r="D1678" s="6" t="s">
        <v>2013</v>
      </c>
      <c r="E1678" s="6" t="s">
        <v>16</v>
      </c>
      <c r="F1678" s="7">
        <v>45562</v>
      </c>
      <c r="G1678" s="6" t="s">
        <v>3102</v>
      </c>
      <c r="H1678" s="8"/>
      <c r="I1678" s="9">
        <v>878</v>
      </c>
      <c r="J1678" s="9">
        <v>878</v>
      </c>
      <c r="K1678" s="5" t="str">
        <f>VLOOKUP(D1678,[1]Clientes!$A$1:$B$1370,2,0)</f>
        <v>NAC1424</v>
      </c>
      <c r="L1678" s="5" t="str">
        <f t="shared" si="52"/>
        <v>HGI0127005</v>
      </c>
      <c r="M1678" s="5" t="str">
        <f t="shared" si="53"/>
        <v>I</v>
      </c>
      <c r="N1678" s="5">
        <f>IF(G1678=[1]Clientes!$C$3,[1]Clientes!$D$3,[1]Clientes!$D$2)</f>
        <v>13050505</v>
      </c>
    </row>
    <row r="1679" spans="1:14">
      <c r="A1679" s="6" t="s">
        <v>7</v>
      </c>
      <c r="B1679" s="7">
        <v>45532</v>
      </c>
      <c r="C1679" s="6" t="s">
        <v>4871</v>
      </c>
      <c r="D1679" s="6" t="s">
        <v>2013</v>
      </c>
      <c r="E1679" s="6" t="s">
        <v>16</v>
      </c>
      <c r="F1679" s="7">
        <v>45562</v>
      </c>
      <c r="G1679" s="6" t="s">
        <v>3102</v>
      </c>
      <c r="H1679" s="8"/>
      <c r="I1679" s="9">
        <v>3090</v>
      </c>
      <c r="J1679" s="9">
        <v>3090</v>
      </c>
      <c r="K1679" s="5" t="str">
        <f>VLOOKUP(D1679,[1]Clientes!$A$1:$B$1370,2,0)</f>
        <v>NAC1424</v>
      </c>
      <c r="L1679" s="5" t="str">
        <f t="shared" si="52"/>
        <v>HGI0127006</v>
      </c>
      <c r="M1679" s="5" t="str">
        <f t="shared" si="53"/>
        <v>I</v>
      </c>
      <c r="N1679" s="5">
        <f>IF(G1679=[1]Clientes!$C$3,[1]Clientes!$D$3,[1]Clientes!$D$2)</f>
        <v>13050505</v>
      </c>
    </row>
    <row r="1680" spans="1:14">
      <c r="A1680" s="6" t="s">
        <v>7</v>
      </c>
      <c r="B1680" s="7">
        <v>45530</v>
      </c>
      <c r="C1680" s="6" t="s">
        <v>4872</v>
      </c>
      <c r="D1680" s="6" t="s">
        <v>4873</v>
      </c>
      <c r="E1680" s="6" t="s">
        <v>213</v>
      </c>
      <c r="F1680" s="7">
        <v>45530</v>
      </c>
      <c r="G1680" s="6" t="s">
        <v>3102</v>
      </c>
      <c r="H1680" s="8">
        <v>5</v>
      </c>
      <c r="I1680" s="9">
        <v>46.37</v>
      </c>
      <c r="J1680" s="9">
        <v>46.37</v>
      </c>
      <c r="K1680" s="5" t="str">
        <f>VLOOKUP(D1680,[1]Clientes!$A$1:$B$1370,2,0)</f>
        <v>SH02836</v>
      </c>
      <c r="L1680" s="5" t="str">
        <f t="shared" si="52"/>
        <v>HGI0126897</v>
      </c>
      <c r="M1680" s="5" t="str">
        <f t="shared" si="53"/>
        <v>I</v>
      </c>
      <c r="N1680" s="5">
        <f>IF(G1680=[1]Clientes!$C$3,[1]Clientes!$D$3,[1]Clientes!$D$2)</f>
        <v>13050505</v>
      </c>
    </row>
    <row r="1681" spans="1:14">
      <c r="A1681" s="6" t="s">
        <v>7</v>
      </c>
      <c r="B1681" s="7">
        <v>45411</v>
      </c>
      <c r="C1681" s="6" t="s">
        <v>4874</v>
      </c>
      <c r="D1681" s="6" t="s">
        <v>2058</v>
      </c>
      <c r="E1681" s="6" t="s">
        <v>213</v>
      </c>
      <c r="F1681" s="7">
        <v>45411</v>
      </c>
      <c r="G1681" s="6" t="s">
        <v>3102</v>
      </c>
      <c r="H1681" s="8">
        <v>124</v>
      </c>
      <c r="I1681" s="9">
        <v>0.66</v>
      </c>
      <c r="J1681" s="9">
        <v>66.66</v>
      </c>
      <c r="K1681" s="5" t="str">
        <f>VLOOKUP(D1681,[1]Clientes!$A$1:$B$1370,2,0)</f>
        <v>NAC1426</v>
      </c>
      <c r="L1681" s="5" t="str">
        <f t="shared" si="52"/>
        <v>HGI0123633</v>
      </c>
      <c r="M1681" s="5" t="str">
        <f t="shared" si="53"/>
        <v>I</v>
      </c>
      <c r="N1681" s="5">
        <f>IF(G1681=[1]Clientes!$C$3,[1]Clientes!$D$3,[1]Clientes!$D$2)</f>
        <v>13050505</v>
      </c>
    </row>
    <row r="1682" spans="1:14">
      <c r="A1682" s="6" t="s">
        <v>3139</v>
      </c>
      <c r="B1682" s="7">
        <v>45471</v>
      </c>
      <c r="C1682" s="6"/>
      <c r="D1682" s="6" t="s">
        <v>2061</v>
      </c>
      <c r="E1682" s="6"/>
      <c r="F1682" s="7"/>
      <c r="G1682" s="6" t="s">
        <v>3102</v>
      </c>
      <c r="H1682" s="8"/>
      <c r="I1682" s="9">
        <v>-536.64</v>
      </c>
      <c r="J1682" s="9">
        <v>-536.64</v>
      </c>
      <c r="K1682" s="5" t="str">
        <f>VLOOKUP(D1682,[1]Clientes!$A$1:$B$1370,2,0)</f>
        <v>NAC1432</v>
      </c>
      <c r="L1682" s="5" t="str">
        <f t="shared" si="52"/>
        <v>Revisar</v>
      </c>
      <c r="M1682" s="5" t="str">
        <f t="shared" si="53"/>
        <v>P</v>
      </c>
      <c r="N1682" s="5">
        <f>IF(G1682=[1]Clientes!$C$3,[1]Clientes!$D$3,[1]Clientes!$D$2)</f>
        <v>13050505</v>
      </c>
    </row>
    <row r="1683" spans="1:14">
      <c r="A1683" s="6" t="s">
        <v>7</v>
      </c>
      <c r="B1683" s="7">
        <v>45229</v>
      </c>
      <c r="C1683" s="6" t="s">
        <v>4875</v>
      </c>
      <c r="D1683" s="6" t="s">
        <v>2066</v>
      </c>
      <c r="E1683" s="6" t="s">
        <v>16</v>
      </c>
      <c r="F1683" s="7">
        <v>45259</v>
      </c>
      <c r="G1683" s="6" t="s">
        <v>3102</v>
      </c>
      <c r="H1683" s="8">
        <v>276</v>
      </c>
      <c r="I1683" s="9">
        <v>2310</v>
      </c>
      <c r="J1683" s="9">
        <v>2310</v>
      </c>
      <c r="K1683" s="5" t="str">
        <f>VLOOKUP(D1683,[1]Clientes!$A$1:$B$1370,2,0)</f>
        <v>NAC1448</v>
      </c>
      <c r="L1683" s="5" t="str">
        <f t="shared" si="52"/>
        <v>HGI0116564</v>
      </c>
      <c r="M1683" s="5" t="str">
        <f t="shared" si="53"/>
        <v>I</v>
      </c>
      <c r="N1683" s="5">
        <f>IF(G1683=[1]Clientes!$C$3,[1]Clientes!$D$3,[1]Clientes!$D$2)</f>
        <v>13050505</v>
      </c>
    </row>
    <row r="1684" spans="1:14">
      <c r="A1684" s="6" t="s">
        <v>7</v>
      </c>
      <c r="B1684" s="7">
        <v>45296</v>
      </c>
      <c r="C1684" s="6" t="s">
        <v>4876</v>
      </c>
      <c r="D1684" s="6" t="s">
        <v>2066</v>
      </c>
      <c r="E1684" s="6" t="s">
        <v>16</v>
      </c>
      <c r="F1684" s="7">
        <v>45326</v>
      </c>
      <c r="G1684" s="6" t="s">
        <v>3102</v>
      </c>
      <c r="H1684" s="8">
        <v>209</v>
      </c>
      <c r="I1684" s="9">
        <v>2315.8000000000002</v>
      </c>
      <c r="J1684" s="9">
        <v>2634.96</v>
      </c>
      <c r="K1684" s="5" t="str">
        <f>VLOOKUP(D1684,[1]Clientes!$A$1:$B$1370,2,0)</f>
        <v>NAC1448</v>
      </c>
      <c r="L1684" s="5" t="str">
        <f t="shared" si="52"/>
        <v>HGI0118922</v>
      </c>
      <c r="M1684" s="5" t="str">
        <f t="shared" si="53"/>
        <v>I</v>
      </c>
      <c r="N1684" s="5">
        <f>IF(G1684=[1]Clientes!$C$3,[1]Clientes!$D$3,[1]Clientes!$D$2)</f>
        <v>13050505</v>
      </c>
    </row>
    <row r="1685" spans="1:14">
      <c r="A1685" s="6" t="s">
        <v>7</v>
      </c>
      <c r="B1685" s="7">
        <v>45303</v>
      </c>
      <c r="C1685" s="6" t="s">
        <v>4877</v>
      </c>
      <c r="D1685" s="6" t="s">
        <v>2066</v>
      </c>
      <c r="E1685" s="6" t="s">
        <v>16</v>
      </c>
      <c r="F1685" s="7">
        <v>45333</v>
      </c>
      <c r="G1685" s="6" t="s">
        <v>3102</v>
      </c>
      <c r="H1685" s="8">
        <v>202</v>
      </c>
      <c r="I1685" s="9">
        <v>300</v>
      </c>
      <c r="J1685" s="9">
        <v>50946.6</v>
      </c>
      <c r="K1685" s="5" t="str">
        <f>VLOOKUP(D1685,[1]Clientes!$A$1:$B$1370,2,0)</f>
        <v>NAC1448</v>
      </c>
      <c r="L1685" s="5" t="str">
        <f t="shared" si="52"/>
        <v>HGI0119260</v>
      </c>
      <c r="M1685" s="5" t="str">
        <f t="shared" si="53"/>
        <v>I</v>
      </c>
      <c r="N1685" s="5">
        <f>IF(G1685=[1]Clientes!$C$3,[1]Clientes!$D$3,[1]Clientes!$D$2)</f>
        <v>13050505</v>
      </c>
    </row>
    <row r="1686" spans="1:14">
      <c r="A1686" s="6" t="s">
        <v>7</v>
      </c>
      <c r="B1686" s="7">
        <v>45414</v>
      </c>
      <c r="C1686" s="6" t="s">
        <v>4878</v>
      </c>
      <c r="D1686" s="6" t="s">
        <v>2066</v>
      </c>
      <c r="E1686" s="6" t="s">
        <v>16</v>
      </c>
      <c r="F1686" s="7">
        <v>45444</v>
      </c>
      <c r="G1686" s="6" t="s">
        <v>3102</v>
      </c>
      <c r="H1686" s="8">
        <v>91</v>
      </c>
      <c r="I1686" s="9">
        <v>28.57</v>
      </c>
      <c r="J1686" s="9">
        <v>3426.36</v>
      </c>
      <c r="K1686" s="5" t="str">
        <f>VLOOKUP(D1686,[1]Clientes!$A$1:$B$1370,2,0)</f>
        <v>NAC1448</v>
      </c>
      <c r="L1686" s="5" t="str">
        <f t="shared" si="52"/>
        <v>HGI0123831</v>
      </c>
      <c r="M1686" s="5" t="str">
        <f t="shared" si="53"/>
        <v>I</v>
      </c>
      <c r="N1686" s="5">
        <f>IF(G1686=[1]Clientes!$C$3,[1]Clientes!$D$3,[1]Clientes!$D$2)</f>
        <v>13050505</v>
      </c>
    </row>
    <row r="1687" spans="1:14">
      <c r="A1687" s="6" t="s">
        <v>7</v>
      </c>
      <c r="B1687" s="7">
        <v>45419</v>
      </c>
      <c r="C1687" s="6" t="s">
        <v>4879</v>
      </c>
      <c r="D1687" s="6" t="s">
        <v>2066</v>
      </c>
      <c r="E1687" s="6" t="s">
        <v>16</v>
      </c>
      <c r="F1687" s="7">
        <v>45449</v>
      </c>
      <c r="G1687" s="6" t="s">
        <v>3102</v>
      </c>
      <c r="H1687" s="8">
        <v>86</v>
      </c>
      <c r="I1687" s="9">
        <v>5270</v>
      </c>
      <c r="J1687" s="9">
        <v>5270</v>
      </c>
      <c r="K1687" s="5" t="str">
        <f>VLOOKUP(D1687,[1]Clientes!$A$1:$B$1370,2,0)</f>
        <v>NAC1448</v>
      </c>
      <c r="L1687" s="5" t="str">
        <f t="shared" si="52"/>
        <v>HGI0124093</v>
      </c>
      <c r="M1687" s="5" t="str">
        <f t="shared" si="53"/>
        <v>I</v>
      </c>
      <c r="N1687" s="5">
        <f>IF(G1687=[1]Clientes!$C$3,[1]Clientes!$D$3,[1]Clientes!$D$2)</f>
        <v>13050505</v>
      </c>
    </row>
    <row r="1688" spans="1:14">
      <c r="A1688" s="6" t="s">
        <v>7</v>
      </c>
      <c r="B1688" s="7">
        <v>45442</v>
      </c>
      <c r="C1688" s="6" t="s">
        <v>4880</v>
      </c>
      <c r="D1688" s="6" t="s">
        <v>2066</v>
      </c>
      <c r="E1688" s="6" t="s">
        <v>16</v>
      </c>
      <c r="F1688" s="7">
        <v>45472</v>
      </c>
      <c r="G1688" s="6" t="s">
        <v>3102</v>
      </c>
      <c r="H1688" s="8">
        <v>63</v>
      </c>
      <c r="I1688" s="9">
        <v>114</v>
      </c>
      <c r="J1688" s="9">
        <v>2195.4</v>
      </c>
      <c r="K1688" s="5" t="str">
        <f>VLOOKUP(D1688,[1]Clientes!$A$1:$B$1370,2,0)</f>
        <v>NAC1448</v>
      </c>
      <c r="L1688" s="5" t="str">
        <f t="shared" si="52"/>
        <v>HGI0124701</v>
      </c>
      <c r="M1688" s="5" t="str">
        <f t="shared" si="53"/>
        <v>I</v>
      </c>
      <c r="N1688" s="5">
        <f>IF(G1688=[1]Clientes!$C$3,[1]Clientes!$D$3,[1]Clientes!$D$2)</f>
        <v>13050505</v>
      </c>
    </row>
    <row r="1689" spans="1:14">
      <c r="A1689" s="6" t="s">
        <v>7</v>
      </c>
      <c r="B1689" s="7">
        <v>45479</v>
      </c>
      <c r="C1689" s="6" t="s">
        <v>4881</v>
      </c>
      <c r="D1689" s="6" t="s">
        <v>2066</v>
      </c>
      <c r="E1689" s="6" t="s">
        <v>16</v>
      </c>
      <c r="F1689" s="7">
        <v>45509</v>
      </c>
      <c r="G1689" s="6" t="s">
        <v>3102</v>
      </c>
      <c r="H1689" s="8">
        <v>26</v>
      </c>
      <c r="I1689" s="9">
        <v>3620</v>
      </c>
      <c r="J1689" s="9">
        <v>4248.71</v>
      </c>
      <c r="K1689" s="5" t="str">
        <f>VLOOKUP(D1689,[1]Clientes!$A$1:$B$1370,2,0)</f>
        <v>NAC1448</v>
      </c>
      <c r="L1689" s="5" t="str">
        <f t="shared" si="52"/>
        <v>HGI0125541</v>
      </c>
      <c r="M1689" s="5" t="str">
        <f t="shared" si="53"/>
        <v>I</v>
      </c>
      <c r="N1689" s="5">
        <f>IF(G1689=[1]Clientes!$C$3,[1]Clientes!$D$3,[1]Clientes!$D$2)</f>
        <v>13050505</v>
      </c>
    </row>
    <row r="1690" spans="1:14">
      <c r="A1690" s="6" t="s">
        <v>7</v>
      </c>
      <c r="B1690" s="7">
        <v>45495</v>
      </c>
      <c r="C1690" s="6" t="s">
        <v>4882</v>
      </c>
      <c r="D1690" s="6" t="s">
        <v>2066</v>
      </c>
      <c r="E1690" s="6" t="s">
        <v>16</v>
      </c>
      <c r="F1690" s="7">
        <v>45525</v>
      </c>
      <c r="G1690" s="6" t="s">
        <v>3102</v>
      </c>
      <c r="H1690" s="8">
        <v>10</v>
      </c>
      <c r="I1690" s="9">
        <v>7664.8</v>
      </c>
      <c r="J1690" s="9">
        <v>7664.8</v>
      </c>
      <c r="K1690" s="5" t="str">
        <f>VLOOKUP(D1690,[1]Clientes!$A$1:$B$1370,2,0)</f>
        <v>NAC1448</v>
      </c>
      <c r="L1690" s="5" t="str">
        <f t="shared" si="52"/>
        <v>HGI0125818</v>
      </c>
      <c r="M1690" s="5" t="str">
        <f t="shared" si="53"/>
        <v>I</v>
      </c>
      <c r="N1690" s="5">
        <f>IF(G1690=[1]Clientes!$C$3,[1]Clientes!$D$3,[1]Clientes!$D$2)</f>
        <v>13050505</v>
      </c>
    </row>
    <row r="1691" spans="1:14">
      <c r="A1691" s="6" t="s">
        <v>7</v>
      </c>
      <c r="B1691" s="7">
        <v>45505</v>
      </c>
      <c r="C1691" s="6" t="s">
        <v>4883</v>
      </c>
      <c r="D1691" s="6" t="s">
        <v>2066</v>
      </c>
      <c r="E1691" s="6" t="s">
        <v>16</v>
      </c>
      <c r="F1691" s="7">
        <v>45535</v>
      </c>
      <c r="G1691" s="6" t="s">
        <v>3102</v>
      </c>
      <c r="H1691" s="8"/>
      <c r="I1691" s="9">
        <v>1663.96</v>
      </c>
      <c r="J1691" s="9">
        <v>1663.96</v>
      </c>
      <c r="K1691" s="5" t="str">
        <f>VLOOKUP(D1691,[1]Clientes!$A$1:$B$1370,2,0)</f>
        <v>NAC1448</v>
      </c>
      <c r="L1691" s="5" t="str">
        <f t="shared" si="52"/>
        <v>HGI0126131</v>
      </c>
      <c r="M1691" s="5" t="str">
        <f t="shared" si="53"/>
        <v>I</v>
      </c>
      <c r="N1691" s="5">
        <f>IF(G1691=[1]Clientes!$C$3,[1]Clientes!$D$3,[1]Clientes!$D$2)</f>
        <v>13050505</v>
      </c>
    </row>
    <row r="1692" spans="1:14">
      <c r="A1692" s="6" t="s">
        <v>7</v>
      </c>
      <c r="B1692" s="7">
        <v>45506</v>
      </c>
      <c r="C1692" s="6" t="s">
        <v>4884</v>
      </c>
      <c r="D1692" s="6" t="s">
        <v>2066</v>
      </c>
      <c r="E1692" s="6" t="s">
        <v>16</v>
      </c>
      <c r="F1692" s="7">
        <v>45536</v>
      </c>
      <c r="G1692" s="6" t="s">
        <v>3102</v>
      </c>
      <c r="H1692" s="8"/>
      <c r="I1692" s="9">
        <v>2582.3000000000002</v>
      </c>
      <c r="J1692" s="9">
        <v>2582.3000000000002</v>
      </c>
      <c r="K1692" s="5" t="str">
        <f>VLOOKUP(D1692,[1]Clientes!$A$1:$B$1370,2,0)</f>
        <v>NAC1448</v>
      </c>
      <c r="L1692" s="5" t="str">
        <f t="shared" si="52"/>
        <v>HGI0126156</v>
      </c>
      <c r="M1692" s="5" t="str">
        <f t="shared" si="53"/>
        <v>I</v>
      </c>
      <c r="N1692" s="5">
        <f>IF(G1692=[1]Clientes!$C$3,[1]Clientes!$D$3,[1]Clientes!$D$2)</f>
        <v>13050505</v>
      </c>
    </row>
    <row r="1693" spans="1:14">
      <c r="A1693" s="6" t="s">
        <v>7</v>
      </c>
      <c r="B1693" s="7">
        <v>45510</v>
      </c>
      <c r="C1693" s="6" t="s">
        <v>4885</v>
      </c>
      <c r="D1693" s="6" t="s">
        <v>2066</v>
      </c>
      <c r="E1693" s="6" t="s">
        <v>16</v>
      </c>
      <c r="F1693" s="7">
        <v>45540</v>
      </c>
      <c r="G1693" s="6" t="s">
        <v>3102</v>
      </c>
      <c r="H1693" s="8"/>
      <c r="I1693" s="9">
        <v>13376</v>
      </c>
      <c r="J1693" s="9">
        <v>13376</v>
      </c>
      <c r="K1693" s="5" t="str">
        <f>VLOOKUP(D1693,[1]Clientes!$A$1:$B$1370,2,0)</f>
        <v>NAC1448</v>
      </c>
      <c r="L1693" s="5" t="str">
        <f t="shared" si="52"/>
        <v>HGI0126244</v>
      </c>
      <c r="M1693" s="5" t="str">
        <f t="shared" si="53"/>
        <v>I</v>
      </c>
      <c r="N1693" s="5">
        <f>IF(G1693=[1]Clientes!$C$3,[1]Clientes!$D$3,[1]Clientes!$D$2)</f>
        <v>13050505</v>
      </c>
    </row>
    <row r="1694" spans="1:14">
      <c r="A1694" s="6" t="s">
        <v>7</v>
      </c>
      <c r="B1694" s="7">
        <v>45523</v>
      </c>
      <c r="C1694" s="6" t="s">
        <v>4886</v>
      </c>
      <c r="D1694" s="6" t="s">
        <v>2066</v>
      </c>
      <c r="E1694" s="6" t="s">
        <v>16</v>
      </c>
      <c r="F1694" s="7">
        <v>45553</v>
      </c>
      <c r="G1694" s="6" t="s">
        <v>3102</v>
      </c>
      <c r="H1694" s="8"/>
      <c r="I1694" s="9">
        <v>9325.7999999999993</v>
      </c>
      <c r="J1694" s="9">
        <v>9325.7999999999993</v>
      </c>
      <c r="K1694" s="5" t="str">
        <f>VLOOKUP(D1694,[1]Clientes!$A$1:$B$1370,2,0)</f>
        <v>NAC1448</v>
      </c>
      <c r="L1694" s="5" t="str">
        <f t="shared" si="52"/>
        <v>HGI0126671</v>
      </c>
      <c r="M1694" s="5" t="str">
        <f t="shared" si="53"/>
        <v>I</v>
      </c>
      <c r="N1694" s="5">
        <f>IF(G1694=[1]Clientes!$C$3,[1]Clientes!$D$3,[1]Clientes!$D$2)</f>
        <v>13050505</v>
      </c>
    </row>
    <row r="1695" spans="1:14">
      <c r="A1695" s="6" t="s">
        <v>7</v>
      </c>
      <c r="B1695" s="7">
        <v>45323</v>
      </c>
      <c r="C1695" s="6" t="s">
        <v>4887</v>
      </c>
      <c r="D1695" s="6" t="s">
        <v>278</v>
      </c>
      <c r="E1695" s="6" t="s">
        <v>16</v>
      </c>
      <c r="F1695" s="7">
        <v>45353</v>
      </c>
      <c r="G1695" s="6" t="s">
        <v>3102</v>
      </c>
      <c r="H1695" s="8">
        <v>182</v>
      </c>
      <c r="I1695" s="9">
        <v>240.07</v>
      </c>
      <c r="J1695" s="9">
        <v>1979.4</v>
      </c>
      <c r="K1695" s="5" t="str">
        <f>VLOOKUP(D1695,[1]Clientes!$A$1:$B$1370,2,0)</f>
        <v>CAN0073</v>
      </c>
      <c r="L1695" s="5" t="str">
        <f t="shared" si="52"/>
        <v>HGI0120287</v>
      </c>
      <c r="M1695" s="5" t="str">
        <f t="shared" si="53"/>
        <v>I</v>
      </c>
      <c r="N1695" s="5">
        <f>IF(G1695=[1]Clientes!$C$3,[1]Clientes!$D$3,[1]Clientes!$D$2)</f>
        <v>13050505</v>
      </c>
    </row>
    <row r="1696" spans="1:14">
      <c r="A1696" s="6" t="s">
        <v>7</v>
      </c>
      <c r="B1696" s="7">
        <v>45358</v>
      </c>
      <c r="C1696" s="6" t="s">
        <v>4888</v>
      </c>
      <c r="D1696" s="6" t="s">
        <v>278</v>
      </c>
      <c r="E1696" s="6" t="s">
        <v>16</v>
      </c>
      <c r="F1696" s="7">
        <v>45388</v>
      </c>
      <c r="G1696" s="6" t="s">
        <v>3102</v>
      </c>
      <c r="H1696" s="8">
        <v>147</v>
      </c>
      <c r="I1696" s="9">
        <v>39</v>
      </c>
      <c r="J1696" s="9">
        <v>339</v>
      </c>
      <c r="K1696" s="5" t="str">
        <f>VLOOKUP(D1696,[1]Clientes!$A$1:$B$1370,2,0)</f>
        <v>CAN0073</v>
      </c>
      <c r="L1696" s="5" t="str">
        <f t="shared" si="52"/>
        <v>HGI0121726</v>
      </c>
      <c r="M1696" s="5" t="str">
        <f t="shared" si="53"/>
        <v>I</v>
      </c>
      <c r="N1696" s="5">
        <f>IF(G1696=[1]Clientes!$C$3,[1]Clientes!$D$3,[1]Clientes!$D$2)</f>
        <v>13050505</v>
      </c>
    </row>
    <row r="1697" spans="1:14">
      <c r="A1697" s="6" t="s">
        <v>7</v>
      </c>
      <c r="B1697" s="7">
        <v>45358</v>
      </c>
      <c r="C1697" s="6" t="s">
        <v>4889</v>
      </c>
      <c r="D1697" s="6" t="s">
        <v>278</v>
      </c>
      <c r="E1697" s="6" t="s">
        <v>16</v>
      </c>
      <c r="F1697" s="7">
        <v>45388</v>
      </c>
      <c r="G1697" s="6" t="s">
        <v>3102</v>
      </c>
      <c r="H1697" s="8">
        <v>147</v>
      </c>
      <c r="I1697" s="9">
        <v>99.84</v>
      </c>
      <c r="J1697" s="9">
        <v>867.84</v>
      </c>
      <c r="K1697" s="5" t="str">
        <f>VLOOKUP(D1697,[1]Clientes!$A$1:$B$1370,2,0)</f>
        <v>CAN0073</v>
      </c>
      <c r="L1697" s="5" t="str">
        <f t="shared" si="52"/>
        <v>HGI0121727</v>
      </c>
      <c r="M1697" s="5" t="str">
        <f t="shared" si="53"/>
        <v>I</v>
      </c>
      <c r="N1697" s="5">
        <f>IF(G1697=[1]Clientes!$C$3,[1]Clientes!$D$3,[1]Clientes!$D$2)</f>
        <v>13050505</v>
      </c>
    </row>
    <row r="1698" spans="1:14">
      <c r="A1698" s="6" t="s">
        <v>7</v>
      </c>
      <c r="B1698" s="7">
        <v>45362</v>
      </c>
      <c r="C1698" s="6" t="s">
        <v>4890</v>
      </c>
      <c r="D1698" s="6" t="s">
        <v>278</v>
      </c>
      <c r="E1698" s="6" t="s">
        <v>16</v>
      </c>
      <c r="F1698" s="7">
        <v>45392</v>
      </c>
      <c r="G1698" s="6" t="s">
        <v>3102</v>
      </c>
      <c r="H1698" s="8">
        <v>143</v>
      </c>
      <c r="I1698" s="9">
        <v>10.14</v>
      </c>
      <c r="J1698" s="9">
        <v>88.14</v>
      </c>
      <c r="K1698" s="5" t="str">
        <f>VLOOKUP(D1698,[1]Clientes!$A$1:$B$1370,2,0)</f>
        <v>CAN0073</v>
      </c>
      <c r="L1698" s="5" t="str">
        <f t="shared" si="52"/>
        <v>HGI0121749</v>
      </c>
      <c r="M1698" s="5" t="str">
        <f t="shared" si="53"/>
        <v>I</v>
      </c>
      <c r="N1698" s="5">
        <f>IF(G1698=[1]Clientes!$C$3,[1]Clientes!$D$3,[1]Clientes!$D$2)</f>
        <v>13050505</v>
      </c>
    </row>
    <row r="1699" spans="1:14">
      <c r="A1699" s="6" t="s">
        <v>7</v>
      </c>
      <c r="B1699" s="7">
        <v>45362</v>
      </c>
      <c r="C1699" s="6" t="s">
        <v>4891</v>
      </c>
      <c r="D1699" s="6" t="s">
        <v>278</v>
      </c>
      <c r="E1699" s="6" t="s">
        <v>16</v>
      </c>
      <c r="F1699" s="7">
        <v>45392</v>
      </c>
      <c r="G1699" s="6" t="s">
        <v>3102</v>
      </c>
      <c r="H1699" s="8">
        <v>143</v>
      </c>
      <c r="I1699" s="9">
        <v>167.96</v>
      </c>
      <c r="J1699" s="9">
        <v>1459.96</v>
      </c>
      <c r="K1699" s="5" t="str">
        <f>VLOOKUP(D1699,[1]Clientes!$A$1:$B$1370,2,0)</f>
        <v>CAN0073</v>
      </c>
      <c r="L1699" s="5" t="str">
        <f t="shared" si="52"/>
        <v>HGI0121760</v>
      </c>
      <c r="M1699" s="5" t="str">
        <f t="shared" si="53"/>
        <v>I</v>
      </c>
      <c r="N1699" s="5">
        <f>IF(G1699=[1]Clientes!$C$3,[1]Clientes!$D$3,[1]Clientes!$D$2)</f>
        <v>13050505</v>
      </c>
    </row>
    <row r="1700" spans="1:14">
      <c r="A1700" s="6" t="s">
        <v>7</v>
      </c>
      <c r="B1700" s="7">
        <v>45383</v>
      </c>
      <c r="C1700" s="6" t="s">
        <v>4892</v>
      </c>
      <c r="D1700" s="6" t="s">
        <v>278</v>
      </c>
      <c r="E1700" s="6" t="s">
        <v>16</v>
      </c>
      <c r="F1700" s="7">
        <v>45413</v>
      </c>
      <c r="G1700" s="6" t="s">
        <v>3102</v>
      </c>
      <c r="H1700" s="8">
        <v>122</v>
      </c>
      <c r="I1700" s="9">
        <v>41.6</v>
      </c>
      <c r="J1700" s="9">
        <v>361.6</v>
      </c>
      <c r="K1700" s="5" t="str">
        <f>VLOOKUP(D1700,[1]Clientes!$A$1:$B$1370,2,0)</f>
        <v>CAN0073</v>
      </c>
      <c r="L1700" s="5" t="str">
        <f t="shared" si="52"/>
        <v>HGI0122703</v>
      </c>
      <c r="M1700" s="5" t="str">
        <f t="shared" si="53"/>
        <v>I</v>
      </c>
      <c r="N1700" s="5">
        <f>IF(G1700=[1]Clientes!$C$3,[1]Clientes!$D$3,[1]Clientes!$D$2)</f>
        <v>13050505</v>
      </c>
    </row>
    <row r="1701" spans="1:14">
      <c r="A1701" s="6" t="s">
        <v>7</v>
      </c>
      <c r="B1701" s="7">
        <v>45392</v>
      </c>
      <c r="C1701" s="6" t="s">
        <v>4893</v>
      </c>
      <c r="D1701" s="6" t="s">
        <v>278</v>
      </c>
      <c r="E1701" s="6" t="s">
        <v>16</v>
      </c>
      <c r="F1701" s="7">
        <v>45422</v>
      </c>
      <c r="G1701" s="6" t="s">
        <v>3102</v>
      </c>
      <c r="H1701" s="8">
        <v>113</v>
      </c>
      <c r="I1701" s="9">
        <v>206.39</v>
      </c>
      <c r="J1701" s="9">
        <v>1793.99</v>
      </c>
      <c r="K1701" s="5" t="str">
        <f>VLOOKUP(D1701,[1]Clientes!$A$1:$B$1370,2,0)</f>
        <v>CAN0073</v>
      </c>
      <c r="L1701" s="5" t="str">
        <f t="shared" si="52"/>
        <v>HGI0122835</v>
      </c>
      <c r="M1701" s="5" t="str">
        <f t="shared" si="53"/>
        <v>I</v>
      </c>
      <c r="N1701" s="5">
        <f>IF(G1701=[1]Clientes!$C$3,[1]Clientes!$D$3,[1]Clientes!$D$2)</f>
        <v>13050505</v>
      </c>
    </row>
    <row r="1702" spans="1:14">
      <c r="A1702" s="6" t="s">
        <v>7</v>
      </c>
      <c r="B1702" s="7">
        <v>45400</v>
      </c>
      <c r="C1702" s="6" t="s">
        <v>4894</v>
      </c>
      <c r="D1702" s="6" t="s">
        <v>278</v>
      </c>
      <c r="E1702" s="6" t="s">
        <v>16</v>
      </c>
      <c r="F1702" s="7">
        <v>45430</v>
      </c>
      <c r="G1702" s="6" t="s">
        <v>3102</v>
      </c>
      <c r="H1702" s="8">
        <v>105</v>
      </c>
      <c r="I1702" s="9">
        <v>149.18</v>
      </c>
      <c r="J1702" s="9">
        <v>1296.68</v>
      </c>
      <c r="K1702" s="5" t="str">
        <f>VLOOKUP(D1702,[1]Clientes!$A$1:$B$1370,2,0)</f>
        <v>CAN0073</v>
      </c>
      <c r="L1702" s="5" t="str">
        <f t="shared" si="52"/>
        <v>HGI0123230</v>
      </c>
      <c r="M1702" s="5" t="str">
        <f t="shared" si="53"/>
        <v>I</v>
      </c>
      <c r="N1702" s="5">
        <f>IF(G1702=[1]Clientes!$C$3,[1]Clientes!$D$3,[1]Clientes!$D$2)</f>
        <v>13050505</v>
      </c>
    </row>
    <row r="1703" spans="1:14">
      <c r="A1703" s="6" t="s">
        <v>7</v>
      </c>
      <c r="B1703" s="7">
        <v>45400</v>
      </c>
      <c r="C1703" s="6" t="s">
        <v>4895</v>
      </c>
      <c r="D1703" s="6" t="s">
        <v>278</v>
      </c>
      <c r="E1703" s="6" t="s">
        <v>16</v>
      </c>
      <c r="F1703" s="7">
        <v>45430</v>
      </c>
      <c r="G1703" s="6" t="s">
        <v>3102</v>
      </c>
      <c r="H1703" s="8">
        <v>105</v>
      </c>
      <c r="I1703" s="9">
        <v>55.9</v>
      </c>
      <c r="J1703" s="9">
        <v>485.9</v>
      </c>
      <c r="K1703" s="5" t="str">
        <f>VLOOKUP(D1703,[1]Clientes!$A$1:$B$1370,2,0)</f>
        <v>CAN0073</v>
      </c>
      <c r="L1703" s="5" t="str">
        <f t="shared" si="52"/>
        <v>HGI0123231</v>
      </c>
      <c r="M1703" s="5" t="str">
        <f t="shared" si="53"/>
        <v>I</v>
      </c>
      <c r="N1703" s="5">
        <f>IF(G1703=[1]Clientes!$C$3,[1]Clientes!$D$3,[1]Clientes!$D$2)</f>
        <v>13050505</v>
      </c>
    </row>
    <row r="1704" spans="1:14">
      <c r="A1704" s="6" t="s">
        <v>7</v>
      </c>
      <c r="B1704" s="7">
        <v>45400</v>
      </c>
      <c r="C1704" s="6" t="s">
        <v>4896</v>
      </c>
      <c r="D1704" s="6" t="s">
        <v>278</v>
      </c>
      <c r="E1704" s="6" t="s">
        <v>16</v>
      </c>
      <c r="F1704" s="7">
        <v>45430</v>
      </c>
      <c r="G1704" s="6" t="s">
        <v>3102</v>
      </c>
      <c r="H1704" s="8">
        <v>105</v>
      </c>
      <c r="I1704" s="9">
        <v>262.08</v>
      </c>
      <c r="J1704" s="9">
        <v>2278.08</v>
      </c>
      <c r="K1704" s="5" t="str">
        <f>VLOOKUP(D1704,[1]Clientes!$A$1:$B$1370,2,0)</f>
        <v>CAN0073</v>
      </c>
      <c r="L1704" s="5" t="str">
        <f t="shared" si="52"/>
        <v>HGI0123233</v>
      </c>
      <c r="M1704" s="5" t="str">
        <f t="shared" si="53"/>
        <v>I</v>
      </c>
      <c r="N1704" s="5">
        <f>IF(G1704=[1]Clientes!$C$3,[1]Clientes!$D$3,[1]Clientes!$D$2)</f>
        <v>13050505</v>
      </c>
    </row>
    <row r="1705" spans="1:14">
      <c r="A1705" s="6" t="s">
        <v>7</v>
      </c>
      <c r="B1705" s="7">
        <v>45443</v>
      </c>
      <c r="C1705" s="6" t="s">
        <v>4897</v>
      </c>
      <c r="D1705" s="6" t="s">
        <v>278</v>
      </c>
      <c r="E1705" s="6" t="s">
        <v>16</v>
      </c>
      <c r="F1705" s="7">
        <v>45473</v>
      </c>
      <c r="G1705" s="6" t="s">
        <v>3102</v>
      </c>
      <c r="H1705" s="8">
        <v>62</v>
      </c>
      <c r="I1705" s="9">
        <v>59.8</v>
      </c>
      <c r="J1705" s="9">
        <v>519.79999999999995</v>
      </c>
      <c r="K1705" s="5" t="str">
        <f>VLOOKUP(D1705,[1]Clientes!$A$1:$B$1370,2,0)</f>
        <v>CAN0073</v>
      </c>
      <c r="L1705" s="5" t="str">
        <f t="shared" si="52"/>
        <v>HGI0124729</v>
      </c>
      <c r="M1705" s="5" t="str">
        <f t="shared" si="53"/>
        <v>I</v>
      </c>
      <c r="N1705" s="5">
        <f>IF(G1705=[1]Clientes!$C$3,[1]Clientes!$D$3,[1]Clientes!$D$2)</f>
        <v>13050505</v>
      </c>
    </row>
    <row r="1706" spans="1:14">
      <c r="A1706" s="6" t="s">
        <v>7</v>
      </c>
      <c r="B1706" s="7">
        <v>45450</v>
      </c>
      <c r="C1706" s="6" t="s">
        <v>4898</v>
      </c>
      <c r="D1706" s="6" t="s">
        <v>278</v>
      </c>
      <c r="E1706" s="6" t="s">
        <v>16</v>
      </c>
      <c r="F1706" s="7">
        <v>45480</v>
      </c>
      <c r="G1706" s="6" t="s">
        <v>3102</v>
      </c>
      <c r="H1706" s="8">
        <v>55</v>
      </c>
      <c r="I1706" s="9">
        <v>22.31</v>
      </c>
      <c r="J1706" s="9">
        <v>193.91</v>
      </c>
      <c r="K1706" s="5" t="str">
        <f>VLOOKUP(D1706,[1]Clientes!$A$1:$B$1370,2,0)</f>
        <v>CAN0073</v>
      </c>
      <c r="L1706" s="5" t="str">
        <f t="shared" si="52"/>
        <v>HGI0124914</v>
      </c>
      <c r="M1706" s="5" t="str">
        <f t="shared" si="53"/>
        <v>I</v>
      </c>
      <c r="N1706" s="5">
        <f>IF(G1706=[1]Clientes!$C$3,[1]Clientes!$D$3,[1]Clientes!$D$2)</f>
        <v>13050505</v>
      </c>
    </row>
    <row r="1707" spans="1:14">
      <c r="A1707" s="6" t="s">
        <v>7</v>
      </c>
      <c r="B1707" s="7">
        <v>45512</v>
      </c>
      <c r="C1707" s="6" t="s">
        <v>4899</v>
      </c>
      <c r="D1707" s="6" t="s">
        <v>278</v>
      </c>
      <c r="E1707" s="6" t="s">
        <v>16</v>
      </c>
      <c r="F1707" s="7">
        <v>45542</v>
      </c>
      <c r="G1707" s="6" t="s">
        <v>3102</v>
      </c>
      <c r="H1707" s="8"/>
      <c r="I1707" s="9">
        <v>715.97</v>
      </c>
      <c r="J1707" s="9">
        <v>715.97</v>
      </c>
      <c r="K1707" s="5" t="str">
        <f>VLOOKUP(D1707,[1]Clientes!$A$1:$B$1370,2,0)</f>
        <v>CAN0073</v>
      </c>
      <c r="L1707" s="5" t="str">
        <f t="shared" si="52"/>
        <v>HGI0126322</v>
      </c>
      <c r="M1707" s="5" t="str">
        <f t="shared" si="53"/>
        <v>I</v>
      </c>
      <c r="N1707" s="5">
        <f>IF(G1707=[1]Clientes!$C$3,[1]Clientes!$D$3,[1]Clientes!$D$2)</f>
        <v>13050505</v>
      </c>
    </row>
    <row r="1708" spans="1:14">
      <c r="A1708" s="6" t="s">
        <v>7</v>
      </c>
      <c r="B1708" s="7">
        <v>45512</v>
      </c>
      <c r="C1708" s="6" t="s">
        <v>4900</v>
      </c>
      <c r="D1708" s="6" t="s">
        <v>278</v>
      </c>
      <c r="E1708" s="6" t="s">
        <v>16</v>
      </c>
      <c r="F1708" s="7">
        <v>45542</v>
      </c>
      <c r="G1708" s="6" t="s">
        <v>3102</v>
      </c>
      <c r="H1708" s="8"/>
      <c r="I1708" s="9">
        <v>835.3</v>
      </c>
      <c r="J1708" s="9">
        <v>835.3</v>
      </c>
      <c r="K1708" s="5" t="str">
        <f>VLOOKUP(D1708,[1]Clientes!$A$1:$B$1370,2,0)</f>
        <v>CAN0073</v>
      </c>
      <c r="L1708" s="5" t="str">
        <f t="shared" si="52"/>
        <v>HGI0126680</v>
      </c>
      <c r="M1708" s="5" t="str">
        <f t="shared" si="53"/>
        <v>I</v>
      </c>
      <c r="N1708" s="5">
        <f>IF(G1708=[1]Clientes!$C$3,[1]Clientes!$D$3,[1]Clientes!$D$2)</f>
        <v>13050505</v>
      </c>
    </row>
    <row r="1709" spans="1:14">
      <c r="A1709" s="6" t="s">
        <v>7</v>
      </c>
      <c r="B1709" s="7">
        <v>45526</v>
      </c>
      <c r="C1709" s="6" t="s">
        <v>4901</v>
      </c>
      <c r="D1709" s="6" t="s">
        <v>278</v>
      </c>
      <c r="E1709" s="6" t="s">
        <v>16</v>
      </c>
      <c r="F1709" s="7">
        <v>45556</v>
      </c>
      <c r="G1709" s="6" t="s">
        <v>3102</v>
      </c>
      <c r="H1709" s="8"/>
      <c r="I1709" s="9">
        <v>632.79999999999995</v>
      </c>
      <c r="J1709" s="9">
        <v>632.79999999999995</v>
      </c>
      <c r="K1709" s="5" t="str">
        <f>VLOOKUP(D1709,[1]Clientes!$A$1:$B$1370,2,0)</f>
        <v>CAN0073</v>
      </c>
      <c r="L1709" s="5" t="str">
        <f t="shared" si="52"/>
        <v>HGI0126802</v>
      </c>
      <c r="M1709" s="5" t="str">
        <f t="shared" si="53"/>
        <v>I</v>
      </c>
      <c r="N1709" s="5">
        <f>IF(G1709=[1]Clientes!$C$3,[1]Clientes!$D$3,[1]Clientes!$D$2)</f>
        <v>13050505</v>
      </c>
    </row>
    <row r="1710" spans="1:14">
      <c r="A1710" s="6" t="s">
        <v>7</v>
      </c>
      <c r="B1710" s="7">
        <v>45527</v>
      </c>
      <c r="C1710" s="6" t="s">
        <v>4902</v>
      </c>
      <c r="D1710" s="6" t="s">
        <v>278</v>
      </c>
      <c r="E1710" s="6" t="s">
        <v>16</v>
      </c>
      <c r="F1710" s="7">
        <v>45557</v>
      </c>
      <c r="G1710" s="6" t="s">
        <v>3102</v>
      </c>
      <c r="H1710" s="8"/>
      <c r="I1710" s="9">
        <v>835.3</v>
      </c>
      <c r="J1710" s="9">
        <v>835.3</v>
      </c>
      <c r="K1710" s="5" t="str">
        <f>VLOOKUP(D1710,[1]Clientes!$A$1:$B$1370,2,0)</f>
        <v>CAN0073</v>
      </c>
      <c r="L1710" s="5" t="str">
        <f t="shared" si="52"/>
        <v>HGI0126885</v>
      </c>
      <c r="M1710" s="5" t="str">
        <f t="shared" si="53"/>
        <v>I</v>
      </c>
      <c r="N1710" s="5">
        <f>IF(G1710=[1]Clientes!$C$3,[1]Clientes!$D$3,[1]Clientes!$D$2)</f>
        <v>13050505</v>
      </c>
    </row>
    <row r="1711" spans="1:14">
      <c r="A1711" s="6" t="s">
        <v>7</v>
      </c>
      <c r="B1711" s="7">
        <v>45532</v>
      </c>
      <c r="C1711" s="6" t="s">
        <v>4903</v>
      </c>
      <c r="D1711" s="6" t="s">
        <v>278</v>
      </c>
      <c r="E1711" s="6" t="s">
        <v>16</v>
      </c>
      <c r="F1711" s="7">
        <v>45562</v>
      </c>
      <c r="G1711" s="6" t="s">
        <v>3102</v>
      </c>
      <c r="H1711" s="8"/>
      <c r="I1711" s="9">
        <v>452</v>
      </c>
      <c r="J1711" s="9">
        <v>452</v>
      </c>
      <c r="K1711" s="5" t="str">
        <f>VLOOKUP(D1711,[1]Clientes!$A$1:$B$1370,2,0)</f>
        <v>CAN0073</v>
      </c>
      <c r="L1711" s="5" t="str">
        <f t="shared" si="52"/>
        <v>HGI0127065</v>
      </c>
      <c r="M1711" s="5" t="str">
        <f t="shared" si="53"/>
        <v>I</v>
      </c>
      <c r="N1711" s="5">
        <f>IF(G1711=[1]Clientes!$C$3,[1]Clientes!$D$3,[1]Clientes!$D$2)</f>
        <v>13050505</v>
      </c>
    </row>
    <row r="1712" spans="1:14">
      <c r="A1712" s="6" t="s">
        <v>7</v>
      </c>
      <c r="B1712" s="7">
        <v>45530</v>
      </c>
      <c r="C1712" s="6" t="s">
        <v>4904</v>
      </c>
      <c r="D1712" s="6" t="s">
        <v>309</v>
      </c>
      <c r="E1712" s="6" t="s">
        <v>213</v>
      </c>
      <c r="F1712" s="7">
        <v>45530</v>
      </c>
      <c r="G1712" s="6" t="s">
        <v>3102</v>
      </c>
      <c r="H1712" s="8">
        <v>5</v>
      </c>
      <c r="I1712" s="9">
        <v>466.2</v>
      </c>
      <c r="J1712" s="9">
        <v>466.2</v>
      </c>
      <c r="K1712" s="5" t="str">
        <f>VLOOKUP(D1712,[1]Clientes!$A$1:$B$1370,2,0)</f>
        <v>CAN0074</v>
      </c>
      <c r="L1712" s="5" t="str">
        <f t="shared" si="52"/>
        <v>HGI0126833</v>
      </c>
      <c r="M1712" s="5" t="str">
        <f t="shared" si="53"/>
        <v>I</v>
      </c>
      <c r="N1712" s="5">
        <f>IF(G1712=[1]Clientes!$C$3,[1]Clientes!$D$3,[1]Clientes!$D$2)</f>
        <v>13050505</v>
      </c>
    </row>
    <row r="1713" spans="1:14">
      <c r="A1713" s="6" t="s">
        <v>7</v>
      </c>
      <c r="B1713" s="7">
        <v>45505</v>
      </c>
      <c r="C1713" s="6" t="s">
        <v>4905</v>
      </c>
      <c r="D1713" s="5" t="s">
        <v>2093</v>
      </c>
      <c r="E1713" s="6" t="s">
        <v>16</v>
      </c>
      <c r="F1713" s="7">
        <v>45535</v>
      </c>
      <c r="G1713" s="6" t="s">
        <v>3102</v>
      </c>
      <c r="H1713" s="8"/>
      <c r="I1713" s="9">
        <v>421.21</v>
      </c>
      <c r="J1713" s="9">
        <v>421.21</v>
      </c>
      <c r="K1713" s="5" t="str">
        <f>VLOOKUP(D1713,[1]Clientes!$A$1:$B$1371,2,0)</f>
        <v>NAC1449</v>
      </c>
      <c r="L1713" s="5" t="str">
        <f t="shared" si="52"/>
        <v>HGI0126128</v>
      </c>
      <c r="M1713" s="5" t="str">
        <f t="shared" si="53"/>
        <v>I</v>
      </c>
      <c r="N1713" s="5">
        <f>IF(G1713=[1]Clientes!$C$3,[1]Clientes!$D$3,[1]Clientes!$D$2)</f>
        <v>13050505</v>
      </c>
    </row>
    <row r="1714" spans="1:14">
      <c r="A1714" s="6" t="s">
        <v>7</v>
      </c>
      <c r="B1714" s="7">
        <v>45511</v>
      </c>
      <c r="C1714" s="6" t="s">
        <v>4906</v>
      </c>
      <c r="D1714" s="5" t="s">
        <v>2093</v>
      </c>
      <c r="E1714" s="6" t="s">
        <v>16</v>
      </c>
      <c r="F1714" s="7">
        <v>45541</v>
      </c>
      <c r="G1714" s="6" t="s">
        <v>3102</v>
      </c>
      <c r="H1714" s="8"/>
      <c r="I1714" s="9">
        <v>118</v>
      </c>
      <c r="J1714" s="9">
        <v>118</v>
      </c>
      <c r="K1714" s="5" t="str">
        <f>VLOOKUP(D1714,[1]Clientes!$A$1:$B$1371,2,0)</f>
        <v>NAC1449</v>
      </c>
      <c r="L1714" s="5" t="str">
        <f t="shared" si="52"/>
        <v>HGI0126295</v>
      </c>
      <c r="M1714" s="5" t="str">
        <f t="shared" si="53"/>
        <v>I</v>
      </c>
      <c r="N1714" s="5">
        <f>IF(G1714=[1]Clientes!$C$3,[1]Clientes!$D$3,[1]Clientes!$D$2)</f>
        <v>13050505</v>
      </c>
    </row>
    <row r="1715" spans="1:14">
      <c r="A1715" s="6" t="s">
        <v>7</v>
      </c>
      <c r="B1715" s="7">
        <v>45513</v>
      </c>
      <c r="C1715" s="6" t="s">
        <v>4907</v>
      </c>
      <c r="D1715" s="5" t="s">
        <v>2093</v>
      </c>
      <c r="E1715" s="6" t="s">
        <v>16</v>
      </c>
      <c r="F1715" s="7">
        <v>45543</v>
      </c>
      <c r="G1715" s="6" t="s">
        <v>3102</v>
      </c>
      <c r="H1715" s="8"/>
      <c r="I1715" s="9">
        <v>2013.5</v>
      </c>
      <c r="J1715" s="9">
        <v>2013.5</v>
      </c>
      <c r="K1715" s="5" t="str">
        <f>VLOOKUP(D1715,[1]Clientes!$A$1:$B$1371,2,0)</f>
        <v>NAC1449</v>
      </c>
      <c r="L1715" s="5" t="str">
        <f t="shared" si="52"/>
        <v>HGI0126345</v>
      </c>
      <c r="M1715" s="5" t="str">
        <f t="shared" si="53"/>
        <v>I</v>
      </c>
      <c r="N1715" s="5">
        <f>IF(G1715=[1]Clientes!$C$3,[1]Clientes!$D$3,[1]Clientes!$D$2)</f>
        <v>13050505</v>
      </c>
    </row>
    <row r="1716" spans="1:14">
      <c r="A1716" s="6" t="s">
        <v>7</v>
      </c>
      <c r="B1716" s="7">
        <v>45519</v>
      </c>
      <c r="C1716" s="6" t="s">
        <v>4908</v>
      </c>
      <c r="D1716" s="5" t="s">
        <v>2093</v>
      </c>
      <c r="E1716" s="6" t="s">
        <v>16</v>
      </c>
      <c r="F1716" s="7">
        <v>45549</v>
      </c>
      <c r="G1716" s="6" t="s">
        <v>3102</v>
      </c>
      <c r="H1716" s="8"/>
      <c r="I1716" s="9">
        <v>12358.44</v>
      </c>
      <c r="J1716" s="9">
        <v>12358.44</v>
      </c>
      <c r="K1716" s="5" t="str">
        <f>VLOOKUP(D1716,[1]Clientes!$A$1:$B$1371,2,0)</f>
        <v>NAC1449</v>
      </c>
      <c r="L1716" s="5" t="str">
        <f t="shared" si="52"/>
        <v>HGI0126542</v>
      </c>
      <c r="M1716" s="5" t="str">
        <f t="shared" si="53"/>
        <v>I</v>
      </c>
      <c r="N1716" s="5">
        <f>IF(G1716=[1]Clientes!$C$3,[1]Clientes!$D$3,[1]Clientes!$D$2)</f>
        <v>13050505</v>
      </c>
    </row>
    <row r="1717" spans="1:14">
      <c r="A1717" s="6" t="s">
        <v>7</v>
      </c>
      <c r="B1717" s="7">
        <v>45133</v>
      </c>
      <c r="C1717" s="6" t="s">
        <v>4909</v>
      </c>
      <c r="D1717" s="6" t="s">
        <v>4910</v>
      </c>
      <c r="E1717" s="6" t="s">
        <v>3176</v>
      </c>
      <c r="F1717" s="7">
        <v>45163</v>
      </c>
      <c r="G1717" s="6" t="s">
        <v>3102</v>
      </c>
      <c r="H1717" s="8">
        <v>372</v>
      </c>
      <c r="I1717" s="9">
        <v>338.57</v>
      </c>
      <c r="J1717" s="9">
        <v>338.57</v>
      </c>
      <c r="K1717" s="5" t="str">
        <f>VLOOKUP(D1717,[1]Clientes!$A$1:$B$1485,2,0)</f>
        <v>NAC1452</v>
      </c>
      <c r="L1717" s="5" t="str">
        <f t="shared" si="52"/>
        <v>HGI0113934</v>
      </c>
      <c r="M1717" s="5" t="str">
        <f t="shared" si="53"/>
        <v>I</v>
      </c>
      <c r="N1717" s="5">
        <f>IF(G1717=[1]Clientes!$C$3,[1]Clientes!$D$3,[1]Clientes!$D$2)</f>
        <v>13050505</v>
      </c>
    </row>
    <row r="1718" spans="1:14">
      <c r="A1718" s="6" t="s">
        <v>7</v>
      </c>
      <c r="B1718" s="7">
        <v>45217</v>
      </c>
      <c r="C1718" s="6" t="s">
        <v>4911</v>
      </c>
      <c r="D1718" s="6" t="s">
        <v>4910</v>
      </c>
      <c r="E1718" s="6" t="s">
        <v>3176</v>
      </c>
      <c r="F1718" s="7">
        <v>45247</v>
      </c>
      <c r="G1718" s="6" t="s">
        <v>3102</v>
      </c>
      <c r="H1718" s="8">
        <v>288</v>
      </c>
      <c r="I1718" s="9">
        <v>364.9</v>
      </c>
      <c r="J1718" s="9">
        <v>364.9</v>
      </c>
      <c r="K1718" s="5" t="str">
        <f>VLOOKUP(D1718,[1]Clientes!$A$1:$B$1485,2,0)</f>
        <v>NAC1452</v>
      </c>
      <c r="L1718" s="5" t="str">
        <f t="shared" si="52"/>
        <v>HGI0116124</v>
      </c>
      <c r="M1718" s="5" t="str">
        <f t="shared" si="53"/>
        <v>I</v>
      </c>
      <c r="N1718" s="5">
        <f>IF(G1718=[1]Clientes!$C$3,[1]Clientes!$D$3,[1]Clientes!$D$2)</f>
        <v>13050505</v>
      </c>
    </row>
    <row r="1719" spans="1:14">
      <c r="A1719" s="6" t="s">
        <v>3099</v>
      </c>
      <c r="B1719" s="7">
        <v>45519</v>
      </c>
      <c r="C1719" s="6" t="s">
        <v>4912</v>
      </c>
      <c r="D1719" s="6" t="s">
        <v>4910</v>
      </c>
      <c r="E1719" s="6" t="s">
        <v>3176</v>
      </c>
      <c r="F1719" s="7">
        <v>45549</v>
      </c>
      <c r="G1719" s="6" t="s">
        <v>3102</v>
      </c>
      <c r="H1719" s="8"/>
      <c r="I1719" s="9">
        <v>-19.47</v>
      </c>
      <c r="J1719" s="9">
        <v>-19.47</v>
      </c>
      <c r="K1719" s="5" t="str">
        <f>VLOOKUP(D1719,[1]Clientes!$A$1:$B$1485,2,0)</f>
        <v>NAC1452</v>
      </c>
      <c r="L1719" s="5" t="str">
        <f t="shared" si="52"/>
        <v>CRM0126574</v>
      </c>
      <c r="M1719" s="5" t="str">
        <f t="shared" si="53"/>
        <v>C</v>
      </c>
      <c r="N1719" s="5">
        <f>IF(G1719=[1]Clientes!$C$3,[1]Clientes!$D$3,[1]Clientes!$D$2)</f>
        <v>13050505</v>
      </c>
    </row>
    <row r="1720" spans="1:14">
      <c r="A1720" s="6" t="s">
        <v>7</v>
      </c>
      <c r="B1720" s="7">
        <v>45036</v>
      </c>
      <c r="C1720" s="6" t="s">
        <v>4913</v>
      </c>
      <c r="D1720" s="6" t="s">
        <v>4914</v>
      </c>
      <c r="E1720" s="6" t="s">
        <v>3176</v>
      </c>
      <c r="F1720" s="7">
        <v>45066</v>
      </c>
      <c r="G1720" s="6" t="s">
        <v>3102</v>
      </c>
      <c r="H1720" s="8">
        <v>469</v>
      </c>
      <c r="I1720" s="9">
        <v>219.42</v>
      </c>
      <c r="J1720" s="9">
        <v>219.42</v>
      </c>
      <c r="K1720" s="5" t="str">
        <f>VLOOKUP(D1720,[1]Clientes!$A$1:$B$1485,2,0)</f>
        <v>NAC1459</v>
      </c>
      <c r="L1720" s="5" t="str">
        <f t="shared" si="52"/>
        <v>HGI0111079</v>
      </c>
      <c r="M1720" s="5" t="str">
        <f t="shared" si="53"/>
        <v>I</v>
      </c>
      <c r="N1720" s="5">
        <f>IF(G1720=[1]Clientes!$C$3,[1]Clientes!$D$3,[1]Clientes!$D$2)</f>
        <v>13050505</v>
      </c>
    </row>
    <row r="1721" spans="1:14">
      <c r="A1721" s="6" t="s">
        <v>7</v>
      </c>
      <c r="B1721" s="7">
        <v>45268</v>
      </c>
      <c r="C1721" s="6" t="s">
        <v>4915</v>
      </c>
      <c r="D1721" s="6" t="s">
        <v>4914</v>
      </c>
      <c r="E1721" s="6" t="s">
        <v>3176</v>
      </c>
      <c r="F1721" s="7">
        <v>45298</v>
      </c>
      <c r="G1721" s="6" t="s">
        <v>3102</v>
      </c>
      <c r="H1721" s="8">
        <v>237</v>
      </c>
      <c r="I1721" s="9">
        <v>245.38</v>
      </c>
      <c r="J1721" s="9">
        <v>245.38</v>
      </c>
      <c r="K1721" s="5" t="str">
        <f>VLOOKUP(D1721,[1]Clientes!$A$1:$B$1485,2,0)</f>
        <v>NAC1459</v>
      </c>
      <c r="L1721" s="5" t="str">
        <f t="shared" si="52"/>
        <v>HGI0118156</v>
      </c>
      <c r="M1721" s="5" t="str">
        <f t="shared" si="53"/>
        <v>I</v>
      </c>
      <c r="N1721" s="5">
        <f>IF(G1721=[1]Clientes!$C$3,[1]Clientes!$D$3,[1]Clientes!$D$2)</f>
        <v>13050505</v>
      </c>
    </row>
    <row r="1722" spans="1:14">
      <c r="A1722" s="6" t="s">
        <v>7</v>
      </c>
      <c r="B1722" s="7">
        <v>45036</v>
      </c>
      <c r="C1722" s="6" t="s">
        <v>4916</v>
      </c>
      <c r="D1722" s="6" t="s">
        <v>4917</v>
      </c>
      <c r="E1722" s="6" t="s">
        <v>3176</v>
      </c>
      <c r="F1722" s="7">
        <v>45066</v>
      </c>
      <c r="G1722" s="6" t="s">
        <v>3102</v>
      </c>
      <c r="H1722" s="8">
        <v>469</v>
      </c>
      <c r="I1722" s="9">
        <v>350.58</v>
      </c>
      <c r="J1722" s="9">
        <v>350.58</v>
      </c>
      <c r="K1722" s="5" t="str">
        <f>VLOOKUP(D1722,[1]Clientes!$A$1:$B$1485,2,0)</f>
        <v>NAC1451</v>
      </c>
      <c r="L1722" s="5" t="str">
        <f t="shared" si="52"/>
        <v>HGI0111082</v>
      </c>
      <c r="M1722" s="5" t="str">
        <f t="shared" si="53"/>
        <v>I</v>
      </c>
      <c r="N1722" s="5">
        <f>IF(G1722=[1]Clientes!$C$3,[1]Clientes!$D$3,[1]Clientes!$D$2)</f>
        <v>13050505</v>
      </c>
    </row>
    <row r="1723" spans="1:14">
      <c r="A1723" s="6" t="s">
        <v>7</v>
      </c>
      <c r="B1723" s="7">
        <v>45322</v>
      </c>
      <c r="C1723" s="6" t="s">
        <v>4918</v>
      </c>
      <c r="D1723" s="6" t="s">
        <v>4917</v>
      </c>
      <c r="E1723" s="6" t="s">
        <v>3176</v>
      </c>
      <c r="F1723" s="7">
        <v>45352</v>
      </c>
      <c r="G1723" s="6" t="s">
        <v>3102</v>
      </c>
      <c r="H1723" s="8">
        <v>183</v>
      </c>
      <c r="I1723" s="9">
        <v>259.62</v>
      </c>
      <c r="J1723" s="9">
        <v>259.62</v>
      </c>
      <c r="K1723" s="5" t="str">
        <f>VLOOKUP(D1723,[1]Clientes!$A$1:$B$1485,2,0)</f>
        <v>NAC1451</v>
      </c>
      <c r="L1723" s="5" t="str">
        <f t="shared" si="52"/>
        <v>HGI0120200</v>
      </c>
      <c r="M1723" s="5" t="str">
        <f t="shared" si="53"/>
        <v>I</v>
      </c>
      <c r="N1723" s="5">
        <f>IF(G1723=[1]Clientes!$C$3,[1]Clientes!$D$3,[1]Clientes!$D$2)</f>
        <v>13050505</v>
      </c>
    </row>
    <row r="1724" spans="1:14">
      <c r="A1724" s="6" t="s">
        <v>7</v>
      </c>
      <c r="B1724" s="7">
        <v>45036</v>
      </c>
      <c r="C1724" s="6" t="s">
        <v>4919</v>
      </c>
      <c r="D1724" s="6" t="s">
        <v>4920</v>
      </c>
      <c r="E1724" s="6" t="s">
        <v>16</v>
      </c>
      <c r="F1724" s="7">
        <v>45066</v>
      </c>
      <c r="G1724" s="6" t="s">
        <v>3102</v>
      </c>
      <c r="H1724" s="8">
        <v>469</v>
      </c>
      <c r="I1724" s="9">
        <v>221.41</v>
      </c>
      <c r="J1724" s="9">
        <v>221.41</v>
      </c>
      <c r="K1724" s="5" t="str">
        <f>VLOOKUP(D1724,[1]Clientes!$A$1:$B$1485,2,0)</f>
        <v>NAC1457</v>
      </c>
      <c r="L1724" s="5" t="str">
        <f t="shared" si="52"/>
        <v>HGI0111088</v>
      </c>
      <c r="M1724" s="5" t="str">
        <f t="shared" si="53"/>
        <v>I</v>
      </c>
      <c r="N1724" s="5">
        <f>IF(G1724=[1]Clientes!$C$3,[1]Clientes!$D$3,[1]Clientes!$D$2)</f>
        <v>13050505</v>
      </c>
    </row>
    <row r="1725" spans="1:14">
      <c r="A1725" s="6" t="s">
        <v>7</v>
      </c>
      <c r="B1725" s="7">
        <v>45036</v>
      </c>
      <c r="C1725" s="6" t="s">
        <v>4921</v>
      </c>
      <c r="D1725" s="6" t="s">
        <v>4922</v>
      </c>
      <c r="E1725" s="6" t="s">
        <v>3176</v>
      </c>
      <c r="F1725" s="7">
        <v>45066</v>
      </c>
      <c r="G1725" s="6" t="s">
        <v>3102</v>
      </c>
      <c r="H1725" s="8">
        <v>469</v>
      </c>
      <c r="I1725" s="9">
        <v>110.7</v>
      </c>
      <c r="J1725" s="9">
        <v>110.7</v>
      </c>
      <c r="K1725" s="5" t="str">
        <f>VLOOKUP(D1725,[1]Clientes!$A$1:$B$1485,2,0)</f>
        <v>NAC1454</v>
      </c>
      <c r="L1725" s="5" t="str">
        <f t="shared" si="52"/>
        <v>HGI0111090</v>
      </c>
      <c r="M1725" s="5" t="str">
        <f t="shared" si="53"/>
        <v>I</v>
      </c>
      <c r="N1725" s="5">
        <f>IF(G1725=[1]Clientes!$C$3,[1]Clientes!$D$3,[1]Clientes!$D$2)</f>
        <v>13050505</v>
      </c>
    </row>
    <row r="1726" spans="1:14">
      <c r="A1726" s="6" t="s">
        <v>7</v>
      </c>
      <c r="B1726" s="7">
        <v>45320</v>
      </c>
      <c r="C1726" s="6" t="s">
        <v>4923</v>
      </c>
      <c r="D1726" s="6" t="s">
        <v>4924</v>
      </c>
      <c r="E1726" s="6" t="s">
        <v>3176</v>
      </c>
      <c r="F1726" s="7">
        <v>45350</v>
      </c>
      <c r="G1726" s="6" t="s">
        <v>3102</v>
      </c>
      <c r="H1726" s="8">
        <v>185</v>
      </c>
      <c r="I1726" s="9">
        <v>121.41</v>
      </c>
      <c r="J1726" s="9">
        <v>121.41</v>
      </c>
      <c r="K1726" s="5" t="str">
        <f>VLOOKUP(D1726,[1]Clientes!$A$1:$B$1485,2,0)</f>
        <v>NAC1462</v>
      </c>
      <c r="L1726" s="5" t="str">
        <f t="shared" si="52"/>
        <v>HGI0120080</v>
      </c>
      <c r="M1726" s="5" t="str">
        <f t="shared" si="53"/>
        <v>I</v>
      </c>
      <c r="N1726" s="5">
        <f>IF(G1726=[1]Clientes!$C$3,[1]Clientes!$D$3,[1]Clientes!$D$2)</f>
        <v>13050505</v>
      </c>
    </row>
    <row r="1727" spans="1:14">
      <c r="A1727" s="6" t="s">
        <v>7</v>
      </c>
      <c r="B1727" s="7">
        <v>45036</v>
      </c>
      <c r="C1727" s="6" t="s">
        <v>4925</v>
      </c>
      <c r="D1727" s="6" t="s">
        <v>4926</v>
      </c>
      <c r="E1727" s="6" t="s">
        <v>3176</v>
      </c>
      <c r="F1727" s="7">
        <v>45066</v>
      </c>
      <c r="G1727" s="6" t="s">
        <v>3102</v>
      </c>
      <c r="H1727" s="8">
        <v>469</v>
      </c>
      <c r="I1727" s="9">
        <v>150.69999999999999</v>
      </c>
      <c r="J1727" s="9">
        <v>150.69999999999999</v>
      </c>
      <c r="K1727" s="5" t="str">
        <f>VLOOKUP(D1727,[1]Clientes!$A$1:$B$1485,2,0)</f>
        <v>NAC1458</v>
      </c>
      <c r="L1727" s="5" t="str">
        <f t="shared" si="52"/>
        <v>HGI0111091</v>
      </c>
      <c r="M1727" s="5" t="str">
        <f t="shared" si="53"/>
        <v>I</v>
      </c>
      <c r="N1727" s="5">
        <f>IF(G1727=[1]Clientes!$C$3,[1]Clientes!$D$3,[1]Clientes!$D$2)</f>
        <v>13050505</v>
      </c>
    </row>
    <row r="1728" spans="1:14">
      <c r="A1728" s="6" t="s">
        <v>7</v>
      </c>
      <c r="B1728" s="7">
        <v>45036</v>
      </c>
      <c r="C1728" s="6" t="s">
        <v>4927</v>
      </c>
      <c r="D1728" s="6" t="s">
        <v>4928</v>
      </c>
      <c r="E1728" s="6" t="s">
        <v>3176</v>
      </c>
      <c r="F1728" s="7">
        <v>45066</v>
      </c>
      <c r="G1728" s="6" t="s">
        <v>3102</v>
      </c>
      <c r="H1728" s="8">
        <v>469</v>
      </c>
      <c r="I1728" s="9">
        <v>158.99</v>
      </c>
      <c r="J1728" s="9">
        <v>158.99</v>
      </c>
      <c r="K1728" s="5" t="str">
        <f>VLOOKUP(D1728,[1]Clientes!$A$1:$B$1485,2,0)</f>
        <v>NAC1463</v>
      </c>
      <c r="L1728" s="5" t="str">
        <f t="shared" si="52"/>
        <v>HGI0111092</v>
      </c>
      <c r="M1728" s="5" t="str">
        <f t="shared" si="53"/>
        <v>I</v>
      </c>
      <c r="N1728" s="5">
        <f>IF(G1728=[1]Clientes!$C$3,[1]Clientes!$D$3,[1]Clientes!$D$2)</f>
        <v>13050505</v>
      </c>
    </row>
    <row r="1729" spans="1:14">
      <c r="A1729" s="6" t="s">
        <v>3139</v>
      </c>
      <c r="B1729" s="7">
        <v>45098</v>
      </c>
      <c r="C1729" s="6"/>
      <c r="D1729" s="6" t="s">
        <v>2099</v>
      </c>
      <c r="E1729" s="6"/>
      <c r="F1729" s="7"/>
      <c r="G1729" s="6" t="s">
        <v>3102</v>
      </c>
      <c r="H1729" s="8"/>
      <c r="I1729" s="9">
        <v>-112.66</v>
      </c>
      <c r="J1729" s="9">
        <v>-112.66</v>
      </c>
      <c r="K1729" s="5" t="str">
        <f>VLOOKUP(D1729,[1]Clientes!$A$1:$B$1370,2,0)</f>
        <v>NAC1450</v>
      </c>
      <c r="L1729" s="5" t="str">
        <f t="shared" si="52"/>
        <v>Revisar</v>
      </c>
      <c r="M1729" s="5" t="str">
        <f t="shared" si="53"/>
        <v>P</v>
      </c>
      <c r="N1729" s="5">
        <f>IF(G1729=[1]Clientes!$C$3,[1]Clientes!$D$3,[1]Clientes!$D$2)</f>
        <v>13050505</v>
      </c>
    </row>
    <row r="1730" spans="1:14">
      <c r="A1730" s="6" t="s">
        <v>7</v>
      </c>
      <c r="B1730" s="7">
        <v>45174</v>
      </c>
      <c r="C1730" s="6" t="s">
        <v>4929</v>
      </c>
      <c r="D1730" s="6" t="s">
        <v>2099</v>
      </c>
      <c r="E1730" s="6" t="s">
        <v>16</v>
      </c>
      <c r="F1730" s="7">
        <v>45204</v>
      </c>
      <c r="G1730" s="6" t="s">
        <v>3102</v>
      </c>
      <c r="H1730" s="8">
        <v>331</v>
      </c>
      <c r="I1730" s="9">
        <v>445.9</v>
      </c>
      <c r="J1730" s="9">
        <v>445.9</v>
      </c>
      <c r="K1730" s="5" t="str">
        <f>VLOOKUP(D1730,[1]Clientes!$A$1:$B$1370,2,0)</f>
        <v>NAC1450</v>
      </c>
      <c r="L1730" s="5" t="str">
        <f t="shared" si="52"/>
        <v>HGI0114857</v>
      </c>
      <c r="M1730" s="5" t="str">
        <f t="shared" si="53"/>
        <v>I</v>
      </c>
      <c r="N1730" s="5">
        <f>IF(G1730=[1]Clientes!$C$3,[1]Clientes!$D$3,[1]Clientes!$D$2)</f>
        <v>13050505</v>
      </c>
    </row>
    <row r="1731" spans="1:14">
      <c r="A1731" s="6" t="s">
        <v>7</v>
      </c>
      <c r="B1731" s="7">
        <v>45217</v>
      </c>
      <c r="C1731" s="6" t="s">
        <v>4930</v>
      </c>
      <c r="D1731" s="6" t="s">
        <v>2099</v>
      </c>
      <c r="E1731" s="6" t="s">
        <v>16</v>
      </c>
      <c r="F1731" s="7">
        <v>45247</v>
      </c>
      <c r="G1731" s="6" t="s">
        <v>3102</v>
      </c>
      <c r="H1731" s="8">
        <v>288</v>
      </c>
      <c r="I1731" s="9">
        <v>447.72</v>
      </c>
      <c r="J1731" s="9">
        <v>447.72</v>
      </c>
      <c r="K1731" s="5" t="str">
        <f>VLOOKUP(D1731,[1]Clientes!$A$1:$B$1370,2,0)</f>
        <v>NAC1450</v>
      </c>
      <c r="L1731" s="5" t="str">
        <f t="shared" ref="L1731:L1794" si="54">IF(A1731="Invoice",
    IF(LEFT(C1731,5)="TGDR-", "TGDR"&amp;RIGHT(C1731,LEN(C1731)-5), "HGI"&amp;C1731),
    IF(A1731="Credit Memo",
        IF(LEFT(C1731,5)="TGDR-", "CRM"&amp;RIGHT(C1731,LEN(C1731)-5), "CRM"&amp;C1731),
        "Revisar")
)</f>
        <v>HGI0116115</v>
      </c>
      <c r="M1731" s="5" t="str">
        <f t="shared" ref="M1731:M1794" si="55">IF(A1731="Invoice","I",IF(A1731="Credit Memo","C",IF(A1731="Payment","P","GJ")))</f>
        <v>I</v>
      </c>
      <c r="N1731" s="5">
        <f>IF(G1731=[1]Clientes!$C$3,[1]Clientes!$D$3,[1]Clientes!$D$2)</f>
        <v>13050505</v>
      </c>
    </row>
    <row r="1732" spans="1:14">
      <c r="A1732" s="6" t="s">
        <v>7</v>
      </c>
      <c r="B1732" s="7">
        <v>45317</v>
      </c>
      <c r="C1732" s="6" t="s">
        <v>4931</v>
      </c>
      <c r="D1732" s="6" t="s">
        <v>2099</v>
      </c>
      <c r="E1732" s="6" t="s">
        <v>16</v>
      </c>
      <c r="F1732" s="7">
        <v>45347</v>
      </c>
      <c r="G1732" s="6" t="s">
        <v>3102</v>
      </c>
      <c r="H1732" s="8">
        <v>188</v>
      </c>
      <c r="I1732" s="9">
        <v>999.01</v>
      </c>
      <c r="J1732" s="9">
        <v>999.01</v>
      </c>
      <c r="K1732" s="5" t="str">
        <f>VLOOKUP(D1732,[1]Clientes!$A$1:$B$1370,2,0)</f>
        <v>NAC1450</v>
      </c>
      <c r="L1732" s="5" t="str">
        <f t="shared" si="54"/>
        <v>HGI0119896</v>
      </c>
      <c r="M1732" s="5" t="str">
        <f t="shared" si="55"/>
        <v>I</v>
      </c>
      <c r="N1732" s="5">
        <f>IF(G1732=[1]Clientes!$C$3,[1]Clientes!$D$3,[1]Clientes!$D$2)</f>
        <v>13050505</v>
      </c>
    </row>
    <row r="1733" spans="1:14">
      <c r="A1733" s="6" t="s">
        <v>7</v>
      </c>
      <c r="B1733" s="7">
        <v>45320</v>
      </c>
      <c r="C1733" s="6" t="s">
        <v>4932</v>
      </c>
      <c r="D1733" s="6" t="s">
        <v>2099</v>
      </c>
      <c r="E1733" s="6" t="s">
        <v>16</v>
      </c>
      <c r="F1733" s="7">
        <v>45350</v>
      </c>
      <c r="G1733" s="6" t="s">
        <v>3102</v>
      </c>
      <c r="H1733" s="8">
        <v>185</v>
      </c>
      <c r="I1733" s="9">
        <v>12</v>
      </c>
      <c r="J1733" s="9">
        <v>20620</v>
      </c>
      <c r="K1733" s="5" t="str">
        <f>VLOOKUP(D1733,[1]Clientes!$A$1:$B$1370,2,0)</f>
        <v>NAC1450</v>
      </c>
      <c r="L1733" s="5" t="str">
        <f t="shared" si="54"/>
        <v>HGI0120022</v>
      </c>
      <c r="M1733" s="5" t="str">
        <f t="shared" si="55"/>
        <v>I</v>
      </c>
      <c r="N1733" s="5">
        <f>IF(G1733=[1]Clientes!$C$3,[1]Clientes!$D$3,[1]Clientes!$D$2)</f>
        <v>13050505</v>
      </c>
    </row>
    <row r="1734" spans="1:14">
      <c r="A1734" s="6" t="s">
        <v>7</v>
      </c>
      <c r="B1734" s="7">
        <v>45356</v>
      </c>
      <c r="C1734" s="6" t="s">
        <v>4933</v>
      </c>
      <c r="D1734" s="6" t="s">
        <v>2099</v>
      </c>
      <c r="E1734" s="6" t="s">
        <v>16</v>
      </c>
      <c r="F1734" s="7">
        <v>45386</v>
      </c>
      <c r="G1734" s="6" t="s">
        <v>3102</v>
      </c>
      <c r="H1734" s="8">
        <v>149</v>
      </c>
      <c r="I1734" s="9">
        <v>320.73</v>
      </c>
      <c r="J1734" s="9">
        <v>320.73</v>
      </c>
      <c r="K1734" s="5" t="str">
        <f>VLOOKUP(D1734,[1]Clientes!$A$1:$B$1370,2,0)</f>
        <v>NAC1450</v>
      </c>
      <c r="L1734" s="5" t="str">
        <f t="shared" si="54"/>
        <v>HGI0121608</v>
      </c>
      <c r="M1734" s="5" t="str">
        <f t="shared" si="55"/>
        <v>I</v>
      </c>
      <c r="N1734" s="5">
        <f>IF(G1734=[1]Clientes!$C$3,[1]Clientes!$D$3,[1]Clientes!$D$2)</f>
        <v>13050505</v>
      </c>
    </row>
    <row r="1735" spans="1:14">
      <c r="A1735" s="6" t="s">
        <v>7</v>
      </c>
      <c r="B1735" s="7">
        <v>45427</v>
      </c>
      <c r="C1735" s="6" t="s">
        <v>4934</v>
      </c>
      <c r="D1735" s="6" t="s">
        <v>2099</v>
      </c>
      <c r="E1735" s="6" t="s">
        <v>16</v>
      </c>
      <c r="F1735" s="7">
        <v>45457</v>
      </c>
      <c r="G1735" s="6" t="s">
        <v>3102</v>
      </c>
      <c r="H1735" s="8">
        <v>78</v>
      </c>
      <c r="I1735" s="9">
        <v>492.75</v>
      </c>
      <c r="J1735" s="9">
        <v>492.75</v>
      </c>
      <c r="K1735" s="5" t="str">
        <f>VLOOKUP(D1735,[1]Clientes!$A$1:$B$1370,2,0)</f>
        <v>NAC1450</v>
      </c>
      <c r="L1735" s="5" t="str">
        <f t="shared" si="54"/>
        <v>HGI0124343</v>
      </c>
      <c r="M1735" s="5" t="str">
        <f t="shared" si="55"/>
        <v>I</v>
      </c>
      <c r="N1735" s="5">
        <f>IF(G1735=[1]Clientes!$C$3,[1]Clientes!$D$3,[1]Clientes!$D$2)</f>
        <v>13050505</v>
      </c>
    </row>
    <row r="1736" spans="1:14">
      <c r="A1736" s="6" t="s">
        <v>7</v>
      </c>
      <c r="B1736" s="7">
        <v>45523</v>
      </c>
      <c r="C1736" s="6" t="s">
        <v>4935</v>
      </c>
      <c r="D1736" s="6" t="s">
        <v>2099</v>
      </c>
      <c r="E1736" s="6" t="s">
        <v>16</v>
      </c>
      <c r="F1736" s="7">
        <v>45553</v>
      </c>
      <c r="G1736" s="6" t="s">
        <v>3102</v>
      </c>
      <c r="H1736" s="8"/>
      <c r="I1736" s="9">
        <v>334</v>
      </c>
      <c r="J1736" s="9">
        <v>334</v>
      </c>
      <c r="K1736" s="5" t="str">
        <f>VLOOKUP(D1736,[1]Clientes!$A$1:$B$1370,2,0)</f>
        <v>NAC1450</v>
      </c>
      <c r="L1736" s="5" t="str">
        <f t="shared" si="54"/>
        <v>HGI0126649</v>
      </c>
      <c r="M1736" s="5" t="str">
        <f t="shared" si="55"/>
        <v>I</v>
      </c>
      <c r="N1736" s="5">
        <f>IF(G1736=[1]Clientes!$C$3,[1]Clientes!$D$3,[1]Clientes!$D$2)</f>
        <v>13050505</v>
      </c>
    </row>
    <row r="1737" spans="1:14">
      <c r="A1737" s="6" t="s">
        <v>7</v>
      </c>
      <c r="B1737" s="7">
        <v>45532</v>
      </c>
      <c r="C1737" s="6" t="s">
        <v>4936</v>
      </c>
      <c r="D1737" s="6" t="s">
        <v>4937</v>
      </c>
      <c r="E1737" s="6" t="s">
        <v>16</v>
      </c>
      <c r="F1737" s="7">
        <v>45562</v>
      </c>
      <c r="G1737" s="6" t="s">
        <v>3102</v>
      </c>
      <c r="H1737" s="8"/>
      <c r="I1737" s="9">
        <v>12528.5</v>
      </c>
      <c r="J1737" s="9">
        <v>12528.5</v>
      </c>
      <c r="K1737" s="5" t="str">
        <f>VLOOKUP(D1737,[1]Clientes!$A$1:$B$1370,2,0)</f>
        <v>NAC1472</v>
      </c>
      <c r="L1737" s="5" t="str">
        <f t="shared" si="54"/>
        <v>HGI0127040</v>
      </c>
      <c r="M1737" s="5" t="str">
        <f t="shared" si="55"/>
        <v>I</v>
      </c>
      <c r="N1737" s="5">
        <f>IF(G1737=[1]Clientes!$C$3,[1]Clientes!$D$3,[1]Clientes!$D$2)</f>
        <v>13050505</v>
      </c>
    </row>
    <row r="1738" spans="1:14">
      <c r="A1738" s="6" t="s">
        <v>7</v>
      </c>
      <c r="B1738" s="7">
        <v>45506</v>
      </c>
      <c r="C1738" s="6" t="s">
        <v>4938</v>
      </c>
      <c r="D1738" s="6" t="s">
        <v>2122</v>
      </c>
      <c r="E1738" s="6" t="s">
        <v>16</v>
      </c>
      <c r="F1738" s="7">
        <v>45536</v>
      </c>
      <c r="G1738" s="6" t="s">
        <v>3102</v>
      </c>
      <c r="H1738" s="8"/>
      <c r="I1738" s="9">
        <v>12500</v>
      </c>
      <c r="J1738" s="9">
        <v>12500</v>
      </c>
      <c r="K1738" s="5" t="str">
        <f>VLOOKUP(D1738,[1]Clientes!$A$1:$B$1370,2,0)</f>
        <v>NAC1474</v>
      </c>
      <c r="L1738" s="5" t="str">
        <f t="shared" si="54"/>
        <v>HGI0126148</v>
      </c>
      <c r="M1738" s="5" t="str">
        <f t="shared" si="55"/>
        <v>I</v>
      </c>
      <c r="N1738" s="5">
        <f>IF(G1738=[1]Clientes!$C$3,[1]Clientes!$D$3,[1]Clientes!$D$2)</f>
        <v>13050505</v>
      </c>
    </row>
    <row r="1739" spans="1:14">
      <c r="A1739" s="6" t="s">
        <v>3139</v>
      </c>
      <c r="B1739" s="7">
        <v>45532</v>
      </c>
      <c r="C1739" s="6"/>
      <c r="D1739" s="6" t="s">
        <v>4939</v>
      </c>
      <c r="E1739" s="6"/>
      <c r="F1739" s="7"/>
      <c r="G1739" s="6" t="s">
        <v>3102</v>
      </c>
      <c r="H1739" s="8"/>
      <c r="I1739" s="9">
        <v>-2502.39</v>
      </c>
      <c r="J1739" s="9">
        <v>-2502.39</v>
      </c>
      <c r="K1739" s="5" t="str">
        <f>VLOOKUP(D1739,[1]Clientes!$A$1:$B$1370,2,0)</f>
        <v>CAN0077</v>
      </c>
      <c r="L1739" s="5" t="str">
        <f t="shared" si="54"/>
        <v>Revisar</v>
      </c>
      <c r="M1739" s="5" t="str">
        <f t="shared" si="55"/>
        <v>P</v>
      </c>
      <c r="N1739" s="5">
        <f>IF(G1739=[1]Clientes!$C$3,[1]Clientes!$D$3,[1]Clientes!$D$2)</f>
        <v>13050505</v>
      </c>
    </row>
    <row r="1740" spans="1:14">
      <c r="A1740" s="6" t="s">
        <v>3139</v>
      </c>
      <c r="B1740" s="7">
        <v>45394</v>
      </c>
      <c r="C1740" s="6"/>
      <c r="D1740" s="6" t="s">
        <v>315</v>
      </c>
      <c r="E1740" s="6"/>
      <c r="F1740" s="7"/>
      <c r="G1740" s="6" t="s">
        <v>3102</v>
      </c>
      <c r="H1740" s="8"/>
      <c r="I1740" s="9">
        <v>-93.6</v>
      </c>
      <c r="J1740" s="9">
        <v>-813.6</v>
      </c>
      <c r="K1740" s="5" t="str">
        <f>VLOOKUP(D1740,[1]Clientes!$A$1:$B$1370,2,0)</f>
        <v>CAN0080</v>
      </c>
      <c r="L1740" s="5" t="str">
        <f t="shared" si="54"/>
        <v>Revisar</v>
      </c>
      <c r="M1740" s="5" t="str">
        <f t="shared" si="55"/>
        <v>P</v>
      </c>
      <c r="N1740" s="5">
        <f>IF(G1740=[1]Clientes!$C$3,[1]Clientes!$D$3,[1]Clientes!$D$2)</f>
        <v>13050505</v>
      </c>
    </row>
    <row r="1741" spans="1:14">
      <c r="A1741" s="6" t="s">
        <v>7</v>
      </c>
      <c r="B1741" s="7">
        <v>45523</v>
      </c>
      <c r="C1741" s="6" t="s">
        <v>4940</v>
      </c>
      <c r="D1741" s="6" t="s">
        <v>4941</v>
      </c>
      <c r="E1741" s="6" t="s">
        <v>16</v>
      </c>
      <c r="F1741" s="7">
        <v>45553</v>
      </c>
      <c r="G1741" s="6" t="s">
        <v>3102</v>
      </c>
      <c r="H1741" s="8"/>
      <c r="I1741" s="9">
        <v>405.54</v>
      </c>
      <c r="J1741" s="9">
        <v>405.54</v>
      </c>
      <c r="K1741" s="5" t="str">
        <f>VLOOKUP(D1741,[1]Clientes!$A$1:$B$1370,2,0)</f>
        <v>NAC1482</v>
      </c>
      <c r="L1741" s="5" t="str">
        <f t="shared" si="54"/>
        <v>HGI0126639</v>
      </c>
      <c r="M1741" s="5" t="str">
        <f t="shared" si="55"/>
        <v>I</v>
      </c>
      <c r="N1741" s="5">
        <f>IF(G1741=[1]Clientes!$C$3,[1]Clientes!$D$3,[1]Clientes!$D$2)</f>
        <v>13050505</v>
      </c>
    </row>
    <row r="1742" spans="1:14">
      <c r="A1742" s="6" t="s">
        <v>7</v>
      </c>
      <c r="B1742" s="7">
        <v>45482</v>
      </c>
      <c r="C1742" s="6" t="s">
        <v>4942</v>
      </c>
      <c r="D1742" s="6" t="s">
        <v>2127</v>
      </c>
      <c r="E1742" s="6" t="s">
        <v>16</v>
      </c>
      <c r="F1742" s="7">
        <v>45512</v>
      </c>
      <c r="G1742" s="6" t="s">
        <v>3102</v>
      </c>
      <c r="H1742" s="8">
        <v>23</v>
      </c>
      <c r="I1742" s="9">
        <v>6573.12</v>
      </c>
      <c r="J1742" s="9">
        <v>6573.12</v>
      </c>
      <c r="K1742" s="5" t="str">
        <f>VLOOKUP(D1742,[1]Clientes!$A$1:$B$1370,2,0)</f>
        <v>NAC1483</v>
      </c>
      <c r="L1742" s="5" t="str">
        <f t="shared" si="54"/>
        <v>HGI0125583</v>
      </c>
      <c r="M1742" s="5" t="str">
        <f t="shared" si="55"/>
        <v>I</v>
      </c>
      <c r="N1742" s="5">
        <f>IF(G1742=[1]Clientes!$C$3,[1]Clientes!$D$3,[1]Clientes!$D$2)</f>
        <v>13050505</v>
      </c>
    </row>
    <row r="1743" spans="1:14">
      <c r="A1743" s="6" t="s">
        <v>7</v>
      </c>
      <c r="B1743" s="7">
        <v>45519</v>
      </c>
      <c r="C1743" s="6" t="s">
        <v>4943</v>
      </c>
      <c r="D1743" s="6" t="s">
        <v>2127</v>
      </c>
      <c r="E1743" s="6" t="s">
        <v>16</v>
      </c>
      <c r="F1743" s="7">
        <v>45549</v>
      </c>
      <c r="G1743" s="6" t="s">
        <v>3102</v>
      </c>
      <c r="H1743" s="8"/>
      <c r="I1743" s="9">
        <v>3487.68</v>
      </c>
      <c r="J1743" s="9">
        <v>3487.68</v>
      </c>
      <c r="K1743" s="5" t="str">
        <f>VLOOKUP(D1743,[1]Clientes!$A$1:$B$1370,2,0)</f>
        <v>NAC1483</v>
      </c>
      <c r="L1743" s="5" t="str">
        <f t="shared" si="54"/>
        <v>HGI0126537</v>
      </c>
      <c r="M1743" s="5" t="str">
        <f t="shared" si="55"/>
        <v>I</v>
      </c>
      <c r="N1743" s="5">
        <f>IF(G1743=[1]Clientes!$C$3,[1]Clientes!$D$3,[1]Clientes!$D$2)</f>
        <v>13050505</v>
      </c>
    </row>
    <row r="1744" spans="1:14">
      <c r="A1744" s="6" t="s">
        <v>7</v>
      </c>
      <c r="B1744" s="7">
        <v>45243</v>
      </c>
      <c r="C1744" s="6" t="s">
        <v>4944</v>
      </c>
      <c r="D1744" s="6" t="s">
        <v>4945</v>
      </c>
      <c r="E1744" s="6" t="s">
        <v>16</v>
      </c>
      <c r="F1744" s="7">
        <v>45273</v>
      </c>
      <c r="G1744" s="6" t="s">
        <v>3102</v>
      </c>
      <c r="H1744" s="8">
        <v>262</v>
      </c>
      <c r="I1744" s="9">
        <v>260</v>
      </c>
      <c r="J1744" s="9">
        <v>110124</v>
      </c>
      <c r="K1744" s="5" t="str">
        <f>VLOOKUP(D1744,[1]Clientes!$A$1:$B$1370,2,0)</f>
        <v>NAC1488</v>
      </c>
      <c r="L1744" s="5" t="str">
        <f t="shared" si="54"/>
        <v>HGI0117172</v>
      </c>
      <c r="M1744" s="5" t="str">
        <f t="shared" si="55"/>
        <v>I</v>
      </c>
      <c r="N1744" s="5">
        <f>IF(G1744=[1]Clientes!$C$3,[1]Clientes!$D$3,[1]Clientes!$D$2)</f>
        <v>13050505</v>
      </c>
    </row>
    <row r="1745" spans="1:14">
      <c r="A1745" s="6" t="s">
        <v>3139</v>
      </c>
      <c r="B1745" s="7">
        <v>45422</v>
      </c>
      <c r="C1745" s="6" t="s">
        <v>4946</v>
      </c>
      <c r="D1745" s="6" t="s">
        <v>321</v>
      </c>
      <c r="E1745" s="6"/>
      <c r="F1745" s="7"/>
      <c r="G1745" s="6" t="s">
        <v>3102</v>
      </c>
      <c r="H1745" s="8"/>
      <c r="I1745" s="9">
        <v>-585</v>
      </c>
      <c r="J1745" s="9">
        <v>-585</v>
      </c>
      <c r="K1745" s="5" t="str">
        <f>VLOOKUP(D1745,[1]Clientes!$A$1:$B$1370,2,0)</f>
        <v>CAN0081</v>
      </c>
      <c r="L1745" s="5" t="str">
        <f t="shared" si="54"/>
        <v>Revisar</v>
      </c>
      <c r="M1745" s="5" t="str">
        <f t="shared" si="55"/>
        <v>P</v>
      </c>
      <c r="N1745" s="5">
        <f>IF(G1745=[1]Clientes!$C$3,[1]Clientes!$D$3,[1]Clientes!$D$2)</f>
        <v>13050505</v>
      </c>
    </row>
    <row r="1746" spans="1:14">
      <c r="A1746" s="6" t="s">
        <v>7</v>
      </c>
      <c r="B1746" s="7">
        <v>45502</v>
      </c>
      <c r="C1746" s="6" t="s">
        <v>4947</v>
      </c>
      <c r="D1746" s="6" t="s">
        <v>4948</v>
      </c>
      <c r="E1746" s="6" t="s">
        <v>16</v>
      </c>
      <c r="F1746" s="7">
        <v>45532</v>
      </c>
      <c r="G1746" s="6" t="s">
        <v>3102</v>
      </c>
      <c r="H1746" s="8">
        <v>3</v>
      </c>
      <c r="I1746" s="9">
        <v>3557</v>
      </c>
      <c r="J1746" s="9">
        <v>3557</v>
      </c>
      <c r="K1746" s="5" t="str">
        <f>VLOOKUP(D1746,[1]Clientes!$A$1:$B$1370,2,0)</f>
        <v>NAC1498</v>
      </c>
      <c r="L1746" s="5" t="str">
        <f t="shared" si="54"/>
        <v>HGI0126007</v>
      </c>
      <c r="M1746" s="5" t="str">
        <f t="shared" si="55"/>
        <v>I</v>
      </c>
      <c r="N1746" s="5">
        <f>IF(G1746=[1]Clientes!$C$3,[1]Clientes!$D$3,[1]Clientes!$D$2)</f>
        <v>13050505</v>
      </c>
    </row>
    <row r="1747" spans="1:14">
      <c r="A1747" s="6" t="s">
        <v>7</v>
      </c>
      <c r="B1747" s="7">
        <v>45331</v>
      </c>
      <c r="C1747" s="6" t="s">
        <v>4949</v>
      </c>
      <c r="D1747" s="6" t="s">
        <v>2137</v>
      </c>
      <c r="E1747" s="6" t="s">
        <v>16</v>
      </c>
      <c r="F1747" s="7">
        <v>45361</v>
      </c>
      <c r="G1747" s="6" t="s">
        <v>3102</v>
      </c>
      <c r="H1747" s="8">
        <v>174</v>
      </c>
      <c r="I1747" s="9">
        <v>51.8</v>
      </c>
      <c r="J1747" s="9">
        <v>51.8</v>
      </c>
      <c r="K1747" s="5" t="str">
        <f>VLOOKUP(D1747,[1]Clientes!$A$1:$B$1370,2,0)</f>
        <v>NAC1500</v>
      </c>
      <c r="L1747" s="5" t="str">
        <f t="shared" si="54"/>
        <v>HGI0120819</v>
      </c>
      <c r="M1747" s="5" t="str">
        <f t="shared" si="55"/>
        <v>I</v>
      </c>
      <c r="N1747" s="5">
        <f>IF(G1747=[1]Clientes!$C$3,[1]Clientes!$D$3,[1]Clientes!$D$2)</f>
        <v>13050505</v>
      </c>
    </row>
    <row r="1748" spans="1:14">
      <c r="A1748" s="6" t="s">
        <v>7</v>
      </c>
      <c r="B1748" s="7">
        <v>45337</v>
      </c>
      <c r="C1748" s="6" t="s">
        <v>4950</v>
      </c>
      <c r="D1748" s="6" t="s">
        <v>2137</v>
      </c>
      <c r="E1748" s="6" t="s">
        <v>16</v>
      </c>
      <c r="F1748" s="7">
        <v>45367</v>
      </c>
      <c r="G1748" s="6" t="s">
        <v>3102</v>
      </c>
      <c r="H1748" s="8">
        <v>168</v>
      </c>
      <c r="I1748" s="9">
        <v>56</v>
      </c>
      <c r="J1748" s="9">
        <v>56</v>
      </c>
      <c r="K1748" s="5" t="str">
        <f>VLOOKUP(D1748,[1]Clientes!$A$1:$B$1370,2,0)</f>
        <v>NAC1500</v>
      </c>
      <c r="L1748" s="5" t="str">
        <f t="shared" si="54"/>
        <v>HGI0120978</v>
      </c>
      <c r="M1748" s="5" t="str">
        <f t="shared" si="55"/>
        <v>I</v>
      </c>
      <c r="N1748" s="5">
        <f>IF(G1748=[1]Clientes!$C$3,[1]Clientes!$D$3,[1]Clientes!$D$2)</f>
        <v>13050505</v>
      </c>
    </row>
    <row r="1749" spans="1:14">
      <c r="A1749" s="6" t="s">
        <v>7</v>
      </c>
      <c r="B1749" s="7">
        <v>45425</v>
      </c>
      <c r="C1749" s="6" t="s">
        <v>4951</v>
      </c>
      <c r="D1749" s="6" t="s">
        <v>2137</v>
      </c>
      <c r="E1749" s="6" t="s">
        <v>16</v>
      </c>
      <c r="F1749" s="7">
        <v>45455</v>
      </c>
      <c r="G1749" s="6" t="s">
        <v>3102</v>
      </c>
      <c r="H1749" s="8">
        <v>80</v>
      </c>
      <c r="I1749" s="9">
        <v>145.07</v>
      </c>
      <c r="J1749" s="9">
        <v>145.07</v>
      </c>
      <c r="K1749" s="5" t="str">
        <f>VLOOKUP(D1749,[1]Clientes!$A$1:$B$1370,2,0)</f>
        <v>NAC1500</v>
      </c>
      <c r="L1749" s="5" t="str">
        <f t="shared" si="54"/>
        <v>HGI0124233</v>
      </c>
      <c r="M1749" s="5" t="str">
        <f t="shared" si="55"/>
        <v>I</v>
      </c>
      <c r="N1749" s="5">
        <f>IF(G1749=[1]Clientes!$C$3,[1]Clientes!$D$3,[1]Clientes!$D$2)</f>
        <v>13050505</v>
      </c>
    </row>
    <row r="1750" spans="1:14">
      <c r="A1750" s="6" t="s">
        <v>7</v>
      </c>
      <c r="B1750" s="7">
        <v>45428</v>
      </c>
      <c r="C1750" s="6" t="s">
        <v>4952</v>
      </c>
      <c r="D1750" s="6" t="s">
        <v>2137</v>
      </c>
      <c r="E1750" s="6" t="s">
        <v>16</v>
      </c>
      <c r="F1750" s="7">
        <v>45458</v>
      </c>
      <c r="G1750" s="6" t="s">
        <v>3102</v>
      </c>
      <c r="H1750" s="8">
        <v>77</v>
      </c>
      <c r="I1750" s="9">
        <v>112</v>
      </c>
      <c r="J1750" s="9">
        <v>112</v>
      </c>
      <c r="K1750" s="5" t="str">
        <f>VLOOKUP(D1750,[1]Clientes!$A$1:$B$1370,2,0)</f>
        <v>NAC1500</v>
      </c>
      <c r="L1750" s="5" t="str">
        <f t="shared" si="54"/>
        <v>HGI0124361</v>
      </c>
      <c r="M1750" s="5" t="str">
        <f t="shared" si="55"/>
        <v>I</v>
      </c>
      <c r="N1750" s="5">
        <f>IF(G1750=[1]Clientes!$C$3,[1]Clientes!$D$3,[1]Clientes!$D$2)</f>
        <v>13050505</v>
      </c>
    </row>
    <row r="1751" spans="1:14">
      <c r="A1751" s="6" t="s">
        <v>7</v>
      </c>
      <c r="B1751" s="7">
        <v>45509</v>
      </c>
      <c r="C1751" s="6" t="s">
        <v>4953</v>
      </c>
      <c r="D1751" s="6" t="s">
        <v>2137</v>
      </c>
      <c r="E1751" s="6" t="s">
        <v>16</v>
      </c>
      <c r="F1751" s="7">
        <v>45539</v>
      </c>
      <c r="G1751" s="6" t="s">
        <v>3102</v>
      </c>
      <c r="H1751" s="8"/>
      <c r="I1751" s="9">
        <v>280</v>
      </c>
      <c r="J1751" s="9">
        <v>280</v>
      </c>
      <c r="K1751" s="5" t="str">
        <f>VLOOKUP(D1751,[1]Clientes!$A$1:$B$1370,2,0)</f>
        <v>NAC1500</v>
      </c>
      <c r="L1751" s="5" t="str">
        <f t="shared" si="54"/>
        <v>HGI0126205</v>
      </c>
      <c r="M1751" s="5" t="str">
        <f t="shared" si="55"/>
        <v>I</v>
      </c>
      <c r="N1751" s="5">
        <f>IF(G1751=[1]Clientes!$C$3,[1]Clientes!$D$3,[1]Clientes!$D$2)</f>
        <v>13050505</v>
      </c>
    </row>
    <row r="1752" spans="1:14">
      <c r="A1752" s="6" t="s">
        <v>7</v>
      </c>
      <c r="B1752" s="7">
        <v>45509</v>
      </c>
      <c r="C1752" s="6" t="s">
        <v>4954</v>
      </c>
      <c r="D1752" s="6" t="s">
        <v>2137</v>
      </c>
      <c r="E1752" s="6" t="s">
        <v>16</v>
      </c>
      <c r="F1752" s="7">
        <v>45539</v>
      </c>
      <c r="G1752" s="6" t="s">
        <v>3102</v>
      </c>
      <c r="H1752" s="8"/>
      <c r="I1752" s="9">
        <v>168</v>
      </c>
      <c r="J1752" s="9">
        <v>168</v>
      </c>
      <c r="K1752" s="5" t="str">
        <f>VLOOKUP(D1752,[1]Clientes!$A$1:$B$1370,2,0)</f>
        <v>NAC1500</v>
      </c>
      <c r="L1752" s="5" t="str">
        <f t="shared" si="54"/>
        <v>HGI0126207</v>
      </c>
      <c r="M1752" s="5" t="str">
        <f t="shared" si="55"/>
        <v>I</v>
      </c>
      <c r="N1752" s="5">
        <f>IF(G1752=[1]Clientes!$C$3,[1]Clientes!$D$3,[1]Clientes!$D$2)</f>
        <v>13050505</v>
      </c>
    </row>
    <row r="1753" spans="1:14">
      <c r="A1753" s="6" t="s">
        <v>7</v>
      </c>
      <c r="B1753" s="7">
        <v>45532</v>
      </c>
      <c r="C1753" s="6" t="s">
        <v>4955</v>
      </c>
      <c r="D1753" s="6" t="s">
        <v>2144</v>
      </c>
      <c r="E1753" s="6" t="s">
        <v>16</v>
      </c>
      <c r="F1753" s="7">
        <v>45562</v>
      </c>
      <c r="G1753" s="6" t="s">
        <v>3102</v>
      </c>
      <c r="H1753" s="8"/>
      <c r="I1753" s="9">
        <v>1542</v>
      </c>
      <c r="J1753" s="9">
        <v>1542</v>
      </c>
      <c r="K1753" s="5" t="str">
        <f>VLOOKUP(D1753,[1]Clientes!$A$1:$B$1370,2,0)</f>
        <v>NAC1504</v>
      </c>
      <c r="L1753" s="5" t="str">
        <f t="shared" si="54"/>
        <v>HGI0126979</v>
      </c>
      <c r="M1753" s="5" t="str">
        <f t="shared" si="55"/>
        <v>I</v>
      </c>
      <c r="N1753" s="5">
        <f>IF(G1753=[1]Clientes!$C$3,[1]Clientes!$D$3,[1]Clientes!$D$2)</f>
        <v>13050505</v>
      </c>
    </row>
    <row r="1754" spans="1:14">
      <c r="A1754" s="6" t="s">
        <v>7</v>
      </c>
      <c r="B1754" s="7">
        <v>45491</v>
      </c>
      <c r="C1754" s="6" t="s">
        <v>4956</v>
      </c>
      <c r="D1754" s="6" t="s">
        <v>2146</v>
      </c>
      <c r="E1754" s="6" t="s">
        <v>4450</v>
      </c>
      <c r="F1754" s="7">
        <v>45536</v>
      </c>
      <c r="G1754" s="6" t="s">
        <v>3102</v>
      </c>
      <c r="H1754" s="8"/>
      <c r="I1754" s="9">
        <v>701</v>
      </c>
      <c r="J1754" s="9">
        <v>701</v>
      </c>
      <c r="K1754" s="5" t="str">
        <f>VLOOKUP(D1754,[1]Clientes!$A$1:$B$1370,2,0)</f>
        <v>NAC1506</v>
      </c>
      <c r="L1754" s="5" t="str">
        <f t="shared" si="54"/>
        <v>HGI0125772</v>
      </c>
      <c r="M1754" s="5" t="str">
        <f t="shared" si="55"/>
        <v>I</v>
      </c>
      <c r="N1754" s="5">
        <f>IF(G1754=[1]Clientes!$C$3,[1]Clientes!$D$3,[1]Clientes!$D$2)</f>
        <v>13050505</v>
      </c>
    </row>
    <row r="1755" spans="1:14">
      <c r="A1755" s="6" t="s">
        <v>7</v>
      </c>
      <c r="B1755" s="7">
        <v>45517</v>
      </c>
      <c r="C1755" s="6" t="s">
        <v>4957</v>
      </c>
      <c r="D1755" s="6" t="s">
        <v>2146</v>
      </c>
      <c r="E1755" s="6" t="s">
        <v>4450</v>
      </c>
      <c r="F1755" s="7">
        <v>45562</v>
      </c>
      <c r="G1755" s="6" t="s">
        <v>3102</v>
      </c>
      <c r="H1755" s="8"/>
      <c r="I1755" s="9">
        <v>508</v>
      </c>
      <c r="J1755" s="9">
        <v>508</v>
      </c>
      <c r="K1755" s="5" t="str">
        <f>VLOOKUP(D1755,[1]Clientes!$A$1:$B$1370,2,0)</f>
        <v>NAC1506</v>
      </c>
      <c r="L1755" s="5" t="str">
        <f t="shared" si="54"/>
        <v>HGI0126446</v>
      </c>
      <c r="M1755" s="5" t="str">
        <f t="shared" si="55"/>
        <v>I</v>
      </c>
      <c r="N1755" s="5">
        <f>IF(G1755=[1]Clientes!$C$3,[1]Clientes!$D$3,[1]Clientes!$D$2)</f>
        <v>13050505</v>
      </c>
    </row>
    <row r="1756" spans="1:14">
      <c r="A1756" s="6" t="s">
        <v>7</v>
      </c>
      <c r="B1756" s="7">
        <v>45525</v>
      </c>
      <c r="C1756" s="6" t="s">
        <v>4958</v>
      </c>
      <c r="D1756" s="6" t="s">
        <v>2146</v>
      </c>
      <c r="E1756" s="6" t="s">
        <v>4450</v>
      </c>
      <c r="F1756" s="7">
        <v>45570</v>
      </c>
      <c r="G1756" s="6" t="s">
        <v>3102</v>
      </c>
      <c r="H1756" s="8"/>
      <c r="I1756" s="9">
        <v>514</v>
      </c>
      <c r="J1756" s="9">
        <v>514</v>
      </c>
      <c r="K1756" s="5" t="str">
        <f>VLOOKUP(D1756,[1]Clientes!$A$1:$B$1370,2,0)</f>
        <v>NAC1506</v>
      </c>
      <c r="L1756" s="5" t="str">
        <f t="shared" si="54"/>
        <v>HGI0126738</v>
      </c>
      <c r="M1756" s="5" t="str">
        <f t="shared" si="55"/>
        <v>I</v>
      </c>
      <c r="N1756" s="5">
        <f>IF(G1756=[1]Clientes!$C$3,[1]Clientes!$D$3,[1]Clientes!$D$2)</f>
        <v>13050505</v>
      </c>
    </row>
    <row r="1757" spans="1:14">
      <c r="A1757" s="6" t="s">
        <v>7</v>
      </c>
      <c r="B1757" s="7">
        <v>45103</v>
      </c>
      <c r="C1757" s="6" t="s">
        <v>4959</v>
      </c>
      <c r="D1757" s="6" t="s">
        <v>2149</v>
      </c>
      <c r="E1757" s="6" t="s">
        <v>16</v>
      </c>
      <c r="F1757" s="7">
        <v>45133</v>
      </c>
      <c r="G1757" s="6" t="s">
        <v>3102</v>
      </c>
      <c r="H1757" s="8">
        <v>402</v>
      </c>
      <c r="I1757" s="9">
        <v>8020</v>
      </c>
      <c r="J1757" s="9">
        <v>14020</v>
      </c>
      <c r="K1757" s="5" t="str">
        <f>VLOOKUP(D1757,[1]Clientes!$A$1:$B$1370,2,0)</f>
        <v>NAC1512</v>
      </c>
      <c r="L1757" s="5" t="str">
        <f t="shared" si="54"/>
        <v>HGI0113330</v>
      </c>
      <c r="M1757" s="5" t="str">
        <f t="shared" si="55"/>
        <v>I</v>
      </c>
      <c r="N1757" s="5">
        <f>IF(G1757=[1]Clientes!$C$3,[1]Clientes!$D$3,[1]Clientes!$D$2)</f>
        <v>13050505</v>
      </c>
    </row>
    <row r="1758" spans="1:14">
      <c r="A1758" s="6" t="s">
        <v>7</v>
      </c>
      <c r="B1758" s="7">
        <v>45205</v>
      </c>
      <c r="C1758" s="6" t="s">
        <v>4960</v>
      </c>
      <c r="D1758" s="6" t="s">
        <v>2149</v>
      </c>
      <c r="E1758" s="6" t="s">
        <v>16</v>
      </c>
      <c r="F1758" s="7">
        <v>45235</v>
      </c>
      <c r="G1758" s="6" t="s">
        <v>3102</v>
      </c>
      <c r="H1758" s="8">
        <v>300</v>
      </c>
      <c r="I1758" s="9">
        <v>4470</v>
      </c>
      <c r="J1758" s="9">
        <v>4470</v>
      </c>
      <c r="K1758" s="5" t="str">
        <f>VLOOKUP(D1758,[1]Clientes!$A$1:$B$1370,2,0)</f>
        <v>NAC1512</v>
      </c>
      <c r="L1758" s="5" t="str">
        <f t="shared" si="54"/>
        <v>HGI0115739</v>
      </c>
      <c r="M1758" s="5" t="str">
        <f t="shared" si="55"/>
        <v>I</v>
      </c>
      <c r="N1758" s="5">
        <f>IF(G1758=[1]Clientes!$C$3,[1]Clientes!$D$3,[1]Clientes!$D$2)</f>
        <v>13050505</v>
      </c>
    </row>
    <row r="1759" spans="1:14">
      <c r="A1759" s="6" t="s">
        <v>3099</v>
      </c>
      <c r="B1759" s="7">
        <v>45212</v>
      </c>
      <c r="C1759" s="6" t="s">
        <v>4961</v>
      </c>
      <c r="D1759" s="6" t="s">
        <v>4962</v>
      </c>
      <c r="E1759" s="6" t="s">
        <v>16</v>
      </c>
      <c r="F1759" s="7">
        <v>45242</v>
      </c>
      <c r="G1759" s="6" t="s">
        <v>3102</v>
      </c>
      <c r="H1759" s="8">
        <v>293</v>
      </c>
      <c r="I1759" s="9">
        <v>-307.39999999999998</v>
      </c>
      <c r="J1759" s="9">
        <v>-307.39999999999998</v>
      </c>
      <c r="K1759" s="5" t="str">
        <f>VLOOKUP(D1759,[1]Clientes!$A$1:$B$1485,2,0)</f>
        <v>NAC1519</v>
      </c>
      <c r="L1759" s="5" t="str">
        <f t="shared" si="54"/>
        <v>CRM0115996</v>
      </c>
      <c r="M1759" s="5" t="str">
        <f t="shared" si="55"/>
        <v>C</v>
      </c>
      <c r="N1759" s="5">
        <f>IF(G1759=[1]Clientes!$C$3,[1]Clientes!$D$3,[1]Clientes!$D$2)</f>
        <v>13050505</v>
      </c>
    </row>
    <row r="1760" spans="1:14">
      <c r="A1760" s="6" t="s">
        <v>3099</v>
      </c>
      <c r="B1760" s="7">
        <v>45238</v>
      </c>
      <c r="C1760" s="6" t="s">
        <v>4963</v>
      </c>
      <c r="D1760" s="6" t="s">
        <v>4962</v>
      </c>
      <c r="E1760" s="6" t="s">
        <v>16</v>
      </c>
      <c r="F1760" s="7">
        <v>45268</v>
      </c>
      <c r="G1760" s="6" t="s">
        <v>3102</v>
      </c>
      <c r="H1760" s="8">
        <v>267</v>
      </c>
      <c r="I1760" s="9">
        <v>-144.5</v>
      </c>
      <c r="J1760" s="9">
        <v>-144.5</v>
      </c>
      <c r="K1760" s="5" t="str">
        <f>VLOOKUP(D1760,[1]Clientes!$A$1:$B$1485,2,0)</f>
        <v>NAC1519</v>
      </c>
      <c r="L1760" s="5" t="str">
        <f t="shared" si="54"/>
        <v>CRM0116991</v>
      </c>
      <c r="M1760" s="5" t="str">
        <f t="shared" si="55"/>
        <v>C</v>
      </c>
      <c r="N1760" s="5">
        <f>IF(G1760=[1]Clientes!$C$3,[1]Clientes!$D$3,[1]Clientes!$D$2)</f>
        <v>13050505</v>
      </c>
    </row>
    <row r="1761" spans="1:14">
      <c r="A1761" s="6" t="s">
        <v>3099</v>
      </c>
      <c r="B1761" s="7">
        <v>45259</v>
      </c>
      <c r="C1761" s="6" t="s">
        <v>4964</v>
      </c>
      <c r="D1761" s="6" t="s">
        <v>4962</v>
      </c>
      <c r="E1761" s="6" t="s">
        <v>16</v>
      </c>
      <c r="F1761" s="7">
        <v>45289</v>
      </c>
      <c r="G1761" s="6" t="s">
        <v>3102</v>
      </c>
      <c r="H1761" s="8">
        <v>246</v>
      </c>
      <c r="I1761" s="9">
        <v>-50</v>
      </c>
      <c r="J1761" s="9">
        <v>-1948</v>
      </c>
      <c r="K1761" s="5" t="str">
        <f>VLOOKUP(D1761,[1]Clientes!$A$1:$B$1485,2,0)</f>
        <v>NAC1519</v>
      </c>
      <c r="L1761" s="5" t="str">
        <f t="shared" si="54"/>
        <v>CRM0117753</v>
      </c>
      <c r="M1761" s="5" t="str">
        <f t="shared" si="55"/>
        <v>C</v>
      </c>
      <c r="N1761" s="5">
        <f>IF(G1761=[1]Clientes!$C$3,[1]Clientes!$D$3,[1]Clientes!$D$2)</f>
        <v>13050505</v>
      </c>
    </row>
    <row r="1762" spans="1:14">
      <c r="A1762" s="6" t="s">
        <v>3099</v>
      </c>
      <c r="B1762" s="7">
        <v>45336</v>
      </c>
      <c r="C1762" s="6" t="s">
        <v>4965</v>
      </c>
      <c r="D1762" s="6" t="s">
        <v>4962</v>
      </c>
      <c r="E1762" s="6" t="s">
        <v>16</v>
      </c>
      <c r="F1762" s="7">
        <v>45366</v>
      </c>
      <c r="G1762" s="6" t="s">
        <v>3102</v>
      </c>
      <c r="H1762" s="8">
        <v>169</v>
      </c>
      <c r="I1762" s="9">
        <v>-58.3</v>
      </c>
      <c r="J1762" s="9">
        <v>-58.3</v>
      </c>
      <c r="K1762" s="5" t="str">
        <f>VLOOKUP(D1762,[1]Clientes!$A$1:$B$1485,2,0)</f>
        <v>NAC1519</v>
      </c>
      <c r="L1762" s="5" t="str">
        <f t="shared" si="54"/>
        <v>CRM0120962</v>
      </c>
      <c r="M1762" s="5" t="str">
        <f t="shared" si="55"/>
        <v>C</v>
      </c>
      <c r="N1762" s="5">
        <f>IF(G1762=[1]Clientes!$C$3,[1]Clientes!$D$3,[1]Clientes!$D$2)</f>
        <v>13050505</v>
      </c>
    </row>
    <row r="1763" spans="1:14">
      <c r="A1763" s="6" t="s">
        <v>3099</v>
      </c>
      <c r="B1763" s="7">
        <v>45408</v>
      </c>
      <c r="C1763" s="6" t="s">
        <v>4966</v>
      </c>
      <c r="D1763" s="6" t="s">
        <v>4962</v>
      </c>
      <c r="E1763" s="6" t="s">
        <v>16</v>
      </c>
      <c r="F1763" s="7">
        <v>45438</v>
      </c>
      <c r="G1763" s="6" t="s">
        <v>3102</v>
      </c>
      <c r="H1763" s="8">
        <v>97</v>
      </c>
      <c r="I1763" s="9">
        <v>-130.5</v>
      </c>
      <c r="J1763" s="9">
        <v>-130.5</v>
      </c>
      <c r="K1763" s="5" t="str">
        <f>VLOOKUP(D1763,[1]Clientes!$A$1:$B$1485,2,0)</f>
        <v>NAC1519</v>
      </c>
      <c r="L1763" s="5" t="str">
        <f t="shared" si="54"/>
        <v>CRM0123600</v>
      </c>
      <c r="M1763" s="5" t="str">
        <f t="shared" si="55"/>
        <v>C</v>
      </c>
      <c r="N1763" s="5">
        <f>IF(G1763=[1]Clientes!$C$3,[1]Clientes!$D$3,[1]Clientes!$D$2)</f>
        <v>13050505</v>
      </c>
    </row>
    <row r="1764" spans="1:14">
      <c r="A1764" s="6" t="s">
        <v>3099</v>
      </c>
      <c r="B1764" s="7">
        <v>45412</v>
      </c>
      <c r="C1764" s="6" t="s">
        <v>4967</v>
      </c>
      <c r="D1764" s="6" t="s">
        <v>4962</v>
      </c>
      <c r="E1764" s="6" t="s">
        <v>16</v>
      </c>
      <c r="F1764" s="7">
        <v>45442</v>
      </c>
      <c r="G1764" s="6" t="s">
        <v>3102</v>
      </c>
      <c r="H1764" s="8">
        <v>93</v>
      </c>
      <c r="I1764" s="9">
        <v>-151</v>
      </c>
      <c r="J1764" s="9">
        <v>-151</v>
      </c>
      <c r="K1764" s="5" t="str">
        <f>VLOOKUP(D1764,[1]Clientes!$A$1:$B$1485,2,0)</f>
        <v>NAC1519</v>
      </c>
      <c r="L1764" s="5" t="str">
        <f t="shared" si="54"/>
        <v>CRM0123941</v>
      </c>
      <c r="M1764" s="5" t="str">
        <f t="shared" si="55"/>
        <v>C</v>
      </c>
      <c r="N1764" s="5">
        <f>IF(G1764=[1]Clientes!$C$3,[1]Clientes!$D$3,[1]Clientes!$D$2)</f>
        <v>13050505</v>
      </c>
    </row>
    <row r="1765" spans="1:14">
      <c r="A1765" s="6" t="s">
        <v>7</v>
      </c>
      <c r="B1765" s="7">
        <v>45418</v>
      </c>
      <c r="C1765" s="6" t="s">
        <v>4968</v>
      </c>
      <c r="D1765" s="6" t="s">
        <v>4962</v>
      </c>
      <c r="E1765" s="6" t="s">
        <v>16</v>
      </c>
      <c r="F1765" s="7">
        <v>45448</v>
      </c>
      <c r="G1765" s="6" t="s">
        <v>3102</v>
      </c>
      <c r="H1765" s="8">
        <v>87</v>
      </c>
      <c r="I1765" s="9">
        <v>150.06</v>
      </c>
      <c r="J1765" s="9">
        <v>150.06</v>
      </c>
      <c r="K1765" s="5" t="str">
        <f>VLOOKUP(D1765,[1]Clientes!$A$1:$B$1485,2,0)</f>
        <v>NAC1519</v>
      </c>
      <c r="L1765" s="5" t="str">
        <f t="shared" si="54"/>
        <v>HGI0124011</v>
      </c>
      <c r="M1765" s="5" t="str">
        <f t="shared" si="55"/>
        <v>I</v>
      </c>
      <c r="N1765" s="5">
        <f>IF(G1765=[1]Clientes!$C$3,[1]Clientes!$D$3,[1]Clientes!$D$2)</f>
        <v>13050505</v>
      </c>
    </row>
    <row r="1766" spans="1:14">
      <c r="A1766" s="6" t="s">
        <v>7</v>
      </c>
      <c r="B1766" s="7">
        <v>45421</v>
      </c>
      <c r="C1766" s="6" t="s">
        <v>4969</v>
      </c>
      <c r="D1766" s="6" t="s">
        <v>4962</v>
      </c>
      <c r="E1766" s="6" t="s">
        <v>16</v>
      </c>
      <c r="F1766" s="7">
        <v>45451</v>
      </c>
      <c r="G1766" s="6" t="s">
        <v>3102</v>
      </c>
      <c r="H1766" s="8">
        <v>84</v>
      </c>
      <c r="I1766" s="9">
        <v>6.71</v>
      </c>
      <c r="J1766" s="9">
        <v>140.84</v>
      </c>
      <c r="K1766" s="5" t="str">
        <f>VLOOKUP(D1766,[1]Clientes!$A$1:$B$1485,2,0)</f>
        <v>NAC1519</v>
      </c>
      <c r="L1766" s="5" t="str">
        <f t="shared" si="54"/>
        <v>HGI0124174</v>
      </c>
      <c r="M1766" s="5" t="str">
        <f t="shared" si="55"/>
        <v>I</v>
      </c>
      <c r="N1766" s="5">
        <f>IF(G1766=[1]Clientes!$C$3,[1]Clientes!$D$3,[1]Clientes!$D$2)</f>
        <v>13050505</v>
      </c>
    </row>
    <row r="1767" spans="1:14">
      <c r="A1767" s="6" t="s">
        <v>7</v>
      </c>
      <c r="B1767" s="7">
        <v>45432</v>
      </c>
      <c r="C1767" s="6" t="s">
        <v>4970</v>
      </c>
      <c r="D1767" s="6" t="s">
        <v>4962</v>
      </c>
      <c r="E1767" s="6" t="s">
        <v>16</v>
      </c>
      <c r="F1767" s="7">
        <v>45462</v>
      </c>
      <c r="G1767" s="6" t="s">
        <v>3102</v>
      </c>
      <c r="H1767" s="8">
        <v>73</v>
      </c>
      <c r="I1767" s="9">
        <v>205.3</v>
      </c>
      <c r="J1767" s="9">
        <v>205.3</v>
      </c>
      <c r="K1767" s="5" t="str">
        <f>VLOOKUP(D1767,[1]Clientes!$A$1:$B$1485,2,0)</f>
        <v>NAC1519</v>
      </c>
      <c r="L1767" s="5" t="str">
        <f t="shared" si="54"/>
        <v>HGI0124457</v>
      </c>
      <c r="M1767" s="5" t="str">
        <f t="shared" si="55"/>
        <v>I</v>
      </c>
      <c r="N1767" s="5">
        <f>IF(G1767=[1]Clientes!$C$3,[1]Clientes!$D$3,[1]Clientes!$D$2)</f>
        <v>13050505</v>
      </c>
    </row>
    <row r="1768" spans="1:14">
      <c r="A1768" s="6" t="s">
        <v>3099</v>
      </c>
      <c r="B1768" s="7">
        <v>45473</v>
      </c>
      <c r="C1768" s="6" t="s">
        <v>4971</v>
      </c>
      <c r="D1768" s="6" t="s">
        <v>4962</v>
      </c>
      <c r="E1768" s="6" t="s">
        <v>16</v>
      </c>
      <c r="F1768" s="7">
        <v>45503</v>
      </c>
      <c r="G1768" s="6" t="s">
        <v>3102</v>
      </c>
      <c r="H1768" s="8">
        <v>32</v>
      </c>
      <c r="I1768" s="9">
        <v>-13.64</v>
      </c>
      <c r="J1768" s="9">
        <v>-13.64</v>
      </c>
      <c r="K1768" s="5" t="str">
        <f>VLOOKUP(D1768,[1]Clientes!$A$1:$B$1485,2,0)</f>
        <v>NAC1519</v>
      </c>
      <c r="L1768" s="5" t="str">
        <f t="shared" si="54"/>
        <v>CRM0125479</v>
      </c>
      <c r="M1768" s="5" t="str">
        <f t="shared" si="55"/>
        <v>C</v>
      </c>
      <c r="N1768" s="5">
        <f>IF(G1768=[1]Clientes!$C$3,[1]Clientes!$D$3,[1]Clientes!$D$2)</f>
        <v>13050505</v>
      </c>
    </row>
    <row r="1769" spans="1:14">
      <c r="A1769" s="6" t="s">
        <v>3099</v>
      </c>
      <c r="B1769" s="7">
        <v>45473</v>
      </c>
      <c r="C1769" s="6" t="s">
        <v>4972</v>
      </c>
      <c r="D1769" s="6" t="s">
        <v>4962</v>
      </c>
      <c r="E1769" s="6" t="s">
        <v>16</v>
      </c>
      <c r="F1769" s="7">
        <v>45503</v>
      </c>
      <c r="G1769" s="6" t="s">
        <v>3102</v>
      </c>
      <c r="H1769" s="8">
        <v>32</v>
      </c>
      <c r="I1769" s="9">
        <v>-5.6</v>
      </c>
      <c r="J1769" s="9">
        <v>-5.6</v>
      </c>
      <c r="K1769" s="5" t="str">
        <f>VLOOKUP(D1769,[1]Clientes!$A$1:$B$1485,2,0)</f>
        <v>NAC1519</v>
      </c>
      <c r="L1769" s="5" t="str">
        <f t="shared" si="54"/>
        <v>CRM0125480</v>
      </c>
      <c r="M1769" s="5" t="str">
        <f t="shared" si="55"/>
        <v>C</v>
      </c>
      <c r="N1769" s="5">
        <f>IF(G1769=[1]Clientes!$C$3,[1]Clientes!$D$3,[1]Clientes!$D$2)</f>
        <v>13050505</v>
      </c>
    </row>
    <row r="1770" spans="1:14">
      <c r="A1770" s="6" t="s">
        <v>3099</v>
      </c>
      <c r="B1770" s="7">
        <v>45473</v>
      </c>
      <c r="C1770" s="6" t="s">
        <v>4973</v>
      </c>
      <c r="D1770" s="6" t="s">
        <v>4962</v>
      </c>
      <c r="E1770" s="6" t="s">
        <v>16</v>
      </c>
      <c r="F1770" s="7">
        <v>45503</v>
      </c>
      <c r="G1770" s="6" t="s">
        <v>3102</v>
      </c>
      <c r="H1770" s="8">
        <v>32</v>
      </c>
      <c r="I1770" s="9">
        <v>-8.09</v>
      </c>
      <c r="J1770" s="9">
        <v>-8.09</v>
      </c>
      <c r="K1770" s="5" t="str">
        <f>VLOOKUP(D1770,[1]Clientes!$A$1:$B$1485,2,0)</f>
        <v>NAC1519</v>
      </c>
      <c r="L1770" s="5" t="str">
        <f t="shared" si="54"/>
        <v>CRM0125481</v>
      </c>
      <c r="M1770" s="5" t="str">
        <f t="shared" si="55"/>
        <v>C</v>
      </c>
      <c r="N1770" s="5">
        <f>IF(G1770=[1]Clientes!$C$3,[1]Clientes!$D$3,[1]Clientes!$D$2)</f>
        <v>13050505</v>
      </c>
    </row>
    <row r="1771" spans="1:14">
      <c r="A1771" s="6" t="s">
        <v>3099</v>
      </c>
      <c r="B1771" s="7">
        <v>45473</v>
      </c>
      <c r="C1771" s="6" t="s">
        <v>4974</v>
      </c>
      <c r="D1771" s="6" t="s">
        <v>4962</v>
      </c>
      <c r="E1771" s="6" t="s">
        <v>16</v>
      </c>
      <c r="F1771" s="7">
        <v>45503</v>
      </c>
      <c r="G1771" s="6" t="s">
        <v>3102</v>
      </c>
      <c r="H1771" s="8">
        <v>32</v>
      </c>
      <c r="I1771" s="9">
        <v>-6.24</v>
      </c>
      <c r="J1771" s="9">
        <v>-6.24</v>
      </c>
      <c r="K1771" s="5" t="str">
        <f>VLOOKUP(D1771,[1]Clientes!$A$1:$B$1485,2,0)</f>
        <v>NAC1519</v>
      </c>
      <c r="L1771" s="5" t="str">
        <f t="shared" si="54"/>
        <v>CRM0125482</v>
      </c>
      <c r="M1771" s="5" t="str">
        <f t="shared" si="55"/>
        <v>C</v>
      </c>
      <c r="N1771" s="5">
        <f>IF(G1771=[1]Clientes!$C$3,[1]Clientes!$D$3,[1]Clientes!$D$2)</f>
        <v>13050505</v>
      </c>
    </row>
    <row r="1772" spans="1:14">
      <c r="A1772" s="6" t="s">
        <v>3099</v>
      </c>
      <c r="B1772" s="7">
        <v>45473</v>
      </c>
      <c r="C1772" s="6" t="s">
        <v>4975</v>
      </c>
      <c r="D1772" s="6" t="s">
        <v>4962</v>
      </c>
      <c r="E1772" s="6" t="s">
        <v>16</v>
      </c>
      <c r="F1772" s="7">
        <v>45503</v>
      </c>
      <c r="G1772" s="6" t="s">
        <v>3102</v>
      </c>
      <c r="H1772" s="8">
        <v>32</v>
      </c>
      <c r="I1772" s="9">
        <v>-21.18</v>
      </c>
      <c r="J1772" s="9">
        <v>-21.18</v>
      </c>
      <c r="K1772" s="5" t="str">
        <f>VLOOKUP(D1772,[1]Clientes!$A$1:$B$1485,2,0)</f>
        <v>NAC1519</v>
      </c>
      <c r="L1772" s="5" t="str">
        <f t="shared" si="54"/>
        <v>CRM0125483</v>
      </c>
      <c r="M1772" s="5" t="str">
        <f t="shared" si="55"/>
        <v>C</v>
      </c>
      <c r="N1772" s="5">
        <f>IF(G1772=[1]Clientes!$C$3,[1]Clientes!$D$3,[1]Clientes!$D$2)</f>
        <v>13050505</v>
      </c>
    </row>
    <row r="1773" spans="1:14">
      <c r="A1773" s="6" t="s">
        <v>3099</v>
      </c>
      <c r="B1773" s="7">
        <v>45473</v>
      </c>
      <c r="C1773" s="6" t="s">
        <v>4976</v>
      </c>
      <c r="D1773" s="6" t="s">
        <v>4962</v>
      </c>
      <c r="E1773" s="6" t="s">
        <v>16</v>
      </c>
      <c r="F1773" s="7">
        <v>45503</v>
      </c>
      <c r="G1773" s="6" t="s">
        <v>3102</v>
      </c>
      <c r="H1773" s="8">
        <v>32</v>
      </c>
      <c r="I1773" s="9">
        <v>-9.43</v>
      </c>
      <c r="J1773" s="9">
        <v>-9.43</v>
      </c>
      <c r="K1773" s="5" t="str">
        <f>VLOOKUP(D1773,[1]Clientes!$A$1:$B$1485,2,0)</f>
        <v>NAC1519</v>
      </c>
      <c r="L1773" s="5" t="str">
        <f t="shared" si="54"/>
        <v>CRM0125485</v>
      </c>
      <c r="M1773" s="5" t="str">
        <f t="shared" si="55"/>
        <v>C</v>
      </c>
      <c r="N1773" s="5">
        <f>IF(G1773=[1]Clientes!$C$3,[1]Clientes!$D$3,[1]Clientes!$D$2)</f>
        <v>13050505</v>
      </c>
    </row>
    <row r="1774" spans="1:14">
      <c r="A1774" s="6" t="s">
        <v>3099</v>
      </c>
      <c r="B1774" s="7">
        <v>45473</v>
      </c>
      <c r="C1774" s="6" t="s">
        <v>4977</v>
      </c>
      <c r="D1774" s="6" t="s">
        <v>4962</v>
      </c>
      <c r="E1774" s="6" t="s">
        <v>16</v>
      </c>
      <c r="F1774" s="7">
        <v>45503</v>
      </c>
      <c r="G1774" s="6" t="s">
        <v>3102</v>
      </c>
      <c r="H1774" s="8">
        <v>32</v>
      </c>
      <c r="I1774" s="9">
        <v>-9.17</v>
      </c>
      <c r="J1774" s="9">
        <v>-9.17</v>
      </c>
      <c r="K1774" s="5" t="str">
        <f>VLOOKUP(D1774,[1]Clientes!$A$1:$B$1485,2,0)</f>
        <v>NAC1519</v>
      </c>
      <c r="L1774" s="5" t="str">
        <f t="shared" si="54"/>
        <v>CRM0125488</v>
      </c>
      <c r="M1774" s="5" t="str">
        <f t="shared" si="55"/>
        <v>C</v>
      </c>
      <c r="N1774" s="5">
        <f>IF(G1774=[1]Clientes!$C$3,[1]Clientes!$D$3,[1]Clientes!$D$2)</f>
        <v>13050505</v>
      </c>
    </row>
    <row r="1775" spans="1:14">
      <c r="A1775" s="6" t="s">
        <v>3099</v>
      </c>
      <c r="B1775" s="7">
        <v>45486</v>
      </c>
      <c r="C1775" s="6" t="s">
        <v>4978</v>
      </c>
      <c r="D1775" s="6" t="s">
        <v>4962</v>
      </c>
      <c r="E1775" s="6" t="s">
        <v>16</v>
      </c>
      <c r="F1775" s="7">
        <v>45516</v>
      </c>
      <c r="G1775" s="6" t="s">
        <v>3102</v>
      </c>
      <c r="H1775" s="8">
        <v>19</v>
      </c>
      <c r="I1775" s="9">
        <v>-80</v>
      </c>
      <c r="J1775" s="9">
        <v>-80</v>
      </c>
      <c r="K1775" s="5" t="str">
        <f>VLOOKUP(D1775,[1]Clientes!$A$1:$B$1485,2,0)</f>
        <v>NAC1519</v>
      </c>
      <c r="L1775" s="5" t="str">
        <f t="shared" si="54"/>
        <v>CRM0125681</v>
      </c>
      <c r="M1775" s="5" t="str">
        <f t="shared" si="55"/>
        <v>C</v>
      </c>
      <c r="N1775" s="5">
        <f>IF(G1775=[1]Clientes!$C$3,[1]Clientes!$D$3,[1]Clientes!$D$2)</f>
        <v>13050505</v>
      </c>
    </row>
    <row r="1776" spans="1:14">
      <c r="A1776" s="6" t="s">
        <v>7</v>
      </c>
      <c r="B1776" s="7">
        <v>45502</v>
      </c>
      <c r="C1776" s="6" t="s">
        <v>4979</v>
      </c>
      <c r="D1776" s="6" t="s">
        <v>4962</v>
      </c>
      <c r="E1776" s="6" t="s">
        <v>16</v>
      </c>
      <c r="F1776" s="7">
        <v>45532</v>
      </c>
      <c r="G1776" s="6" t="s">
        <v>3102</v>
      </c>
      <c r="H1776" s="8">
        <v>3</v>
      </c>
      <c r="I1776" s="9">
        <v>372</v>
      </c>
      <c r="J1776" s="9">
        <v>372</v>
      </c>
      <c r="K1776" s="5" t="str">
        <f>VLOOKUP(D1776,[1]Clientes!$A$1:$B$1485,2,0)</f>
        <v>NAC1519</v>
      </c>
      <c r="L1776" s="5" t="str">
        <f t="shared" si="54"/>
        <v>HGI0126013</v>
      </c>
      <c r="M1776" s="5" t="str">
        <f t="shared" si="55"/>
        <v>I</v>
      </c>
      <c r="N1776" s="5">
        <f>IF(G1776=[1]Clientes!$C$3,[1]Clientes!$D$3,[1]Clientes!$D$2)</f>
        <v>13050505</v>
      </c>
    </row>
    <row r="1777" spans="1:14">
      <c r="A1777" s="6" t="s">
        <v>7</v>
      </c>
      <c r="B1777" s="7">
        <v>45502</v>
      </c>
      <c r="C1777" s="6" t="s">
        <v>4980</v>
      </c>
      <c r="D1777" s="6" t="s">
        <v>4962</v>
      </c>
      <c r="E1777" s="6" t="s">
        <v>16</v>
      </c>
      <c r="F1777" s="7">
        <v>45532</v>
      </c>
      <c r="G1777" s="6" t="s">
        <v>3102</v>
      </c>
      <c r="H1777" s="8">
        <v>3</v>
      </c>
      <c r="I1777" s="9">
        <v>186</v>
      </c>
      <c r="J1777" s="9">
        <v>186</v>
      </c>
      <c r="K1777" s="5" t="str">
        <f>VLOOKUP(D1777,[1]Clientes!$A$1:$B$1485,2,0)</f>
        <v>NAC1519</v>
      </c>
      <c r="L1777" s="5" t="str">
        <f t="shared" si="54"/>
        <v>HGI0126015</v>
      </c>
      <c r="M1777" s="5" t="str">
        <f t="shared" si="55"/>
        <v>I</v>
      </c>
      <c r="N1777" s="5">
        <f>IF(G1777=[1]Clientes!$C$3,[1]Clientes!$D$3,[1]Clientes!$D$2)</f>
        <v>13050505</v>
      </c>
    </row>
    <row r="1778" spans="1:14">
      <c r="A1778" s="6" t="s">
        <v>7</v>
      </c>
      <c r="B1778" s="7">
        <v>45502</v>
      </c>
      <c r="C1778" s="6" t="s">
        <v>4981</v>
      </c>
      <c r="D1778" s="6" t="s">
        <v>4962</v>
      </c>
      <c r="E1778" s="6" t="s">
        <v>16</v>
      </c>
      <c r="F1778" s="7">
        <v>45532</v>
      </c>
      <c r="G1778" s="6" t="s">
        <v>3102</v>
      </c>
      <c r="H1778" s="8">
        <v>3</v>
      </c>
      <c r="I1778" s="9">
        <v>232</v>
      </c>
      <c r="J1778" s="9">
        <v>232</v>
      </c>
      <c r="K1778" s="5" t="str">
        <f>VLOOKUP(D1778,[1]Clientes!$A$1:$B$1485,2,0)</f>
        <v>NAC1519</v>
      </c>
      <c r="L1778" s="5" t="str">
        <f t="shared" si="54"/>
        <v>HGI0126017</v>
      </c>
      <c r="M1778" s="5" t="str">
        <f t="shared" si="55"/>
        <v>I</v>
      </c>
      <c r="N1778" s="5">
        <f>IF(G1778=[1]Clientes!$C$3,[1]Clientes!$D$3,[1]Clientes!$D$2)</f>
        <v>13050505</v>
      </c>
    </row>
    <row r="1779" spans="1:14">
      <c r="A1779" s="6" t="s">
        <v>7</v>
      </c>
      <c r="B1779" s="7">
        <v>45502</v>
      </c>
      <c r="C1779" s="6" t="s">
        <v>4982</v>
      </c>
      <c r="D1779" s="6" t="s">
        <v>4962</v>
      </c>
      <c r="E1779" s="6" t="s">
        <v>16</v>
      </c>
      <c r="F1779" s="7">
        <v>45532</v>
      </c>
      <c r="G1779" s="6" t="s">
        <v>3102</v>
      </c>
      <c r="H1779" s="8">
        <v>3</v>
      </c>
      <c r="I1779" s="9">
        <v>201.8</v>
      </c>
      <c r="J1779" s="9">
        <v>201.8</v>
      </c>
      <c r="K1779" s="5" t="str">
        <f>VLOOKUP(D1779,[1]Clientes!$A$1:$B$1485,2,0)</f>
        <v>NAC1519</v>
      </c>
      <c r="L1779" s="5" t="str">
        <f t="shared" si="54"/>
        <v>HGI0126026</v>
      </c>
      <c r="M1779" s="5" t="str">
        <f t="shared" si="55"/>
        <v>I</v>
      </c>
      <c r="N1779" s="5">
        <f>IF(G1779=[1]Clientes!$C$3,[1]Clientes!$D$3,[1]Clientes!$D$2)</f>
        <v>13050505</v>
      </c>
    </row>
    <row r="1780" spans="1:14">
      <c r="A1780" s="6" t="s">
        <v>7</v>
      </c>
      <c r="B1780" s="7">
        <v>45503</v>
      </c>
      <c r="C1780" s="6" t="s">
        <v>4983</v>
      </c>
      <c r="D1780" s="6" t="s">
        <v>4962</v>
      </c>
      <c r="E1780" s="6" t="s">
        <v>16</v>
      </c>
      <c r="F1780" s="7">
        <v>45533</v>
      </c>
      <c r="G1780" s="6" t="s">
        <v>3102</v>
      </c>
      <c r="H1780" s="8">
        <v>2</v>
      </c>
      <c r="I1780" s="9">
        <v>86.06</v>
      </c>
      <c r="J1780" s="9">
        <v>86.06</v>
      </c>
      <c r="K1780" s="5" t="str">
        <f>VLOOKUP(D1780,[1]Clientes!$A$1:$B$1485,2,0)</f>
        <v>NAC1519</v>
      </c>
      <c r="L1780" s="5" t="str">
        <f t="shared" si="54"/>
        <v>HGI0126049</v>
      </c>
      <c r="M1780" s="5" t="str">
        <f t="shared" si="55"/>
        <v>I</v>
      </c>
      <c r="N1780" s="5">
        <f>IF(G1780=[1]Clientes!$C$3,[1]Clientes!$D$3,[1]Clientes!$D$2)</f>
        <v>13050505</v>
      </c>
    </row>
    <row r="1781" spans="1:14">
      <c r="A1781" s="6" t="s">
        <v>7</v>
      </c>
      <c r="B1781" s="7">
        <v>45503</v>
      </c>
      <c r="C1781" s="6" t="s">
        <v>4984</v>
      </c>
      <c r="D1781" s="6" t="s">
        <v>4962</v>
      </c>
      <c r="E1781" s="6" t="s">
        <v>16</v>
      </c>
      <c r="F1781" s="7">
        <v>45533</v>
      </c>
      <c r="G1781" s="6" t="s">
        <v>3102</v>
      </c>
      <c r="H1781" s="8">
        <v>2</v>
      </c>
      <c r="I1781" s="9">
        <v>86.06</v>
      </c>
      <c r="J1781" s="9">
        <v>86.06</v>
      </c>
      <c r="K1781" s="5" t="str">
        <f>VLOOKUP(D1781,[1]Clientes!$A$1:$B$1485,2,0)</f>
        <v>NAC1519</v>
      </c>
      <c r="L1781" s="5" t="str">
        <f t="shared" si="54"/>
        <v>HGI0126050</v>
      </c>
      <c r="M1781" s="5" t="str">
        <f t="shared" si="55"/>
        <v>I</v>
      </c>
      <c r="N1781" s="5">
        <f>IF(G1781=[1]Clientes!$C$3,[1]Clientes!$D$3,[1]Clientes!$D$2)</f>
        <v>13050505</v>
      </c>
    </row>
    <row r="1782" spans="1:14">
      <c r="A1782" s="6" t="s">
        <v>7</v>
      </c>
      <c r="B1782" s="7">
        <v>45504</v>
      </c>
      <c r="C1782" s="6" t="s">
        <v>4985</v>
      </c>
      <c r="D1782" s="6" t="s">
        <v>4962</v>
      </c>
      <c r="E1782" s="6" t="s">
        <v>16</v>
      </c>
      <c r="F1782" s="7">
        <v>45534</v>
      </c>
      <c r="G1782" s="6" t="s">
        <v>3102</v>
      </c>
      <c r="H1782" s="8">
        <v>1</v>
      </c>
      <c r="I1782" s="9">
        <v>186</v>
      </c>
      <c r="J1782" s="9">
        <v>186</v>
      </c>
      <c r="K1782" s="5" t="str">
        <f>VLOOKUP(D1782,[1]Clientes!$A$1:$B$1485,2,0)</f>
        <v>NAC1519</v>
      </c>
      <c r="L1782" s="5" t="str">
        <f t="shared" si="54"/>
        <v>HGI0126102</v>
      </c>
      <c r="M1782" s="5" t="str">
        <f t="shared" si="55"/>
        <v>I</v>
      </c>
      <c r="N1782" s="5">
        <f>IF(G1782=[1]Clientes!$C$3,[1]Clientes!$D$3,[1]Clientes!$D$2)</f>
        <v>13050505</v>
      </c>
    </row>
    <row r="1783" spans="1:14">
      <c r="A1783" s="6" t="s">
        <v>7</v>
      </c>
      <c r="B1783" s="7">
        <v>45504</v>
      </c>
      <c r="C1783" s="6" t="s">
        <v>4986</v>
      </c>
      <c r="D1783" s="6" t="s">
        <v>4962</v>
      </c>
      <c r="E1783" s="6" t="s">
        <v>16</v>
      </c>
      <c r="F1783" s="7">
        <v>45534</v>
      </c>
      <c r="G1783" s="6" t="s">
        <v>3102</v>
      </c>
      <c r="H1783" s="8">
        <v>1</v>
      </c>
      <c r="I1783" s="9">
        <v>86.06</v>
      </c>
      <c r="J1783" s="9">
        <v>91.76</v>
      </c>
      <c r="K1783" s="5" t="str">
        <f>VLOOKUP(D1783,[1]Clientes!$A$1:$B$1485,2,0)</f>
        <v>NAC1519</v>
      </c>
      <c r="L1783" s="5" t="str">
        <f t="shared" si="54"/>
        <v>HGI0126104</v>
      </c>
      <c r="M1783" s="5" t="str">
        <f t="shared" si="55"/>
        <v>I</v>
      </c>
      <c r="N1783" s="5">
        <f>IF(G1783=[1]Clientes!$C$3,[1]Clientes!$D$3,[1]Clientes!$D$2)</f>
        <v>13050505</v>
      </c>
    </row>
    <row r="1784" spans="1:14">
      <c r="A1784" s="6" t="s">
        <v>7</v>
      </c>
      <c r="B1784" s="7">
        <v>45504</v>
      </c>
      <c r="C1784" s="6" t="s">
        <v>4987</v>
      </c>
      <c r="D1784" s="6" t="s">
        <v>4962</v>
      </c>
      <c r="E1784" s="6" t="s">
        <v>16</v>
      </c>
      <c r="F1784" s="7">
        <v>45534</v>
      </c>
      <c r="G1784" s="6" t="s">
        <v>3102</v>
      </c>
      <c r="H1784" s="8">
        <v>1</v>
      </c>
      <c r="I1784" s="9">
        <v>257.10000000000002</v>
      </c>
      <c r="J1784" s="9">
        <v>257.10000000000002</v>
      </c>
      <c r="K1784" s="5" t="str">
        <f>VLOOKUP(D1784,[1]Clientes!$A$1:$B$1485,2,0)</f>
        <v>NAC1519</v>
      </c>
      <c r="L1784" s="5" t="str">
        <f t="shared" si="54"/>
        <v>HGI0126107</v>
      </c>
      <c r="M1784" s="5" t="str">
        <f t="shared" si="55"/>
        <v>I</v>
      </c>
      <c r="N1784" s="5">
        <f>IF(G1784=[1]Clientes!$C$3,[1]Clientes!$D$3,[1]Clientes!$D$2)</f>
        <v>13050505</v>
      </c>
    </row>
    <row r="1785" spans="1:14">
      <c r="A1785" s="6" t="s">
        <v>7</v>
      </c>
      <c r="B1785" s="7">
        <v>45505</v>
      </c>
      <c r="C1785" s="6" t="s">
        <v>4988</v>
      </c>
      <c r="D1785" s="6" t="s">
        <v>4962</v>
      </c>
      <c r="E1785" s="6" t="s">
        <v>16</v>
      </c>
      <c r="F1785" s="7">
        <v>45535</v>
      </c>
      <c r="G1785" s="6" t="s">
        <v>3102</v>
      </c>
      <c r="H1785" s="8"/>
      <c r="I1785" s="9">
        <v>154.91999999999999</v>
      </c>
      <c r="J1785" s="9">
        <v>154.91999999999999</v>
      </c>
      <c r="K1785" s="5" t="str">
        <f>VLOOKUP(D1785,[1]Clientes!$A$1:$B$1485,2,0)</f>
        <v>NAC1519</v>
      </c>
      <c r="L1785" s="5" t="str">
        <f t="shared" si="54"/>
        <v>HGI0126136</v>
      </c>
      <c r="M1785" s="5" t="str">
        <f t="shared" si="55"/>
        <v>I</v>
      </c>
      <c r="N1785" s="5">
        <f>IF(G1785=[1]Clientes!$C$3,[1]Clientes!$D$3,[1]Clientes!$D$2)</f>
        <v>13050505</v>
      </c>
    </row>
    <row r="1786" spans="1:14">
      <c r="A1786" s="6" t="s">
        <v>7</v>
      </c>
      <c r="B1786" s="7">
        <v>45506</v>
      </c>
      <c r="C1786" s="6" t="s">
        <v>4989</v>
      </c>
      <c r="D1786" s="6" t="s">
        <v>4962</v>
      </c>
      <c r="E1786" s="6" t="s">
        <v>16</v>
      </c>
      <c r="F1786" s="7">
        <v>45536</v>
      </c>
      <c r="G1786" s="6" t="s">
        <v>3102</v>
      </c>
      <c r="H1786" s="8"/>
      <c r="I1786" s="9">
        <v>555.5</v>
      </c>
      <c r="J1786" s="9">
        <v>555.5</v>
      </c>
      <c r="K1786" s="5" t="str">
        <f>VLOOKUP(D1786,[1]Clientes!$A$1:$B$1485,2,0)</f>
        <v>NAC1519</v>
      </c>
      <c r="L1786" s="5" t="str">
        <f t="shared" si="54"/>
        <v>HGI0126158</v>
      </c>
      <c r="M1786" s="5" t="str">
        <f t="shared" si="55"/>
        <v>I</v>
      </c>
      <c r="N1786" s="5">
        <f>IF(G1786=[1]Clientes!$C$3,[1]Clientes!$D$3,[1]Clientes!$D$2)</f>
        <v>13050505</v>
      </c>
    </row>
    <row r="1787" spans="1:14">
      <c r="A1787" s="6" t="s">
        <v>7</v>
      </c>
      <c r="B1787" s="7">
        <v>45506</v>
      </c>
      <c r="C1787" s="6" t="s">
        <v>4990</v>
      </c>
      <c r="D1787" s="6" t="s">
        <v>4962</v>
      </c>
      <c r="E1787" s="6" t="s">
        <v>16</v>
      </c>
      <c r="F1787" s="7">
        <v>45536</v>
      </c>
      <c r="G1787" s="6" t="s">
        <v>3102</v>
      </c>
      <c r="H1787" s="8"/>
      <c r="I1787" s="9">
        <v>592.54</v>
      </c>
      <c r="J1787" s="9">
        <v>592.54</v>
      </c>
      <c r="K1787" s="5" t="str">
        <f>VLOOKUP(D1787,[1]Clientes!$A$1:$B$1485,2,0)</f>
        <v>NAC1519</v>
      </c>
      <c r="L1787" s="5" t="str">
        <f t="shared" si="54"/>
        <v>HGI0126172</v>
      </c>
      <c r="M1787" s="5" t="str">
        <f t="shared" si="55"/>
        <v>I</v>
      </c>
      <c r="N1787" s="5">
        <f>IF(G1787=[1]Clientes!$C$3,[1]Clientes!$D$3,[1]Clientes!$D$2)</f>
        <v>13050505</v>
      </c>
    </row>
    <row r="1788" spans="1:14">
      <c r="A1788" s="6" t="s">
        <v>7</v>
      </c>
      <c r="B1788" s="7">
        <v>45509</v>
      </c>
      <c r="C1788" s="6" t="s">
        <v>4991</v>
      </c>
      <c r="D1788" s="6" t="s">
        <v>4962</v>
      </c>
      <c r="E1788" s="6" t="s">
        <v>16</v>
      </c>
      <c r="F1788" s="7">
        <v>45539</v>
      </c>
      <c r="G1788" s="6" t="s">
        <v>3102</v>
      </c>
      <c r="H1788" s="8"/>
      <c r="I1788" s="9">
        <v>63.44</v>
      </c>
      <c r="J1788" s="9">
        <v>63.44</v>
      </c>
      <c r="K1788" s="5" t="str">
        <f>VLOOKUP(D1788,[1]Clientes!$A$1:$B$1485,2,0)</f>
        <v>NAC1519</v>
      </c>
      <c r="L1788" s="5" t="str">
        <f t="shared" si="54"/>
        <v>HGI0126225</v>
      </c>
      <c r="M1788" s="5" t="str">
        <f t="shared" si="55"/>
        <v>I</v>
      </c>
      <c r="N1788" s="5">
        <f>IF(G1788=[1]Clientes!$C$3,[1]Clientes!$D$3,[1]Clientes!$D$2)</f>
        <v>13050505</v>
      </c>
    </row>
    <row r="1789" spans="1:14">
      <c r="A1789" s="6" t="s">
        <v>7</v>
      </c>
      <c r="B1789" s="7">
        <v>45509</v>
      </c>
      <c r="C1789" s="6" t="s">
        <v>4992</v>
      </c>
      <c r="D1789" s="6" t="s">
        <v>4962</v>
      </c>
      <c r="E1789" s="6" t="s">
        <v>16</v>
      </c>
      <c r="F1789" s="7">
        <v>45539</v>
      </c>
      <c r="G1789" s="6" t="s">
        <v>3102</v>
      </c>
      <c r="H1789" s="8"/>
      <c r="I1789" s="9">
        <v>175</v>
      </c>
      <c r="J1789" s="9">
        <v>175</v>
      </c>
      <c r="K1789" s="5" t="str">
        <f>VLOOKUP(D1789,[1]Clientes!$A$1:$B$1485,2,0)</f>
        <v>NAC1519</v>
      </c>
      <c r="L1789" s="5" t="str">
        <f t="shared" si="54"/>
        <v>HGI0126226</v>
      </c>
      <c r="M1789" s="5" t="str">
        <f t="shared" si="55"/>
        <v>I</v>
      </c>
      <c r="N1789" s="5">
        <f>IF(G1789=[1]Clientes!$C$3,[1]Clientes!$D$3,[1]Clientes!$D$2)</f>
        <v>13050505</v>
      </c>
    </row>
    <row r="1790" spans="1:14">
      <c r="A1790" s="6" t="s">
        <v>7</v>
      </c>
      <c r="B1790" s="7">
        <v>45509</v>
      </c>
      <c r="C1790" s="6" t="s">
        <v>4993</v>
      </c>
      <c r="D1790" s="6" t="s">
        <v>4962</v>
      </c>
      <c r="E1790" s="6" t="s">
        <v>16</v>
      </c>
      <c r="F1790" s="7">
        <v>45539</v>
      </c>
      <c r="G1790" s="6" t="s">
        <v>3102</v>
      </c>
      <c r="H1790" s="8"/>
      <c r="I1790" s="9">
        <v>616.6</v>
      </c>
      <c r="J1790" s="9">
        <v>616.6</v>
      </c>
      <c r="K1790" s="5" t="str">
        <f>VLOOKUP(D1790,[1]Clientes!$A$1:$B$1485,2,0)</f>
        <v>NAC1519</v>
      </c>
      <c r="L1790" s="5" t="str">
        <f t="shared" si="54"/>
        <v>HGI0126227</v>
      </c>
      <c r="M1790" s="5" t="str">
        <f t="shared" si="55"/>
        <v>I</v>
      </c>
      <c r="N1790" s="5">
        <f>IF(G1790=[1]Clientes!$C$3,[1]Clientes!$D$3,[1]Clientes!$D$2)</f>
        <v>13050505</v>
      </c>
    </row>
    <row r="1791" spans="1:14">
      <c r="A1791" s="6" t="s">
        <v>7</v>
      </c>
      <c r="B1791" s="7">
        <v>45509</v>
      </c>
      <c r="C1791" s="6" t="s">
        <v>4994</v>
      </c>
      <c r="D1791" s="6" t="s">
        <v>4962</v>
      </c>
      <c r="E1791" s="6" t="s">
        <v>16</v>
      </c>
      <c r="F1791" s="7">
        <v>45539</v>
      </c>
      <c r="G1791" s="6" t="s">
        <v>3102</v>
      </c>
      <c r="H1791" s="8"/>
      <c r="I1791" s="9">
        <v>448.5</v>
      </c>
      <c r="J1791" s="9">
        <v>448.5</v>
      </c>
      <c r="K1791" s="5" t="str">
        <f>VLOOKUP(D1791,[1]Clientes!$A$1:$B$1485,2,0)</f>
        <v>NAC1519</v>
      </c>
      <c r="L1791" s="5" t="str">
        <f t="shared" si="54"/>
        <v>HGI0126228</v>
      </c>
      <c r="M1791" s="5" t="str">
        <f t="shared" si="55"/>
        <v>I</v>
      </c>
      <c r="N1791" s="5">
        <f>IF(G1791=[1]Clientes!$C$3,[1]Clientes!$D$3,[1]Clientes!$D$2)</f>
        <v>13050505</v>
      </c>
    </row>
    <row r="1792" spans="1:14">
      <c r="A1792" s="6" t="s">
        <v>7</v>
      </c>
      <c r="B1792" s="7">
        <v>45509</v>
      </c>
      <c r="C1792" s="6" t="s">
        <v>4995</v>
      </c>
      <c r="D1792" s="6" t="s">
        <v>4962</v>
      </c>
      <c r="E1792" s="6" t="s">
        <v>16</v>
      </c>
      <c r="F1792" s="7">
        <v>45539</v>
      </c>
      <c r="G1792" s="6" t="s">
        <v>3102</v>
      </c>
      <c r="H1792" s="8"/>
      <c r="I1792" s="9">
        <v>402.6</v>
      </c>
      <c r="J1792" s="9">
        <v>402.6</v>
      </c>
      <c r="K1792" s="5" t="str">
        <f>VLOOKUP(D1792,[1]Clientes!$A$1:$B$1485,2,0)</f>
        <v>NAC1519</v>
      </c>
      <c r="L1792" s="5" t="str">
        <f t="shared" si="54"/>
        <v>HGI0126229</v>
      </c>
      <c r="M1792" s="5" t="str">
        <f t="shared" si="55"/>
        <v>I</v>
      </c>
      <c r="N1792" s="5">
        <f>IF(G1792=[1]Clientes!$C$3,[1]Clientes!$D$3,[1]Clientes!$D$2)</f>
        <v>13050505</v>
      </c>
    </row>
    <row r="1793" spans="1:14">
      <c r="A1793" s="6" t="s">
        <v>7</v>
      </c>
      <c r="B1793" s="7">
        <v>45509</v>
      </c>
      <c r="C1793" s="6" t="s">
        <v>4996</v>
      </c>
      <c r="D1793" s="6" t="s">
        <v>4962</v>
      </c>
      <c r="E1793" s="6" t="s">
        <v>16</v>
      </c>
      <c r="F1793" s="7">
        <v>45539</v>
      </c>
      <c r="G1793" s="6" t="s">
        <v>3102</v>
      </c>
      <c r="H1793" s="8"/>
      <c r="I1793" s="9">
        <v>201.8</v>
      </c>
      <c r="J1793" s="9">
        <v>201.8</v>
      </c>
      <c r="K1793" s="5" t="str">
        <f>VLOOKUP(D1793,[1]Clientes!$A$1:$B$1485,2,0)</f>
        <v>NAC1519</v>
      </c>
      <c r="L1793" s="5" t="str">
        <f t="shared" si="54"/>
        <v>HGI0126230</v>
      </c>
      <c r="M1793" s="5" t="str">
        <f t="shared" si="55"/>
        <v>I</v>
      </c>
      <c r="N1793" s="5">
        <f>IF(G1793=[1]Clientes!$C$3,[1]Clientes!$D$3,[1]Clientes!$D$2)</f>
        <v>13050505</v>
      </c>
    </row>
    <row r="1794" spans="1:14">
      <c r="A1794" s="6" t="s">
        <v>7</v>
      </c>
      <c r="B1794" s="7">
        <v>45509</v>
      </c>
      <c r="C1794" s="6" t="s">
        <v>4997</v>
      </c>
      <c r="D1794" s="6" t="s">
        <v>4962</v>
      </c>
      <c r="E1794" s="6" t="s">
        <v>16</v>
      </c>
      <c r="F1794" s="7">
        <v>45539</v>
      </c>
      <c r="G1794" s="6" t="s">
        <v>3102</v>
      </c>
      <c r="H1794" s="8"/>
      <c r="I1794" s="9">
        <v>373</v>
      </c>
      <c r="J1794" s="9">
        <v>373</v>
      </c>
      <c r="K1794" s="5" t="str">
        <f>VLOOKUP(D1794,[1]Clientes!$A$1:$B$1485,2,0)</f>
        <v>NAC1519</v>
      </c>
      <c r="L1794" s="5" t="str">
        <f t="shared" si="54"/>
        <v>HGI0126231</v>
      </c>
      <c r="M1794" s="5" t="str">
        <f t="shared" si="55"/>
        <v>I</v>
      </c>
      <c r="N1794" s="5">
        <f>IF(G1794=[1]Clientes!$C$3,[1]Clientes!$D$3,[1]Clientes!$D$2)</f>
        <v>13050505</v>
      </c>
    </row>
    <row r="1795" spans="1:14">
      <c r="A1795" s="6" t="s">
        <v>7</v>
      </c>
      <c r="B1795" s="7">
        <v>45509</v>
      </c>
      <c r="C1795" s="6" t="s">
        <v>4998</v>
      </c>
      <c r="D1795" s="6" t="s">
        <v>4962</v>
      </c>
      <c r="E1795" s="6" t="s">
        <v>16</v>
      </c>
      <c r="F1795" s="7">
        <v>45539</v>
      </c>
      <c r="G1795" s="6" t="s">
        <v>3102</v>
      </c>
      <c r="H1795" s="8"/>
      <c r="I1795" s="9">
        <v>94</v>
      </c>
      <c r="J1795" s="9">
        <v>94</v>
      </c>
      <c r="K1795" s="5" t="str">
        <f>VLOOKUP(D1795,[1]Clientes!$A$1:$B$1485,2,0)</f>
        <v>NAC1519</v>
      </c>
      <c r="L1795" s="5" t="str">
        <f t="shared" ref="L1795:L1858" si="56">IF(A1795="Invoice",
    IF(LEFT(C1795,5)="TGDR-", "TGDR"&amp;RIGHT(C1795,LEN(C1795)-5), "HGI"&amp;C1795),
    IF(A1795="Credit Memo",
        IF(LEFT(C1795,5)="TGDR-", "CRM"&amp;RIGHT(C1795,LEN(C1795)-5), "CRM"&amp;C1795),
        "Revisar")
)</f>
        <v>HGI0126232</v>
      </c>
      <c r="M1795" s="5" t="str">
        <f t="shared" ref="M1795:M1858" si="57">IF(A1795="Invoice","I",IF(A1795="Credit Memo","C",IF(A1795="Payment","P","GJ")))</f>
        <v>I</v>
      </c>
      <c r="N1795" s="5">
        <f>IF(G1795=[1]Clientes!$C$3,[1]Clientes!$D$3,[1]Clientes!$D$2)</f>
        <v>13050505</v>
      </c>
    </row>
    <row r="1796" spans="1:14">
      <c r="A1796" s="6" t="s">
        <v>7</v>
      </c>
      <c r="B1796" s="7">
        <v>45509</v>
      </c>
      <c r="C1796" s="6" t="s">
        <v>4999</v>
      </c>
      <c r="D1796" s="6" t="s">
        <v>4962</v>
      </c>
      <c r="E1796" s="6" t="s">
        <v>16</v>
      </c>
      <c r="F1796" s="7">
        <v>45539</v>
      </c>
      <c r="G1796" s="6" t="s">
        <v>3102</v>
      </c>
      <c r="H1796" s="8"/>
      <c r="I1796" s="9">
        <v>245</v>
      </c>
      <c r="J1796" s="9">
        <v>245</v>
      </c>
      <c r="K1796" s="5" t="str">
        <f>VLOOKUP(D1796,[1]Clientes!$A$1:$B$1485,2,0)</f>
        <v>NAC1519</v>
      </c>
      <c r="L1796" s="5" t="str">
        <f t="shared" si="56"/>
        <v>HGI0126233</v>
      </c>
      <c r="M1796" s="5" t="str">
        <f t="shared" si="57"/>
        <v>I</v>
      </c>
      <c r="N1796" s="5">
        <f>IF(G1796=[1]Clientes!$C$3,[1]Clientes!$D$3,[1]Clientes!$D$2)</f>
        <v>13050505</v>
      </c>
    </row>
    <row r="1797" spans="1:14">
      <c r="A1797" s="6" t="s">
        <v>7</v>
      </c>
      <c r="B1797" s="7">
        <v>45510</v>
      </c>
      <c r="C1797" s="6" t="s">
        <v>5000</v>
      </c>
      <c r="D1797" s="6" t="s">
        <v>4962</v>
      </c>
      <c r="E1797" s="6" t="s">
        <v>16</v>
      </c>
      <c r="F1797" s="7">
        <v>45540</v>
      </c>
      <c r="G1797" s="6" t="s">
        <v>3102</v>
      </c>
      <c r="H1797" s="8"/>
      <c r="I1797" s="9">
        <v>172.12</v>
      </c>
      <c r="J1797" s="9">
        <v>172.12</v>
      </c>
      <c r="K1797" s="5" t="str">
        <f>VLOOKUP(D1797,[1]Clientes!$A$1:$B$1485,2,0)</f>
        <v>NAC1519</v>
      </c>
      <c r="L1797" s="5" t="str">
        <f t="shared" si="56"/>
        <v>HGI0126255</v>
      </c>
      <c r="M1797" s="5" t="str">
        <f t="shared" si="57"/>
        <v>I</v>
      </c>
      <c r="N1797" s="5">
        <f>IF(G1797=[1]Clientes!$C$3,[1]Clientes!$D$3,[1]Clientes!$D$2)</f>
        <v>13050505</v>
      </c>
    </row>
    <row r="1798" spans="1:14">
      <c r="A1798" s="6" t="s">
        <v>7</v>
      </c>
      <c r="B1798" s="7">
        <v>45510</v>
      </c>
      <c r="C1798" s="6" t="s">
        <v>5001</v>
      </c>
      <c r="D1798" s="6" t="s">
        <v>4962</v>
      </c>
      <c r="E1798" s="6" t="s">
        <v>16</v>
      </c>
      <c r="F1798" s="7">
        <v>45540</v>
      </c>
      <c r="G1798" s="6" t="s">
        <v>3102</v>
      </c>
      <c r="H1798" s="8"/>
      <c r="I1798" s="9">
        <v>86.06</v>
      </c>
      <c r="J1798" s="9">
        <v>86.06</v>
      </c>
      <c r="K1798" s="5" t="str">
        <f>VLOOKUP(D1798,[1]Clientes!$A$1:$B$1485,2,0)</f>
        <v>NAC1519</v>
      </c>
      <c r="L1798" s="5" t="str">
        <f t="shared" si="56"/>
        <v>HGI0126273</v>
      </c>
      <c r="M1798" s="5" t="str">
        <f t="shared" si="57"/>
        <v>I</v>
      </c>
      <c r="N1798" s="5">
        <f>IF(G1798=[1]Clientes!$C$3,[1]Clientes!$D$3,[1]Clientes!$D$2)</f>
        <v>13050505</v>
      </c>
    </row>
    <row r="1799" spans="1:14">
      <c r="A1799" s="6" t="s">
        <v>7</v>
      </c>
      <c r="B1799" s="7">
        <v>45511</v>
      </c>
      <c r="C1799" s="6" t="s">
        <v>5002</v>
      </c>
      <c r="D1799" s="6" t="s">
        <v>4962</v>
      </c>
      <c r="E1799" s="6" t="s">
        <v>16</v>
      </c>
      <c r="F1799" s="7">
        <v>45541</v>
      </c>
      <c r="G1799" s="6" t="s">
        <v>3102</v>
      </c>
      <c r="H1799" s="8"/>
      <c r="I1799" s="9">
        <v>174</v>
      </c>
      <c r="J1799" s="9">
        <v>174</v>
      </c>
      <c r="K1799" s="5" t="str">
        <f>VLOOKUP(D1799,[1]Clientes!$A$1:$B$1485,2,0)</f>
        <v>NAC1519</v>
      </c>
      <c r="L1799" s="5" t="str">
        <f t="shared" si="56"/>
        <v>HGI0126289</v>
      </c>
      <c r="M1799" s="5" t="str">
        <f t="shared" si="57"/>
        <v>I</v>
      </c>
      <c r="N1799" s="5">
        <f>IF(G1799=[1]Clientes!$C$3,[1]Clientes!$D$3,[1]Clientes!$D$2)</f>
        <v>13050505</v>
      </c>
    </row>
    <row r="1800" spans="1:14">
      <c r="A1800" s="6" t="s">
        <v>7</v>
      </c>
      <c r="B1800" s="7">
        <v>45511</v>
      </c>
      <c r="C1800" s="6" t="s">
        <v>5003</v>
      </c>
      <c r="D1800" s="6" t="s">
        <v>4962</v>
      </c>
      <c r="E1800" s="6" t="s">
        <v>16</v>
      </c>
      <c r="F1800" s="7">
        <v>45541</v>
      </c>
      <c r="G1800" s="6" t="s">
        <v>3102</v>
      </c>
      <c r="H1800" s="8"/>
      <c r="I1800" s="9">
        <v>45.57</v>
      </c>
      <c r="J1800" s="9">
        <v>45.57</v>
      </c>
      <c r="K1800" s="5" t="str">
        <f>VLOOKUP(D1800,[1]Clientes!$A$1:$B$1485,2,0)</f>
        <v>NAC1519</v>
      </c>
      <c r="L1800" s="5" t="str">
        <f t="shared" si="56"/>
        <v>HGI0126299</v>
      </c>
      <c r="M1800" s="5" t="str">
        <f t="shared" si="57"/>
        <v>I</v>
      </c>
      <c r="N1800" s="5">
        <f>IF(G1800=[1]Clientes!$C$3,[1]Clientes!$D$3,[1]Clientes!$D$2)</f>
        <v>13050505</v>
      </c>
    </row>
    <row r="1801" spans="1:14">
      <c r="A1801" s="6" t="s">
        <v>7</v>
      </c>
      <c r="B1801" s="7">
        <v>45511</v>
      </c>
      <c r="C1801" s="6" t="s">
        <v>5004</v>
      </c>
      <c r="D1801" s="6" t="s">
        <v>4962</v>
      </c>
      <c r="E1801" s="6" t="s">
        <v>16</v>
      </c>
      <c r="F1801" s="7">
        <v>45541</v>
      </c>
      <c r="G1801" s="6" t="s">
        <v>3102</v>
      </c>
      <c r="H1801" s="8"/>
      <c r="I1801" s="9">
        <v>149.5</v>
      </c>
      <c r="J1801" s="9">
        <v>149.5</v>
      </c>
      <c r="K1801" s="5" t="str">
        <f>VLOOKUP(D1801,[1]Clientes!$A$1:$B$1485,2,0)</f>
        <v>NAC1519</v>
      </c>
      <c r="L1801" s="5" t="str">
        <f t="shared" si="56"/>
        <v>HGI0126302</v>
      </c>
      <c r="M1801" s="5" t="str">
        <f t="shared" si="57"/>
        <v>I</v>
      </c>
      <c r="N1801" s="5">
        <f>IF(G1801=[1]Clientes!$C$3,[1]Clientes!$D$3,[1]Clientes!$D$2)</f>
        <v>13050505</v>
      </c>
    </row>
    <row r="1802" spans="1:14">
      <c r="A1802" s="6" t="s">
        <v>7</v>
      </c>
      <c r="B1802" s="7">
        <v>45511</v>
      </c>
      <c r="C1802" s="6" t="s">
        <v>5005</v>
      </c>
      <c r="D1802" s="6" t="s">
        <v>4962</v>
      </c>
      <c r="E1802" s="6" t="s">
        <v>16</v>
      </c>
      <c r="F1802" s="7">
        <v>45541</v>
      </c>
      <c r="G1802" s="6" t="s">
        <v>3102</v>
      </c>
      <c r="H1802" s="8"/>
      <c r="I1802" s="9">
        <v>175.9</v>
      </c>
      <c r="J1802" s="9">
        <v>175.9</v>
      </c>
      <c r="K1802" s="5" t="str">
        <f>VLOOKUP(D1802,[1]Clientes!$A$1:$B$1485,2,0)</f>
        <v>NAC1519</v>
      </c>
      <c r="L1802" s="5" t="str">
        <f t="shared" si="56"/>
        <v>HGI0126304</v>
      </c>
      <c r="M1802" s="5" t="str">
        <f t="shared" si="57"/>
        <v>I</v>
      </c>
      <c r="N1802" s="5">
        <f>IF(G1802=[1]Clientes!$C$3,[1]Clientes!$D$3,[1]Clientes!$D$2)</f>
        <v>13050505</v>
      </c>
    </row>
    <row r="1803" spans="1:14">
      <c r="A1803" s="6" t="s">
        <v>7</v>
      </c>
      <c r="B1803" s="7">
        <v>45512</v>
      </c>
      <c r="C1803" s="6" t="s">
        <v>5006</v>
      </c>
      <c r="D1803" s="6" t="s">
        <v>4962</v>
      </c>
      <c r="E1803" s="6" t="s">
        <v>16</v>
      </c>
      <c r="F1803" s="7">
        <v>45542</v>
      </c>
      <c r="G1803" s="6" t="s">
        <v>3102</v>
      </c>
      <c r="H1803" s="8"/>
      <c r="I1803" s="9">
        <v>598.57000000000005</v>
      </c>
      <c r="J1803" s="9">
        <v>598.57000000000005</v>
      </c>
      <c r="K1803" s="5" t="str">
        <f>VLOOKUP(D1803,[1]Clientes!$A$1:$B$1485,2,0)</f>
        <v>NAC1519</v>
      </c>
      <c r="L1803" s="5" t="str">
        <f t="shared" si="56"/>
        <v>HGI0126329</v>
      </c>
      <c r="M1803" s="5" t="str">
        <f t="shared" si="57"/>
        <v>I</v>
      </c>
      <c r="N1803" s="5">
        <f>IF(G1803=[1]Clientes!$C$3,[1]Clientes!$D$3,[1]Clientes!$D$2)</f>
        <v>13050505</v>
      </c>
    </row>
    <row r="1804" spans="1:14">
      <c r="A1804" s="6" t="s">
        <v>7</v>
      </c>
      <c r="B1804" s="7">
        <v>45512</v>
      </c>
      <c r="C1804" s="6" t="s">
        <v>5007</v>
      </c>
      <c r="D1804" s="6" t="s">
        <v>4962</v>
      </c>
      <c r="E1804" s="6" t="s">
        <v>16</v>
      </c>
      <c r="F1804" s="7">
        <v>45542</v>
      </c>
      <c r="G1804" s="6" t="s">
        <v>3102</v>
      </c>
      <c r="H1804" s="8"/>
      <c r="I1804" s="9">
        <v>144.5</v>
      </c>
      <c r="J1804" s="9">
        <v>144.5</v>
      </c>
      <c r="K1804" s="5" t="str">
        <f>VLOOKUP(D1804,[1]Clientes!$A$1:$B$1485,2,0)</f>
        <v>NAC1519</v>
      </c>
      <c r="L1804" s="5" t="str">
        <f t="shared" si="56"/>
        <v>HGI0126333</v>
      </c>
      <c r="M1804" s="5" t="str">
        <f t="shared" si="57"/>
        <v>I</v>
      </c>
      <c r="N1804" s="5">
        <f>IF(G1804=[1]Clientes!$C$3,[1]Clientes!$D$3,[1]Clientes!$D$2)</f>
        <v>13050505</v>
      </c>
    </row>
    <row r="1805" spans="1:14">
      <c r="A1805" s="6" t="s">
        <v>7</v>
      </c>
      <c r="B1805" s="7">
        <v>45512</v>
      </c>
      <c r="C1805" s="6" t="s">
        <v>5008</v>
      </c>
      <c r="D1805" s="6" t="s">
        <v>4962</v>
      </c>
      <c r="E1805" s="6" t="s">
        <v>16</v>
      </c>
      <c r="F1805" s="7">
        <v>45542</v>
      </c>
      <c r="G1805" s="6" t="s">
        <v>3102</v>
      </c>
      <c r="H1805" s="8"/>
      <c r="I1805" s="9">
        <v>930</v>
      </c>
      <c r="J1805" s="9">
        <v>930</v>
      </c>
      <c r="K1805" s="5" t="str">
        <f>VLOOKUP(D1805,[1]Clientes!$A$1:$B$1485,2,0)</f>
        <v>NAC1519</v>
      </c>
      <c r="L1805" s="5" t="str">
        <f t="shared" si="56"/>
        <v>HGI0126335</v>
      </c>
      <c r="M1805" s="5" t="str">
        <f t="shared" si="57"/>
        <v>I</v>
      </c>
      <c r="N1805" s="5">
        <f>IF(G1805=[1]Clientes!$C$3,[1]Clientes!$D$3,[1]Clientes!$D$2)</f>
        <v>13050505</v>
      </c>
    </row>
    <row r="1806" spans="1:14">
      <c r="A1806" s="6" t="s">
        <v>7</v>
      </c>
      <c r="B1806" s="7">
        <v>45513</v>
      </c>
      <c r="C1806" s="6" t="s">
        <v>5009</v>
      </c>
      <c r="D1806" s="6" t="s">
        <v>4962</v>
      </c>
      <c r="E1806" s="6" t="s">
        <v>16</v>
      </c>
      <c r="F1806" s="7">
        <v>45543</v>
      </c>
      <c r="G1806" s="6" t="s">
        <v>3102</v>
      </c>
      <c r="H1806" s="8"/>
      <c r="I1806" s="9">
        <v>172.12</v>
      </c>
      <c r="J1806" s="9">
        <v>172.12</v>
      </c>
      <c r="K1806" s="5" t="str">
        <f>VLOOKUP(D1806,[1]Clientes!$A$1:$B$1485,2,0)</f>
        <v>NAC1519</v>
      </c>
      <c r="L1806" s="5" t="str">
        <f t="shared" si="56"/>
        <v>HGI0126356</v>
      </c>
      <c r="M1806" s="5" t="str">
        <f t="shared" si="57"/>
        <v>I</v>
      </c>
      <c r="N1806" s="5">
        <f>IF(G1806=[1]Clientes!$C$3,[1]Clientes!$D$3,[1]Clientes!$D$2)</f>
        <v>13050505</v>
      </c>
    </row>
    <row r="1807" spans="1:14">
      <c r="A1807" s="6" t="s">
        <v>7</v>
      </c>
      <c r="B1807" s="7">
        <v>45513</v>
      </c>
      <c r="C1807" s="6" t="s">
        <v>5010</v>
      </c>
      <c r="D1807" s="6" t="s">
        <v>4962</v>
      </c>
      <c r="E1807" s="6" t="s">
        <v>16</v>
      </c>
      <c r="F1807" s="7">
        <v>45543</v>
      </c>
      <c r="G1807" s="6" t="s">
        <v>3102</v>
      </c>
      <c r="H1807" s="8"/>
      <c r="I1807" s="9">
        <v>93</v>
      </c>
      <c r="J1807" s="9">
        <v>93</v>
      </c>
      <c r="K1807" s="5" t="str">
        <f>VLOOKUP(D1807,[1]Clientes!$A$1:$B$1485,2,0)</f>
        <v>NAC1519</v>
      </c>
      <c r="L1807" s="5" t="str">
        <f t="shared" si="56"/>
        <v>HGI0126357</v>
      </c>
      <c r="M1807" s="5" t="str">
        <f t="shared" si="57"/>
        <v>I</v>
      </c>
      <c r="N1807" s="5">
        <f>IF(G1807=[1]Clientes!$C$3,[1]Clientes!$D$3,[1]Clientes!$D$2)</f>
        <v>13050505</v>
      </c>
    </row>
    <row r="1808" spans="1:14">
      <c r="A1808" s="6" t="s">
        <v>7</v>
      </c>
      <c r="B1808" s="7">
        <v>45516</v>
      </c>
      <c r="C1808" s="6" t="s">
        <v>5011</v>
      </c>
      <c r="D1808" s="6" t="s">
        <v>4962</v>
      </c>
      <c r="E1808" s="6" t="s">
        <v>16</v>
      </c>
      <c r="F1808" s="7">
        <v>45546</v>
      </c>
      <c r="G1808" s="6" t="s">
        <v>3102</v>
      </c>
      <c r="H1808" s="8"/>
      <c r="I1808" s="9">
        <v>294</v>
      </c>
      <c r="J1808" s="9">
        <v>294</v>
      </c>
      <c r="K1808" s="5" t="str">
        <f>VLOOKUP(D1808,[1]Clientes!$A$1:$B$1485,2,0)</f>
        <v>NAC1519</v>
      </c>
      <c r="L1808" s="5" t="str">
        <f t="shared" si="56"/>
        <v>HGI0126396</v>
      </c>
      <c r="M1808" s="5" t="str">
        <f t="shared" si="57"/>
        <v>I</v>
      </c>
      <c r="N1808" s="5">
        <f>IF(G1808=[1]Clientes!$C$3,[1]Clientes!$D$3,[1]Clientes!$D$2)</f>
        <v>13050505</v>
      </c>
    </row>
    <row r="1809" spans="1:14">
      <c r="A1809" s="6" t="s">
        <v>7</v>
      </c>
      <c r="B1809" s="7">
        <v>45516</v>
      </c>
      <c r="C1809" s="6" t="s">
        <v>5012</v>
      </c>
      <c r="D1809" s="6" t="s">
        <v>4962</v>
      </c>
      <c r="E1809" s="6" t="s">
        <v>16</v>
      </c>
      <c r="F1809" s="7">
        <v>45546</v>
      </c>
      <c r="G1809" s="6" t="s">
        <v>3102</v>
      </c>
      <c r="H1809" s="8"/>
      <c r="I1809" s="9">
        <v>420.4</v>
      </c>
      <c r="J1809" s="9">
        <v>420.4</v>
      </c>
      <c r="K1809" s="5" t="str">
        <f>VLOOKUP(D1809,[1]Clientes!$A$1:$B$1485,2,0)</f>
        <v>NAC1519</v>
      </c>
      <c r="L1809" s="5" t="str">
        <f t="shared" si="56"/>
        <v>HGI0126402</v>
      </c>
      <c r="M1809" s="5" t="str">
        <f t="shared" si="57"/>
        <v>I</v>
      </c>
      <c r="N1809" s="5">
        <f>IF(G1809=[1]Clientes!$C$3,[1]Clientes!$D$3,[1]Clientes!$D$2)</f>
        <v>13050505</v>
      </c>
    </row>
    <row r="1810" spans="1:14">
      <c r="A1810" s="6" t="s">
        <v>7</v>
      </c>
      <c r="B1810" s="7">
        <v>45516</v>
      </c>
      <c r="C1810" s="6" t="s">
        <v>5013</v>
      </c>
      <c r="D1810" s="6" t="s">
        <v>4962</v>
      </c>
      <c r="E1810" s="6" t="s">
        <v>16</v>
      </c>
      <c r="F1810" s="7">
        <v>45546</v>
      </c>
      <c r="G1810" s="6" t="s">
        <v>3102</v>
      </c>
      <c r="H1810" s="8"/>
      <c r="I1810" s="9">
        <v>104.6</v>
      </c>
      <c r="J1810" s="9">
        <v>104.6</v>
      </c>
      <c r="K1810" s="5" t="str">
        <f>VLOOKUP(D1810,[1]Clientes!$A$1:$B$1485,2,0)</f>
        <v>NAC1519</v>
      </c>
      <c r="L1810" s="5" t="str">
        <f t="shared" si="56"/>
        <v>HGI0126432</v>
      </c>
      <c r="M1810" s="5" t="str">
        <f t="shared" si="57"/>
        <v>I</v>
      </c>
      <c r="N1810" s="5">
        <f>IF(G1810=[1]Clientes!$C$3,[1]Clientes!$D$3,[1]Clientes!$D$2)</f>
        <v>13050505</v>
      </c>
    </row>
    <row r="1811" spans="1:14">
      <c r="A1811" s="6" t="s">
        <v>7</v>
      </c>
      <c r="B1811" s="7">
        <v>45517</v>
      </c>
      <c r="C1811" s="6" t="s">
        <v>5014</v>
      </c>
      <c r="D1811" s="6" t="s">
        <v>4962</v>
      </c>
      <c r="E1811" s="6" t="s">
        <v>16</v>
      </c>
      <c r="F1811" s="7">
        <v>45547</v>
      </c>
      <c r="G1811" s="6" t="s">
        <v>3102</v>
      </c>
      <c r="H1811" s="8"/>
      <c r="I1811" s="9">
        <v>257.60000000000002</v>
      </c>
      <c r="J1811" s="9">
        <v>257.60000000000002</v>
      </c>
      <c r="K1811" s="5" t="str">
        <f>VLOOKUP(D1811,[1]Clientes!$A$1:$B$1485,2,0)</f>
        <v>NAC1519</v>
      </c>
      <c r="L1811" s="5" t="str">
        <f t="shared" si="56"/>
        <v>HGI0126455</v>
      </c>
      <c r="M1811" s="5" t="str">
        <f t="shared" si="57"/>
        <v>I</v>
      </c>
      <c r="N1811" s="5">
        <f>IF(G1811=[1]Clientes!$C$3,[1]Clientes!$D$3,[1]Clientes!$D$2)</f>
        <v>13050505</v>
      </c>
    </row>
    <row r="1812" spans="1:14">
      <c r="A1812" s="6" t="s">
        <v>7</v>
      </c>
      <c r="B1812" s="7">
        <v>45518</v>
      </c>
      <c r="C1812" s="6" t="s">
        <v>5015</v>
      </c>
      <c r="D1812" s="6" t="s">
        <v>4962</v>
      </c>
      <c r="E1812" s="6" t="s">
        <v>16</v>
      </c>
      <c r="F1812" s="7">
        <v>45548</v>
      </c>
      <c r="G1812" s="6" t="s">
        <v>3102</v>
      </c>
      <c r="H1812" s="8"/>
      <c r="I1812" s="9">
        <v>581.20000000000005</v>
      </c>
      <c r="J1812" s="9">
        <v>581.20000000000005</v>
      </c>
      <c r="K1812" s="5" t="str">
        <f>VLOOKUP(D1812,[1]Clientes!$A$1:$B$1485,2,0)</f>
        <v>NAC1519</v>
      </c>
      <c r="L1812" s="5" t="str">
        <f t="shared" si="56"/>
        <v>HGI0126480</v>
      </c>
      <c r="M1812" s="5" t="str">
        <f t="shared" si="57"/>
        <v>I</v>
      </c>
      <c r="N1812" s="5">
        <f>IF(G1812=[1]Clientes!$C$3,[1]Clientes!$D$3,[1]Clientes!$D$2)</f>
        <v>13050505</v>
      </c>
    </row>
    <row r="1813" spans="1:14">
      <c r="A1813" s="6" t="s">
        <v>7</v>
      </c>
      <c r="B1813" s="7">
        <v>45518</v>
      </c>
      <c r="C1813" s="6" t="s">
        <v>5016</v>
      </c>
      <c r="D1813" s="6" t="s">
        <v>4962</v>
      </c>
      <c r="E1813" s="6" t="s">
        <v>16</v>
      </c>
      <c r="F1813" s="7">
        <v>45548</v>
      </c>
      <c r="G1813" s="6" t="s">
        <v>3102</v>
      </c>
      <c r="H1813" s="8"/>
      <c r="I1813" s="9">
        <v>351.3</v>
      </c>
      <c r="J1813" s="9">
        <v>351.3</v>
      </c>
      <c r="K1813" s="5" t="str">
        <f>VLOOKUP(D1813,[1]Clientes!$A$1:$B$1485,2,0)</f>
        <v>NAC1519</v>
      </c>
      <c r="L1813" s="5" t="str">
        <f t="shared" si="56"/>
        <v>HGI0126482</v>
      </c>
      <c r="M1813" s="5" t="str">
        <f t="shared" si="57"/>
        <v>I</v>
      </c>
      <c r="N1813" s="5">
        <f>IF(G1813=[1]Clientes!$C$3,[1]Clientes!$D$3,[1]Clientes!$D$2)</f>
        <v>13050505</v>
      </c>
    </row>
    <row r="1814" spans="1:14">
      <c r="A1814" s="6" t="s">
        <v>7</v>
      </c>
      <c r="B1814" s="7">
        <v>45518</v>
      </c>
      <c r="C1814" s="6" t="s">
        <v>5017</v>
      </c>
      <c r="D1814" s="6" t="s">
        <v>4962</v>
      </c>
      <c r="E1814" s="6" t="s">
        <v>16</v>
      </c>
      <c r="F1814" s="7">
        <v>45548</v>
      </c>
      <c r="G1814" s="6" t="s">
        <v>3102</v>
      </c>
      <c r="H1814" s="8"/>
      <c r="I1814" s="9">
        <v>686</v>
      </c>
      <c r="J1814" s="9">
        <v>686</v>
      </c>
      <c r="K1814" s="5" t="str">
        <f>VLOOKUP(D1814,[1]Clientes!$A$1:$B$1485,2,0)</f>
        <v>NAC1519</v>
      </c>
      <c r="L1814" s="5" t="str">
        <f t="shared" si="56"/>
        <v>HGI0126483</v>
      </c>
      <c r="M1814" s="5" t="str">
        <f t="shared" si="57"/>
        <v>I</v>
      </c>
      <c r="N1814" s="5">
        <f>IF(G1814=[1]Clientes!$C$3,[1]Clientes!$D$3,[1]Clientes!$D$2)</f>
        <v>13050505</v>
      </c>
    </row>
    <row r="1815" spans="1:14">
      <c r="A1815" s="6" t="s">
        <v>3099</v>
      </c>
      <c r="B1815" s="7">
        <v>45519</v>
      </c>
      <c r="C1815" s="6" t="s">
        <v>5018</v>
      </c>
      <c r="D1815" s="6" t="s">
        <v>4962</v>
      </c>
      <c r="E1815" s="6" t="s">
        <v>16</v>
      </c>
      <c r="F1815" s="7">
        <v>45549</v>
      </c>
      <c r="G1815" s="6" t="s">
        <v>3102</v>
      </c>
      <c r="H1815" s="8"/>
      <c r="I1815" s="9">
        <v>-11.16</v>
      </c>
      <c r="J1815" s="9">
        <v>-11.16</v>
      </c>
      <c r="K1815" s="5" t="str">
        <f>VLOOKUP(D1815,[1]Clientes!$A$1:$B$1485,2,0)</f>
        <v>NAC1519</v>
      </c>
      <c r="L1815" s="5" t="str">
        <f t="shared" si="56"/>
        <v>CRM0126565</v>
      </c>
      <c r="M1815" s="5" t="str">
        <f t="shared" si="57"/>
        <v>C</v>
      </c>
      <c r="N1815" s="5">
        <f>IF(G1815=[1]Clientes!$C$3,[1]Clientes!$D$3,[1]Clientes!$D$2)</f>
        <v>13050505</v>
      </c>
    </row>
    <row r="1816" spans="1:14">
      <c r="A1816" s="6" t="s">
        <v>3099</v>
      </c>
      <c r="B1816" s="7">
        <v>45519</v>
      </c>
      <c r="C1816" s="6" t="s">
        <v>5019</v>
      </c>
      <c r="D1816" s="6" t="s">
        <v>4962</v>
      </c>
      <c r="E1816" s="6" t="s">
        <v>16</v>
      </c>
      <c r="F1816" s="7">
        <v>45549</v>
      </c>
      <c r="G1816" s="6" t="s">
        <v>3102</v>
      </c>
      <c r="H1816" s="8"/>
      <c r="I1816" s="9">
        <v>-25.31</v>
      </c>
      <c r="J1816" s="9">
        <v>-25.31</v>
      </c>
      <c r="K1816" s="5" t="str">
        <f>VLOOKUP(D1816,[1]Clientes!$A$1:$B$1485,2,0)</f>
        <v>NAC1519</v>
      </c>
      <c r="L1816" s="5" t="str">
        <f t="shared" si="56"/>
        <v>CRM0126566</v>
      </c>
      <c r="M1816" s="5" t="str">
        <f t="shared" si="57"/>
        <v>C</v>
      </c>
      <c r="N1816" s="5">
        <f>IF(G1816=[1]Clientes!$C$3,[1]Clientes!$D$3,[1]Clientes!$D$2)</f>
        <v>13050505</v>
      </c>
    </row>
    <row r="1817" spans="1:14">
      <c r="A1817" s="6" t="s">
        <v>3099</v>
      </c>
      <c r="B1817" s="7">
        <v>45519</v>
      </c>
      <c r="C1817" s="6" t="s">
        <v>5020</v>
      </c>
      <c r="D1817" s="6" t="s">
        <v>4962</v>
      </c>
      <c r="E1817" s="6" t="s">
        <v>16</v>
      </c>
      <c r="F1817" s="7">
        <v>45549</v>
      </c>
      <c r="G1817" s="6" t="s">
        <v>3102</v>
      </c>
      <c r="H1817" s="8"/>
      <c r="I1817" s="9">
        <v>-6.28</v>
      </c>
      <c r="J1817" s="9">
        <v>-6.28</v>
      </c>
      <c r="K1817" s="5" t="str">
        <f>VLOOKUP(D1817,[1]Clientes!$A$1:$B$1485,2,0)</f>
        <v>NAC1519</v>
      </c>
      <c r="L1817" s="5" t="str">
        <f t="shared" si="56"/>
        <v>CRM0126567</v>
      </c>
      <c r="M1817" s="5" t="str">
        <f t="shared" si="57"/>
        <v>C</v>
      </c>
      <c r="N1817" s="5">
        <f>IF(G1817=[1]Clientes!$C$3,[1]Clientes!$D$3,[1]Clientes!$D$2)</f>
        <v>13050505</v>
      </c>
    </row>
    <row r="1818" spans="1:14">
      <c r="A1818" s="6" t="s">
        <v>3099</v>
      </c>
      <c r="B1818" s="7">
        <v>45519</v>
      </c>
      <c r="C1818" s="6" t="s">
        <v>5021</v>
      </c>
      <c r="D1818" s="6" t="s">
        <v>4962</v>
      </c>
      <c r="E1818" s="6" t="s">
        <v>16</v>
      </c>
      <c r="F1818" s="7">
        <v>45549</v>
      </c>
      <c r="G1818" s="6" t="s">
        <v>3102</v>
      </c>
      <c r="H1818" s="8"/>
      <c r="I1818" s="9">
        <v>-12.35</v>
      </c>
      <c r="J1818" s="9">
        <v>-12.35</v>
      </c>
      <c r="K1818" s="5" t="str">
        <f>VLOOKUP(D1818,[1]Clientes!$A$1:$B$1485,2,0)</f>
        <v>NAC1519</v>
      </c>
      <c r="L1818" s="5" t="str">
        <f t="shared" si="56"/>
        <v>CRM0126568</v>
      </c>
      <c r="M1818" s="5" t="str">
        <f t="shared" si="57"/>
        <v>C</v>
      </c>
      <c r="N1818" s="5">
        <f>IF(G1818=[1]Clientes!$C$3,[1]Clientes!$D$3,[1]Clientes!$D$2)</f>
        <v>13050505</v>
      </c>
    </row>
    <row r="1819" spans="1:14">
      <c r="A1819" s="6" t="s">
        <v>3099</v>
      </c>
      <c r="B1819" s="7">
        <v>45519</v>
      </c>
      <c r="C1819" s="6" t="s">
        <v>5022</v>
      </c>
      <c r="D1819" s="6" t="s">
        <v>4962</v>
      </c>
      <c r="E1819" s="6" t="s">
        <v>16</v>
      </c>
      <c r="F1819" s="7">
        <v>45549</v>
      </c>
      <c r="G1819" s="6" t="s">
        <v>3102</v>
      </c>
      <c r="H1819" s="8"/>
      <c r="I1819" s="9">
        <v>-5.64</v>
      </c>
      <c r="J1819" s="9">
        <v>-5.64</v>
      </c>
      <c r="K1819" s="5" t="str">
        <f>VLOOKUP(D1819,[1]Clientes!$A$1:$B$1485,2,0)</f>
        <v>NAC1519</v>
      </c>
      <c r="L1819" s="5" t="str">
        <f t="shared" si="56"/>
        <v>CRM0126569</v>
      </c>
      <c r="M1819" s="5" t="str">
        <f t="shared" si="57"/>
        <v>C</v>
      </c>
      <c r="N1819" s="5">
        <f>IF(G1819=[1]Clientes!$C$3,[1]Clientes!$D$3,[1]Clientes!$D$2)</f>
        <v>13050505</v>
      </c>
    </row>
    <row r="1820" spans="1:14">
      <c r="A1820" s="6" t="s">
        <v>3099</v>
      </c>
      <c r="B1820" s="7">
        <v>45519</v>
      </c>
      <c r="C1820" s="6" t="s">
        <v>5023</v>
      </c>
      <c r="D1820" s="6" t="s">
        <v>4962</v>
      </c>
      <c r="E1820" s="6" t="s">
        <v>16</v>
      </c>
      <c r="F1820" s="7">
        <v>45549</v>
      </c>
      <c r="G1820" s="6" t="s">
        <v>3102</v>
      </c>
      <c r="H1820" s="8"/>
      <c r="I1820" s="9">
        <v>-18.48</v>
      </c>
      <c r="J1820" s="9">
        <v>-18.48</v>
      </c>
      <c r="K1820" s="5" t="str">
        <f>VLOOKUP(D1820,[1]Clientes!$A$1:$B$1485,2,0)</f>
        <v>NAC1519</v>
      </c>
      <c r="L1820" s="5" t="str">
        <f t="shared" si="56"/>
        <v>CRM0126576</v>
      </c>
      <c r="M1820" s="5" t="str">
        <f t="shared" si="57"/>
        <v>C</v>
      </c>
      <c r="N1820" s="5">
        <f>IF(G1820=[1]Clientes!$C$3,[1]Clientes!$D$3,[1]Clientes!$D$2)</f>
        <v>13050505</v>
      </c>
    </row>
    <row r="1821" spans="1:14">
      <c r="A1821" s="6" t="s">
        <v>3099</v>
      </c>
      <c r="B1821" s="7">
        <v>45519</v>
      </c>
      <c r="C1821" s="6" t="s">
        <v>5024</v>
      </c>
      <c r="D1821" s="6" t="s">
        <v>4962</v>
      </c>
      <c r="E1821" s="6" t="s">
        <v>16</v>
      </c>
      <c r="F1821" s="7">
        <v>45549</v>
      </c>
      <c r="G1821" s="6" t="s">
        <v>3102</v>
      </c>
      <c r="H1821" s="8"/>
      <c r="I1821" s="9">
        <v>-4.4400000000000004</v>
      </c>
      <c r="J1821" s="9">
        <v>-4.4400000000000004</v>
      </c>
      <c r="K1821" s="5" t="str">
        <f>VLOOKUP(D1821,[1]Clientes!$A$1:$B$1485,2,0)</f>
        <v>NAC1519</v>
      </c>
      <c r="L1821" s="5" t="str">
        <f t="shared" si="56"/>
        <v>CRM0126578</v>
      </c>
      <c r="M1821" s="5" t="str">
        <f t="shared" si="57"/>
        <v>C</v>
      </c>
      <c r="N1821" s="5">
        <f>IF(G1821=[1]Clientes!$C$3,[1]Clientes!$D$3,[1]Clientes!$D$2)</f>
        <v>13050505</v>
      </c>
    </row>
    <row r="1822" spans="1:14">
      <c r="A1822" s="6" t="s">
        <v>7</v>
      </c>
      <c r="B1822" s="7">
        <v>45523</v>
      </c>
      <c r="C1822" s="6" t="s">
        <v>5025</v>
      </c>
      <c r="D1822" s="6" t="s">
        <v>4962</v>
      </c>
      <c r="E1822" s="6" t="s">
        <v>16</v>
      </c>
      <c r="F1822" s="7">
        <v>45553</v>
      </c>
      <c r="G1822" s="6" t="s">
        <v>3102</v>
      </c>
      <c r="H1822" s="8"/>
      <c r="I1822" s="9">
        <v>321.8</v>
      </c>
      <c r="J1822" s="9">
        <v>321.8</v>
      </c>
      <c r="K1822" s="5" t="str">
        <f>VLOOKUP(D1822,[1]Clientes!$A$1:$B$1485,2,0)</f>
        <v>NAC1519</v>
      </c>
      <c r="L1822" s="5" t="str">
        <f t="shared" si="56"/>
        <v>HGI0126640</v>
      </c>
      <c r="M1822" s="5" t="str">
        <f t="shared" si="57"/>
        <v>I</v>
      </c>
      <c r="N1822" s="5">
        <f>IF(G1822=[1]Clientes!$C$3,[1]Clientes!$D$3,[1]Clientes!$D$2)</f>
        <v>13050505</v>
      </c>
    </row>
    <row r="1823" spans="1:14">
      <c r="A1823" s="6" t="s">
        <v>7</v>
      </c>
      <c r="B1823" s="7">
        <v>45523</v>
      </c>
      <c r="C1823" s="6" t="s">
        <v>5026</v>
      </c>
      <c r="D1823" s="6" t="s">
        <v>4962</v>
      </c>
      <c r="E1823" s="6" t="s">
        <v>16</v>
      </c>
      <c r="F1823" s="7">
        <v>45553</v>
      </c>
      <c r="G1823" s="6" t="s">
        <v>3102</v>
      </c>
      <c r="H1823" s="8"/>
      <c r="I1823" s="9">
        <v>93</v>
      </c>
      <c r="J1823" s="9">
        <v>93</v>
      </c>
      <c r="K1823" s="5" t="str">
        <f>VLOOKUP(D1823,[1]Clientes!$A$1:$B$1485,2,0)</f>
        <v>NAC1519</v>
      </c>
      <c r="L1823" s="5" t="str">
        <f t="shared" si="56"/>
        <v>HGI0126641</v>
      </c>
      <c r="M1823" s="5" t="str">
        <f t="shared" si="57"/>
        <v>I</v>
      </c>
      <c r="N1823" s="5">
        <f>IF(G1823=[1]Clientes!$C$3,[1]Clientes!$D$3,[1]Clientes!$D$2)</f>
        <v>13050505</v>
      </c>
    </row>
    <row r="1824" spans="1:14">
      <c r="A1824" s="6" t="s">
        <v>7</v>
      </c>
      <c r="B1824" s="7">
        <v>45523</v>
      </c>
      <c r="C1824" s="6" t="s">
        <v>5027</v>
      </c>
      <c r="D1824" s="6" t="s">
        <v>4962</v>
      </c>
      <c r="E1824" s="6" t="s">
        <v>16</v>
      </c>
      <c r="F1824" s="7">
        <v>45553</v>
      </c>
      <c r="G1824" s="6" t="s">
        <v>3102</v>
      </c>
      <c r="H1824" s="8"/>
      <c r="I1824" s="9">
        <v>168.3</v>
      </c>
      <c r="J1824" s="9">
        <v>168.3</v>
      </c>
      <c r="K1824" s="5" t="str">
        <f>VLOOKUP(D1824,[1]Clientes!$A$1:$B$1485,2,0)</f>
        <v>NAC1519</v>
      </c>
      <c r="L1824" s="5" t="str">
        <f t="shared" si="56"/>
        <v>HGI0126642</v>
      </c>
      <c r="M1824" s="5" t="str">
        <f t="shared" si="57"/>
        <v>I</v>
      </c>
      <c r="N1824" s="5">
        <f>IF(G1824=[1]Clientes!$C$3,[1]Clientes!$D$3,[1]Clientes!$D$2)</f>
        <v>13050505</v>
      </c>
    </row>
    <row r="1825" spans="1:14">
      <c r="A1825" s="6" t="s">
        <v>7</v>
      </c>
      <c r="B1825" s="7">
        <v>45523</v>
      </c>
      <c r="C1825" s="6" t="s">
        <v>5028</v>
      </c>
      <c r="D1825" s="6" t="s">
        <v>4962</v>
      </c>
      <c r="E1825" s="6" t="s">
        <v>16</v>
      </c>
      <c r="F1825" s="7">
        <v>45553</v>
      </c>
      <c r="G1825" s="6" t="s">
        <v>3102</v>
      </c>
      <c r="H1825" s="8"/>
      <c r="I1825" s="9">
        <v>261.5</v>
      </c>
      <c r="J1825" s="9">
        <v>261.5</v>
      </c>
      <c r="K1825" s="5" t="str">
        <f>VLOOKUP(D1825,[1]Clientes!$A$1:$B$1485,2,0)</f>
        <v>NAC1519</v>
      </c>
      <c r="L1825" s="5" t="str">
        <f t="shared" si="56"/>
        <v>HGI0126646</v>
      </c>
      <c r="M1825" s="5" t="str">
        <f t="shared" si="57"/>
        <v>I</v>
      </c>
      <c r="N1825" s="5">
        <f>IF(G1825=[1]Clientes!$C$3,[1]Clientes!$D$3,[1]Clientes!$D$2)</f>
        <v>13050505</v>
      </c>
    </row>
    <row r="1826" spans="1:14">
      <c r="A1826" s="6" t="s">
        <v>7</v>
      </c>
      <c r="B1826" s="7">
        <v>45523</v>
      </c>
      <c r="C1826" s="6" t="s">
        <v>5029</v>
      </c>
      <c r="D1826" s="6" t="s">
        <v>4962</v>
      </c>
      <c r="E1826" s="6" t="s">
        <v>16</v>
      </c>
      <c r="F1826" s="7">
        <v>45553</v>
      </c>
      <c r="G1826" s="6" t="s">
        <v>3102</v>
      </c>
      <c r="H1826" s="8"/>
      <c r="I1826" s="9">
        <v>107.6</v>
      </c>
      <c r="J1826" s="9">
        <v>107.6</v>
      </c>
      <c r="K1826" s="5" t="str">
        <f>VLOOKUP(D1826,[1]Clientes!$A$1:$B$1485,2,0)</f>
        <v>NAC1519</v>
      </c>
      <c r="L1826" s="5" t="str">
        <f t="shared" si="56"/>
        <v>HGI0126688</v>
      </c>
      <c r="M1826" s="5" t="str">
        <f t="shared" si="57"/>
        <v>I</v>
      </c>
      <c r="N1826" s="5">
        <f>IF(G1826=[1]Clientes!$C$3,[1]Clientes!$D$3,[1]Clientes!$D$2)</f>
        <v>13050505</v>
      </c>
    </row>
    <row r="1827" spans="1:14">
      <c r="A1827" s="6" t="s">
        <v>7</v>
      </c>
      <c r="B1827" s="7">
        <v>45525</v>
      </c>
      <c r="C1827" s="6" t="s">
        <v>5030</v>
      </c>
      <c r="D1827" s="6" t="s">
        <v>4962</v>
      </c>
      <c r="E1827" s="6" t="s">
        <v>16</v>
      </c>
      <c r="F1827" s="7">
        <v>45555</v>
      </c>
      <c r="G1827" s="6" t="s">
        <v>3102</v>
      </c>
      <c r="H1827" s="8"/>
      <c r="I1827" s="9">
        <v>930</v>
      </c>
      <c r="J1827" s="9">
        <v>930</v>
      </c>
      <c r="K1827" s="5" t="str">
        <f>VLOOKUP(D1827,[1]Clientes!$A$1:$B$1485,2,0)</f>
        <v>NAC1519</v>
      </c>
      <c r="L1827" s="5" t="str">
        <f t="shared" si="56"/>
        <v>HGI0126744</v>
      </c>
      <c r="M1827" s="5" t="str">
        <f t="shared" si="57"/>
        <v>I</v>
      </c>
      <c r="N1827" s="5">
        <f>IF(G1827=[1]Clientes!$C$3,[1]Clientes!$D$3,[1]Clientes!$D$2)</f>
        <v>13050505</v>
      </c>
    </row>
    <row r="1828" spans="1:14">
      <c r="A1828" s="6" t="s">
        <v>7</v>
      </c>
      <c r="B1828" s="7">
        <v>45525</v>
      </c>
      <c r="C1828" s="6" t="s">
        <v>5031</v>
      </c>
      <c r="D1828" s="6" t="s">
        <v>4962</v>
      </c>
      <c r="E1828" s="6" t="s">
        <v>16</v>
      </c>
      <c r="F1828" s="7">
        <v>45555</v>
      </c>
      <c r="G1828" s="6" t="s">
        <v>3102</v>
      </c>
      <c r="H1828" s="8"/>
      <c r="I1828" s="9">
        <v>93</v>
      </c>
      <c r="J1828" s="9">
        <v>93</v>
      </c>
      <c r="K1828" s="5" t="str">
        <f>VLOOKUP(D1828,[1]Clientes!$A$1:$B$1485,2,0)</f>
        <v>NAC1519</v>
      </c>
      <c r="L1828" s="5" t="str">
        <f t="shared" si="56"/>
        <v>HGI0126745</v>
      </c>
      <c r="M1828" s="5" t="str">
        <f t="shared" si="57"/>
        <v>I</v>
      </c>
      <c r="N1828" s="5">
        <f>IF(G1828=[1]Clientes!$C$3,[1]Clientes!$D$3,[1]Clientes!$D$2)</f>
        <v>13050505</v>
      </c>
    </row>
    <row r="1829" spans="1:14">
      <c r="A1829" s="6" t="s">
        <v>7</v>
      </c>
      <c r="B1829" s="7">
        <v>45526</v>
      </c>
      <c r="C1829" s="6" t="s">
        <v>5032</v>
      </c>
      <c r="D1829" s="6" t="s">
        <v>4962</v>
      </c>
      <c r="E1829" s="6" t="s">
        <v>16</v>
      </c>
      <c r="F1829" s="7">
        <v>45556</v>
      </c>
      <c r="G1829" s="6" t="s">
        <v>3102</v>
      </c>
      <c r="H1829" s="8"/>
      <c r="I1829" s="9">
        <v>480</v>
      </c>
      <c r="J1829" s="9">
        <v>480</v>
      </c>
      <c r="K1829" s="5" t="str">
        <f>VLOOKUP(D1829,[1]Clientes!$A$1:$B$1485,2,0)</f>
        <v>NAC1519</v>
      </c>
      <c r="L1829" s="5" t="str">
        <f t="shared" si="56"/>
        <v>HGI0126772</v>
      </c>
      <c r="M1829" s="5" t="str">
        <f t="shared" si="57"/>
        <v>I</v>
      </c>
      <c r="N1829" s="5">
        <f>IF(G1829=[1]Clientes!$C$3,[1]Clientes!$D$3,[1]Clientes!$D$2)</f>
        <v>13050505</v>
      </c>
    </row>
    <row r="1830" spans="1:14">
      <c r="A1830" s="6" t="s">
        <v>7</v>
      </c>
      <c r="B1830" s="7">
        <v>45526</v>
      </c>
      <c r="C1830" s="6" t="s">
        <v>5033</v>
      </c>
      <c r="D1830" s="6" t="s">
        <v>4962</v>
      </c>
      <c r="E1830" s="6" t="s">
        <v>16</v>
      </c>
      <c r="F1830" s="7">
        <v>45556</v>
      </c>
      <c r="G1830" s="6" t="s">
        <v>3102</v>
      </c>
      <c r="H1830" s="8"/>
      <c r="I1830" s="9">
        <v>104.6</v>
      </c>
      <c r="J1830" s="9">
        <v>104.6</v>
      </c>
      <c r="K1830" s="5" t="str">
        <f>VLOOKUP(D1830,[1]Clientes!$A$1:$B$1485,2,0)</f>
        <v>NAC1519</v>
      </c>
      <c r="L1830" s="5" t="str">
        <f t="shared" si="56"/>
        <v>HGI0126775</v>
      </c>
      <c r="M1830" s="5" t="str">
        <f t="shared" si="57"/>
        <v>I</v>
      </c>
      <c r="N1830" s="5">
        <f>IF(G1830=[1]Clientes!$C$3,[1]Clientes!$D$3,[1]Clientes!$D$2)</f>
        <v>13050505</v>
      </c>
    </row>
    <row r="1831" spans="1:14">
      <c r="A1831" s="6" t="s">
        <v>7</v>
      </c>
      <c r="B1831" s="7">
        <v>45526</v>
      </c>
      <c r="C1831" s="6" t="s">
        <v>5034</v>
      </c>
      <c r="D1831" s="6" t="s">
        <v>4962</v>
      </c>
      <c r="E1831" s="6" t="s">
        <v>16</v>
      </c>
      <c r="F1831" s="7">
        <v>45556</v>
      </c>
      <c r="G1831" s="6" t="s">
        <v>3102</v>
      </c>
      <c r="H1831" s="8"/>
      <c r="I1831" s="9">
        <v>465</v>
      </c>
      <c r="J1831" s="9">
        <v>465</v>
      </c>
      <c r="K1831" s="5" t="str">
        <f>VLOOKUP(D1831,[1]Clientes!$A$1:$B$1485,2,0)</f>
        <v>NAC1519</v>
      </c>
      <c r="L1831" s="5" t="str">
        <f t="shared" si="56"/>
        <v>HGI0126803</v>
      </c>
      <c r="M1831" s="5" t="str">
        <f t="shared" si="57"/>
        <v>I</v>
      </c>
      <c r="N1831" s="5">
        <f>IF(G1831=[1]Clientes!$C$3,[1]Clientes!$D$3,[1]Clientes!$D$2)</f>
        <v>13050505</v>
      </c>
    </row>
    <row r="1832" spans="1:14">
      <c r="A1832" s="6" t="s">
        <v>7</v>
      </c>
      <c r="B1832" s="7">
        <v>45526</v>
      </c>
      <c r="C1832" s="6" t="s">
        <v>5035</v>
      </c>
      <c r="D1832" s="6" t="s">
        <v>4962</v>
      </c>
      <c r="E1832" s="6" t="s">
        <v>16</v>
      </c>
      <c r="F1832" s="7">
        <v>45556</v>
      </c>
      <c r="G1832" s="6" t="s">
        <v>3102</v>
      </c>
      <c r="H1832" s="8"/>
      <c r="I1832" s="9">
        <v>325</v>
      </c>
      <c r="J1832" s="9">
        <v>325</v>
      </c>
      <c r="K1832" s="5" t="str">
        <f>VLOOKUP(D1832,[1]Clientes!$A$1:$B$1485,2,0)</f>
        <v>NAC1519</v>
      </c>
      <c r="L1832" s="5" t="str">
        <f t="shared" si="56"/>
        <v>HGI0126806</v>
      </c>
      <c r="M1832" s="5" t="str">
        <f t="shared" si="57"/>
        <v>I</v>
      </c>
      <c r="N1832" s="5">
        <f>IF(G1832=[1]Clientes!$C$3,[1]Clientes!$D$3,[1]Clientes!$D$2)</f>
        <v>13050505</v>
      </c>
    </row>
    <row r="1833" spans="1:14">
      <c r="A1833" s="6" t="s">
        <v>7</v>
      </c>
      <c r="B1833" s="7">
        <v>45527</v>
      </c>
      <c r="C1833" s="6" t="s">
        <v>5036</v>
      </c>
      <c r="D1833" s="6" t="s">
        <v>4962</v>
      </c>
      <c r="E1833" s="6" t="s">
        <v>16</v>
      </c>
      <c r="F1833" s="7">
        <v>45557</v>
      </c>
      <c r="G1833" s="6" t="s">
        <v>3102</v>
      </c>
      <c r="H1833" s="8"/>
      <c r="I1833" s="9">
        <v>53.06</v>
      </c>
      <c r="J1833" s="9">
        <v>53.06</v>
      </c>
      <c r="K1833" s="5" t="str">
        <f>VLOOKUP(D1833,[1]Clientes!$A$1:$B$1485,2,0)</f>
        <v>NAC1519</v>
      </c>
      <c r="L1833" s="5" t="str">
        <f t="shared" si="56"/>
        <v>HGI0126821</v>
      </c>
      <c r="M1833" s="5" t="str">
        <f t="shared" si="57"/>
        <v>I</v>
      </c>
      <c r="N1833" s="5">
        <f>IF(G1833=[1]Clientes!$C$3,[1]Clientes!$D$3,[1]Clientes!$D$2)</f>
        <v>13050505</v>
      </c>
    </row>
    <row r="1834" spans="1:14">
      <c r="A1834" s="6" t="s">
        <v>7</v>
      </c>
      <c r="B1834" s="7">
        <v>45527</v>
      </c>
      <c r="C1834" s="6" t="s">
        <v>5037</v>
      </c>
      <c r="D1834" s="6" t="s">
        <v>4962</v>
      </c>
      <c r="E1834" s="6" t="s">
        <v>16</v>
      </c>
      <c r="F1834" s="7">
        <v>45557</v>
      </c>
      <c r="G1834" s="6" t="s">
        <v>3102</v>
      </c>
      <c r="H1834" s="8"/>
      <c r="I1834" s="9">
        <v>278.39</v>
      </c>
      <c r="J1834" s="9">
        <v>278.39</v>
      </c>
      <c r="K1834" s="5" t="str">
        <f>VLOOKUP(D1834,[1]Clientes!$A$1:$B$1485,2,0)</f>
        <v>NAC1519</v>
      </c>
      <c r="L1834" s="5" t="str">
        <f t="shared" si="56"/>
        <v>HGI0126823</v>
      </c>
      <c r="M1834" s="5" t="str">
        <f t="shared" si="57"/>
        <v>I</v>
      </c>
      <c r="N1834" s="5">
        <f>IF(G1834=[1]Clientes!$C$3,[1]Clientes!$D$3,[1]Clientes!$D$2)</f>
        <v>13050505</v>
      </c>
    </row>
    <row r="1835" spans="1:14">
      <c r="A1835" s="6" t="s">
        <v>7</v>
      </c>
      <c r="B1835" s="7">
        <v>45527</v>
      </c>
      <c r="C1835" s="6" t="s">
        <v>5038</v>
      </c>
      <c r="D1835" s="6" t="s">
        <v>4962</v>
      </c>
      <c r="E1835" s="6" t="s">
        <v>16</v>
      </c>
      <c r="F1835" s="7">
        <v>45557</v>
      </c>
      <c r="G1835" s="6" t="s">
        <v>3102</v>
      </c>
      <c r="H1835" s="8"/>
      <c r="I1835" s="9">
        <v>223.63</v>
      </c>
      <c r="J1835" s="9">
        <v>223.63</v>
      </c>
      <c r="K1835" s="5" t="str">
        <f>VLOOKUP(D1835,[1]Clientes!$A$1:$B$1485,2,0)</f>
        <v>NAC1519</v>
      </c>
      <c r="L1835" s="5" t="str">
        <f t="shared" si="56"/>
        <v>HGI0126826</v>
      </c>
      <c r="M1835" s="5" t="str">
        <f t="shared" si="57"/>
        <v>I</v>
      </c>
      <c r="N1835" s="5">
        <f>IF(G1835=[1]Clientes!$C$3,[1]Clientes!$D$3,[1]Clientes!$D$2)</f>
        <v>13050505</v>
      </c>
    </row>
    <row r="1836" spans="1:14">
      <c r="A1836" s="6" t="s">
        <v>7</v>
      </c>
      <c r="B1836" s="7">
        <v>45531</v>
      </c>
      <c r="C1836" s="6" t="s">
        <v>5039</v>
      </c>
      <c r="D1836" s="6" t="s">
        <v>4962</v>
      </c>
      <c r="E1836" s="6" t="s">
        <v>16</v>
      </c>
      <c r="F1836" s="7">
        <v>45561</v>
      </c>
      <c r="G1836" s="6" t="s">
        <v>3102</v>
      </c>
      <c r="H1836" s="8"/>
      <c r="I1836" s="9">
        <v>261</v>
      </c>
      <c r="J1836" s="9">
        <v>261</v>
      </c>
      <c r="K1836" s="5" t="str">
        <f>VLOOKUP(D1836,[1]Clientes!$A$1:$B$1485,2,0)</f>
        <v>NAC1519</v>
      </c>
      <c r="L1836" s="5" t="str">
        <f t="shared" si="56"/>
        <v>HGI0126908</v>
      </c>
      <c r="M1836" s="5" t="str">
        <f t="shared" si="57"/>
        <v>I</v>
      </c>
      <c r="N1836" s="5">
        <f>IF(G1836=[1]Clientes!$C$3,[1]Clientes!$D$3,[1]Clientes!$D$2)</f>
        <v>13050505</v>
      </c>
    </row>
    <row r="1837" spans="1:14">
      <c r="A1837" s="6" t="s">
        <v>7</v>
      </c>
      <c r="B1837" s="7">
        <v>45531</v>
      </c>
      <c r="C1837" s="6" t="s">
        <v>5040</v>
      </c>
      <c r="D1837" s="6" t="s">
        <v>4962</v>
      </c>
      <c r="E1837" s="6" t="s">
        <v>16</v>
      </c>
      <c r="F1837" s="7">
        <v>45561</v>
      </c>
      <c r="G1837" s="6" t="s">
        <v>3102</v>
      </c>
      <c r="H1837" s="8"/>
      <c r="I1837" s="9">
        <v>250</v>
      </c>
      <c r="J1837" s="9">
        <v>250</v>
      </c>
      <c r="K1837" s="5" t="str">
        <f>VLOOKUP(D1837,[1]Clientes!$A$1:$B$1485,2,0)</f>
        <v>NAC1519</v>
      </c>
      <c r="L1837" s="5" t="str">
        <f t="shared" si="56"/>
        <v>HGI0126910</v>
      </c>
      <c r="M1837" s="5" t="str">
        <f t="shared" si="57"/>
        <v>I</v>
      </c>
      <c r="N1837" s="5">
        <f>IF(G1837=[1]Clientes!$C$3,[1]Clientes!$D$3,[1]Clientes!$D$2)</f>
        <v>13050505</v>
      </c>
    </row>
    <row r="1838" spans="1:14">
      <c r="A1838" s="6" t="s">
        <v>3099</v>
      </c>
      <c r="B1838" s="7">
        <v>45532</v>
      </c>
      <c r="C1838" s="6" t="s">
        <v>5041</v>
      </c>
      <c r="D1838" s="6" t="s">
        <v>4962</v>
      </c>
      <c r="E1838" s="6" t="s">
        <v>16</v>
      </c>
      <c r="F1838" s="7">
        <v>45562</v>
      </c>
      <c r="G1838" s="6" t="s">
        <v>3102</v>
      </c>
      <c r="H1838" s="8"/>
      <c r="I1838" s="9">
        <v>-9.6199999999999992</v>
      </c>
      <c r="J1838" s="9">
        <v>-9.6199999999999992</v>
      </c>
      <c r="K1838" s="5" t="str">
        <f>VLOOKUP(D1838,[1]Clientes!$A$1:$B$1485,2,0)</f>
        <v>NAC1519</v>
      </c>
      <c r="L1838" s="5" t="str">
        <f t="shared" si="56"/>
        <v>CRM0126915</v>
      </c>
      <c r="M1838" s="5" t="str">
        <f t="shared" si="57"/>
        <v>C</v>
      </c>
      <c r="N1838" s="5">
        <f>IF(G1838=[1]Clientes!$C$3,[1]Clientes!$D$3,[1]Clientes!$D$2)</f>
        <v>13050505</v>
      </c>
    </row>
    <row r="1839" spans="1:14">
      <c r="A1839" s="6" t="s">
        <v>3099</v>
      </c>
      <c r="B1839" s="7">
        <v>45532</v>
      </c>
      <c r="C1839" s="6" t="s">
        <v>5042</v>
      </c>
      <c r="D1839" s="6" t="s">
        <v>4962</v>
      </c>
      <c r="E1839" s="6" t="s">
        <v>16</v>
      </c>
      <c r="F1839" s="7">
        <v>45562</v>
      </c>
      <c r="G1839" s="6" t="s">
        <v>3102</v>
      </c>
      <c r="H1839" s="8"/>
      <c r="I1839" s="9">
        <v>-33.54</v>
      </c>
      <c r="J1839" s="9">
        <v>-33.54</v>
      </c>
      <c r="K1839" s="5" t="str">
        <f>VLOOKUP(D1839,[1]Clientes!$A$1:$B$1485,2,0)</f>
        <v>NAC1519</v>
      </c>
      <c r="L1839" s="5" t="str">
        <f t="shared" si="56"/>
        <v>CRM0126916</v>
      </c>
      <c r="M1839" s="5" t="str">
        <f t="shared" si="57"/>
        <v>C</v>
      </c>
      <c r="N1839" s="5">
        <f>IF(G1839=[1]Clientes!$C$3,[1]Clientes!$D$3,[1]Clientes!$D$2)</f>
        <v>13050505</v>
      </c>
    </row>
    <row r="1840" spans="1:14">
      <c r="A1840" s="6" t="s">
        <v>3099</v>
      </c>
      <c r="B1840" s="7">
        <v>45532</v>
      </c>
      <c r="C1840" s="6" t="s">
        <v>5043</v>
      </c>
      <c r="D1840" s="6" t="s">
        <v>4962</v>
      </c>
      <c r="E1840" s="6" t="s">
        <v>16</v>
      </c>
      <c r="F1840" s="7">
        <v>45562</v>
      </c>
      <c r="G1840" s="6" t="s">
        <v>3102</v>
      </c>
      <c r="H1840" s="8"/>
      <c r="I1840" s="9">
        <v>-4.4400000000000004</v>
      </c>
      <c r="J1840" s="9">
        <v>-4.4400000000000004</v>
      </c>
      <c r="K1840" s="5" t="str">
        <f>VLOOKUP(D1840,[1]Clientes!$A$1:$B$1485,2,0)</f>
        <v>NAC1519</v>
      </c>
      <c r="L1840" s="5" t="str">
        <f t="shared" si="56"/>
        <v>CRM0126918</v>
      </c>
      <c r="M1840" s="5" t="str">
        <f t="shared" si="57"/>
        <v>C</v>
      </c>
      <c r="N1840" s="5">
        <f>IF(G1840=[1]Clientes!$C$3,[1]Clientes!$D$3,[1]Clientes!$D$2)</f>
        <v>13050505</v>
      </c>
    </row>
    <row r="1841" spans="1:14">
      <c r="A1841" s="6" t="s">
        <v>3099</v>
      </c>
      <c r="B1841" s="7">
        <v>45532</v>
      </c>
      <c r="C1841" s="6" t="s">
        <v>5044</v>
      </c>
      <c r="D1841" s="6" t="s">
        <v>4962</v>
      </c>
      <c r="E1841" s="6" t="s">
        <v>16</v>
      </c>
      <c r="F1841" s="7">
        <v>45562</v>
      </c>
      <c r="G1841" s="6" t="s">
        <v>3102</v>
      </c>
      <c r="H1841" s="8"/>
      <c r="I1841" s="9">
        <v>-2.54</v>
      </c>
      <c r="J1841" s="9">
        <v>-2.54</v>
      </c>
      <c r="K1841" s="5" t="str">
        <f>VLOOKUP(D1841,[1]Clientes!$A$1:$B$1485,2,0)</f>
        <v>NAC1519</v>
      </c>
      <c r="L1841" s="5" t="str">
        <f t="shared" si="56"/>
        <v>CRM0126919</v>
      </c>
      <c r="M1841" s="5" t="str">
        <f t="shared" si="57"/>
        <v>C</v>
      </c>
      <c r="N1841" s="5">
        <f>IF(G1841=[1]Clientes!$C$3,[1]Clientes!$D$3,[1]Clientes!$D$2)</f>
        <v>13050505</v>
      </c>
    </row>
    <row r="1842" spans="1:14">
      <c r="A1842" s="6" t="s">
        <v>3099</v>
      </c>
      <c r="B1842" s="7">
        <v>45532</v>
      </c>
      <c r="C1842" s="6" t="s">
        <v>5045</v>
      </c>
      <c r="D1842" s="6" t="s">
        <v>4962</v>
      </c>
      <c r="E1842" s="6" t="s">
        <v>16</v>
      </c>
      <c r="F1842" s="7">
        <v>45562</v>
      </c>
      <c r="G1842" s="6" t="s">
        <v>3102</v>
      </c>
      <c r="H1842" s="8"/>
      <c r="I1842" s="9">
        <v>-23.8</v>
      </c>
      <c r="J1842" s="9">
        <v>-23.8</v>
      </c>
      <c r="K1842" s="5" t="str">
        <f>VLOOKUP(D1842,[1]Clientes!$A$1:$B$1485,2,0)</f>
        <v>NAC1519</v>
      </c>
      <c r="L1842" s="5" t="str">
        <f t="shared" si="56"/>
        <v>CRM0126921</v>
      </c>
      <c r="M1842" s="5" t="str">
        <f t="shared" si="57"/>
        <v>C</v>
      </c>
      <c r="N1842" s="5">
        <f>IF(G1842=[1]Clientes!$C$3,[1]Clientes!$D$3,[1]Clientes!$D$2)</f>
        <v>13050505</v>
      </c>
    </row>
    <row r="1843" spans="1:14">
      <c r="A1843" s="6" t="s">
        <v>7</v>
      </c>
      <c r="B1843" s="7">
        <v>45532</v>
      </c>
      <c r="C1843" s="6" t="s">
        <v>5046</v>
      </c>
      <c r="D1843" s="6" t="s">
        <v>4962</v>
      </c>
      <c r="E1843" s="6" t="s">
        <v>16</v>
      </c>
      <c r="F1843" s="7">
        <v>45562</v>
      </c>
      <c r="G1843" s="6" t="s">
        <v>3102</v>
      </c>
      <c r="H1843" s="8"/>
      <c r="I1843" s="9">
        <v>437.3</v>
      </c>
      <c r="J1843" s="9">
        <v>437.3</v>
      </c>
      <c r="K1843" s="5" t="str">
        <f>VLOOKUP(D1843,[1]Clientes!$A$1:$B$1485,2,0)</f>
        <v>NAC1519</v>
      </c>
      <c r="L1843" s="5" t="str">
        <f t="shared" si="56"/>
        <v>HGI0126982</v>
      </c>
      <c r="M1843" s="5" t="str">
        <f t="shared" si="57"/>
        <v>I</v>
      </c>
      <c r="N1843" s="5">
        <f>IF(G1843=[1]Clientes!$C$3,[1]Clientes!$D$3,[1]Clientes!$D$2)</f>
        <v>13050505</v>
      </c>
    </row>
    <row r="1844" spans="1:14">
      <c r="A1844" s="6" t="s">
        <v>7</v>
      </c>
      <c r="B1844" s="7">
        <v>45532</v>
      </c>
      <c r="C1844" s="6" t="s">
        <v>5047</v>
      </c>
      <c r="D1844" s="6" t="s">
        <v>4962</v>
      </c>
      <c r="E1844" s="6" t="s">
        <v>16</v>
      </c>
      <c r="F1844" s="7">
        <v>45562</v>
      </c>
      <c r="G1844" s="6" t="s">
        <v>3102</v>
      </c>
      <c r="H1844" s="8"/>
      <c r="I1844" s="9">
        <v>546</v>
      </c>
      <c r="J1844" s="9">
        <v>546</v>
      </c>
      <c r="K1844" s="5" t="str">
        <f>VLOOKUP(D1844,[1]Clientes!$A$1:$B$1485,2,0)</f>
        <v>NAC1519</v>
      </c>
      <c r="L1844" s="5" t="str">
        <f t="shared" si="56"/>
        <v>HGI0126983</v>
      </c>
      <c r="M1844" s="5" t="str">
        <f t="shared" si="57"/>
        <v>I</v>
      </c>
      <c r="N1844" s="5">
        <f>IF(G1844=[1]Clientes!$C$3,[1]Clientes!$D$3,[1]Clientes!$D$2)</f>
        <v>13050505</v>
      </c>
    </row>
    <row r="1845" spans="1:14">
      <c r="A1845" s="6" t="s">
        <v>7</v>
      </c>
      <c r="B1845" s="7">
        <v>45532</v>
      </c>
      <c r="C1845" s="6" t="s">
        <v>5048</v>
      </c>
      <c r="D1845" s="6" t="s">
        <v>4962</v>
      </c>
      <c r="E1845" s="6" t="s">
        <v>16</v>
      </c>
      <c r="F1845" s="7">
        <v>45562</v>
      </c>
      <c r="G1845" s="6" t="s">
        <v>3102</v>
      </c>
      <c r="H1845" s="8"/>
      <c r="I1845" s="9">
        <v>55.3</v>
      </c>
      <c r="J1845" s="9">
        <v>55.3</v>
      </c>
      <c r="K1845" s="5" t="str">
        <f>VLOOKUP(D1845,[1]Clientes!$A$1:$B$1485,2,0)</f>
        <v>NAC1519</v>
      </c>
      <c r="L1845" s="5" t="str">
        <f t="shared" si="56"/>
        <v>HGI0126984</v>
      </c>
      <c r="M1845" s="5" t="str">
        <f t="shared" si="57"/>
        <v>I</v>
      </c>
      <c r="N1845" s="5">
        <f>IF(G1845=[1]Clientes!$C$3,[1]Clientes!$D$3,[1]Clientes!$D$2)</f>
        <v>13050505</v>
      </c>
    </row>
    <row r="1846" spans="1:14">
      <c r="A1846" s="6" t="s">
        <v>7</v>
      </c>
      <c r="B1846" s="7">
        <v>45532</v>
      </c>
      <c r="C1846" s="6" t="s">
        <v>5049</v>
      </c>
      <c r="D1846" s="6" t="s">
        <v>4962</v>
      </c>
      <c r="E1846" s="6" t="s">
        <v>16</v>
      </c>
      <c r="F1846" s="7">
        <v>45562</v>
      </c>
      <c r="G1846" s="6" t="s">
        <v>3102</v>
      </c>
      <c r="H1846" s="8"/>
      <c r="I1846" s="9">
        <v>146.12</v>
      </c>
      <c r="J1846" s="9">
        <v>146.12</v>
      </c>
      <c r="K1846" s="5" t="str">
        <f>VLOOKUP(D1846,[1]Clientes!$A$1:$B$1485,2,0)</f>
        <v>NAC1519</v>
      </c>
      <c r="L1846" s="5" t="str">
        <f t="shared" si="56"/>
        <v>HGI0126985</v>
      </c>
      <c r="M1846" s="5" t="str">
        <f t="shared" si="57"/>
        <v>I</v>
      </c>
      <c r="N1846" s="5">
        <f>IF(G1846=[1]Clientes!$C$3,[1]Clientes!$D$3,[1]Clientes!$D$2)</f>
        <v>13050505</v>
      </c>
    </row>
    <row r="1847" spans="1:14">
      <c r="A1847" s="6" t="s">
        <v>7</v>
      </c>
      <c r="B1847" s="7">
        <v>45532</v>
      </c>
      <c r="C1847" s="6" t="s">
        <v>5050</v>
      </c>
      <c r="D1847" s="6" t="s">
        <v>4962</v>
      </c>
      <c r="E1847" s="6" t="s">
        <v>16</v>
      </c>
      <c r="F1847" s="7">
        <v>45562</v>
      </c>
      <c r="G1847" s="6" t="s">
        <v>3102</v>
      </c>
      <c r="H1847" s="8"/>
      <c r="I1847" s="9">
        <v>107.6</v>
      </c>
      <c r="J1847" s="9">
        <v>107.6</v>
      </c>
      <c r="K1847" s="5" t="str">
        <f>VLOOKUP(D1847,[1]Clientes!$A$1:$B$1485,2,0)</f>
        <v>NAC1519</v>
      </c>
      <c r="L1847" s="5" t="str">
        <f t="shared" si="56"/>
        <v>HGI0126986</v>
      </c>
      <c r="M1847" s="5" t="str">
        <f t="shared" si="57"/>
        <v>I</v>
      </c>
      <c r="N1847" s="5">
        <f>IF(G1847=[1]Clientes!$C$3,[1]Clientes!$D$3,[1]Clientes!$D$2)</f>
        <v>13050505</v>
      </c>
    </row>
    <row r="1848" spans="1:14">
      <c r="A1848" s="6" t="s">
        <v>7</v>
      </c>
      <c r="B1848" s="7">
        <v>45532</v>
      </c>
      <c r="C1848" s="6" t="s">
        <v>5051</v>
      </c>
      <c r="D1848" s="6" t="s">
        <v>4962</v>
      </c>
      <c r="E1848" s="6" t="s">
        <v>16</v>
      </c>
      <c r="F1848" s="7">
        <v>45562</v>
      </c>
      <c r="G1848" s="6" t="s">
        <v>3102</v>
      </c>
      <c r="H1848" s="8"/>
      <c r="I1848" s="9">
        <v>160.9</v>
      </c>
      <c r="J1848" s="9">
        <v>160.9</v>
      </c>
      <c r="K1848" s="5" t="str">
        <f>VLOOKUP(D1848,[1]Clientes!$A$1:$B$1485,2,0)</f>
        <v>NAC1519</v>
      </c>
      <c r="L1848" s="5" t="str">
        <f t="shared" si="56"/>
        <v>HGI0126987</v>
      </c>
      <c r="M1848" s="5" t="str">
        <f t="shared" si="57"/>
        <v>I</v>
      </c>
      <c r="N1848" s="5">
        <f>IF(G1848=[1]Clientes!$C$3,[1]Clientes!$D$3,[1]Clientes!$D$2)</f>
        <v>13050505</v>
      </c>
    </row>
    <row r="1849" spans="1:14">
      <c r="A1849" s="6" t="s">
        <v>7</v>
      </c>
      <c r="B1849" s="7">
        <v>45532</v>
      </c>
      <c r="C1849" s="6" t="s">
        <v>5052</v>
      </c>
      <c r="D1849" s="6" t="s">
        <v>4962</v>
      </c>
      <c r="E1849" s="6" t="s">
        <v>16</v>
      </c>
      <c r="F1849" s="7">
        <v>45562</v>
      </c>
      <c r="G1849" s="6" t="s">
        <v>3102</v>
      </c>
      <c r="H1849" s="8"/>
      <c r="I1849" s="9">
        <v>492.9</v>
      </c>
      <c r="J1849" s="9">
        <v>492.9</v>
      </c>
      <c r="K1849" s="5" t="str">
        <f>VLOOKUP(D1849,[1]Clientes!$A$1:$B$1485,2,0)</f>
        <v>NAC1519</v>
      </c>
      <c r="L1849" s="5" t="str">
        <f t="shared" si="56"/>
        <v>HGI0126988</v>
      </c>
      <c r="M1849" s="5" t="str">
        <f t="shared" si="57"/>
        <v>I</v>
      </c>
      <c r="N1849" s="5">
        <f>IF(G1849=[1]Clientes!$C$3,[1]Clientes!$D$3,[1]Clientes!$D$2)</f>
        <v>13050505</v>
      </c>
    </row>
    <row r="1850" spans="1:14">
      <c r="A1850" s="6" t="s">
        <v>7</v>
      </c>
      <c r="B1850" s="7">
        <v>45532</v>
      </c>
      <c r="C1850" s="6" t="s">
        <v>5053</v>
      </c>
      <c r="D1850" s="6" t="s">
        <v>4962</v>
      </c>
      <c r="E1850" s="6" t="s">
        <v>16</v>
      </c>
      <c r="F1850" s="7">
        <v>45562</v>
      </c>
      <c r="G1850" s="6" t="s">
        <v>3102</v>
      </c>
      <c r="H1850" s="8"/>
      <c r="I1850" s="9">
        <v>187.06</v>
      </c>
      <c r="J1850" s="9">
        <v>187.06</v>
      </c>
      <c r="K1850" s="5" t="str">
        <f>VLOOKUP(D1850,[1]Clientes!$A$1:$B$1485,2,0)</f>
        <v>NAC1519</v>
      </c>
      <c r="L1850" s="5" t="str">
        <f t="shared" si="56"/>
        <v>HGI0126989</v>
      </c>
      <c r="M1850" s="5" t="str">
        <f t="shared" si="57"/>
        <v>I</v>
      </c>
      <c r="N1850" s="5">
        <f>IF(G1850=[1]Clientes!$C$3,[1]Clientes!$D$3,[1]Clientes!$D$2)</f>
        <v>13050505</v>
      </c>
    </row>
    <row r="1851" spans="1:14">
      <c r="A1851" s="6" t="s">
        <v>7</v>
      </c>
      <c r="B1851" s="7">
        <v>45532</v>
      </c>
      <c r="C1851" s="6" t="s">
        <v>5054</v>
      </c>
      <c r="D1851" s="6" t="s">
        <v>4962</v>
      </c>
      <c r="E1851" s="6" t="s">
        <v>16</v>
      </c>
      <c r="F1851" s="7">
        <v>45562</v>
      </c>
      <c r="G1851" s="6" t="s">
        <v>3102</v>
      </c>
      <c r="H1851" s="8"/>
      <c r="I1851" s="9">
        <v>389.06</v>
      </c>
      <c r="J1851" s="9">
        <v>389.06</v>
      </c>
      <c r="K1851" s="5" t="str">
        <f>VLOOKUP(D1851,[1]Clientes!$A$1:$B$1485,2,0)</f>
        <v>NAC1519</v>
      </c>
      <c r="L1851" s="5" t="str">
        <f t="shared" si="56"/>
        <v>HGI0126990</v>
      </c>
      <c r="M1851" s="5" t="str">
        <f t="shared" si="57"/>
        <v>I</v>
      </c>
      <c r="N1851" s="5">
        <f>IF(G1851=[1]Clientes!$C$3,[1]Clientes!$D$3,[1]Clientes!$D$2)</f>
        <v>13050505</v>
      </c>
    </row>
    <row r="1852" spans="1:14">
      <c r="A1852" s="6" t="s">
        <v>7</v>
      </c>
      <c r="B1852" s="7">
        <v>45532</v>
      </c>
      <c r="C1852" s="6" t="s">
        <v>5055</v>
      </c>
      <c r="D1852" s="6" t="s">
        <v>4962</v>
      </c>
      <c r="E1852" s="6" t="s">
        <v>16</v>
      </c>
      <c r="F1852" s="7">
        <v>45562</v>
      </c>
      <c r="G1852" s="6" t="s">
        <v>3102</v>
      </c>
      <c r="H1852" s="8"/>
      <c r="I1852" s="9">
        <v>1142.5999999999999</v>
      </c>
      <c r="J1852" s="9">
        <v>1142.5999999999999</v>
      </c>
      <c r="K1852" s="5" t="str">
        <f>VLOOKUP(D1852,[1]Clientes!$A$1:$B$1485,2,0)</f>
        <v>NAC1519</v>
      </c>
      <c r="L1852" s="5" t="str">
        <f t="shared" si="56"/>
        <v>HGI0126991</v>
      </c>
      <c r="M1852" s="5" t="str">
        <f t="shared" si="57"/>
        <v>I</v>
      </c>
      <c r="N1852" s="5">
        <f>IF(G1852=[1]Clientes!$C$3,[1]Clientes!$D$3,[1]Clientes!$D$2)</f>
        <v>13050505</v>
      </c>
    </row>
    <row r="1853" spans="1:14">
      <c r="A1853" s="6" t="s">
        <v>7</v>
      </c>
      <c r="B1853" s="7">
        <v>45532</v>
      </c>
      <c r="C1853" s="6" t="s">
        <v>5056</v>
      </c>
      <c r="D1853" s="6" t="s">
        <v>4962</v>
      </c>
      <c r="E1853" s="6" t="s">
        <v>16</v>
      </c>
      <c r="F1853" s="7">
        <v>45562</v>
      </c>
      <c r="G1853" s="6" t="s">
        <v>3102</v>
      </c>
      <c r="H1853" s="8"/>
      <c r="I1853" s="9">
        <v>240</v>
      </c>
      <c r="J1853" s="9">
        <v>240</v>
      </c>
      <c r="K1853" s="5" t="str">
        <f>VLOOKUP(D1853,[1]Clientes!$A$1:$B$1485,2,0)</f>
        <v>NAC1519</v>
      </c>
      <c r="L1853" s="5" t="str">
        <f t="shared" si="56"/>
        <v>HGI0127009</v>
      </c>
      <c r="M1853" s="5" t="str">
        <f t="shared" si="57"/>
        <v>I</v>
      </c>
      <c r="N1853" s="5">
        <f>IF(G1853=[1]Clientes!$C$3,[1]Clientes!$D$3,[1]Clientes!$D$2)</f>
        <v>13050505</v>
      </c>
    </row>
    <row r="1854" spans="1:14">
      <c r="A1854" s="6" t="s">
        <v>7</v>
      </c>
      <c r="B1854" s="7">
        <v>45532</v>
      </c>
      <c r="C1854" s="6" t="s">
        <v>5057</v>
      </c>
      <c r="D1854" s="6" t="s">
        <v>4962</v>
      </c>
      <c r="E1854" s="6" t="s">
        <v>16</v>
      </c>
      <c r="F1854" s="7">
        <v>45562</v>
      </c>
      <c r="G1854" s="6" t="s">
        <v>3102</v>
      </c>
      <c r="H1854" s="8"/>
      <c r="I1854" s="9">
        <v>135</v>
      </c>
      <c r="J1854" s="9">
        <v>135</v>
      </c>
      <c r="K1854" s="5" t="str">
        <f>VLOOKUP(D1854,[1]Clientes!$A$1:$B$1485,2,0)</f>
        <v>NAC1519</v>
      </c>
      <c r="L1854" s="5" t="str">
        <f t="shared" si="56"/>
        <v>HGI0127010</v>
      </c>
      <c r="M1854" s="5" t="str">
        <f t="shared" si="57"/>
        <v>I</v>
      </c>
      <c r="N1854" s="5">
        <f>IF(G1854=[1]Clientes!$C$3,[1]Clientes!$D$3,[1]Clientes!$D$2)</f>
        <v>13050505</v>
      </c>
    </row>
    <row r="1855" spans="1:14">
      <c r="A1855" s="6" t="s">
        <v>7</v>
      </c>
      <c r="B1855" s="7">
        <v>45532</v>
      </c>
      <c r="C1855" s="6" t="s">
        <v>5058</v>
      </c>
      <c r="D1855" s="6" t="s">
        <v>4962</v>
      </c>
      <c r="E1855" s="6" t="s">
        <v>16</v>
      </c>
      <c r="F1855" s="7">
        <v>45562</v>
      </c>
      <c r="G1855" s="6" t="s">
        <v>3102</v>
      </c>
      <c r="H1855" s="8"/>
      <c r="I1855" s="9">
        <v>254.4</v>
      </c>
      <c r="J1855" s="9">
        <v>254.4</v>
      </c>
      <c r="K1855" s="5" t="str">
        <f>VLOOKUP(D1855,[1]Clientes!$A$1:$B$1485,2,0)</f>
        <v>NAC1519</v>
      </c>
      <c r="L1855" s="5" t="str">
        <f t="shared" si="56"/>
        <v>HGI0127014</v>
      </c>
      <c r="M1855" s="5" t="str">
        <f t="shared" si="57"/>
        <v>I</v>
      </c>
      <c r="N1855" s="5">
        <f>IF(G1855=[1]Clientes!$C$3,[1]Clientes!$D$3,[1]Clientes!$D$2)</f>
        <v>13050505</v>
      </c>
    </row>
    <row r="1856" spans="1:14">
      <c r="A1856" s="6" t="s">
        <v>7</v>
      </c>
      <c r="B1856" s="7">
        <v>45532</v>
      </c>
      <c r="C1856" s="6" t="s">
        <v>5059</v>
      </c>
      <c r="D1856" s="6" t="s">
        <v>4962</v>
      </c>
      <c r="E1856" s="6" t="s">
        <v>16</v>
      </c>
      <c r="F1856" s="7">
        <v>45562</v>
      </c>
      <c r="G1856" s="6" t="s">
        <v>3102</v>
      </c>
      <c r="H1856" s="8"/>
      <c r="I1856" s="9">
        <v>749.4</v>
      </c>
      <c r="J1856" s="9">
        <v>749.4</v>
      </c>
      <c r="K1856" s="5" t="str">
        <f>VLOOKUP(D1856,[1]Clientes!$A$1:$B$1485,2,0)</f>
        <v>NAC1519</v>
      </c>
      <c r="L1856" s="5" t="str">
        <f t="shared" si="56"/>
        <v>HGI0127057</v>
      </c>
      <c r="M1856" s="5" t="str">
        <f t="shared" si="57"/>
        <v>I</v>
      </c>
      <c r="N1856" s="5">
        <f>IF(G1856=[1]Clientes!$C$3,[1]Clientes!$D$3,[1]Clientes!$D$2)</f>
        <v>13050505</v>
      </c>
    </row>
    <row r="1857" spans="1:14">
      <c r="A1857" s="6" t="s">
        <v>3099</v>
      </c>
      <c r="B1857" s="7">
        <v>45532</v>
      </c>
      <c r="C1857" s="6" t="s">
        <v>5060</v>
      </c>
      <c r="D1857" s="6" t="s">
        <v>4962</v>
      </c>
      <c r="E1857" s="6" t="s">
        <v>16</v>
      </c>
      <c r="F1857" s="7">
        <v>45562</v>
      </c>
      <c r="G1857" s="6" t="s">
        <v>3102</v>
      </c>
      <c r="H1857" s="8"/>
      <c r="I1857" s="9">
        <v>-63.91</v>
      </c>
      <c r="J1857" s="9">
        <v>-63.91</v>
      </c>
      <c r="K1857" s="5" t="str">
        <f>VLOOKUP(D1857,[1]Clientes!$A$1:$B$1485,2,0)</f>
        <v>NAC1519</v>
      </c>
      <c r="L1857" s="5" t="str">
        <f t="shared" si="56"/>
        <v>CRM0127068</v>
      </c>
      <c r="M1857" s="5" t="str">
        <f t="shared" si="57"/>
        <v>C</v>
      </c>
      <c r="N1857" s="5">
        <f>IF(G1857=[1]Clientes!$C$3,[1]Clientes!$D$3,[1]Clientes!$D$2)</f>
        <v>13050505</v>
      </c>
    </row>
    <row r="1858" spans="1:14">
      <c r="A1858" s="6" t="s">
        <v>3099</v>
      </c>
      <c r="B1858" s="7">
        <v>45532</v>
      </c>
      <c r="C1858" s="6" t="s">
        <v>5061</v>
      </c>
      <c r="D1858" s="6" t="s">
        <v>4962</v>
      </c>
      <c r="E1858" s="6" t="s">
        <v>16</v>
      </c>
      <c r="F1858" s="7">
        <v>45562</v>
      </c>
      <c r="G1858" s="6" t="s">
        <v>3102</v>
      </c>
      <c r="H1858" s="8"/>
      <c r="I1858" s="9">
        <v>-68.87</v>
      </c>
      <c r="J1858" s="9">
        <v>-68.87</v>
      </c>
      <c r="K1858" s="5" t="str">
        <f>VLOOKUP(D1858,[1]Clientes!$A$1:$B$1485,2,0)</f>
        <v>NAC1519</v>
      </c>
      <c r="L1858" s="5" t="str">
        <f t="shared" si="56"/>
        <v>CRM0127069</v>
      </c>
      <c r="M1858" s="5" t="str">
        <f t="shared" si="57"/>
        <v>C</v>
      </c>
      <c r="N1858" s="5">
        <f>IF(G1858=[1]Clientes!$C$3,[1]Clientes!$D$3,[1]Clientes!$D$2)</f>
        <v>13050505</v>
      </c>
    </row>
    <row r="1859" spans="1:14">
      <c r="A1859" s="6" t="s">
        <v>3139</v>
      </c>
      <c r="B1859" s="7">
        <v>45357</v>
      </c>
      <c r="C1859" s="6"/>
      <c r="D1859" s="6" t="s">
        <v>2153</v>
      </c>
      <c r="E1859" s="6"/>
      <c r="F1859" s="7"/>
      <c r="G1859" s="6" t="s">
        <v>3102</v>
      </c>
      <c r="H1859" s="8"/>
      <c r="I1859" s="9">
        <v>-69</v>
      </c>
      <c r="J1859" s="9">
        <v>-69</v>
      </c>
      <c r="K1859" s="5" t="str">
        <f>VLOOKUP(D1859,[1]Clientes!$A$1:$B$1370,2,0)</f>
        <v>NAC1517</v>
      </c>
      <c r="L1859" s="5" t="str">
        <f t="shared" ref="L1859:L1891" si="58">IF(A1859="Invoice",
    IF(LEFT(C1859,5)="TGDR-", "TGDR"&amp;RIGHT(C1859,LEN(C1859)-5), "HGI"&amp;C1859),
    IF(A1859="Credit Memo",
        IF(LEFT(C1859,5)="TGDR-", "CRM"&amp;RIGHT(C1859,LEN(C1859)-5), "CRM"&amp;C1859),
        "Revisar")
)</f>
        <v>Revisar</v>
      </c>
      <c r="M1859" s="5" t="str">
        <f t="shared" ref="M1859:M1891" si="59">IF(A1859="Invoice","I",IF(A1859="Credit Memo","C",IF(A1859="Payment","P","GJ")))</f>
        <v>P</v>
      </c>
      <c r="N1859" s="5">
        <f>IF(G1859=[1]Clientes!$C$3,[1]Clientes!$D$3,[1]Clientes!$D$2)</f>
        <v>13050505</v>
      </c>
    </row>
    <row r="1860" spans="1:14">
      <c r="A1860" s="6" t="s">
        <v>3139</v>
      </c>
      <c r="B1860" s="7">
        <v>45436</v>
      </c>
      <c r="C1860" s="6"/>
      <c r="D1860" s="6" t="s">
        <v>2153</v>
      </c>
      <c r="E1860" s="6"/>
      <c r="F1860" s="7"/>
      <c r="G1860" s="6" t="s">
        <v>3102</v>
      </c>
      <c r="H1860" s="8"/>
      <c r="I1860" s="9">
        <v>-165</v>
      </c>
      <c r="J1860" s="9">
        <v>-165</v>
      </c>
      <c r="K1860" s="5" t="str">
        <f>VLOOKUP(D1860,[1]Clientes!$A$1:$B$1370,2,0)</f>
        <v>NAC1517</v>
      </c>
      <c r="L1860" s="5" t="str">
        <f t="shared" si="58"/>
        <v>Revisar</v>
      </c>
      <c r="M1860" s="5" t="str">
        <f t="shared" si="59"/>
        <v>P</v>
      </c>
      <c r="N1860" s="5">
        <f>IF(G1860=[1]Clientes!$C$3,[1]Clientes!$D$3,[1]Clientes!$D$2)</f>
        <v>13050505</v>
      </c>
    </row>
    <row r="1861" spans="1:14">
      <c r="A1861" s="6" t="s">
        <v>3139</v>
      </c>
      <c r="B1861" s="7">
        <v>45449</v>
      </c>
      <c r="C1861" s="6"/>
      <c r="D1861" s="6" t="s">
        <v>2153</v>
      </c>
      <c r="E1861" s="6"/>
      <c r="F1861" s="7"/>
      <c r="G1861" s="6" t="s">
        <v>3102</v>
      </c>
      <c r="H1861" s="8"/>
      <c r="I1861" s="9">
        <v>-108.95</v>
      </c>
      <c r="J1861" s="9">
        <v>-108.95</v>
      </c>
      <c r="K1861" s="5" t="str">
        <f>VLOOKUP(D1861,[1]Clientes!$A$1:$B$1370,2,0)</f>
        <v>NAC1517</v>
      </c>
      <c r="L1861" s="5" t="str">
        <f t="shared" si="58"/>
        <v>Revisar</v>
      </c>
      <c r="M1861" s="5" t="str">
        <f t="shared" si="59"/>
        <v>P</v>
      </c>
      <c r="N1861" s="5">
        <f>IF(G1861=[1]Clientes!$C$3,[1]Clientes!$D$3,[1]Clientes!$D$2)</f>
        <v>13050505</v>
      </c>
    </row>
    <row r="1862" spans="1:14">
      <c r="A1862" s="6" t="s">
        <v>3139</v>
      </c>
      <c r="B1862" s="7">
        <v>45455</v>
      </c>
      <c r="C1862" s="6"/>
      <c r="D1862" s="6" t="s">
        <v>2153</v>
      </c>
      <c r="E1862" s="6"/>
      <c r="F1862" s="7"/>
      <c r="G1862" s="6" t="s">
        <v>3102</v>
      </c>
      <c r="H1862" s="8"/>
      <c r="I1862" s="9">
        <v>-145.57</v>
      </c>
      <c r="J1862" s="9">
        <v>-145.57</v>
      </c>
      <c r="K1862" s="5" t="str">
        <f>VLOOKUP(D1862,[1]Clientes!$A$1:$B$1370,2,0)</f>
        <v>NAC1517</v>
      </c>
      <c r="L1862" s="5" t="str">
        <f t="shared" si="58"/>
        <v>Revisar</v>
      </c>
      <c r="M1862" s="5" t="str">
        <f t="shared" si="59"/>
        <v>P</v>
      </c>
      <c r="N1862" s="5">
        <f>IF(G1862=[1]Clientes!$C$3,[1]Clientes!$D$3,[1]Clientes!$D$2)</f>
        <v>13050505</v>
      </c>
    </row>
    <row r="1863" spans="1:14">
      <c r="A1863" s="6" t="s">
        <v>3139</v>
      </c>
      <c r="B1863" s="7">
        <v>45463</v>
      </c>
      <c r="C1863" s="6"/>
      <c r="D1863" s="6" t="s">
        <v>2153</v>
      </c>
      <c r="E1863" s="6"/>
      <c r="F1863" s="7"/>
      <c r="G1863" s="6" t="s">
        <v>3102</v>
      </c>
      <c r="H1863" s="8"/>
      <c r="I1863" s="9">
        <v>-71.13</v>
      </c>
      <c r="J1863" s="9">
        <v>-71.13</v>
      </c>
      <c r="K1863" s="5" t="str">
        <f>VLOOKUP(D1863,[1]Clientes!$A$1:$B$1370,2,0)</f>
        <v>NAC1517</v>
      </c>
      <c r="L1863" s="5" t="str">
        <f t="shared" si="58"/>
        <v>Revisar</v>
      </c>
      <c r="M1863" s="5" t="str">
        <f t="shared" si="59"/>
        <v>P</v>
      </c>
      <c r="N1863" s="5">
        <f>IF(G1863=[1]Clientes!$C$3,[1]Clientes!$D$3,[1]Clientes!$D$2)</f>
        <v>13050505</v>
      </c>
    </row>
    <row r="1864" spans="1:14">
      <c r="A1864" s="6" t="s">
        <v>3139</v>
      </c>
      <c r="B1864" s="7">
        <v>45483</v>
      </c>
      <c r="C1864" s="6"/>
      <c r="D1864" s="6" t="s">
        <v>2153</v>
      </c>
      <c r="E1864" s="6"/>
      <c r="F1864" s="7"/>
      <c r="G1864" s="6" t="s">
        <v>3102</v>
      </c>
      <c r="H1864" s="8"/>
      <c r="I1864" s="9">
        <v>-62</v>
      </c>
      <c r="J1864" s="9">
        <v>-62</v>
      </c>
      <c r="K1864" s="5" t="str">
        <f>VLOOKUP(D1864,[1]Clientes!$A$1:$B$1370,2,0)</f>
        <v>NAC1517</v>
      </c>
      <c r="L1864" s="5" t="str">
        <f t="shared" si="58"/>
        <v>Revisar</v>
      </c>
      <c r="M1864" s="5" t="str">
        <f t="shared" si="59"/>
        <v>P</v>
      </c>
      <c r="N1864" s="5">
        <f>IF(G1864=[1]Clientes!$C$3,[1]Clientes!$D$3,[1]Clientes!$D$2)</f>
        <v>13050505</v>
      </c>
    </row>
    <row r="1865" spans="1:14">
      <c r="A1865" s="6" t="s">
        <v>3139</v>
      </c>
      <c r="B1865" s="7">
        <v>45484</v>
      </c>
      <c r="C1865" s="6"/>
      <c r="D1865" s="6" t="s">
        <v>2153</v>
      </c>
      <c r="E1865" s="6"/>
      <c r="F1865" s="7"/>
      <c r="G1865" s="6" t="s">
        <v>3102</v>
      </c>
      <c r="H1865" s="8"/>
      <c r="I1865" s="9">
        <v>-71.3</v>
      </c>
      <c r="J1865" s="9">
        <v>-71.3</v>
      </c>
      <c r="K1865" s="5" t="str">
        <f>VLOOKUP(D1865,[1]Clientes!$A$1:$B$1370,2,0)</f>
        <v>NAC1517</v>
      </c>
      <c r="L1865" s="5" t="str">
        <f t="shared" si="58"/>
        <v>Revisar</v>
      </c>
      <c r="M1865" s="5" t="str">
        <f t="shared" si="59"/>
        <v>P</v>
      </c>
      <c r="N1865" s="5">
        <f>IF(G1865=[1]Clientes!$C$3,[1]Clientes!$D$3,[1]Clientes!$D$2)</f>
        <v>13050505</v>
      </c>
    </row>
    <row r="1866" spans="1:14">
      <c r="A1866" s="6" t="s">
        <v>3139</v>
      </c>
      <c r="B1866" s="7">
        <v>45488</v>
      </c>
      <c r="C1866" s="6"/>
      <c r="D1866" s="6" t="s">
        <v>2153</v>
      </c>
      <c r="E1866" s="6"/>
      <c r="F1866" s="7"/>
      <c r="G1866" s="6" t="s">
        <v>3102</v>
      </c>
      <c r="H1866" s="8"/>
      <c r="I1866" s="9">
        <v>-339.6</v>
      </c>
      <c r="J1866" s="9">
        <v>-339.6</v>
      </c>
      <c r="K1866" s="5" t="str">
        <f>VLOOKUP(D1866,[1]Clientes!$A$1:$B$1370,2,0)</f>
        <v>NAC1517</v>
      </c>
      <c r="L1866" s="5" t="str">
        <f t="shared" si="58"/>
        <v>Revisar</v>
      </c>
      <c r="M1866" s="5" t="str">
        <f t="shared" si="59"/>
        <v>P</v>
      </c>
      <c r="N1866" s="5">
        <f>IF(G1866=[1]Clientes!$C$3,[1]Clientes!$D$3,[1]Clientes!$D$2)</f>
        <v>13050505</v>
      </c>
    </row>
    <row r="1867" spans="1:14">
      <c r="A1867" s="6" t="s">
        <v>3139</v>
      </c>
      <c r="B1867" s="7">
        <v>45499</v>
      </c>
      <c r="C1867" s="6"/>
      <c r="D1867" s="6" t="s">
        <v>2153</v>
      </c>
      <c r="E1867" s="6"/>
      <c r="F1867" s="7"/>
      <c r="G1867" s="6" t="s">
        <v>3102</v>
      </c>
      <c r="H1867" s="8"/>
      <c r="I1867" s="9">
        <v>-50</v>
      </c>
      <c r="J1867" s="9">
        <v>-50</v>
      </c>
      <c r="K1867" s="5" t="str">
        <f>VLOOKUP(D1867,[1]Clientes!$A$1:$B$1370,2,0)</f>
        <v>NAC1517</v>
      </c>
      <c r="L1867" s="5" t="str">
        <f t="shared" si="58"/>
        <v>Revisar</v>
      </c>
      <c r="M1867" s="5" t="str">
        <f t="shared" si="59"/>
        <v>P</v>
      </c>
      <c r="N1867" s="5">
        <f>IF(G1867=[1]Clientes!$C$3,[1]Clientes!$D$3,[1]Clientes!$D$2)</f>
        <v>13050505</v>
      </c>
    </row>
    <row r="1868" spans="1:14">
      <c r="A1868" s="6" t="s">
        <v>3139</v>
      </c>
      <c r="B1868" s="7">
        <v>45504</v>
      </c>
      <c r="C1868" s="6"/>
      <c r="D1868" s="6" t="s">
        <v>2153</v>
      </c>
      <c r="E1868" s="6"/>
      <c r="F1868" s="7"/>
      <c r="G1868" s="6" t="s">
        <v>3102</v>
      </c>
      <c r="H1868" s="8"/>
      <c r="I1868" s="9">
        <v>-40</v>
      </c>
      <c r="J1868" s="9">
        <v>-40</v>
      </c>
      <c r="K1868" s="5" t="str">
        <f>VLOOKUP(D1868,[1]Clientes!$A$1:$B$1370,2,0)</f>
        <v>NAC1517</v>
      </c>
      <c r="L1868" s="5" t="str">
        <f t="shared" si="58"/>
        <v>Revisar</v>
      </c>
      <c r="M1868" s="5" t="str">
        <f t="shared" si="59"/>
        <v>P</v>
      </c>
      <c r="N1868" s="5">
        <f>IF(G1868=[1]Clientes!$C$3,[1]Clientes!$D$3,[1]Clientes!$D$2)</f>
        <v>13050505</v>
      </c>
    </row>
    <row r="1869" spans="1:14">
      <c r="A1869" s="6" t="s">
        <v>3265</v>
      </c>
      <c r="B1869" s="7">
        <v>45473</v>
      </c>
      <c r="C1869" s="6" t="s">
        <v>5062</v>
      </c>
      <c r="D1869" s="6" t="s">
        <v>2826</v>
      </c>
      <c r="E1869" s="6"/>
      <c r="F1869" s="7"/>
      <c r="G1869" s="6" t="s">
        <v>3102</v>
      </c>
      <c r="H1869" s="8"/>
      <c r="I1869" s="9">
        <v>-100</v>
      </c>
      <c r="J1869" s="9">
        <v>-100</v>
      </c>
      <c r="K1869" s="5" t="str">
        <f>VLOOKUP(D1869,[1]Clientes!$A$1:$B$1370,2,0)</f>
        <v>NAC1521</v>
      </c>
      <c r="L1869" s="5" t="str">
        <f t="shared" si="58"/>
        <v>Revisar</v>
      </c>
      <c r="M1869" s="5" t="str">
        <f t="shared" si="59"/>
        <v>GJ</v>
      </c>
      <c r="N1869" s="5">
        <f>IF(G1869=[1]Clientes!$C$3,[1]Clientes!$D$3,[1]Clientes!$D$2)</f>
        <v>13050505</v>
      </c>
    </row>
    <row r="1870" spans="1:14">
      <c r="A1870" s="6" t="s">
        <v>7</v>
      </c>
      <c r="B1870" s="7">
        <v>45231</v>
      </c>
      <c r="C1870" s="6" t="s">
        <v>5063</v>
      </c>
      <c r="D1870" s="6" t="s">
        <v>2829</v>
      </c>
      <c r="E1870" s="6" t="s">
        <v>16</v>
      </c>
      <c r="F1870" s="7">
        <v>45261</v>
      </c>
      <c r="G1870" s="6" t="s">
        <v>3102</v>
      </c>
      <c r="H1870" s="8">
        <v>274</v>
      </c>
      <c r="I1870" s="9">
        <v>421.58</v>
      </c>
      <c r="J1870" s="9">
        <v>421.58</v>
      </c>
      <c r="K1870" s="5" t="str">
        <f>VLOOKUP(D1870,[1]Clientes!$A$1:$B$1370,2,0)</f>
        <v>NAC1522</v>
      </c>
      <c r="L1870" s="5" t="str">
        <f t="shared" si="58"/>
        <v>HGI0116767</v>
      </c>
      <c r="M1870" s="5" t="str">
        <f t="shared" si="59"/>
        <v>I</v>
      </c>
      <c r="N1870" s="5">
        <f>IF(G1870=[1]Clientes!$C$3,[1]Clientes!$D$3,[1]Clientes!$D$2)</f>
        <v>13050505</v>
      </c>
    </row>
    <row r="1871" spans="1:14">
      <c r="A1871" s="6" t="s">
        <v>7</v>
      </c>
      <c r="B1871" s="7">
        <v>45392</v>
      </c>
      <c r="C1871" s="6" t="s">
        <v>5064</v>
      </c>
      <c r="D1871" s="6" t="s">
        <v>335</v>
      </c>
      <c r="E1871" s="6" t="s">
        <v>16</v>
      </c>
      <c r="F1871" s="7">
        <v>45422</v>
      </c>
      <c r="G1871" s="6" t="s">
        <v>3102</v>
      </c>
      <c r="H1871" s="8">
        <v>113</v>
      </c>
      <c r="I1871" s="9">
        <v>36932.959999999999</v>
      </c>
      <c r="J1871" s="9">
        <v>36932.959999999999</v>
      </c>
      <c r="K1871" s="5" t="str">
        <f>VLOOKUP(D1871,[1]Clientes!$A$1:$B$1370,2,0)</f>
        <v>CAN0087</v>
      </c>
      <c r="L1871" s="5" t="str">
        <f t="shared" si="58"/>
        <v>HGI0122837</v>
      </c>
      <c r="M1871" s="5" t="str">
        <f t="shared" si="59"/>
        <v>I</v>
      </c>
      <c r="N1871" s="5">
        <f>IF(G1871=[1]Clientes!$C$3,[1]Clientes!$D$3,[1]Clientes!$D$2)</f>
        <v>13050505</v>
      </c>
    </row>
    <row r="1872" spans="1:14">
      <c r="A1872" s="6" t="s">
        <v>7</v>
      </c>
      <c r="B1872" s="7">
        <v>45397</v>
      </c>
      <c r="C1872" s="6" t="s">
        <v>5065</v>
      </c>
      <c r="D1872" s="6" t="s">
        <v>335</v>
      </c>
      <c r="E1872" s="6" t="s">
        <v>16</v>
      </c>
      <c r="F1872" s="7">
        <v>45427</v>
      </c>
      <c r="G1872" s="6" t="s">
        <v>3102</v>
      </c>
      <c r="H1872" s="8">
        <v>108</v>
      </c>
      <c r="I1872" s="9">
        <v>3220.5</v>
      </c>
      <c r="J1872" s="9">
        <v>3220.5</v>
      </c>
      <c r="K1872" s="5" t="str">
        <f>VLOOKUP(D1872,[1]Clientes!$A$1:$B$1370,2,0)</f>
        <v>CAN0087</v>
      </c>
      <c r="L1872" s="5" t="str">
        <f t="shared" si="58"/>
        <v>HGI0123049</v>
      </c>
      <c r="M1872" s="5" t="str">
        <f t="shared" si="59"/>
        <v>I</v>
      </c>
      <c r="N1872" s="5">
        <f>IF(G1872=[1]Clientes!$C$3,[1]Clientes!$D$3,[1]Clientes!$D$2)</f>
        <v>13050505</v>
      </c>
    </row>
    <row r="1873" spans="1:14">
      <c r="A1873" s="6" t="s">
        <v>3099</v>
      </c>
      <c r="B1873" s="7">
        <v>45443</v>
      </c>
      <c r="C1873" s="6" t="s">
        <v>5066</v>
      </c>
      <c r="D1873" s="6" t="s">
        <v>335</v>
      </c>
      <c r="E1873" s="6" t="s">
        <v>16</v>
      </c>
      <c r="F1873" s="7">
        <v>45473</v>
      </c>
      <c r="G1873" s="6" t="s">
        <v>3102</v>
      </c>
      <c r="H1873" s="8">
        <v>62</v>
      </c>
      <c r="I1873" s="9">
        <v>-5471.54</v>
      </c>
      <c r="J1873" s="9">
        <v>-5471.54</v>
      </c>
      <c r="K1873" s="5" t="str">
        <f>VLOOKUP(D1873,[1]Clientes!$A$1:$B$1370,2,0)</f>
        <v>CAN0087</v>
      </c>
      <c r="L1873" s="5" t="str">
        <f t="shared" si="58"/>
        <v>CRM0124765</v>
      </c>
      <c r="M1873" s="5" t="str">
        <f t="shared" si="59"/>
        <v>C</v>
      </c>
      <c r="N1873" s="5">
        <f>IF(G1873=[1]Clientes!$C$3,[1]Clientes!$D$3,[1]Clientes!$D$2)</f>
        <v>13050505</v>
      </c>
    </row>
    <row r="1874" spans="1:14">
      <c r="A1874" s="6" t="s">
        <v>7</v>
      </c>
      <c r="B1874" s="7">
        <v>45488</v>
      </c>
      <c r="C1874" s="6" t="s">
        <v>5067</v>
      </c>
      <c r="D1874" s="6" t="s">
        <v>335</v>
      </c>
      <c r="E1874" s="6" t="s">
        <v>16</v>
      </c>
      <c r="F1874" s="7">
        <v>45518</v>
      </c>
      <c r="G1874" s="6" t="s">
        <v>3102</v>
      </c>
      <c r="H1874" s="8">
        <v>17</v>
      </c>
      <c r="I1874" s="9">
        <v>1305.1500000000001</v>
      </c>
      <c r="J1874" s="9">
        <v>1305.1500000000001</v>
      </c>
      <c r="K1874" s="5" t="str">
        <f>VLOOKUP(D1874,[1]Clientes!$A$1:$B$1370,2,0)</f>
        <v>CAN0087</v>
      </c>
      <c r="L1874" s="5" t="str">
        <f t="shared" si="58"/>
        <v>HGI0125790</v>
      </c>
      <c r="M1874" s="5" t="str">
        <f t="shared" si="59"/>
        <v>I</v>
      </c>
      <c r="N1874" s="5">
        <f>IF(G1874=[1]Clientes!$C$3,[1]Clientes!$D$3,[1]Clientes!$D$2)</f>
        <v>13050505</v>
      </c>
    </row>
    <row r="1875" spans="1:14">
      <c r="A1875" s="6" t="s">
        <v>7</v>
      </c>
      <c r="B1875" s="7">
        <v>45489</v>
      </c>
      <c r="C1875" s="6" t="s">
        <v>5068</v>
      </c>
      <c r="D1875" s="6" t="s">
        <v>335</v>
      </c>
      <c r="E1875" s="6" t="s">
        <v>16</v>
      </c>
      <c r="F1875" s="7">
        <v>45519</v>
      </c>
      <c r="G1875" s="6" t="s">
        <v>3102</v>
      </c>
      <c r="H1875" s="8">
        <v>16</v>
      </c>
      <c r="I1875" s="9">
        <v>2178.64</v>
      </c>
      <c r="J1875" s="9">
        <v>2178.64</v>
      </c>
      <c r="K1875" s="5" t="str">
        <f>VLOOKUP(D1875,[1]Clientes!$A$1:$B$1370,2,0)</f>
        <v>CAN0087</v>
      </c>
      <c r="L1875" s="5" t="str">
        <f t="shared" si="58"/>
        <v>HGI0125793</v>
      </c>
      <c r="M1875" s="5" t="str">
        <f t="shared" si="59"/>
        <v>I</v>
      </c>
      <c r="N1875" s="5">
        <f>IF(G1875=[1]Clientes!$C$3,[1]Clientes!$D$3,[1]Clientes!$D$2)</f>
        <v>13050505</v>
      </c>
    </row>
    <row r="1876" spans="1:14">
      <c r="A1876" s="6" t="s">
        <v>7</v>
      </c>
      <c r="B1876" s="7">
        <v>45503</v>
      </c>
      <c r="C1876" s="6" t="s">
        <v>5069</v>
      </c>
      <c r="D1876" s="6" t="s">
        <v>335</v>
      </c>
      <c r="E1876" s="6" t="s">
        <v>16</v>
      </c>
      <c r="F1876" s="7">
        <v>45533</v>
      </c>
      <c r="G1876" s="6" t="s">
        <v>3102</v>
      </c>
      <c r="H1876" s="8">
        <v>2</v>
      </c>
      <c r="I1876" s="9">
        <v>498.33</v>
      </c>
      <c r="J1876" s="9">
        <v>498.33</v>
      </c>
      <c r="K1876" s="5" t="str">
        <f>VLOOKUP(D1876,[1]Clientes!$A$1:$B$1370,2,0)</f>
        <v>CAN0087</v>
      </c>
      <c r="L1876" s="5" t="str">
        <f t="shared" si="58"/>
        <v>HGI0126040</v>
      </c>
      <c r="M1876" s="5" t="str">
        <f t="shared" si="59"/>
        <v>I</v>
      </c>
      <c r="N1876" s="5">
        <f>IF(G1876=[1]Clientes!$C$3,[1]Clientes!$D$3,[1]Clientes!$D$2)</f>
        <v>13050505</v>
      </c>
    </row>
    <row r="1877" spans="1:14">
      <c r="A1877" s="6" t="s">
        <v>7</v>
      </c>
      <c r="B1877" s="7">
        <v>45516</v>
      </c>
      <c r="C1877" s="6" t="s">
        <v>5070</v>
      </c>
      <c r="D1877" s="6" t="s">
        <v>335</v>
      </c>
      <c r="E1877" s="6" t="s">
        <v>16</v>
      </c>
      <c r="F1877" s="7">
        <v>45546</v>
      </c>
      <c r="G1877" s="6" t="s">
        <v>3102</v>
      </c>
      <c r="H1877" s="8"/>
      <c r="I1877" s="9">
        <v>5925.72</v>
      </c>
      <c r="J1877" s="9">
        <v>5925.72</v>
      </c>
      <c r="K1877" s="5" t="str">
        <f>VLOOKUP(D1877,[1]Clientes!$A$1:$B$1370,2,0)</f>
        <v>CAN0087</v>
      </c>
      <c r="L1877" s="5" t="str">
        <f t="shared" si="58"/>
        <v>HGI0126388</v>
      </c>
      <c r="M1877" s="5" t="str">
        <f t="shared" si="59"/>
        <v>I</v>
      </c>
      <c r="N1877" s="5">
        <f>IF(G1877=[1]Clientes!$C$3,[1]Clientes!$D$3,[1]Clientes!$D$2)</f>
        <v>13050505</v>
      </c>
    </row>
    <row r="1878" spans="1:14">
      <c r="A1878" s="6" t="s">
        <v>7</v>
      </c>
      <c r="B1878" s="7">
        <v>45520</v>
      </c>
      <c r="C1878" s="6" t="s">
        <v>5071</v>
      </c>
      <c r="D1878" s="6" t="s">
        <v>335</v>
      </c>
      <c r="E1878" s="6" t="s">
        <v>16</v>
      </c>
      <c r="F1878" s="7">
        <v>45550</v>
      </c>
      <c r="G1878" s="6" t="s">
        <v>3102</v>
      </c>
      <c r="H1878" s="8"/>
      <c r="I1878" s="9">
        <v>5934.2</v>
      </c>
      <c r="J1878" s="9">
        <v>5934.2</v>
      </c>
      <c r="K1878" s="5" t="str">
        <f>VLOOKUP(D1878,[1]Clientes!$A$1:$B$1370,2,0)</f>
        <v>CAN0087</v>
      </c>
      <c r="L1878" s="5" t="str">
        <f t="shared" si="58"/>
        <v>HGI0126598</v>
      </c>
      <c r="M1878" s="5" t="str">
        <f t="shared" si="59"/>
        <v>I</v>
      </c>
      <c r="N1878" s="5">
        <f>IF(G1878=[1]Clientes!$C$3,[1]Clientes!$D$3,[1]Clientes!$D$2)</f>
        <v>13050505</v>
      </c>
    </row>
    <row r="1879" spans="1:14">
      <c r="A1879" s="6" t="s">
        <v>7</v>
      </c>
      <c r="B1879" s="7">
        <v>45282</v>
      </c>
      <c r="C1879" s="6" t="s">
        <v>5072</v>
      </c>
      <c r="D1879" s="6" t="s">
        <v>5073</v>
      </c>
      <c r="E1879" s="6" t="s">
        <v>16</v>
      </c>
      <c r="F1879" s="7">
        <v>45312</v>
      </c>
      <c r="G1879" s="6" t="s">
        <v>3102</v>
      </c>
      <c r="H1879" s="8">
        <v>223</v>
      </c>
      <c r="I1879" s="9">
        <v>111.75</v>
      </c>
      <c r="J1879" s="9">
        <v>5841.09</v>
      </c>
      <c r="K1879" s="5" t="str">
        <f>VLOOKUP(D1879,[1]Clientes!$A$1:$B$1370,2,0)</f>
        <v>NAC1529</v>
      </c>
      <c r="L1879" s="5" t="str">
        <f t="shared" si="58"/>
        <v>HGI0118546</v>
      </c>
      <c r="M1879" s="5" t="str">
        <f t="shared" si="59"/>
        <v>I</v>
      </c>
      <c r="N1879" s="5">
        <f>IF(G1879=[1]Clientes!$C$3,[1]Clientes!$D$3,[1]Clientes!$D$2)</f>
        <v>13050505</v>
      </c>
    </row>
    <row r="1880" spans="1:14">
      <c r="A1880" s="6" t="s">
        <v>3099</v>
      </c>
      <c r="B1880" s="7">
        <v>45322</v>
      </c>
      <c r="C1880" s="6" t="s">
        <v>5074</v>
      </c>
      <c r="D1880" s="6" t="s">
        <v>342</v>
      </c>
      <c r="E1880" s="6" t="s">
        <v>16</v>
      </c>
      <c r="F1880" s="7">
        <v>45352</v>
      </c>
      <c r="G1880" s="6" t="s">
        <v>3102</v>
      </c>
      <c r="H1880" s="8">
        <v>183</v>
      </c>
      <c r="I1880" s="9">
        <v>-866.16</v>
      </c>
      <c r="J1880" s="9">
        <v>-866.16</v>
      </c>
      <c r="K1880" s="5" t="str">
        <f>VLOOKUP(D1880,[1]Clientes!$A$1:$B$1370,2,0)</f>
        <v>CAN0088</v>
      </c>
      <c r="L1880" s="5" t="str">
        <f t="shared" si="58"/>
        <v>CRM0120582</v>
      </c>
      <c r="M1880" s="5" t="str">
        <f t="shared" si="59"/>
        <v>C</v>
      </c>
      <c r="N1880" s="5">
        <f>IF(G1880=[1]Clientes!$C$3,[1]Clientes!$D$3,[1]Clientes!$D$2)</f>
        <v>13050505</v>
      </c>
    </row>
    <row r="1881" spans="1:14">
      <c r="A1881" s="6" t="s">
        <v>3099</v>
      </c>
      <c r="B1881" s="7">
        <v>45322</v>
      </c>
      <c r="C1881" s="6" t="s">
        <v>5075</v>
      </c>
      <c r="D1881" s="6" t="s">
        <v>342</v>
      </c>
      <c r="E1881" s="6" t="s">
        <v>16</v>
      </c>
      <c r="F1881" s="7">
        <v>45352</v>
      </c>
      <c r="G1881" s="6" t="s">
        <v>3102</v>
      </c>
      <c r="H1881" s="8">
        <v>183</v>
      </c>
      <c r="I1881" s="9">
        <v>-24.84</v>
      </c>
      <c r="J1881" s="9">
        <v>-24.84</v>
      </c>
      <c r="K1881" s="5" t="str">
        <f>VLOOKUP(D1881,[1]Clientes!$A$1:$B$1370,2,0)</f>
        <v>CAN0088</v>
      </c>
      <c r="L1881" s="5" t="str">
        <f t="shared" si="58"/>
        <v>CRM0120583</v>
      </c>
      <c r="M1881" s="5" t="str">
        <f t="shared" si="59"/>
        <v>C</v>
      </c>
      <c r="N1881" s="5">
        <f>IF(G1881=[1]Clientes!$C$3,[1]Clientes!$D$3,[1]Clientes!$D$2)</f>
        <v>13050505</v>
      </c>
    </row>
    <row r="1882" spans="1:14">
      <c r="A1882" s="6" t="s">
        <v>7</v>
      </c>
      <c r="B1882" s="7">
        <v>45517</v>
      </c>
      <c r="C1882" s="6" t="s">
        <v>5076</v>
      </c>
      <c r="D1882" s="6" t="s">
        <v>342</v>
      </c>
      <c r="E1882" s="6" t="s">
        <v>16</v>
      </c>
      <c r="F1882" s="7">
        <v>45547</v>
      </c>
      <c r="G1882" s="6" t="s">
        <v>3102</v>
      </c>
      <c r="H1882" s="8"/>
      <c r="I1882" s="9">
        <v>1160</v>
      </c>
      <c r="J1882" s="9">
        <v>1160</v>
      </c>
      <c r="K1882" s="5" t="str">
        <f>VLOOKUP(D1882,[1]Clientes!$A$1:$B$1370,2,0)</f>
        <v>CAN0088</v>
      </c>
      <c r="L1882" s="5" t="str">
        <f t="shared" si="58"/>
        <v>HGI0126436</v>
      </c>
      <c r="M1882" s="5" t="str">
        <f t="shared" si="59"/>
        <v>I</v>
      </c>
      <c r="N1882" s="5">
        <f>IF(G1882=[1]Clientes!$C$3,[1]Clientes!$D$3,[1]Clientes!$D$2)</f>
        <v>13050505</v>
      </c>
    </row>
    <row r="1883" spans="1:14">
      <c r="A1883" s="6" t="s">
        <v>7</v>
      </c>
      <c r="B1883" s="7">
        <v>45370</v>
      </c>
      <c r="C1883" s="6" t="s">
        <v>5077</v>
      </c>
      <c r="D1883" s="6" t="s">
        <v>5078</v>
      </c>
      <c r="E1883" s="6" t="s">
        <v>16</v>
      </c>
      <c r="F1883" s="7">
        <v>45400</v>
      </c>
      <c r="G1883" s="6" t="s">
        <v>3102</v>
      </c>
      <c r="H1883" s="8">
        <v>135</v>
      </c>
      <c r="I1883" s="9">
        <v>144.59</v>
      </c>
      <c r="J1883" s="9">
        <v>144.59</v>
      </c>
      <c r="K1883" s="5" t="str">
        <f>VLOOKUP(D1883,[1]Clientes!$A$1:$B$1370,2,0)</f>
        <v>NAC1533</v>
      </c>
      <c r="L1883" s="5" t="str">
        <f t="shared" si="58"/>
        <v>HGI0122056</v>
      </c>
      <c r="M1883" s="5" t="str">
        <f t="shared" si="59"/>
        <v>I</v>
      </c>
      <c r="N1883" s="5">
        <f>IF(G1883=[1]Clientes!$C$3,[1]Clientes!$D$3,[1]Clientes!$D$2)</f>
        <v>13050505</v>
      </c>
    </row>
    <row r="1884" spans="1:14">
      <c r="A1884" s="6" t="s">
        <v>3139</v>
      </c>
      <c r="B1884" s="7">
        <v>45509</v>
      </c>
      <c r="C1884" s="6" t="s">
        <v>5079</v>
      </c>
      <c r="D1884" s="6" t="s">
        <v>5078</v>
      </c>
      <c r="E1884" s="6"/>
      <c r="F1884" s="7"/>
      <c r="G1884" s="6" t="s">
        <v>3102</v>
      </c>
      <c r="H1884" s="8"/>
      <c r="I1884" s="9">
        <v>-0.16</v>
      </c>
      <c r="J1884" s="9">
        <v>-1334</v>
      </c>
      <c r="K1884" s="5" t="str">
        <f>VLOOKUP(D1884,[1]Clientes!$A$1:$B$1370,2,0)</f>
        <v>NAC1533</v>
      </c>
      <c r="L1884" s="5" t="str">
        <f t="shared" si="58"/>
        <v>Revisar</v>
      </c>
      <c r="M1884" s="5" t="str">
        <f t="shared" si="59"/>
        <v>P</v>
      </c>
      <c r="N1884" s="5">
        <f>IF(G1884=[1]Clientes!$C$3,[1]Clientes!$D$3,[1]Clientes!$D$2)</f>
        <v>13050505</v>
      </c>
    </row>
    <row r="1885" spans="1:14">
      <c r="A1885" s="6" t="s">
        <v>7</v>
      </c>
      <c r="B1885" s="7">
        <v>45516</v>
      </c>
      <c r="C1885" s="6" t="s">
        <v>5080</v>
      </c>
      <c r="D1885" s="6" t="s">
        <v>5078</v>
      </c>
      <c r="E1885" s="6" t="s">
        <v>16</v>
      </c>
      <c r="F1885" s="7">
        <v>45546</v>
      </c>
      <c r="G1885" s="6" t="s">
        <v>3102</v>
      </c>
      <c r="H1885" s="8"/>
      <c r="I1885" s="9">
        <v>535.27</v>
      </c>
      <c r="J1885" s="9">
        <v>535.27</v>
      </c>
      <c r="K1885" s="5" t="str">
        <f>VLOOKUP(D1885,[1]Clientes!$A$1:$B$1370,2,0)</f>
        <v>NAC1533</v>
      </c>
      <c r="L1885" s="5" t="str">
        <f t="shared" si="58"/>
        <v>HGI0126713</v>
      </c>
      <c r="M1885" s="5" t="str">
        <f t="shared" si="59"/>
        <v>I</v>
      </c>
      <c r="N1885" s="5">
        <f>IF(G1885=[1]Clientes!$C$3,[1]Clientes!$D$3,[1]Clientes!$D$2)</f>
        <v>13050505</v>
      </c>
    </row>
    <row r="1886" spans="1:14">
      <c r="A1886" s="6" t="s">
        <v>7</v>
      </c>
      <c r="B1886" s="7">
        <v>45523</v>
      </c>
      <c r="C1886" s="6" t="s">
        <v>5081</v>
      </c>
      <c r="D1886" s="6" t="s">
        <v>5078</v>
      </c>
      <c r="E1886" s="6" t="s">
        <v>16</v>
      </c>
      <c r="F1886" s="7">
        <v>45553</v>
      </c>
      <c r="G1886" s="6" t="s">
        <v>3102</v>
      </c>
      <c r="H1886" s="8"/>
      <c r="I1886" s="9">
        <v>607.46</v>
      </c>
      <c r="J1886" s="9">
        <v>607.46</v>
      </c>
      <c r="K1886" s="5" t="str">
        <f>VLOOKUP(D1886,[1]Clientes!$A$1:$B$1370,2,0)</f>
        <v>NAC1533</v>
      </c>
      <c r="L1886" s="5" t="str">
        <f t="shared" si="58"/>
        <v>HGI0126719</v>
      </c>
      <c r="M1886" s="5" t="str">
        <f t="shared" si="59"/>
        <v>I</v>
      </c>
      <c r="N1886" s="5">
        <f>IF(G1886=[1]Clientes!$C$3,[1]Clientes!$D$3,[1]Clientes!$D$2)</f>
        <v>13050505</v>
      </c>
    </row>
    <row r="1887" spans="1:14">
      <c r="A1887" s="6" t="s">
        <v>3139</v>
      </c>
      <c r="B1887" s="7">
        <v>45258</v>
      </c>
      <c r="C1887" s="6" t="s">
        <v>5082</v>
      </c>
      <c r="D1887" s="6" t="s">
        <v>5083</v>
      </c>
      <c r="E1887" s="6"/>
      <c r="F1887" s="7"/>
      <c r="G1887" s="6" t="s">
        <v>3102</v>
      </c>
      <c r="H1887" s="8"/>
      <c r="I1887" s="9">
        <v>-7.8</v>
      </c>
      <c r="J1887" s="9">
        <v>-1002.3</v>
      </c>
      <c r="K1887" s="5" t="str">
        <f>VLOOKUP(D1887,[1]Clientes!$A$1:$B$1370,2,0)</f>
        <v>NAC1539</v>
      </c>
      <c r="L1887" s="5" t="str">
        <f t="shared" si="58"/>
        <v>Revisar</v>
      </c>
      <c r="M1887" s="5" t="str">
        <f t="shared" si="59"/>
        <v>P</v>
      </c>
      <c r="N1887" s="5">
        <f>IF(G1887=[1]Clientes!$C$3,[1]Clientes!$D$3,[1]Clientes!$D$2)</f>
        <v>13050505</v>
      </c>
    </row>
    <row r="1888" spans="1:14">
      <c r="A1888" s="6" t="s">
        <v>3099</v>
      </c>
      <c r="B1888" s="7">
        <v>45258</v>
      </c>
      <c r="C1888" s="6" t="s">
        <v>5084</v>
      </c>
      <c r="D1888" s="6" t="s">
        <v>5083</v>
      </c>
      <c r="E1888" s="6" t="s">
        <v>3275</v>
      </c>
      <c r="F1888" s="7">
        <v>45288</v>
      </c>
      <c r="G1888" s="6" t="s">
        <v>3102</v>
      </c>
      <c r="H1888" s="8">
        <v>247</v>
      </c>
      <c r="I1888" s="9">
        <v>-1596</v>
      </c>
      <c r="J1888" s="9">
        <v>-1596</v>
      </c>
      <c r="K1888" s="5" t="str">
        <f>VLOOKUP(D1888,[1]Clientes!$A$1:$B$1370,2,0)</f>
        <v>NAC1539</v>
      </c>
      <c r="L1888" s="5" t="str">
        <f t="shared" si="58"/>
        <v>CRM0117685</v>
      </c>
      <c r="M1888" s="5" t="str">
        <f t="shared" si="59"/>
        <v>C</v>
      </c>
      <c r="N1888" s="5">
        <f>IF(G1888=[1]Clientes!$C$3,[1]Clientes!$D$3,[1]Clientes!$D$2)</f>
        <v>13050505</v>
      </c>
    </row>
    <row r="1889" spans="1:14">
      <c r="A1889" s="6" t="s">
        <v>3139</v>
      </c>
      <c r="B1889" s="7">
        <v>45322</v>
      </c>
      <c r="C1889" s="6"/>
      <c r="D1889" s="6" t="s">
        <v>5083</v>
      </c>
      <c r="E1889" s="6"/>
      <c r="F1889" s="7"/>
      <c r="G1889" s="6" t="s">
        <v>3102</v>
      </c>
      <c r="H1889" s="8"/>
      <c r="I1889" s="9">
        <v>-3921</v>
      </c>
      <c r="J1889" s="9">
        <v>-11724.58</v>
      </c>
      <c r="K1889" s="5" t="str">
        <f>VLOOKUP(D1889,[1]Clientes!$A$1:$B$1370,2,0)</f>
        <v>NAC1539</v>
      </c>
      <c r="L1889" s="5" t="str">
        <f t="shared" si="58"/>
        <v>Revisar</v>
      </c>
      <c r="M1889" s="5" t="str">
        <f t="shared" si="59"/>
        <v>P</v>
      </c>
      <c r="N1889" s="5">
        <f>IF(G1889=[1]Clientes!$C$3,[1]Clientes!$D$3,[1]Clientes!$D$2)</f>
        <v>13050505</v>
      </c>
    </row>
    <row r="1890" spans="1:14">
      <c r="A1890" s="6" t="s">
        <v>7</v>
      </c>
      <c r="B1890" s="7">
        <v>45506</v>
      </c>
      <c r="C1890" s="6" t="s">
        <v>5085</v>
      </c>
      <c r="D1890" s="6" t="s">
        <v>5083</v>
      </c>
      <c r="E1890" s="6" t="s">
        <v>3275</v>
      </c>
      <c r="F1890" s="7">
        <v>45536</v>
      </c>
      <c r="G1890" s="6" t="s">
        <v>3102</v>
      </c>
      <c r="H1890" s="8"/>
      <c r="I1890" s="9">
        <v>24424</v>
      </c>
      <c r="J1890" s="9">
        <v>24424</v>
      </c>
      <c r="K1890" s="5" t="str">
        <f>VLOOKUP(D1890,[1]Clientes!$A$1:$B$1370,2,0)</f>
        <v>NAC1539</v>
      </c>
      <c r="L1890" s="5" t="str">
        <f t="shared" si="58"/>
        <v>HGI0126149</v>
      </c>
      <c r="M1890" s="5" t="str">
        <f t="shared" si="59"/>
        <v>I</v>
      </c>
      <c r="N1890" s="5">
        <f>IF(G1890=[1]Clientes!$C$3,[1]Clientes!$D$3,[1]Clientes!$D$2)</f>
        <v>13050505</v>
      </c>
    </row>
    <row r="1891" spans="1:14">
      <c r="A1891" s="6" t="s">
        <v>7</v>
      </c>
      <c r="B1891" s="7">
        <v>45523</v>
      </c>
      <c r="C1891" s="6" t="s">
        <v>5086</v>
      </c>
      <c r="D1891" s="6" t="s">
        <v>5083</v>
      </c>
      <c r="E1891" s="6" t="s">
        <v>3275</v>
      </c>
      <c r="F1891" s="7">
        <v>45553</v>
      </c>
      <c r="G1891" s="6" t="s">
        <v>3102</v>
      </c>
      <c r="H1891" s="8"/>
      <c r="I1891" s="9">
        <v>4420.3999999999996</v>
      </c>
      <c r="J1891" s="9">
        <v>4420.3999999999996</v>
      </c>
      <c r="K1891" s="5" t="str">
        <f>VLOOKUP(D1891,[1]Clientes!$A$1:$B$1370,2,0)</f>
        <v>NAC1539</v>
      </c>
      <c r="L1891" s="5" t="str">
        <f t="shared" si="58"/>
        <v>HGI0126685</v>
      </c>
      <c r="M1891" s="5" t="str">
        <f t="shared" si="59"/>
        <v>I</v>
      </c>
      <c r="N1891" s="5">
        <f>IF(G1891=[1]Clientes!$C$3,[1]Clientes!$D$3,[1]Clientes!$D$2)</f>
        <v>13050505</v>
      </c>
    </row>
  </sheetData>
  <autoFilter ref="A1:N1891" xr:uid="{7250C2A7-619F-4AC2-877A-A589942F307F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D1F8-956F-412E-9ED5-55AF508B1850}">
  <sheetPr codeName="Hoja5"/>
  <dimension ref="A1:F521"/>
  <sheetViews>
    <sheetView topLeftCell="A489" workbookViewId="0">
      <selection activeCell="C2" sqref="C2"/>
    </sheetView>
  </sheetViews>
  <sheetFormatPr defaultColWidth="11.42578125" defaultRowHeight="14.45"/>
  <cols>
    <col min="1" max="1" width="14.28515625" bestFit="1" customWidth="1"/>
    <col min="2" max="2" width="29.140625" customWidth="1"/>
    <col min="3" max="3" width="19.28515625" customWidth="1"/>
    <col min="4" max="4" width="19.7109375" customWidth="1"/>
    <col min="5" max="5" width="16.28515625" bestFit="1" customWidth="1"/>
  </cols>
  <sheetData>
    <row r="1" spans="1:6" ht="15.6">
      <c r="A1" s="11" t="s">
        <v>5087</v>
      </c>
      <c r="B1" s="12" t="s">
        <v>3</v>
      </c>
      <c r="C1" s="12" t="s">
        <v>5088</v>
      </c>
      <c r="D1" s="12" t="s">
        <v>5089</v>
      </c>
      <c r="E1" s="13" t="s">
        <v>5090</v>
      </c>
      <c r="F1" s="12" t="s">
        <v>3091</v>
      </c>
    </row>
    <row r="2" spans="1:6">
      <c r="A2" s="14" t="s">
        <v>5091</v>
      </c>
      <c r="B2" s="15" t="s">
        <v>377</v>
      </c>
      <c r="C2" s="15" t="s">
        <v>376</v>
      </c>
      <c r="D2" s="15" t="s">
        <v>5092</v>
      </c>
      <c r="E2" s="16" t="s">
        <v>5093</v>
      </c>
      <c r="F2" s="17" t="s">
        <v>16</v>
      </c>
    </row>
    <row r="3" spans="1:6">
      <c r="A3" s="14" t="s">
        <v>5091</v>
      </c>
      <c r="B3" s="15" t="s">
        <v>381</v>
      </c>
      <c r="C3" s="15" t="s">
        <v>380</v>
      </c>
      <c r="D3" s="15" t="s">
        <v>5094</v>
      </c>
      <c r="E3" s="16" t="s">
        <v>5095</v>
      </c>
      <c r="F3" s="15" t="s">
        <v>382</v>
      </c>
    </row>
    <row r="4" spans="1:6">
      <c r="A4" s="14" t="s">
        <v>5091</v>
      </c>
      <c r="B4" s="15" t="s">
        <v>453</v>
      </c>
      <c r="C4" s="15" t="s">
        <v>452</v>
      </c>
      <c r="D4" s="15"/>
      <c r="E4" s="16"/>
      <c r="F4" s="15" t="s">
        <v>213</v>
      </c>
    </row>
    <row r="5" spans="1:6">
      <c r="A5" s="14" t="s">
        <v>5091</v>
      </c>
      <c r="B5" s="15" t="s">
        <v>5096</v>
      </c>
      <c r="C5" s="15" t="s">
        <v>5097</v>
      </c>
      <c r="D5" s="15"/>
      <c r="E5" s="16"/>
      <c r="F5" s="15" t="s">
        <v>16</v>
      </c>
    </row>
    <row r="6" spans="1:6">
      <c r="A6" s="14" t="s">
        <v>5091</v>
      </c>
      <c r="B6" s="15" t="s">
        <v>5098</v>
      </c>
      <c r="C6" s="15" t="s">
        <v>5099</v>
      </c>
      <c r="D6" s="15" t="s">
        <v>5100</v>
      </c>
      <c r="E6" s="16"/>
      <c r="F6" s="15" t="s">
        <v>213</v>
      </c>
    </row>
    <row r="7" spans="1:6">
      <c r="A7" s="14" t="s">
        <v>5091</v>
      </c>
      <c r="B7" s="15" t="s">
        <v>507</v>
      </c>
      <c r="C7" s="15" t="s">
        <v>506</v>
      </c>
      <c r="D7" s="15" t="s">
        <v>5101</v>
      </c>
      <c r="E7" s="16" t="s">
        <v>5102</v>
      </c>
      <c r="F7" s="15" t="s">
        <v>213</v>
      </c>
    </row>
    <row r="8" spans="1:6">
      <c r="A8" s="14" t="s">
        <v>5091</v>
      </c>
      <c r="B8" s="15" t="s">
        <v>514</v>
      </c>
      <c r="C8" s="15" t="s">
        <v>513</v>
      </c>
      <c r="D8" s="15" t="s">
        <v>5100</v>
      </c>
      <c r="E8" s="16" t="s">
        <v>5103</v>
      </c>
      <c r="F8" s="15" t="s">
        <v>16</v>
      </c>
    </row>
    <row r="9" spans="1:6">
      <c r="A9" s="14" t="s">
        <v>5091</v>
      </c>
      <c r="B9" s="15" t="s">
        <v>545</v>
      </c>
      <c r="C9" s="15" t="s">
        <v>544</v>
      </c>
      <c r="D9" s="15" t="s">
        <v>5104</v>
      </c>
      <c r="E9" s="16" t="s">
        <v>5105</v>
      </c>
      <c r="F9" s="15" t="s">
        <v>16</v>
      </c>
    </row>
    <row r="10" spans="1:6">
      <c r="A10" s="14" t="s">
        <v>5091</v>
      </c>
      <c r="B10" s="15" t="s">
        <v>554</v>
      </c>
      <c r="C10" s="15" t="s">
        <v>553</v>
      </c>
      <c r="D10" s="15" t="s">
        <v>5092</v>
      </c>
      <c r="E10" s="16" t="s">
        <v>5106</v>
      </c>
      <c r="F10" s="15" t="s">
        <v>382</v>
      </c>
    </row>
    <row r="11" spans="1:6">
      <c r="A11" s="14" t="s">
        <v>5091</v>
      </c>
      <c r="B11" s="15" t="s">
        <v>39</v>
      </c>
      <c r="C11" s="15" t="s">
        <v>38</v>
      </c>
      <c r="D11" s="15" t="s">
        <v>5107</v>
      </c>
      <c r="E11" s="16" t="s">
        <v>5103</v>
      </c>
      <c r="F11" s="15" t="s">
        <v>16</v>
      </c>
    </row>
    <row r="12" spans="1:6">
      <c r="A12" s="14" t="s">
        <v>5091</v>
      </c>
      <c r="B12" s="15" t="s">
        <v>51</v>
      </c>
      <c r="C12" s="15" t="s">
        <v>50</v>
      </c>
      <c r="D12" s="15" t="s">
        <v>5107</v>
      </c>
      <c r="E12" s="16" t="s">
        <v>5103</v>
      </c>
      <c r="F12" s="15" t="s">
        <v>16</v>
      </c>
    </row>
    <row r="13" spans="1:6">
      <c r="A13" s="14" t="s">
        <v>5091</v>
      </c>
      <c r="B13" s="15" t="s">
        <v>5108</v>
      </c>
      <c r="C13" s="15" t="s">
        <v>5109</v>
      </c>
      <c r="D13" s="15" t="s">
        <v>5110</v>
      </c>
      <c r="E13" s="16" t="s">
        <v>5102</v>
      </c>
      <c r="F13" s="15" t="s">
        <v>16</v>
      </c>
    </row>
    <row r="14" spans="1:6">
      <c r="A14" s="14" t="s">
        <v>5091</v>
      </c>
      <c r="B14" s="15" t="s">
        <v>584</v>
      </c>
      <c r="C14" s="15" t="s">
        <v>583</v>
      </c>
      <c r="D14" s="15"/>
      <c r="E14" s="16"/>
      <c r="F14" s="15" t="s">
        <v>213</v>
      </c>
    </row>
    <row r="15" spans="1:6">
      <c r="A15" s="14" t="s">
        <v>5091</v>
      </c>
      <c r="B15" s="15" t="s">
        <v>5111</v>
      </c>
      <c r="C15" s="15" t="s">
        <v>5112</v>
      </c>
      <c r="D15" s="15" t="s">
        <v>5094</v>
      </c>
      <c r="E15" s="16" t="s">
        <v>5113</v>
      </c>
      <c r="F15" s="15" t="s">
        <v>16</v>
      </c>
    </row>
    <row r="16" spans="1:6">
      <c r="A16" s="14" t="s">
        <v>5091</v>
      </c>
      <c r="B16" s="15" t="s">
        <v>615</v>
      </c>
      <c r="C16" s="15" t="s">
        <v>614</v>
      </c>
      <c r="D16" s="15" t="s">
        <v>5092</v>
      </c>
      <c r="E16" s="16" t="s">
        <v>5102</v>
      </c>
      <c r="F16" s="15" t="s">
        <v>16</v>
      </c>
    </row>
    <row r="17" spans="1:6">
      <c r="A17" s="14" t="s">
        <v>5091</v>
      </c>
      <c r="B17" s="15" t="s">
        <v>619</v>
      </c>
      <c r="C17" s="15" t="s">
        <v>618</v>
      </c>
      <c r="D17" s="15" t="s">
        <v>5104</v>
      </c>
      <c r="E17" s="16" t="s">
        <v>5105</v>
      </c>
      <c r="F17" s="15" t="s">
        <v>16</v>
      </c>
    </row>
    <row r="18" spans="1:6">
      <c r="A18" s="14" t="s">
        <v>5091</v>
      </c>
      <c r="B18" s="15" t="s">
        <v>621</v>
      </c>
      <c r="C18" s="15" t="s">
        <v>620</v>
      </c>
      <c r="D18" s="15" t="s">
        <v>5101</v>
      </c>
      <c r="E18" s="16" t="s">
        <v>5114</v>
      </c>
      <c r="F18" s="15" t="s">
        <v>382</v>
      </c>
    </row>
    <row r="19" spans="1:6">
      <c r="A19" s="14" t="s">
        <v>5091</v>
      </c>
      <c r="B19" s="15" t="s">
        <v>627</v>
      </c>
      <c r="C19" s="15" t="s">
        <v>626</v>
      </c>
      <c r="D19" s="15" t="s">
        <v>5104</v>
      </c>
      <c r="E19" s="16" t="s">
        <v>5105</v>
      </c>
      <c r="F19" s="15" t="s">
        <v>16</v>
      </c>
    </row>
    <row r="20" spans="1:6">
      <c r="A20" s="14" t="s">
        <v>5091</v>
      </c>
      <c r="B20" s="15" t="s">
        <v>634</v>
      </c>
      <c r="C20" s="15" t="s">
        <v>633</v>
      </c>
      <c r="D20" s="15" t="s">
        <v>5092</v>
      </c>
      <c r="E20" s="16" t="s">
        <v>5105</v>
      </c>
      <c r="F20" s="15" t="s">
        <v>16</v>
      </c>
    </row>
    <row r="21" spans="1:6">
      <c r="A21" s="14" t="s">
        <v>5091</v>
      </c>
      <c r="B21" s="15" t="s">
        <v>650</v>
      </c>
      <c r="C21" s="15" t="s">
        <v>649</v>
      </c>
      <c r="D21" s="15" t="s">
        <v>5101</v>
      </c>
      <c r="E21" s="16" t="s">
        <v>5114</v>
      </c>
      <c r="F21" s="15" t="s">
        <v>16</v>
      </c>
    </row>
    <row r="22" spans="1:6">
      <c r="A22" s="14" t="s">
        <v>5091</v>
      </c>
      <c r="B22" s="15" t="s">
        <v>3429</v>
      </c>
      <c r="C22" s="15" t="s">
        <v>5115</v>
      </c>
      <c r="D22" s="15"/>
      <c r="E22" s="16"/>
      <c r="F22" s="15" t="s">
        <v>16</v>
      </c>
    </row>
    <row r="23" spans="1:6">
      <c r="A23" s="14" t="s">
        <v>5091</v>
      </c>
      <c r="B23" s="15" t="s">
        <v>5116</v>
      </c>
      <c r="C23" s="15" t="s">
        <v>5117</v>
      </c>
      <c r="D23" s="15" t="s">
        <v>5118</v>
      </c>
      <c r="E23" s="16" t="s">
        <v>5119</v>
      </c>
      <c r="F23" s="15" t="s">
        <v>16</v>
      </c>
    </row>
    <row r="24" spans="1:6">
      <c r="A24" s="14" t="s">
        <v>5091</v>
      </c>
      <c r="B24" s="15" t="s">
        <v>5120</v>
      </c>
      <c r="C24" s="15" t="s">
        <v>5121</v>
      </c>
      <c r="D24" s="15" t="s">
        <v>5104</v>
      </c>
      <c r="E24" s="16" t="s">
        <v>5105</v>
      </c>
      <c r="F24" s="15" t="s">
        <v>16</v>
      </c>
    </row>
    <row r="25" spans="1:6">
      <c r="A25" s="14" t="s">
        <v>5091</v>
      </c>
      <c r="B25" s="15" t="s">
        <v>3436</v>
      </c>
      <c r="C25" s="15" t="s">
        <v>5122</v>
      </c>
      <c r="D25" s="15" t="s">
        <v>5092</v>
      </c>
      <c r="E25" s="16" t="s">
        <v>5093</v>
      </c>
      <c r="F25" s="15" t="s">
        <v>16</v>
      </c>
    </row>
    <row r="26" spans="1:6">
      <c r="A26" s="14" t="s">
        <v>5091</v>
      </c>
      <c r="B26" s="15" t="s">
        <v>3438</v>
      </c>
      <c r="C26" s="15" t="s">
        <v>5123</v>
      </c>
      <c r="D26" s="15" t="s">
        <v>5092</v>
      </c>
      <c r="E26" s="16" t="s">
        <v>5103</v>
      </c>
      <c r="F26" s="15" t="s">
        <v>16</v>
      </c>
    </row>
    <row r="27" spans="1:6">
      <c r="A27" s="14" t="s">
        <v>5091</v>
      </c>
      <c r="B27" s="15" t="s">
        <v>5124</v>
      </c>
      <c r="C27" s="15" t="s">
        <v>5125</v>
      </c>
      <c r="D27" s="15" t="s">
        <v>5101</v>
      </c>
      <c r="E27" s="16" t="s">
        <v>5114</v>
      </c>
      <c r="F27" s="15" t="s">
        <v>213</v>
      </c>
    </row>
    <row r="28" spans="1:6">
      <c r="A28" s="14" t="s">
        <v>5091</v>
      </c>
      <c r="B28" s="15" t="s">
        <v>746</v>
      </c>
      <c r="C28" s="15" t="s">
        <v>745</v>
      </c>
      <c r="D28" s="15" t="s">
        <v>5092</v>
      </c>
      <c r="E28" s="16" t="s">
        <v>5093</v>
      </c>
      <c r="F28" s="15" t="s">
        <v>16</v>
      </c>
    </row>
    <row r="29" spans="1:6">
      <c r="A29" s="14" t="s">
        <v>5091</v>
      </c>
      <c r="B29" s="15" t="s">
        <v>749</v>
      </c>
      <c r="C29" s="15" t="s">
        <v>748</v>
      </c>
      <c r="D29" s="15"/>
      <c r="E29" s="16" t="s">
        <v>5095</v>
      </c>
      <c r="F29" s="15" t="s">
        <v>16</v>
      </c>
    </row>
    <row r="30" spans="1:6">
      <c r="A30" s="14" t="s">
        <v>5091</v>
      </c>
      <c r="B30" s="15" t="s">
        <v>758</v>
      </c>
      <c r="C30" s="15" t="s">
        <v>757</v>
      </c>
      <c r="D30" s="15" t="s">
        <v>5118</v>
      </c>
      <c r="E30" s="16" t="s">
        <v>5119</v>
      </c>
      <c r="F30" s="15" t="s">
        <v>16</v>
      </c>
    </row>
    <row r="31" spans="1:6">
      <c r="A31" s="14" t="s">
        <v>5091</v>
      </c>
      <c r="B31" s="15" t="s">
        <v>5126</v>
      </c>
      <c r="C31" s="15" t="s">
        <v>5127</v>
      </c>
      <c r="D31" s="15" t="s">
        <v>5101</v>
      </c>
      <c r="E31" s="16" t="s">
        <v>5114</v>
      </c>
      <c r="F31" s="15" t="s">
        <v>16</v>
      </c>
    </row>
    <row r="32" spans="1:6">
      <c r="A32" s="14" t="s">
        <v>5091</v>
      </c>
      <c r="B32" s="15" t="s">
        <v>2941</v>
      </c>
      <c r="C32" s="15" t="s">
        <v>2940</v>
      </c>
      <c r="D32" s="15"/>
      <c r="E32" s="16"/>
      <c r="F32" s="15">
        <v>0</v>
      </c>
    </row>
    <row r="33" spans="1:6">
      <c r="A33" s="14" t="s">
        <v>5091</v>
      </c>
      <c r="B33" s="15" t="s">
        <v>895</v>
      </c>
      <c r="C33" s="15" t="s">
        <v>894</v>
      </c>
      <c r="D33" s="15" t="s">
        <v>5101</v>
      </c>
      <c r="E33" s="16" t="s">
        <v>5114</v>
      </c>
      <c r="F33" s="15" t="s">
        <v>16</v>
      </c>
    </row>
    <row r="34" spans="1:6">
      <c r="A34" s="14" t="s">
        <v>5091</v>
      </c>
      <c r="B34" s="15" t="s">
        <v>898</v>
      </c>
      <c r="C34" s="15" t="s">
        <v>897</v>
      </c>
      <c r="D34" s="15" t="s">
        <v>5110</v>
      </c>
      <c r="E34" s="16" t="s">
        <v>5102</v>
      </c>
      <c r="F34" s="15" t="s">
        <v>213</v>
      </c>
    </row>
    <row r="35" spans="1:6">
      <c r="A35" s="14" t="s">
        <v>5091</v>
      </c>
      <c r="B35" s="15" t="s">
        <v>5128</v>
      </c>
      <c r="C35" s="15" t="s">
        <v>5129</v>
      </c>
      <c r="D35" s="15" t="s">
        <v>5101</v>
      </c>
      <c r="E35" s="16" t="s">
        <v>5114</v>
      </c>
      <c r="F35" s="15" t="s">
        <v>16</v>
      </c>
    </row>
    <row r="36" spans="1:6">
      <c r="A36" s="14" t="s">
        <v>5091</v>
      </c>
      <c r="B36" s="15" t="s">
        <v>923</v>
      </c>
      <c r="C36" s="15" t="s">
        <v>922</v>
      </c>
      <c r="D36" s="15" t="s">
        <v>5110</v>
      </c>
      <c r="E36" s="16"/>
      <c r="F36" s="15" t="s">
        <v>213</v>
      </c>
    </row>
    <row r="37" spans="1:6">
      <c r="A37" s="14" t="s">
        <v>5091</v>
      </c>
      <c r="B37" s="15" t="s">
        <v>929</v>
      </c>
      <c r="C37" s="15" t="s">
        <v>928</v>
      </c>
      <c r="D37" s="15" t="s">
        <v>5110</v>
      </c>
      <c r="E37" s="16" t="s">
        <v>5102</v>
      </c>
      <c r="F37" s="15" t="s">
        <v>16</v>
      </c>
    </row>
    <row r="38" spans="1:6">
      <c r="A38" s="14" t="s">
        <v>5091</v>
      </c>
      <c r="B38" s="15" t="s">
        <v>963</v>
      </c>
      <c r="C38" s="15" t="s">
        <v>962</v>
      </c>
      <c r="D38" s="15" t="s">
        <v>5110</v>
      </c>
      <c r="E38" s="16"/>
      <c r="F38" s="15" t="s">
        <v>213</v>
      </c>
    </row>
    <row r="39" spans="1:6">
      <c r="A39" s="14" t="s">
        <v>5091</v>
      </c>
      <c r="B39" s="15" t="s">
        <v>3918</v>
      </c>
      <c r="C39" s="15" t="s">
        <v>5130</v>
      </c>
      <c r="D39" s="15"/>
      <c r="E39" s="16"/>
      <c r="F39" s="15" t="s">
        <v>213</v>
      </c>
    </row>
    <row r="40" spans="1:6">
      <c r="A40" s="14" t="s">
        <v>5091</v>
      </c>
      <c r="B40" s="15" t="s">
        <v>974</v>
      </c>
      <c r="C40" s="15" t="s">
        <v>973</v>
      </c>
      <c r="D40" s="15" t="s">
        <v>5131</v>
      </c>
      <c r="E40" s="16"/>
      <c r="F40" s="15" t="s">
        <v>213</v>
      </c>
    </row>
    <row r="41" spans="1:6">
      <c r="A41" s="14" t="s">
        <v>5091</v>
      </c>
      <c r="B41" s="15" t="s">
        <v>3928</v>
      </c>
      <c r="C41" s="15" t="s">
        <v>5132</v>
      </c>
      <c r="D41" s="15" t="s">
        <v>5101</v>
      </c>
      <c r="E41" s="16" t="s">
        <v>5114</v>
      </c>
      <c r="F41" s="15" t="s">
        <v>16</v>
      </c>
    </row>
    <row r="42" spans="1:6">
      <c r="A42" s="14" t="s">
        <v>5091</v>
      </c>
      <c r="B42" s="15" t="s">
        <v>991</v>
      </c>
      <c r="C42" s="15" t="s">
        <v>990</v>
      </c>
      <c r="D42" s="15" t="s">
        <v>5110</v>
      </c>
      <c r="E42" s="16" t="s">
        <v>5102</v>
      </c>
      <c r="F42" s="15" t="s">
        <v>213</v>
      </c>
    </row>
    <row r="43" spans="1:6">
      <c r="A43" s="14" t="s">
        <v>5091</v>
      </c>
      <c r="B43" s="15" t="s">
        <v>997</v>
      </c>
      <c r="C43" s="15" t="s">
        <v>996</v>
      </c>
      <c r="D43" s="15" t="s">
        <v>5110</v>
      </c>
      <c r="E43" s="16" t="s">
        <v>5093</v>
      </c>
      <c r="F43" s="15" t="s">
        <v>16</v>
      </c>
    </row>
    <row r="44" spans="1:6">
      <c r="A44" s="14" t="s">
        <v>5091</v>
      </c>
      <c r="B44" s="15" t="s">
        <v>5133</v>
      </c>
      <c r="C44" s="15" t="s">
        <v>5134</v>
      </c>
      <c r="D44" s="15" t="s">
        <v>5101</v>
      </c>
      <c r="E44" s="16" t="s">
        <v>5114</v>
      </c>
      <c r="F44" s="15" t="s">
        <v>16</v>
      </c>
    </row>
    <row r="45" spans="1:6">
      <c r="A45" s="14" t="s">
        <v>5091</v>
      </c>
      <c r="B45" s="15" t="s">
        <v>5135</v>
      </c>
      <c r="C45" s="15" t="s">
        <v>5136</v>
      </c>
      <c r="D45" s="15"/>
      <c r="E45" s="16"/>
      <c r="F45" s="15" t="s">
        <v>213</v>
      </c>
    </row>
    <row r="46" spans="1:6">
      <c r="A46" s="14" t="s">
        <v>5091</v>
      </c>
      <c r="B46" s="15" t="s">
        <v>1009</v>
      </c>
      <c r="C46" s="15" t="s">
        <v>1008</v>
      </c>
      <c r="D46" s="15" t="s">
        <v>5092</v>
      </c>
      <c r="E46" s="16" t="s">
        <v>5106</v>
      </c>
      <c r="F46" s="15" t="s">
        <v>16</v>
      </c>
    </row>
    <row r="47" spans="1:6">
      <c r="A47" s="14" t="s">
        <v>5091</v>
      </c>
      <c r="B47" s="15" t="s">
        <v>5137</v>
      </c>
      <c r="C47" s="15" t="s">
        <v>5138</v>
      </c>
      <c r="D47" s="15"/>
      <c r="E47" s="16"/>
      <c r="F47" s="15" t="s">
        <v>213</v>
      </c>
    </row>
    <row r="48" spans="1:6">
      <c r="A48" s="14" t="s">
        <v>5091</v>
      </c>
      <c r="B48" s="15" t="s">
        <v>1028</v>
      </c>
      <c r="C48" s="15" t="s">
        <v>1027</v>
      </c>
      <c r="D48" s="15" t="s">
        <v>5094</v>
      </c>
      <c r="E48" s="16" t="s">
        <v>5113</v>
      </c>
      <c r="F48" s="15" t="s">
        <v>16</v>
      </c>
    </row>
    <row r="49" spans="1:6">
      <c r="A49" s="14" t="s">
        <v>5091</v>
      </c>
      <c r="B49" s="15" t="s">
        <v>1038</v>
      </c>
      <c r="C49" s="15" t="s">
        <v>1037</v>
      </c>
      <c r="D49" s="15" t="s">
        <v>5092</v>
      </c>
      <c r="E49" s="16" t="s">
        <v>5093</v>
      </c>
      <c r="F49" s="15" t="s">
        <v>16</v>
      </c>
    </row>
    <row r="50" spans="1:6">
      <c r="A50" s="14" t="s">
        <v>5091</v>
      </c>
      <c r="B50" s="15" t="s">
        <v>1048</v>
      </c>
      <c r="C50" s="15" t="s">
        <v>1047</v>
      </c>
      <c r="D50" s="15" t="s">
        <v>5118</v>
      </c>
      <c r="E50" s="16" t="s">
        <v>5119</v>
      </c>
      <c r="F50" s="15" t="s">
        <v>16</v>
      </c>
    </row>
    <row r="51" spans="1:6">
      <c r="A51" s="14" t="s">
        <v>5091</v>
      </c>
      <c r="B51" s="15" t="s">
        <v>1056</v>
      </c>
      <c r="C51" s="15" t="s">
        <v>1055</v>
      </c>
      <c r="D51" s="15" t="s">
        <v>5094</v>
      </c>
      <c r="E51" s="16" t="s">
        <v>5093</v>
      </c>
      <c r="F51" s="15" t="s">
        <v>16</v>
      </c>
    </row>
    <row r="52" spans="1:6">
      <c r="A52" s="14" t="s">
        <v>5091</v>
      </c>
      <c r="B52" s="15" t="s">
        <v>1068</v>
      </c>
      <c r="C52" s="15" t="s">
        <v>1067</v>
      </c>
      <c r="D52" s="15"/>
      <c r="E52" s="16"/>
      <c r="F52" s="15" t="s">
        <v>213</v>
      </c>
    </row>
    <row r="53" spans="1:6">
      <c r="A53" s="14" t="s">
        <v>5091</v>
      </c>
      <c r="B53" s="15" t="s">
        <v>3979</v>
      </c>
      <c r="C53" s="15" t="s">
        <v>5139</v>
      </c>
      <c r="D53" s="15" t="s">
        <v>5092</v>
      </c>
      <c r="E53" s="16" t="s">
        <v>5103</v>
      </c>
      <c r="F53" s="15" t="s">
        <v>213</v>
      </c>
    </row>
    <row r="54" spans="1:6">
      <c r="A54" s="14" t="s">
        <v>5091</v>
      </c>
      <c r="B54" s="15" t="s">
        <v>1079</v>
      </c>
      <c r="C54" s="15" t="s">
        <v>1078</v>
      </c>
      <c r="D54" s="15" t="s">
        <v>5092</v>
      </c>
      <c r="E54" s="16" t="s">
        <v>5106</v>
      </c>
      <c r="F54" s="15" t="s">
        <v>16</v>
      </c>
    </row>
    <row r="55" spans="1:6">
      <c r="A55" s="14" t="s">
        <v>5091</v>
      </c>
      <c r="B55" s="15" t="s">
        <v>1094</v>
      </c>
      <c r="C55" s="15" t="s">
        <v>1093</v>
      </c>
      <c r="D55" s="15" t="s">
        <v>5092</v>
      </c>
      <c r="E55" s="16" t="s">
        <v>5093</v>
      </c>
      <c r="F55" s="15" t="s">
        <v>16</v>
      </c>
    </row>
    <row r="56" spans="1:6">
      <c r="A56" s="14" t="s">
        <v>5091</v>
      </c>
      <c r="B56" s="15" t="s">
        <v>2886</v>
      </c>
      <c r="C56" s="15" t="s">
        <v>2885</v>
      </c>
      <c r="D56" s="15"/>
      <c r="E56" s="16"/>
      <c r="F56" s="15">
        <v>0</v>
      </c>
    </row>
    <row r="57" spans="1:6">
      <c r="A57" s="14" t="s">
        <v>5091</v>
      </c>
      <c r="B57" s="15" t="s">
        <v>4010</v>
      </c>
      <c r="C57" s="15" t="s">
        <v>5140</v>
      </c>
      <c r="D57" s="15"/>
      <c r="E57" s="16"/>
      <c r="F57" s="15" t="s">
        <v>16</v>
      </c>
    </row>
    <row r="58" spans="1:6">
      <c r="A58" s="14" t="s">
        <v>5091</v>
      </c>
      <c r="B58" s="15" t="s">
        <v>1104</v>
      </c>
      <c r="C58" s="15" t="s">
        <v>1103</v>
      </c>
      <c r="D58" s="15" t="s">
        <v>5092</v>
      </c>
      <c r="E58" s="16" t="s">
        <v>5093</v>
      </c>
      <c r="F58" s="15" t="s">
        <v>213</v>
      </c>
    </row>
    <row r="59" spans="1:6">
      <c r="A59" s="14" t="s">
        <v>5091</v>
      </c>
      <c r="B59" s="15" t="s">
        <v>4034</v>
      </c>
      <c r="C59" s="15" t="s">
        <v>5141</v>
      </c>
      <c r="D59" s="15"/>
      <c r="E59" s="16"/>
      <c r="F59" s="15" t="s">
        <v>213</v>
      </c>
    </row>
    <row r="60" spans="1:6">
      <c r="A60" s="14" t="s">
        <v>5091</v>
      </c>
      <c r="B60" s="15" t="s">
        <v>1157</v>
      </c>
      <c r="C60" s="15" t="s">
        <v>1156</v>
      </c>
      <c r="D60" s="15" t="s">
        <v>5092</v>
      </c>
      <c r="E60" s="16" t="s">
        <v>5093</v>
      </c>
      <c r="F60" s="15" t="s">
        <v>16</v>
      </c>
    </row>
    <row r="61" spans="1:6">
      <c r="A61" s="14" t="s">
        <v>5091</v>
      </c>
      <c r="B61" s="15" t="s">
        <v>1215</v>
      </c>
      <c r="C61" s="15" t="s">
        <v>1214</v>
      </c>
      <c r="D61" s="15" t="s">
        <v>5118</v>
      </c>
      <c r="E61" s="16" t="s">
        <v>5119</v>
      </c>
      <c r="F61" s="15" t="s">
        <v>1216</v>
      </c>
    </row>
    <row r="62" spans="1:6">
      <c r="A62" s="14" t="s">
        <v>5091</v>
      </c>
      <c r="B62" s="15" t="s">
        <v>1285</v>
      </c>
      <c r="C62" s="15" t="s">
        <v>1284</v>
      </c>
      <c r="D62" s="15" t="s">
        <v>5092</v>
      </c>
      <c r="E62" s="16" t="s">
        <v>5106</v>
      </c>
      <c r="F62" s="15" t="s">
        <v>16</v>
      </c>
    </row>
    <row r="63" spans="1:6">
      <c r="A63" s="14" t="s">
        <v>5091</v>
      </c>
      <c r="B63" s="15" t="s">
        <v>1300</v>
      </c>
      <c r="C63" s="15" t="s">
        <v>1299</v>
      </c>
      <c r="D63" s="15" t="s">
        <v>5118</v>
      </c>
      <c r="E63" s="16" t="s">
        <v>5119</v>
      </c>
      <c r="F63" s="15" t="s">
        <v>16</v>
      </c>
    </row>
    <row r="64" spans="1:6">
      <c r="A64" s="14" t="s">
        <v>5091</v>
      </c>
      <c r="B64" s="15" t="s">
        <v>5142</v>
      </c>
      <c r="C64" s="15" t="s">
        <v>5143</v>
      </c>
      <c r="D64" s="15" t="s">
        <v>5092</v>
      </c>
      <c r="E64" s="16" t="s">
        <v>5093</v>
      </c>
      <c r="F64" s="15" t="s">
        <v>16</v>
      </c>
    </row>
    <row r="65" spans="1:6">
      <c r="A65" s="14" t="s">
        <v>5091</v>
      </c>
      <c r="B65" s="15" t="s">
        <v>4300</v>
      </c>
      <c r="C65" s="15" t="s">
        <v>5144</v>
      </c>
      <c r="D65" s="15"/>
      <c r="E65" s="16"/>
      <c r="F65" s="15" t="s">
        <v>16</v>
      </c>
    </row>
    <row r="66" spans="1:6">
      <c r="A66" s="14" t="s">
        <v>5091</v>
      </c>
      <c r="B66" s="15" t="s">
        <v>1443</v>
      </c>
      <c r="C66" s="15" t="s">
        <v>1442</v>
      </c>
      <c r="D66" s="15" t="s">
        <v>5104</v>
      </c>
      <c r="E66" s="16" t="s">
        <v>5105</v>
      </c>
      <c r="F66" s="15" t="s">
        <v>16</v>
      </c>
    </row>
    <row r="67" spans="1:6">
      <c r="A67" s="14" t="s">
        <v>5091</v>
      </c>
      <c r="B67" s="15" t="s">
        <v>4365</v>
      </c>
      <c r="C67" s="15" t="s">
        <v>5145</v>
      </c>
      <c r="D67" s="15" t="s">
        <v>5092</v>
      </c>
      <c r="E67" s="16" t="s">
        <v>5093</v>
      </c>
      <c r="F67" s="15" t="s">
        <v>16</v>
      </c>
    </row>
    <row r="68" spans="1:6">
      <c r="A68" s="14" t="s">
        <v>5091</v>
      </c>
      <c r="B68" s="15" t="s">
        <v>1452</v>
      </c>
      <c r="C68" s="15" t="s">
        <v>1451</v>
      </c>
      <c r="D68" s="15" t="s">
        <v>5100</v>
      </c>
      <c r="E68" s="16" t="s">
        <v>5093</v>
      </c>
      <c r="F68" s="15" t="s">
        <v>16</v>
      </c>
    </row>
    <row r="69" spans="1:6">
      <c r="A69" s="14" t="s">
        <v>5091</v>
      </c>
      <c r="B69" s="15" t="s">
        <v>1474</v>
      </c>
      <c r="C69" s="15" t="s">
        <v>1473</v>
      </c>
      <c r="D69" s="15" t="s">
        <v>5094</v>
      </c>
      <c r="E69" s="16" t="s">
        <v>5093</v>
      </c>
      <c r="F69" s="15" t="s">
        <v>16</v>
      </c>
    </row>
    <row r="70" spans="1:6">
      <c r="A70" s="14" t="s">
        <v>5091</v>
      </c>
      <c r="B70" s="15" t="s">
        <v>195</v>
      </c>
      <c r="C70" s="15" t="s">
        <v>194</v>
      </c>
      <c r="D70" s="15" t="s">
        <v>5092</v>
      </c>
      <c r="E70" s="16" t="s">
        <v>5103</v>
      </c>
      <c r="F70" s="15" t="s">
        <v>16</v>
      </c>
    </row>
    <row r="71" spans="1:6">
      <c r="A71" s="14" t="s">
        <v>5091</v>
      </c>
      <c r="B71" s="15" t="s">
        <v>1546</v>
      </c>
      <c r="C71" s="15" t="s">
        <v>1545</v>
      </c>
      <c r="D71" s="15" t="s">
        <v>5118</v>
      </c>
      <c r="E71" s="16" t="s">
        <v>5119</v>
      </c>
      <c r="F71" s="15" t="s">
        <v>16</v>
      </c>
    </row>
    <row r="72" spans="1:6">
      <c r="A72" s="14" t="s">
        <v>5091</v>
      </c>
      <c r="B72" s="15" t="s">
        <v>4453</v>
      </c>
      <c r="C72" s="15" t="s">
        <v>5146</v>
      </c>
      <c r="D72" s="15" t="s">
        <v>5092</v>
      </c>
      <c r="E72" s="16" t="s">
        <v>5103</v>
      </c>
      <c r="F72" s="15" t="s">
        <v>16</v>
      </c>
    </row>
    <row r="73" spans="1:6">
      <c r="A73" s="14" t="s">
        <v>5091</v>
      </c>
      <c r="B73" s="15" t="s">
        <v>1578</v>
      </c>
      <c r="C73" s="15" t="s">
        <v>1577</v>
      </c>
      <c r="D73" s="15" t="s">
        <v>5101</v>
      </c>
      <c r="E73" s="16" t="s">
        <v>5114</v>
      </c>
      <c r="F73" s="15" t="s">
        <v>16</v>
      </c>
    </row>
    <row r="74" spans="1:6">
      <c r="A74" s="14" t="s">
        <v>5091</v>
      </c>
      <c r="B74" s="15" t="s">
        <v>4490</v>
      </c>
      <c r="C74" s="15" t="s">
        <v>5147</v>
      </c>
      <c r="D74" s="15" t="s">
        <v>5092</v>
      </c>
      <c r="E74" s="16" t="s">
        <v>5093</v>
      </c>
      <c r="F74" s="15" t="s">
        <v>16</v>
      </c>
    </row>
    <row r="75" spans="1:6">
      <c r="A75" s="14" t="s">
        <v>5091</v>
      </c>
      <c r="B75" s="15" t="s">
        <v>1582</v>
      </c>
      <c r="C75" s="15" t="s">
        <v>1581</v>
      </c>
      <c r="D75" s="15" t="s">
        <v>5118</v>
      </c>
      <c r="E75" s="16" t="s">
        <v>5119</v>
      </c>
      <c r="F75" s="15" t="s">
        <v>16</v>
      </c>
    </row>
    <row r="76" spans="1:6">
      <c r="A76" s="14" t="s">
        <v>5091</v>
      </c>
      <c r="B76" s="15" t="s">
        <v>222</v>
      </c>
      <c r="C76" s="15" t="s">
        <v>221</v>
      </c>
      <c r="D76" s="15" t="s">
        <v>5092</v>
      </c>
      <c r="E76" s="16" t="s">
        <v>5106</v>
      </c>
      <c r="F76" s="15" t="s">
        <v>16</v>
      </c>
    </row>
    <row r="77" spans="1:6">
      <c r="A77" s="14" t="s">
        <v>5091</v>
      </c>
      <c r="B77" s="15" t="s">
        <v>1716</v>
      </c>
      <c r="C77" s="15" t="s">
        <v>1715</v>
      </c>
      <c r="D77" s="15" t="s">
        <v>5101</v>
      </c>
      <c r="E77" s="16" t="s">
        <v>5114</v>
      </c>
      <c r="F77" s="15" t="s">
        <v>16</v>
      </c>
    </row>
    <row r="78" spans="1:6">
      <c r="A78" s="14" t="s">
        <v>5091</v>
      </c>
      <c r="B78" s="15" t="s">
        <v>1752</v>
      </c>
      <c r="C78" s="15" t="s">
        <v>1751</v>
      </c>
      <c r="D78" s="15" t="s">
        <v>5118</v>
      </c>
      <c r="E78" s="16" t="s">
        <v>5119</v>
      </c>
      <c r="F78" s="15" t="s">
        <v>16</v>
      </c>
    </row>
    <row r="79" spans="1:6">
      <c r="A79" s="14" t="s">
        <v>5091</v>
      </c>
      <c r="B79" s="15" t="s">
        <v>1758</v>
      </c>
      <c r="C79" s="15" t="s">
        <v>1757</v>
      </c>
      <c r="D79" s="15" t="s">
        <v>5101</v>
      </c>
      <c r="E79" s="16" t="s">
        <v>5114</v>
      </c>
      <c r="F79" s="15" t="s">
        <v>16</v>
      </c>
    </row>
    <row r="80" spans="1:6">
      <c r="A80" s="14" t="s">
        <v>5091</v>
      </c>
      <c r="B80" s="15" t="s">
        <v>1812</v>
      </c>
      <c r="C80" s="15" t="s">
        <v>1811</v>
      </c>
      <c r="D80" s="15" t="s">
        <v>5094</v>
      </c>
      <c r="E80" s="16" t="s">
        <v>5095</v>
      </c>
      <c r="F80" s="15" t="s">
        <v>16</v>
      </c>
    </row>
    <row r="81" spans="1:6">
      <c r="A81" s="14" t="s">
        <v>5091</v>
      </c>
      <c r="B81" s="15" t="s">
        <v>240</v>
      </c>
      <c r="C81" s="15" t="s">
        <v>239</v>
      </c>
      <c r="D81" s="15" t="s">
        <v>5092</v>
      </c>
      <c r="E81" s="16" t="s">
        <v>5103</v>
      </c>
      <c r="F81" s="15" t="s">
        <v>16</v>
      </c>
    </row>
    <row r="82" spans="1:6">
      <c r="A82" s="14" t="s">
        <v>5091</v>
      </c>
      <c r="B82" s="15" t="s">
        <v>5148</v>
      </c>
      <c r="C82" s="15" t="s">
        <v>5149</v>
      </c>
      <c r="D82" s="15" t="s">
        <v>5101</v>
      </c>
      <c r="E82" s="16" t="s">
        <v>5114</v>
      </c>
      <c r="F82" s="15" t="s">
        <v>16</v>
      </c>
    </row>
    <row r="83" spans="1:6">
      <c r="A83" s="14" t="s">
        <v>5091</v>
      </c>
      <c r="B83" s="15" t="s">
        <v>4810</v>
      </c>
      <c r="C83" s="15" t="s">
        <v>5150</v>
      </c>
      <c r="D83" s="15" t="s">
        <v>5118</v>
      </c>
      <c r="E83" s="16" t="s">
        <v>5119</v>
      </c>
      <c r="F83" s="15" t="s">
        <v>16</v>
      </c>
    </row>
    <row r="84" spans="1:6">
      <c r="A84" s="14" t="s">
        <v>5091</v>
      </c>
      <c r="B84" s="15" t="s">
        <v>1950</v>
      </c>
      <c r="C84" s="15" t="s">
        <v>1949</v>
      </c>
      <c r="D84" s="15" t="s">
        <v>5104</v>
      </c>
      <c r="E84" s="16" t="s">
        <v>5105</v>
      </c>
      <c r="F84" s="15" t="s">
        <v>16</v>
      </c>
    </row>
    <row r="85" spans="1:6">
      <c r="A85" s="14" t="s">
        <v>5091</v>
      </c>
      <c r="B85" s="15" t="s">
        <v>1977</v>
      </c>
      <c r="C85" s="15" t="s">
        <v>1976</v>
      </c>
      <c r="D85" s="15" t="s">
        <v>5101</v>
      </c>
      <c r="E85" s="16" t="s">
        <v>5114</v>
      </c>
      <c r="F85" s="15" t="s">
        <v>16</v>
      </c>
    </row>
    <row r="86" spans="1:6">
      <c r="A86" s="14" t="s">
        <v>5091</v>
      </c>
      <c r="B86" s="15" t="s">
        <v>2003</v>
      </c>
      <c r="C86" s="15" t="s">
        <v>2002</v>
      </c>
      <c r="D86" s="15" t="s">
        <v>5101</v>
      </c>
      <c r="E86" s="16" t="s">
        <v>5114</v>
      </c>
      <c r="F86" s="15" t="s">
        <v>382</v>
      </c>
    </row>
    <row r="87" spans="1:6">
      <c r="A87" s="14" t="s">
        <v>5091</v>
      </c>
      <c r="B87" s="15" t="s">
        <v>2006</v>
      </c>
      <c r="C87" s="15" t="s">
        <v>2005</v>
      </c>
      <c r="D87" s="15" t="s">
        <v>5092</v>
      </c>
      <c r="E87" s="16" t="s">
        <v>5093</v>
      </c>
      <c r="F87" s="15" t="s">
        <v>16</v>
      </c>
    </row>
    <row r="88" spans="1:6">
      <c r="A88" s="14" t="s">
        <v>5091</v>
      </c>
      <c r="B88" s="15" t="s">
        <v>2066</v>
      </c>
      <c r="C88" s="15" t="s">
        <v>2065</v>
      </c>
      <c r="D88" s="15" t="s">
        <v>5118</v>
      </c>
      <c r="E88" s="16" t="s">
        <v>5119</v>
      </c>
      <c r="F88" s="15" t="s">
        <v>16</v>
      </c>
    </row>
    <row r="89" spans="1:6">
      <c r="A89" s="14" t="s">
        <v>5091</v>
      </c>
      <c r="B89" s="15" t="s">
        <v>2112</v>
      </c>
      <c r="C89" s="15" t="s">
        <v>2111</v>
      </c>
      <c r="D89" s="15" t="s">
        <v>5092</v>
      </c>
      <c r="E89" s="16" t="s">
        <v>5093</v>
      </c>
      <c r="F89" s="15" t="s">
        <v>16</v>
      </c>
    </row>
    <row r="90" spans="1:6">
      <c r="A90" s="14" t="s">
        <v>5091</v>
      </c>
      <c r="B90" s="15" t="s">
        <v>2153</v>
      </c>
      <c r="C90" s="15" t="s">
        <v>2152</v>
      </c>
      <c r="D90" s="15" t="s">
        <v>5094</v>
      </c>
      <c r="E90" s="16" t="s">
        <v>5113</v>
      </c>
      <c r="F90" s="15" t="s">
        <v>16</v>
      </c>
    </row>
    <row r="91" spans="1:6">
      <c r="A91" s="14" t="s">
        <v>5091</v>
      </c>
      <c r="B91" s="15" t="s">
        <v>5073</v>
      </c>
      <c r="C91" s="15" t="s">
        <v>5151</v>
      </c>
      <c r="D91" s="15" t="s">
        <v>5118</v>
      </c>
      <c r="E91" s="16" t="s">
        <v>5119</v>
      </c>
      <c r="F91" s="15" t="s">
        <v>16</v>
      </c>
    </row>
    <row r="92" spans="1:6">
      <c r="A92" s="14" t="s">
        <v>5091</v>
      </c>
      <c r="B92" s="15" t="s">
        <v>5152</v>
      </c>
      <c r="C92" s="15" t="s">
        <v>5153</v>
      </c>
      <c r="D92" s="15" t="s">
        <v>5092</v>
      </c>
      <c r="E92" s="16" t="s">
        <v>5093</v>
      </c>
      <c r="F92" s="15" t="s">
        <v>16</v>
      </c>
    </row>
    <row r="93" spans="1:6">
      <c r="A93" s="14" t="s">
        <v>5091</v>
      </c>
      <c r="B93" s="15" t="s">
        <v>598</v>
      </c>
      <c r="C93" s="15" t="s">
        <v>597</v>
      </c>
      <c r="D93" s="15" t="s">
        <v>5094</v>
      </c>
      <c r="E93" s="16" t="s">
        <v>5095</v>
      </c>
      <c r="F93" s="15" t="s">
        <v>16</v>
      </c>
    </row>
    <row r="94" spans="1:6">
      <c r="A94" s="14" t="s">
        <v>5091</v>
      </c>
      <c r="B94" s="15" t="s">
        <v>5154</v>
      </c>
      <c r="C94" s="15" t="s">
        <v>5155</v>
      </c>
      <c r="D94" s="15" t="s">
        <v>5104</v>
      </c>
      <c r="E94" s="16" t="s">
        <v>5105</v>
      </c>
      <c r="F94" s="15" t="s">
        <v>16</v>
      </c>
    </row>
    <row r="95" spans="1:6">
      <c r="A95" s="14" t="s">
        <v>5091</v>
      </c>
      <c r="B95" s="15" t="s">
        <v>860</v>
      </c>
      <c r="C95" s="15" t="s">
        <v>859</v>
      </c>
      <c r="D95" s="15" t="s">
        <v>5092</v>
      </c>
      <c r="E95" s="16" t="s">
        <v>5106</v>
      </c>
      <c r="F95" s="15" t="s">
        <v>16</v>
      </c>
    </row>
    <row r="96" spans="1:6">
      <c r="A96" s="14" t="s">
        <v>5091</v>
      </c>
      <c r="B96" s="15" t="s">
        <v>1001</v>
      </c>
      <c r="C96" s="15" t="s">
        <v>1000</v>
      </c>
      <c r="D96" s="15" t="s">
        <v>5092</v>
      </c>
      <c r="E96" s="16" t="s">
        <v>5106</v>
      </c>
      <c r="F96" s="15" t="s">
        <v>16</v>
      </c>
    </row>
    <row r="97" spans="1:6">
      <c r="A97" s="14" t="s">
        <v>5091</v>
      </c>
      <c r="B97" s="15" t="s">
        <v>1020</v>
      </c>
      <c r="C97" s="15" t="s">
        <v>1019</v>
      </c>
      <c r="D97" s="15" t="s">
        <v>5118</v>
      </c>
      <c r="E97" s="16" t="s">
        <v>5119</v>
      </c>
      <c r="F97" s="15" t="s">
        <v>16</v>
      </c>
    </row>
    <row r="98" spans="1:6">
      <c r="A98" s="14" t="s">
        <v>5091</v>
      </c>
      <c r="B98" s="15" t="s">
        <v>5156</v>
      </c>
      <c r="C98" s="15" t="s">
        <v>5157</v>
      </c>
      <c r="D98" s="15"/>
      <c r="E98" s="16"/>
      <c r="F98" s="15" t="s">
        <v>16</v>
      </c>
    </row>
    <row r="99" spans="1:6">
      <c r="A99" s="14" t="s">
        <v>5091</v>
      </c>
      <c r="B99" s="15" t="s">
        <v>1119</v>
      </c>
      <c r="C99" s="15" t="s">
        <v>1118</v>
      </c>
      <c r="D99" s="15"/>
      <c r="E99" s="16"/>
      <c r="F99" s="15" t="s">
        <v>16</v>
      </c>
    </row>
    <row r="100" spans="1:6">
      <c r="A100" s="14" t="s">
        <v>5091</v>
      </c>
      <c r="B100" s="15" t="s">
        <v>5158</v>
      </c>
      <c r="C100" s="15" t="s">
        <v>5159</v>
      </c>
      <c r="D100" s="15" t="s">
        <v>5092</v>
      </c>
      <c r="E100" s="16" t="s">
        <v>5093</v>
      </c>
      <c r="F100" s="15" t="s">
        <v>16</v>
      </c>
    </row>
    <row r="101" spans="1:6">
      <c r="A101" s="14" t="s">
        <v>5091</v>
      </c>
      <c r="B101" s="15" t="s">
        <v>5160</v>
      </c>
      <c r="C101" s="15" t="s">
        <v>5161</v>
      </c>
      <c r="D101" s="15"/>
      <c r="E101" s="16"/>
      <c r="F101" s="15" t="s">
        <v>16</v>
      </c>
    </row>
    <row r="102" spans="1:6">
      <c r="A102" s="14" t="s">
        <v>5091</v>
      </c>
      <c r="B102" s="15" t="s">
        <v>1122</v>
      </c>
      <c r="C102" s="15" t="s">
        <v>1121</v>
      </c>
      <c r="D102" s="15"/>
      <c r="E102" s="16"/>
      <c r="F102" s="15" t="s">
        <v>16</v>
      </c>
    </row>
    <row r="103" spans="1:6">
      <c r="A103" s="14" t="s">
        <v>5091</v>
      </c>
      <c r="B103" s="15" t="s">
        <v>1133</v>
      </c>
      <c r="C103" s="15" t="s">
        <v>1132</v>
      </c>
      <c r="D103" s="15"/>
      <c r="E103" s="16"/>
      <c r="F103" s="15" t="s">
        <v>16</v>
      </c>
    </row>
    <row r="104" spans="1:6">
      <c r="A104" s="14" t="s">
        <v>5091</v>
      </c>
      <c r="B104" s="15" t="s">
        <v>1137</v>
      </c>
      <c r="C104" s="15" t="s">
        <v>1136</v>
      </c>
      <c r="D104" s="15" t="s">
        <v>5162</v>
      </c>
      <c r="E104" s="16"/>
      <c r="F104" s="15" t="s">
        <v>16</v>
      </c>
    </row>
    <row r="105" spans="1:6">
      <c r="A105" s="14" t="s">
        <v>5091</v>
      </c>
      <c r="B105" s="15" t="s">
        <v>1150</v>
      </c>
      <c r="C105" s="15" t="s">
        <v>1149</v>
      </c>
      <c r="D105" s="15" t="s">
        <v>5092</v>
      </c>
      <c r="E105" s="16" t="s">
        <v>5106</v>
      </c>
      <c r="F105" s="15" t="s">
        <v>16</v>
      </c>
    </row>
    <row r="106" spans="1:6">
      <c r="A106" s="14" t="s">
        <v>5091</v>
      </c>
      <c r="B106" s="15" t="s">
        <v>5163</v>
      </c>
      <c r="C106" s="15" t="s">
        <v>5164</v>
      </c>
      <c r="D106" s="15"/>
      <c r="E106" s="16" t="s">
        <v>5105</v>
      </c>
      <c r="F106" s="15" t="s">
        <v>16</v>
      </c>
    </row>
    <row r="107" spans="1:6">
      <c r="A107" s="14" t="s">
        <v>5091</v>
      </c>
      <c r="B107" s="15" t="s">
        <v>5165</v>
      </c>
      <c r="C107" s="15" t="s">
        <v>5166</v>
      </c>
      <c r="D107" s="15" t="s">
        <v>5104</v>
      </c>
      <c r="E107" s="16" t="s">
        <v>5105</v>
      </c>
      <c r="F107" s="15" t="s">
        <v>16</v>
      </c>
    </row>
    <row r="108" spans="1:6">
      <c r="A108" s="14" t="s">
        <v>5091</v>
      </c>
      <c r="B108" s="15" t="s">
        <v>1154</v>
      </c>
      <c r="C108" s="15" t="s">
        <v>1153</v>
      </c>
      <c r="D108" s="15"/>
      <c r="E108" s="16"/>
      <c r="F108" s="15" t="s">
        <v>16</v>
      </c>
    </row>
    <row r="109" spans="1:6">
      <c r="A109" s="14" t="s">
        <v>5091</v>
      </c>
      <c r="B109" s="15" t="s">
        <v>4032</v>
      </c>
      <c r="C109" s="15" t="s">
        <v>5167</v>
      </c>
      <c r="D109" s="15"/>
      <c r="E109" s="16"/>
      <c r="F109" s="15" t="s">
        <v>16</v>
      </c>
    </row>
    <row r="110" spans="1:6">
      <c r="A110" s="14" t="s">
        <v>5091</v>
      </c>
      <c r="B110" s="15" t="s">
        <v>5168</v>
      </c>
      <c r="C110" s="15" t="s">
        <v>5169</v>
      </c>
      <c r="D110" s="15"/>
      <c r="E110" s="16"/>
      <c r="F110" s="15" t="s">
        <v>16</v>
      </c>
    </row>
    <row r="111" spans="1:6">
      <c r="A111" s="14" t="s">
        <v>5091</v>
      </c>
      <c r="B111" s="15" t="s">
        <v>1169</v>
      </c>
      <c r="C111" s="15" t="s">
        <v>1168</v>
      </c>
      <c r="D111" s="15"/>
      <c r="E111" s="16"/>
      <c r="F111" s="15" t="s">
        <v>16</v>
      </c>
    </row>
    <row r="112" spans="1:6">
      <c r="A112" s="14" t="s">
        <v>5091</v>
      </c>
      <c r="B112" s="15" t="s">
        <v>1173</v>
      </c>
      <c r="C112" s="15" t="s">
        <v>1172</v>
      </c>
      <c r="D112" s="15" t="s">
        <v>5092</v>
      </c>
      <c r="E112" s="16" t="s">
        <v>5106</v>
      </c>
      <c r="F112" s="15" t="s">
        <v>16</v>
      </c>
    </row>
    <row r="113" spans="1:6">
      <c r="A113" s="14" t="s">
        <v>5091</v>
      </c>
      <c r="B113" s="15" t="s">
        <v>5170</v>
      </c>
      <c r="C113" s="15" t="s">
        <v>5171</v>
      </c>
      <c r="D113" s="15" t="s">
        <v>5092</v>
      </c>
      <c r="E113" s="16" t="s">
        <v>5093</v>
      </c>
      <c r="F113" s="15" t="s">
        <v>16</v>
      </c>
    </row>
    <row r="114" spans="1:6">
      <c r="A114" s="14" t="s">
        <v>5091</v>
      </c>
      <c r="B114" s="15" t="s">
        <v>1179</v>
      </c>
      <c r="C114" s="15" t="s">
        <v>1178</v>
      </c>
      <c r="D114" s="15"/>
      <c r="E114" s="16"/>
      <c r="F114" s="15" t="s">
        <v>16</v>
      </c>
    </row>
    <row r="115" spans="1:6">
      <c r="A115" s="14" t="s">
        <v>5091</v>
      </c>
      <c r="B115" s="15" t="s">
        <v>5172</v>
      </c>
      <c r="C115" s="15" t="s">
        <v>5173</v>
      </c>
      <c r="D115" s="15" t="s">
        <v>5101</v>
      </c>
      <c r="E115" s="16" t="s">
        <v>5114</v>
      </c>
      <c r="F115" s="15" t="s">
        <v>16</v>
      </c>
    </row>
    <row r="116" spans="1:6">
      <c r="A116" s="14" t="s">
        <v>5091</v>
      </c>
      <c r="B116" s="15" t="s">
        <v>5174</v>
      </c>
      <c r="C116" s="15" t="s">
        <v>5175</v>
      </c>
      <c r="D116" s="15" t="s">
        <v>5092</v>
      </c>
      <c r="E116" s="16" t="s">
        <v>5093</v>
      </c>
      <c r="F116" s="15" t="s">
        <v>16</v>
      </c>
    </row>
    <row r="117" spans="1:6">
      <c r="A117" s="14" t="s">
        <v>5091</v>
      </c>
      <c r="B117" s="15" t="s">
        <v>4095</v>
      </c>
      <c r="C117" s="15" t="s">
        <v>5176</v>
      </c>
      <c r="D117" s="15" t="s">
        <v>5092</v>
      </c>
      <c r="E117" s="16" t="s">
        <v>5093</v>
      </c>
      <c r="F117" s="15" t="s">
        <v>16</v>
      </c>
    </row>
    <row r="118" spans="1:6">
      <c r="A118" s="14" t="s">
        <v>5091</v>
      </c>
      <c r="B118" s="15" t="s">
        <v>5177</v>
      </c>
      <c r="C118" s="15" t="s">
        <v>5178</v>
      </c>
      <c r="D118" s="15" t="s">
        <v>5118</v>
      </c>
      <c r="E118" s="16" t="s">
        <v>5119</v>
      </c>
      <c r="F118" s="15" t="s">
        <v>16</v>
      </c>
    </row>
    <row r="119" spans="1:6">
      <c r="A119" s="14" t="s">
        <v>5091</v>
      </c>
      <c r="B119" s="15" t="s">
        <v>1193</v>
      </c>
      <c r="C119" s="15" t="s">
        <v>1192</v>
      </c>
      <c r="D119" s="15"/>
      <c r="E119" s="16"/>
      <c r="F119" s="15" t="s">
        <v>16</v>
      </c>
    </row>
    <row r="120" spans="1:6">
      <c r="A120" s="14" t="s">
        <v>5091</v>
      </c>
      <c r="B120" s="15" t="s">
        <v>1198</v>
      </c>
      <c r="C120" s="15" t="s">
        <v>1197</v>
      </c>
      <c r="D120" s="15" t="s">
        <v>5118</v>
      </c>
      <c r="E120" s="16" t="s">
        <v>5119</v>
      </c>
      <c r="F120" s="15" t="s">
        <v>16</v>
      </c>
    </row>
    <row r="121" spans="1:6">
      <c r="A121" s="14" t="s">
        <v>5091</v>
      </c>
      <c r="B121" s="15" t="s">
        <v>1203</v>
      </c>
      <c r="C121" s="15" t="s">
        <v>1202</v>
      </c>
      <c r="D121" s="15" t="s">
        <v>5110</v>
      </c>
      <c r="E121" s="16" t="s">
        <v>5102</v>
      </c>
      <c r="F121" s="15" t="s">
        <v>16</v>
      </c>
    </row>
    <row r="122" spans="1:6">
      <c r="A122" s="14" t="s">
        <v>5091</v>
      </c>
      <c r="B122" s="15" t="s">
        <v>1206</v>
      </c>
      <c r="C122" s="15" t="s">
        <v>1205</v>
      </c>
      <c r="D122" s="15" t="s">
        <v>5104</v>
      </c>
      <c r="E122" s="16" t="s">
        <v>5105</v>
      </c>
      <c r="F122" s="15" t="s">
        <v>16</v>
      </c>
    </row>
    <row r="123" spans="1:6">
      <c r="A123" s="14" t="s">
        <v>5091</v>
      </c>
      <c r="B123" s="15" t="s">
        <v>5179</v>
      </c>
      <c r="C123" s="15" t="s">
        <v>5180</v>
      </c>
      <c r="D123" s="15" t="s">
        <v>5162</v>
      </c>
      <c r="E123" s="16"/>
      <c r="F123" s="15" t="s">
        <v>16</v>
      </c>
    </row>
    <row r="124" spans="1:6">
      <c r="A124" s="14" t="s">
        <v>5091</v>
      </c>
      <c r="B124" s="15" t="s">
        <v>5181</v>
      </c>
      <c r="C124" s="15" t="s">
        <v>5182</v>
      </c>
      <c r="D124" s="15" t="s">
        <v>5101</v>
      </c>
      <c r="E124" s="16" t="s">
        <v>5102</v>
      </c>
      <c r="F124" s="15" t="s">
        <v>16</v>
      </c>
    </row>
    <row r="125" spans="1:6">
      <c r="A125" s="14" t="s">
        <v>5091</v>
      </c>
      <c r="B125" s="15" t="s">
        <v>1292</v>
      </c>
      <c r="C125" s="15" t="s">
        <v>1291</v>
      </c>
      <c r="D125" s="15"/>
      <c r="E125" s="16"/>
      <c r="F125" s="15" t="s">
        <v>16</v>
      </c>
    </row>
    <row r="126" spans="1:6">
      <c r="A126" s="14" t="s">
        <v>5091</v>
      </c>
      <c r="B126" s="15" t="s">
        <v>1305</v>
      </c>
      <c r="C126" s="15" t="s">
        <v>5183</v>
      </c>
      <c r="D126" s="15"/>
      <c r="E126" s="16"/>
      <c r="F126" s="15" t="s">
        <v>213</v>
      </c>
    </row>
    <row r="127" spans="1:6">
      <c r="A127" s="14" t="s">
        <v>5091</v>
      </c>
      <c r="B127" s="15" t="s">
        <v>4226</v>
      </c>
      <c r="C127" s="15" t="s">
        <v>5184</v>
      </c>
      <c r="D127" s="15" t="s">
        <v>5092</v>
      </c>
      <c r="E127" s="16" t="s">
        <v>5106</v>
      </c>
      <c r="F127" s="15" t="s">
        <v>16</v>
      </c>
    </row>
    <row r="128" spans="1:6">
      <c r="A128" s="14" t="s">
        <v>5091</v>
      </c>
      <c r="B128" s="15" t="s">
        <v>5185</v>
      </c>
      <c r="C128" s="15" t="s">
        <v>5186</v>
      </c>
      <c r="D128" s="15"/>
      <c r="E128" s="16"/>
      <c r="F128" s="15" t="s">
        <v>213</v>
      </c>
    </row>
    <row r="129" spans="1:6">
      <c r="A129" s="14" t="s">
        <v>5091</v>
      </c>
      <c r="B129" s="15" t="s">
        <v>4228</v>
      </c>
      <c r="C129" s="15" t="s">
        <v>5187</v>
      </c>
      <c r="D129" s="15" t="s">
        <v>5092</v>
      </c>
      <c r="E129" s="16" t="s">
        <v>5093</v>
      </c>
      <c r="F129" s="15" t="s">
        <v>16</v>
      </c>
    </row>
    <row r="130" spans="1:6">
      <c r="A130" s="14" t="s">
        <v>5091</v>
      </c>
      <c r="B130" s="15" t="s">
        <v>5188</v>
      </c>
      <c r="C130" s="15" t="s">
        <v>5189</v>
      </c>
      <c r="D130" s="15"/>
      <c r="E130" s="16"/>
      <c r="F130" s="15" t="s">
        <v>16</v>
      </c>
    </row>
    <row r="131" spans="1:6">
      <c r="A131" s="14" t="s">
        <v>5091</v>
      </c>
      <c r="B131" s="15" t="s">
        <v>1327</v>
      </c>
      <c r="C131" s="15" t="s">
        <v>1326</v>
      </c>
      <c r="D131" s="15" t="s">
        <v>5110</v>
      </c>
      <c r="E131" s="16" t="s">
        <v>5102</v>
      </c>
      <c r="F131" s="15" t="s">
        <v>16</v>
      </c>
    </row>
    <row r="132" spans="1:6">
      <c r="A132" s="14" t="s">
        <v>5091</v>
      </c>
      <c r="B132" s="15" t="s">
        <v>1355</v>
      </c>
      <c r="C132" s="15" t="s">
        <v>1354</v>
      </c>
      <c r="D132" s="15" t="s">
        <v>5131</v>
      </c>
      <c r="E132" s="16"/>
      <c r="F132" s="15" t="s">
        <v>16</v>
      </c>
    </row>
    <row r="133" spans="1:6">
      <c r="A133" s="14" t="s">
        <v>5091</v>
      </c>
      <c r="B133" s="15" t="s">
        <v>5190</v>
      </c>
      <c r="C133" s="15" t="s">
        <v>5191</v>
      </c>
      <c r="D133" s="15" t="s">
        <v>5092</v>
      </c>
      <c r="E133" s="16" t="s">
        <v>5093</v>
      </c>
      <c r="F133" s="15" t="s">
        <v>16</v>
      </c>
    </row>
    <row r="134" spans="1:6">
      <c r="A134" s="14" t="s">
        <v>5091</v>
      </c>
      <c r="B134" s="15" t="s">
        <v>4292</v>
      </c>
      <c r="C134" s="15" t="s">
        <v>5192</v>
      </c>
      <c r="D134" s="15" t="s">
        <v>5162</v>
      </c>
      <c r="E134" s="16"/>
      <c r="F134" s="15" t="s">
        <v>16</v>
      </c>
    </row>
    <row r="135" spans="1:6">
      <c r="A135" s="14" t="s">
        <v>5091</v>
      </c>
      <c r="B135" s="15" t="s">
        <v>5193</v>
      </c>
      <c r="C135" s="15" t="s">
        <v>5194</v>
      </c>
      <c r="D135" s="15"/>
      <c r="E135" s="16"/>
      <c r="F135" s="15" t="s">
        <v>16</v>
      </c>
    </row>
    <row r="136" spans="1:6">
      <c r="A136" s="14" t="s">
        <v>5091</v>
      </c>
      <c r="B136" s="15" t="s">
        <v>4306</v>
      </c>
      <c r="C136" s="15" t="s">
        <v>5195</v>
      </c>
      <c r="D136" s="15" t="s">
        <v>5104</v>
      </c>
      <c r="E136" s="16" t="s">
        <v>5105</v>
      </c>
      <c r="F136" s="15" t="s">
        <v>16</v>
      </c>
    </row>
    <row r="137" spans="1:6">
      <c r="A137" s="14" t="s">
        <v>5091</v>
      </c>
      <c r="B137" s="15" t="s">
        <v>1392</v>
      </c>
      <c r="C137" s="15" t="s">
        <v>1391</v>
      </c>
      <c r="D137" s="15" t="s">
        <v>5110</v>
      </c>
      <c r="E137" s="16" t="s">
        <v>5102</v>
      </c>
      <c r="F137" s="15" t="s">
        <v>16</v>
      </c>
    </row>
    <row r="138" spans="1:6">
      <c r="A138" s="14" t="s">
        <v>5091</v>
      </c>
      <c r="B138" s="15" t="s">
        <v>5196</v>
      </c>
      <c r="C138" s="15" t="s">
        <v>5197</v>
      </c>
      <c r="D138" s="15"/>
      <c r="E138" s="16"/>
      <c r="F138" s="15" t="s">
        <v>16</v>
      </c>
    </row>
    <row r="139" spans="1:6">
      <c r="A139" s="14" t="s">
        <v>5091</v>
      </c>
      <c r="B139" s="15" t="s">
        <v>1399</v>
      </c>
      <c r="C139" s="15" t="s">
        <v>1398</v>
      </c>
      <c r="D139" s="15"/>
      <c r="E139" s="16"/>
      <c r="F139" s="15" t="s">
        <v>16</v>
      </c>
    </row>
    <row r="140" spans="1:6">
      <c r="A140" s="14" t="s">
        <v>5091</v>
      </c>
      <c r="B140" s="15" t="s">
        <v>1402</v>
      </c>
      <c r="C140" s="15" t="s">
        <v>1401</v>
      </c>
      <c r="D140" s="15"/>
      <c r="E140" s="16"/>
      <c r="F140" s="15" t="s">
        <v>16</v>
      </c>
    </row>
    <row r="141" spans="1:6">
      <c r="A141" s="14" t="s">
        <v>5091</v>
      </c>
      <c r="B141" s="15" t="s">
        <v>1406</v>
      </c>
      <c r="C141" s="15" t="s">
        <v>1405</v>
      </c>
      <c r="D141" s="15"/>
      <c r="E141" s="16"/>
      <c r="F141" s="15" t="s">
        <v>16</v>
      </c>
    </row>
    <row r="142" spans="1:6">
      <c r="A142" s="14" t="s">
        <v>5091</v>
      </c>
      <c r="B142" s="15" t="s">
        <v>1410</v>
      </c>
      <c r="C142" s="15" t="s">
        <v>1409</v>
      </c>
      <c r="D142" s="15"/>
      <c r="E142" s="16"/>
      <c r="F142" s="15" t="s">
        <v>1216</v>
      </c>
    </row>
    <row r="143" spans="1:6">
      <c r="A143" s="14" t="s">
        <v>5091</v>
      </c>
      <c r="B143" s="15" t="s">
        <v>1430</v>
      </c>
      <c r="C143" s="15" t="s">
        <v>1429</v>
      </c>
      <c r="D143" s="15" t="s">
        <v>5110</v>
      </c>
      <c r="E143" s="16" t="s">
        <v>5102</v>
      </c>
      <c r="F143" s="15" t="s">
        <v>16</v>
      </c>
    </row>
    <row r="144" spans="1:6">
      <c r="A144" s="14" t="s">
        <v>5091</v>
      </c>
      <c r="B144" s="15" t="s">
        <v>5198</v>
      </c>
      <c r="C144" s="15" t="s">
        <v>5199</v>
      </c>
      <c r="D144" s="15"/>
      <c r="E144" s="16"/>
      <c r="F144" s="15" t="s">
        <v>16</v>
      </c>
    </row>
    <row r="145" spans="1:6">
      <c r="A145" s="14" t="s">
        <v>5091</v>
      </c>
      <c r="B145" s="15" t="s">
        <v>5200</v>
      </c>
      <c r="C145" s="15" t="s">
        <v>5201</v>
      </c>
      <c r="D145" s="15" t="s">
        <v>5110</v>
      </c>
      <c r="E145" s="16" t="s">
        <v>5102</v>
      </c>
      <c r="F145" s="15" t="s">
        <v>16</v>
      </c>
    </row>
    <row r="146" spans="1:6">
      <c r="A146" s="14" t="s">
        <v>5091</v>
      </c>
      <c r="B146" s="15" t="s">
        <v>1464</v>
      </c>
      <c r="C146" s="15" t="s">
        <v>1463</v>
      </c>
      <c r="D146" s="15" t="s">
        <v>5092</v>
      </c>
      <c r="E146" s="16" t="s">
        <v>5106</v>
      </c>
      <c r="F146" s="15" t="s">
        <v>16</v>
      </c>
    </row>
    <row r="147" spans="1:6">
      <c r="A147" s="14" t="s">
        <v>5091</v>
      </c>
      <c r="B147" s="15" t="s">
        <v>1467</v>
      </c>
      <c r="C147" s="15" t="s">
        <v>1466</v>
      </c>
      <c r="D147" s="15" t="s">
        <v>5092</v>
      </c>
      <c r="E147" s="16"/>
      <c r="F147" s="15" t="s">
        <v>16</v>
      </c>
    </row>
    <row r="148" spans="1:6">
      <c r="A148" s="14" t="s">
        <v>5091</v>
      </c>
      <c r="B148" s="15" t="s">
        <v>5202</v>
      </c>
      <c r="C148" s="15" t="s">
        <v>5203</v>
      </c>
      <c r="D148" s="15" t="s">
        <v>5092</v>
      </c>
      <c r="E148" s="16" t="s">
        <v>5093</v>
      </c>
      <c r="F148" s="15" t="s">
        <v>16</v>
      </c>
    </row>
    <row r="149" spans="1:6">
      <c r="A149" s="14" t="s">
        <v>5091</v>
      </c>
      <c r="B149" s="15" t="s">
        <v>1478</v>
      </c>
      <c r="C149" s="15" t="s">
        <v>1477</v>
      </c>
      <c r="D149" s="15"/>
      <c r="E149" s="16"/>
      <c r="F149" s="15" t="s">
        <v>16</v>
      </c>
    </row>
    <row r="150" spans="1:6">
      <c r="A150" s="14" t="s">
        <v>5091</v>
      </c>
      <c r="B150" s="15" t="s">
        <v>5204</v>
      </c>
      <c r="C150" s="15" t="s">
        <v>5205</v>
      </c>
      <c r="D150" s="15" t="s">
        <v>5092</v>
      </c>
      <c r="E150" s="16" t="s">
        <v>5093</v>
      </c>
      <c r="F150" s="15" t="s">
        <v>16</v>
      </c>
    </row>
    <row r="151" spans="1:6">
      <c r="A151" s="14" t="s">
        <v>5091</v>
      </c>
      <c r="B151" s="15" t="s">
        <v>5206</v>
      </c>
      <c r="C151" s="15" t="s">
        <v>5207</v>
      </c>
      <c r="D151" s="15"/>
      <c r="E151" s="16"/>
      <c r="F151" s="15" t="s">
        <v>16</v>
      </c>
    </row>
    <row r="152" spans="1:6">
      <c r="A152" s="14" t="s">
        <v>5091</v>
      </c>
      <c r="B152" s="15" t="s">
        <v>5208</v>
      </c>
      <c r="C152" s="15" t="s">
        <v>5209</v>
      </c>
      <c r="D152" s="15"/>
      <c r="E152" s="16"/>
      <c r="F152" s="15" t="s">
        <v>16</v>
      </c>
    </row>
    <row r="153" spans="1:6">
      <c r="A153" s="14" t="s">
        <v>5091</v>
      </c>
      <c r="B153" s="15" t="s">
        <v>1486</v>
      </c>
      <c r="C153" s="15" t="s">
        <v>1485</v>
      </c>
      <c r="D153" s="15" t="s">
        <v>5162</v>
      </c>
      <c r="E153" s="16"/>
      <c r="F153" s="15" t="s">
        <v>16</v>
      </c>
    </row>
    <row r="154" spans="1:6">
      <c r="A154" s="14" t="s">
        <v>5091</v>
      </c>
      <c r="B154" s="15" t="s">
        <v>5210</v>
      </c>
      <c r="C154" s="15" t="s">
        <v>5211</v>
      </c>
      <c r="D154" s="15"/>
      <c r="E154" s="16"/>
      <c r="F154" s="15" t="s">
        <v>16</v>
      </c>
    </row>
    <row r="155" spans="1:6">
      <c r="A155" s="14" t="s">
        <v>5091</v>
      </c>
      <c r="B155" s="15" t="s">
        <v>1489</v>
      </c>
      <c r="C155" s="15" t="s">
        <v>1488</v>
      </c>
      <c r="D155" s="15" t="s">
        <v>5110</v>
      </c>
      <c r="E155" s="16" t="s">
        <v>5102</v>
      </c>
      <c r="F155" s="15" t="s">
        <v>16</v>
      </c>
    </row>
    <row r="156" spans="1:6">
      <c r="A156" s="14" t="s">
        <v>5091</v>
      </c>
      <c r="B156" s="15" t="s">
        <v>4394</v>
      </c>
      <c r="C156" s="15" t="s">
        <v>5212</v>
      </c>
      <c r="D156" s="15" t="s">
        <v>5092</v>
      </c>
      <c r="E156" s="16" t="s">
        <v>5093</v>
      </c>
      <c r="F156" s="15" t="s">
        <v>16</v>
      </c>
    </row>
    <row r="157" spans="1:6">
      <c r="A157" s="14" t="s">
        <v>5091</v>
      </c>
      <c r="B157" s="15" t="s">
        <v>5213</v>
      </c>
      <c r="C157" s="15" t="s">
        <v>5214</v>
      </c>
      <c r="D157" s="15" t="s">
        <v>5092</v>
      </c>
      <c r="E157" s="16" t="s">
        <v>5093</v>
      </c>
      <c r="F157" s="15" t="s">
        <v>16</v>
      </c>
    </row>
    <row r="158" spans="1:6">
      <c r="A158" s="14" t="s">
        <v>5091</v>
      </c>
      <c r="B158" s="15" t="s">
        <v>5215</v>
      </c>
      <c r="C158" s="15" t="s">
        <v>5216</v>
      </c>
      <c r="D158" s="15" t="s">
        <v>5110</v>
      </c>
      <c r="E158" s="16"/>
      <c r="F158" s="15" t="s">
        <v>16</v>
      </c>
    </row>
    <row r="159" spans="1:6">
      <c r="A159" s="14" t="s">
        <v>5091</v>
      </c>
      <c r="B159" s="15" t="s">
        <v>1498</v>
      </c>
      <c r="C159" s="15" t="s">
        <v>1497</v>
      </c>
      <c r="D159" s="15" t="s">
        <v>5092</v>
      </c>
      <c r="E159" s="16" t="s">
        <v>5093</v>
      </c>
      <c r="F159" s="15" t="s">
        <v>16</v>
      </c>
    </row>
    <row r="160" spans="1:6">
      <c r="A160" s="14" t="s">
        <v>5091</v>
      </c>
      <c r="B160" s="15" t="s">
        <v>4412</v>
      </c>
      <c r="C160" s="15" t="s">
        <v>5217</v>
      </c>
      <c r="D160" s="15"/>
      <c r="E160" s="16"/>
      <c r="F160" s="15" t="s">
        <v>16</v>
      </c>
    </row>
    <row r="161" spans="1:6">
      <c r="A161" s="14" t="s">
        <v>5091</v>
      </c>
      <c r="B161" s="15" t="s">
        <v>5218</v>
      </c>
      <c r="C161" s="15" t="s">
        <v>5219</v>
      </c>
      <c r="D161" s="15" t="s">
        <v>5118</v>
      </c>
      <c r="E161" s="16" t="s">
        <v>5119</v>
      </c>
      <c r="F161" s="15" t="s">
        <v>16</v>
      </c>
    </row>
    <row r="162" spans="1:6">
      <c r="A162" s="14" t="s">
        <v>5091</v>
      </c>
      <c r="B162" s="15" t="s">
        <v>1502</v>
      </c>
      <c r="C162" s="15" t="s">
        <v>1501</v>
      </c>
      <c r="D162" s="15" t="s">
        <v>5110</v>
      </c>
      <c r="E162" s="16" t="s">
        <v>5102</v>
      </c>
      <c r="F162" s="15" t="s">
        <v>213</v>
      </c>
    </row>
    <row r="163" spans="1:6">
      <c r="A163" s="14" t="s">
        <v>5091</v>
      </c>
      <c r="B163" s="15" t="s">
        <v>1504</v>
      </c>
      <c r="C163" s="15" t="s">
        <v>1503</v>
      </c>
      <c r="D163" s="15" t="s">
        <v>5162</v>
      </c>
      <c r="E163" s="16"/>
      <c r="F163" s="15" t="s">
        <v>16</v>
      </c>
    </row>
    <row r="164" spans="1:6">
      <c r="A164" s="14" t="s">
        <v>5091</v>
      </c>
      <c r="B164" s="15" t="s">
        <v>5220</v>
      </c>
      <c r="C164" s="15" t="s">
        <v>5221</v>
      </c>
      <c r="D164" s="15" t="s">
        <v>5104</v>
      </c>
      <c r="E164" s="16" t="s">
        <v>5105</v>
      </c>
      <c r="F164" s="15" t="s">
        <v>16</v>
      </c>
    </row>
    <row r="165" spans="1:6">
      <c r="A165" s="14" t="s">
        <v>5091</v>
      </c>
      <c r="B165" s="15" t="s">
        <v>1507</v>
      </c>
      <c r="C165" s="15" t="s">
        <v>1506</v>
      </c>
      <c r="D165" s="15"/>
      <c r="E165" s="16"/>
      <c r="F165" s="15" t="s">
        <v>213</v>
      </c>
    </row>
    <row r="166" spans="1:6">
      <c r="A166" s="14" t="s">
        <v>5091</v>
      </c>
      <c r="B166" s="15" t="s">
        <v>5222</v>
      </c>
      <c r="C166" s="15" t="s">
        <v>5223</v>
      </c>
      <c r="D166" s="15"/>
      <c r="E166" s="16"/>
      <c r="F166" s="15" t="s">
        <v>16</v>
      </c>
    </row>
    <row r="167" spans="1:6">
      <c r="A167" s="14" t="s">
        <v>5091</v>
      </c>
      <c r="B167" s="15" t="s">
        <v>1554</v>
      </c>
      <c r="C167" s="15" t="s">
        <v>1553</v>
      </c>
      <c r="D167" s="15"/>
      <c r="E167" s="16"/>
      <c r="F167" s="15" t="s">
        <v>1555</v>
      </c>
    </row>
    <row r="168" spans="1:6">
      <c r="A168" s="14" t="s">
        <v>5091</v>
      </c>
      <c r="B168" s="15" t="s">
        <v>5224</v>
      </c>
      <c r="C168" s="15" t="s">
        <v>5225</v>
      </c>
      <c r="D168" s="15"/>
      <c r="E168" s="16"/>
      <c r="F168" s="15" t="s">
        <v>16</v>
      </c>
    </row>
    <row r="169" spans="1:6">
      <c r="A169" s="14" t="s">
        <v>5091</v>
      </c>
      <c r="B169" s="15" t="s">
        <v>4480</v>
      </c>
      <c r="C169" s="15" t="s">
        <v>5226</v>
      </c>
      <c r="D169" s="15" t="s">
        <v>5101</v>
      </c>
      <c r="E169" s="16" t="s">
        <v>5102</v>
      </c>
      <c r="F169" s="15" t="s">
        <v>16</v>
      </c>
    </row>
    <row r="170" spans="1:6">
      <c r="A170" s="14" t="s">
        <v>5091</v>
      </c>
      <c r="B170" s="15" t="s">
        <v>5227</v>
      </c>
      <c r="C170" s="15" t="s">
        <v>5228</v>
      </c>
      <c r="D170" s="15"/>
      <c r="E170" s="16" t="s">
        <v>5103</v>
      </c>
      <c r="F170" s="15" t="s">
        <v>16</v>
      </c>
    </row>
    <row r="171" spans="1:6">
      <c r="A171" s="14" t="s">
        <v>5091</v>
      </c>
      <c r="B171" s="15" t="s">
        <v>5229</v>
      </c>
      <c r="C171" s="15" t="s">
        <v>5230</v>
      </c>
      <c r="D171" s="15" t="s">
        <v>5092</v>
      </c>
      <c r="E171" s="16" t="s">
        <v>5093</v>
      </c>
      <c r="F171" s="15" t="s">
        <v>16</v>
      </c>
    </row>
    <row r="172" spans="1:6">
      <c r="A172" s="14" t="s">
        <v>5091</v>
      </c>
      <c r="B172" s="15" t="s">
        <v>5231</v>
      </c>
      <c r="C172" s="15" t="s">
        <v>5232</v>
      </c>
      <c r="D172" s="15" t="s">
        <v>5118</v>
      </c>
      <c r="E172" s="16" t="s">
        <v>5119</v>
      </c>
      <c r="F172" s="15" t="s">
        <v>16</v>
      </c>
    </row>
    <row r="173" spans="1:6">
      <c r="A173" s="14" t="s">
        <v>5091</v>
      </c>
      <c r="B173" s="15" t="s">
        <v>5233</v>
      </c>
      <c r="C173" s="15" t="s">
        <v>5234</v>
      </c>
      <c r="D173" s="15" t="s">
        <v>5104</v>
      </c>
      <c r="E173" s="16" t="s">
        <v>5105</v>
      </c>
      <c r="F173" s="15" t="s">
        <v>16</v>
      </c>
    </row>
    <row r="174" spans="1:6">
      <c r="A174" s="14" t="s">
        <v>5091</v>
      </c>
      <c r="B174" s="15" t="s">
        <v>5235</v>
      </c>
      <c r="C174" s="15" t="s">
        <v>5236</v>
      </c>
      <c r="D174" s="15"/>
      <c r="E174" s="16"/>
      <c r="F174" s="15" t="s">
        <v>16</v>
      </c>
    </row>
    <row r="175" spans="1:6">
      <c r="A175" s="14" t="s">
        <v>5091</v>
      </c>
      <c r="B175" s="15" t="s">
        <v>5237</v>
      </c>
      <c r="C175" s="15" t="s">
        <v>5238</v>
      </c>
      <c r="D175" s="15" t="s">
        <v>5110</v>
      </c>
      <c r="E175" s="16"/>
      <c r="F175" s="15" t="s">
        <v>16</v>
      </c>
    </row>
    <row r="176" spans="1:6">
      <c r="A176" s="14" t="s">
        <v>5091</v>
      </c>
      <c r="B176" s="15" t="s">
        <v>5239</v>
      </c>
      <c r="C176" s="15" t="s">
        <v>5240</v>
      </c>
      <c r="D176" s="15"/>
      <c r="E176" s="16"/>
      <c r="F176" s="15" t="s">
        <v>16</v>
      </c>
    </row>
    <row r="177" spans="1:6">
      <c r="A177" s="14" t="s">
        <v>5091</v>
      </c>
      <c r="B177" s="15" t="s">
        <v>4536</v>
      </c>
      <c r="C177" s="15" t="s">
        <v>5241</v>
      </c>
      <c r="D177" s="15"/>
      <c r="E177" s="16" t="s">
        <v>5113</v>
      </c>
      <c r="F177" s="15" t="s">
        <v>16</v>
      </c>
    </row>
    <row r="178" spans="1:6">
      <c r="A178" s="14" t="s">
        <v>5091</v>
      </c>
      <c r="B178" s="15" t="s">
        <v>5242</v>
      </c>
      <c r="C178" s="15" t="s">
        <v>5243</v>
      </c>
      <c r="D178" s="15"/>
      <c r="E178" s="16"/>
      <c r="F178" s="15" t="s">
        <v>16</v>
      </c>
    </row>
    <row r="179" spans="1:6">
      <c r="A179" s="14" t="s">
        <v>5091</v>
      </c>
      <c r="B179" s="15" t="s">
        <v>1628</v>
      </c>
      <c r="C179" s="15" t="s">
        <v>1627</v>
      </c>
      <c r="D179" s="15"/>
      <c r="E179" s="16"/>
      <c r="F179" s="15" t="s">
        <v>16</v>
      </c>
    </row>
    <row r="180" spans="1:6">
      <c r="A180" s="14" t="s">
        <v>5091</v>
      </c>
      <c r="B180" s="15" t="s">
        <v>5244</v>
      </c>
      <c r="C180" s="15" t="s">
        <v>5245</v>
      </c>
      <c r="D180" s="15"/>
      <c r="E180" s="16"/>
      <c r="F180" s="15" t="s">
        <v>16</v>
      </c>
    </row>
    <row r="181" spans="1:6">
      <c r="A181" s="14" t="s">
        <v>5091</v>
      </c>
      <c r="B181" s="15" t="s">
        <v>5246</v>
      </c>
      <c r="C181" s="15" t="s">
        <v>5247</v>
      </c>
      <c r="D181" s="15"/>
      <c r="E181" s="16"/>
      <c r="F181" s="15" t="s">
        <v>16</v>
      </c>
    </row>
    <row r="182" spans="1:6">
      <c r="A182" s="14" t="s">
        <v>5091</v>
      </c>
      <c r="B182" s="15" t="s">
        <v>5248</v>
      </c>
      <c r="C182" s="15" t="s">
        <v>5249</v>
      </c>
      <c r="D182" s="15" t="s">
        <v>5104</v>
      </c>
      <c r="E182" s="16" t="s">
        <v>5105</v>
      </c>
      <c r="F182" s="15" t="s">
        <v>16</v>
      </c>
    </row>
    <row r="183" spans="1:6">
      <c r="A183" s="14" t="s">
        <v>5091</v>
      </c>
      <c r="B183" s="15" t="s">
        <v>5250</v>
      </c>
      <c r="C183" s="15" t="s">
        <v>5251</v>
      </c>
      <c r="D183" s="15"/>
      <c r="E183" s="16"/>
      <c r="F183" s="15" t="s">
        <v>16</v>
      </c>
    </row>
    <row r="184" spans="1:6">
      <c r="A184" s="14" t="s">
        <v>5091</v>
      </c>
      <c r="B184" s="15" t="s">
        <v>5252</v>
      </c>
      <c r="C184" s="15" t="s">
        <v>5253</v>
      </c>
      <c r="D184" s="15"/>
      <c r="E184" s="16"/>
      <c r="F184" s="15">
        <v>0</v>
      </c>
    </row>
    <row r="185" spans="1:6">
      <c r="A185" s="14" t="s">
        <v>5091</v>
      </c>
      <c r="B185" s="15" t="s">
        <v>1809</v>
      </c>
      <c r="C185" s="15" t="s">
        <v>1808</v>
      </c>
      <c r="D185" s="15"/>
      <c r="E185" s="16"/>
      <c r="F185" s="15" t="s">
        <v>16</v>
      </c>
    </row>
    <row r="186" spans="1:6">
      <c r="A186" s="14" t="s">
        <v>5091</v>
      </c>
      <c r="B186" s="15" t="s">
        <v>5254</v>
      </c>
      <c r="C186" s="15" t="s">
        <v>5255</v>
      </c>
      <c r="D186" s="15" t="s">
        <v>5131</v>
      </c>
      <c r="E186" s="16"/>
      <c r="F186" s="15" t="s">
        <v>16</v>
      </c>
    </row>
    <row r="187" spans="1:6">
      <c r="A187" s="14" t="s">
        <v>5091</v>
      </c>
      <c r="B187" s="15" t="s">
        <v>1900</v>
      </c>
      <c r="C187" s="15" t="s">
        <v>1899</v>
      </c>
      <c r="D187" s="15" t="s">
        <v>5092</v>
      </c>
      <c r="E187" s="16" t="s">
        <v>5093</v>
      </c>
      <c r="F187" s="15" t="s">
        <v>16</v>
      </c>
    </row>
    <row r="188" spans="1:6">
      <c r="A188" s="14" t="s">
        <v>5091</v>
      </c>
      <c r="B188" s="15" t="s">
        <v>1903</v>
      </c>
      <c r="C188" s="15" t="s">
        <v>1902</v>
      </c>
      <c r="D188" s="15" t="s">
        <v>5092</v>
      </c>
      <c r="E188" s="16" t="s">
        <v>5093</v>
      </c>
      <c r="F188" s="15" t="s">
        <v>16</v>
      </c>
    </row>
    <row r="189" spans="1:6">
      <c r="A189" s="14" t="s">
        <v>5091</v>
      </c>
      <c r="B189" s="15" t="s">
        <v>5256</v>
      </c>
      <c r="C189" s="15" t="s">
        <v>5257</v>
      </c>
      <c r="D189" s="15" t="s">
        <v>5101</v>
      </c>
      <c r="E189" s="16" t="s">
        <v>5114</v>
      </c>
      <c r="F189" s="15" t="s">
        <v>16</v>
      </c>
    </row>
    <row r="190" spans="1:6">
      <c r="A190" s="14" t="s">
        <v>5091</v>
      </c>
      <c r="B190" s="15" t="s">
        <v>1917</v>
      </c>
      <c r="C190" s="15" t="s">
        <v>1916</v>
      </c>
      <c r="D190" s="15" t="s">
        <v>5162</v>
      </c>
      <c r="E190" s="16" t="s">
        <v>5105</v>
      </c>
      <c r="F190" s="15" t="s">
        <v>16</v>
      </c>
    </row>
    <row r="191" spans="1:6">
      <c r="A191" s="14" t="s">
        <v>5091</v>
      </c>
      <c r="B191" s="15" t="s">
        <v>5258</v>
      </c>
      <c r="C191" s="15" t="s">
        <v>5259</v>
      </c>
      <c r="D191" s="15" t="s">
        <v>5110</v>
      </c>
      <c r="E191" s="16" t="s">
        <v>5102</v>
      </c>
      <c r="F191" s="15" t="s">
        <v>16</v>
      </c>
    </row>
    <row r="192" spans="1:6">
      <c r="A192" s="14" t="s">
        <v>5091</v>
      </c>
      <c r="B192" s="15" t="s">
        <v>4804</v>
      </c>
      <c r="C192" s="15" t="s">
        <v>5260</v>
      </c>
      <c r="D192" s="15"/>
      <c r="E192" s="16"/>
      <c r="F192" s="15" t="s">
        <v>16</v>
      </c>
    </row>
    <row r="193" spans="1:6">
      <c r="A193" s="14" t="s">
        <v>5091</v>
      </c>
      <c r="B193" s="15" t="s">
        <v>1934</v>
      </c>
      <c r="C193" s="15" t="s">
        <v>1933</v>
      </c>
      <c r="D193" s="15" t="s">
        <v>5118</v>
      </c>
      <c r="E193" s="16" t="s">
        <v>5119</v>
      </c>
      <c r="F193" s="15" t="s">
        <v>16</v>
      </c>
    </row>
    <row r="194" spans="1:6">
      <c r="A194" s="14" t="s">
        <v>5091</v>
      </c>
      <c r="B194" s="15" t="s">
        <v>5261</v>
      </c>
      <c r="C194" s="15" t="s">
        <v>5262</v>
      </c>
      <c r="D194" s="15" t="s">
        <v>5104</v>
      </c>
      <c r="E194" s="16" t="s">
        <v>5105</v>
      </c>
      <c r="F194" s="15" t="s">
        <v>16</v>
      </c>
    </row>
    <row r="195" spans="1:6">
      <c r="A195" s="14" t="s">
        <v>5091</v>
      </c>
      <c r="B195" s="15" t="s">
        <v>1940</v>
      </c>
      <c r="C195" s="15" t="s">
        <v>1939</v>
      </c>
      <c r="D195" s="15" t="s">
        <v>5104</v>
      </c>
      <c r="E195" s="16" t="s">
        <v>5105</v>
      </c>
      <c r="F195" s="15" t="s">
        <v>16</v>
      </c>
    </row>
    <row r="196" spans="1:6">
      <c r="A196" s="14" t="s">
        <v>5091</v>
      </c>
      <c r="B196" s="15" t="s">
        <v>1943</v>
      </c>
      <c r="C196" s="15" t="s">
        <v>1942</v>
      </c>
      <c r="D196" s="15" t="s">
        <v>5110</v>
      </c>
      <c r="E196" s="16" t="s">
        <v>5093</v>
      </c>
      <c r="F196" s="15" t="s">
        <v>16</v>
      </c>
    </row>
    <row r="197" spans="1:6">
      <c r="A197" s="14" t="s">
        <v>5091</v>
      </c>
      <c r="B197" s="15" t="s">
        <v>5263</v>
      </c>
      <c r="C197" s="15" t="s">
        <v>5264</v>
      </c>
      <c r="D197" s="15" t="s">
        <v>5110</v>
      </c>
      <c r="E197" s="16" t="s">
        <v>5102</v>
      </c>
      <c r="F197" s="15" t="s">
        <v>16</v>
      </c>
    </row>
    <row r="198" spans="1:6">
      <c r="A198" s="14" t="s">
        <v>5091</v>
      </c>
      <c r="B198" s="15" t="s">
        <v>1954</v>
      </c>
      <c r="C198" s="15" t="s">
        <v>1953</v>
      </c>
      <c r="D198" s="15" t="s">
        <v>5104</v>
      </c>
      <c r="E198" s="16" t="s">
        <v>5105</v>
      </c>
      <c r="F198" s="15" t="s">
        <v>16</v>
      </c>
    </row>
    <row r="199" spans="1:6">
      <c r="A199" s="14" t="s">
        <v>5091</v>
      </c>
      <c r="B199" s="15" t="s">
        <v>4823</v>
      </c>
      <c r="C199" s="15" t="s">
        <v>5265</v>
      </c>
      <c r="D199" s="15" t="s">
        <v>5110</v>
      </c>
      <c r="E199" s="16" t="s">
        <v>5114</v>
      </c>
      <c r="F199" s="15" t="s">
        <v>16</v>
      </c>
    </row>
    <row r="200" spans="1:6">
      <c r="A200" s="14" t="s">
        <v>5091</v>
      </c>
      <c r="B200" s="15" t="s">
        <v>5266</v>
      </c>
      <c r="C200" s="15" t="s">
        <v>5267</v>
      </c>
      <c r="D200" s="15" t="s">
        <v>5092</v>
      </c>
      <c r="E200" s="16" t="s">
        <v>5093</v>
      </c>
      <c r="F200" s="15" t="s">
        <v>16</v>
      </c>
    </row>
    <row r="201" spans="1:6">
      <c r="A201" s="14" t="s">
        <v>5091</v>
      </c>
      <c r="B201" s="15" t="s">
        <v>5268</v>
      </c>
      <c r="C201" s="15" t="s">
        <v>5269</v>
      </c>
      <c r="D201" s="15"/>
      <c r="E201" s="16"/>
      <c r="F201" s="15" t="s">
        <v>213</v>
      </c>
    </row>
    <row r="202" spans="1:6">
      <c r="A202" s="14" t="s">
        <v>5091</v>
      </c>
      <c r="B202" s="15" t="s">
        <v>5270</v>
      </c>
      <c r="C202" s="15" t="s">
        <v>5271</v>
      </c>
      <c r="D202" s="15" t="s">
        <v>5092</v>
      </c>
      <c r="E202" s="16" t="s">
        <v>5093</v>
      </c>
      <c r="F202" s="15" t="s">
        <v>16</v>
      </c>
    </row>
    <row r="203" spans="1:6">
      <c r="A203" s="14" t="s">
        <v>5091</v>
      </c>
      <c r="B203" s="15" t="s">
        <v>1997</v>
      </c>
      <c r="C203" s="15" t="s">
        <v>1996</v>
      </c>
      <c r="D203" s="15"/>
      <c r="E203" s="16" t="s">
        <v>5106</v>
      </c>
      <c r="F203" s="15" t="s">
        <v>16</v>
      </c>
    </row>
    <row r="204" spans="1:6">
      <c r="A204" s="14" t="s">
        <v>5091</v>
      </c>
      <c r="B204" s="15" t="s">
        <v>5272</v>
      </c>
      <c r="C204" s="15" t="s">
        <v>5273</v>
      </c>
      <c r="D204" s="15" t="s">
        <v>5092</v>
      </c>
      <c r="E204" s="16" t="s">
        <v>5093</v>
      </c>
      <c r="F204" s="15" t="s">
        <v>16</v>
      </c>
    </row>
    <row r="205" spans="1:6">
      <c r="A205" s="14" t="s">
        <v>5091</v>
      </c>
      <c r="B205" s="15" t="s">
        <v>2010</v>
      </c>
      <c r="C205" s="15" t="s">
        <v>2009</v>
      </c>
      <c r="D205" s="15" t="s">
        <v>5092</v>
      </c>
      <c r="E205" s="16" t="s">
        <v>5093</v>
      </c>
      <c r="F205" s="15" t="s">
        <v>16</v>
      </c>
    </row>
    <row r="206" spans="1:6">
      <c r="A206" s="14" t="s">
        <v>5091</v>
      </c>
      <c r="B206" s="15" t="s">
        <v>2849</v>
      </c>
      <c r="C206" s="15" t="s">
        <v>2848</v>
      </c>
      <c r="D206" s="15"/>
      <c r="E206" s="16" t="s">
        <v>5093</v>
      </c>
      <c r="F206" s="15" t="s">
        <v>16</v>
      </c>
    </row>
    <row r="207" spans="1:6">
      <c r="A207" s="14" t="s">
        <v>5091</v>
      </c>
      <c r="B207" s="15" t="s">
        <v>5274</v>
      </c>
      <c r="C207" s="15" t="s">
        <v>5275</v>
      </c>
      <c r="D207" s="15" t="s">
        <v>5110</v>
      </c>
      <c r="E207" s="16" t="s">
        <v>5102</v>
      </c>
      <c r="F207" s="15" t="s">
        <v>16</v>
      </c>
    </row>
    <row r="208" spans="1:6">
      <c r="A208" s="14" t="s">
        <v>5091</v>
      </c>
      <c r="B208" s="15" t="s">
        <v>2063</v>
      </c>
      <c r="C208" s="15" t="s">
        <v>2062</v>
      </c>
      <c r="D208" s="15" t="s">
        <v>5110</v>
      </c>
      <c r="E208" s="16" t="s">
        <v>5102</v>
      </c>
      <c r="F208" s="15" t="s">
        <v>16</v>
      </c>
    </row>
    <row r="209" spans="1:6">
      <c r="A209" s="14" t="s">
        <v>5091</v>
      </c>
      <c r="B209" s="15" t="s">
        <v>5276</v>
      </c>
      <c r="C209" s="15" t="s">
        <v>5277</v>
      </c>
      <c r="D209" s="15"/>
      <c r="E209" s="16"/>
      <c r="F209" s="15" t="s">
        <v>213</v>
      </c>
    </row>
    <row r="210" spans="1:6">
      <c r="A210" s="14" t="s">
        <v>5091</v>
      </c>
      <c r="B210" s="15" t="s">
        <v>5278</v>
      </c>
      <c r="C210" s="15" t="s">
        <v>5279</v>
      </c>
      <c r="D210" s="15" t="s">
        <v>5110</v>
      </c>
      <c r="E210" s="16" t="s">
        <v>5113</v>
      </c>
      <c r="F210" s="15" t="s">
        <v>16</v>
      </c>
    </row>
    <row r="211" spans="1:6">
      <c r="A211" s="14" t="s">
        <v>5091</v>
      </c>
      <c r="B211" s="15" t="s">
        <v>2093</v>
      </c>
      <c r="C211" s="15" t="s">
        <v>2092</v>
      </c>
      <c r="D211" s="15" t="s">
        <v>5110</v>
      </c>
      <c r="E211" s="16" t="s">
        <v>5102</v>
      </c>
      <c r="F211" s="15" t="s">
        <v>16</v>
      </c>
    </row>
    <row r="212" spans="1:6">
      <c r="A212" s="14" t="s">
        <v>5091</v>
      </c>
      <c r="B212" s="15" t="s">
        <v>4937</v>
      </c>
      <c r="C212" s="15" t="s">
        <v>5280</v>
      </c>
      <c r="D212" s="15" t="s">
        <v>5092</v>
      </c>
      <c r="E212" s="16" t="s">
        <v>5093</v>
      </c>
      <c r="F212" s="15" t="s">
        <v>16</v>
      </c>
    </row>
    <row r="213" spans="1:6">
      <c r="A213" s="14" t="s">
        <v>5091</v>
      </c>
      <c r="B213" s="15" t="s">
        <v>5281</v>
      </c>
      <c r="C213" s="15" t="s">
        <v>5282</v>
      </c>
      <c r="D213" s="15"/>
      <c r="E213" s="16"/>
      <c r="F213" s="15" t="s">
        <v>16</v>
      </c>
    </row>
    <row r="214" spans="1:6">
      <c r="A214" s="14" t="s">
        <v>5091</v>
      </c>
      <c r="B214" s="15" t="s">
        <v>4941</v>
      </c>
      <c r="C214" s="15" t="s">
        <v>5283</v>
      </c>
      <c r="D214" s="15"/>
      <c r="E214" s="16"/>
      <c r="F214" s="15" t="s">
        <v>16</v>
      </c>
    </row>
    <row r="215" spans="1:6">
      <c r="A215" s="14" t="s">
        <v>5091</v>
      </c>
      <c r="B215" s="15" t="s">
        <v>5284</v>
      </c>
      <c r="C215" s="15" t="s">
        <v>5285</v>
      </c>
      <c r="D215" s="15" t="s">
        <v>5092</v>
      </c>
      <c r="E215" s="16"/>
      <c r="F215" s="15" t="s">
        <v>213</v>
      </c>
    </row>
    <row r="216" spans="1:6">
      <c r="A216" s="14" t="s">
        <v>5091</v>
      </c>
      <c r="B216" s="15" t="s">
        <v>2949</v>
      </c>
      <c r="C216" s="15" t="s">
        <v>2948</v>
      </c>
      <c r="D216" s="15" t="s">
        <v>5118</v>
      </c>
      <c r="E216" s="16" t="s">
        <v>5119</v>
      </c>
      <c r="F216" s="15" t="s">
        <v>213</v>
      </c>
    </row>
    <row r="217" spans="1:6">
      <c r="A217" s="14" t="s">
        <v>5091</v>
      </c>
      <c r="B217" s="15" t="s">
        <v>4945</v>
      </c>
      <c r="C217" s="15" t="s">
        <v>5286</v>
      </c>
      <c r="D217" s="15" t="s">
        <v>5110</v>
      </c>
      <c r="E217" s="16" t="s">
        <v>5102</v>
      </c>
      <c r="F217" s="15" t="s">
        <v>16</v>
      </c>
    </row>
    <row r="218" spans="1:6">
      <c r="A218" s="14" t="s">
        <v>5091</v>
      </c>
      <c r="B218" s="15" t="s">
        <v>5287</v>
      </c>
      <c r="C218" s="15" t="s">
        <v>5288</v>
      </c>
      <c r="D218" s="15" t="s">
        <v>5101</v>
      </c>
      <c r="E218" s="16" t="s">
        <v>5102</v>
      </c>
      <c r="F218" s="15" t="s">
        <v>16</v>
      </c>
    </row>
    <row r="219" spans="1:6">
      <c r="A219" s="14" t="s">
        <v>5091</v>
      </c>
      <c r="B219" s="15" t="s">
        <v>5289</v>
      </c>
      <c r="C219" s="15" t="s">
        <v>5290</v>
      </c>
      <c r="D219" s="15"/>
      <c r="E219" s="16"/>
      <c r="F219" s="15" t="s">
        <v>16</v>
      </c>
    </row>
    <row r="220" spans="1:6">
      <c r="A220" s="14" t="s">
        <v>5091</v>
      </c>
      <c r="B220" s="15" t="s">
        <v>4948</v>
      </c>
      <c r="C220" s="15" t="s">
        <v>5291</v>
      </c>
      <c r="D220" s="15" t="s">
        <v>5118</v>
      </c>
      <c r="E220" s="16" t="s">
        <v>5119</v>
      </c>
      <c r="F220" s="15" t="s">
        <v>16</v>
      </c>
    </row>
    <row r="221" spans="1:6">
      <c r="A221" s="14" t="s">
        <v>5091</v>
      </c>
      <c r="B221" s="15" t="s">
        <v>5292</v>
      </c>
      <c r="C221" s="15" t="s">
        <v>5293</v>
      </c>
      <c r="D221" s="15" t="s">
        <v>5110</v>
      </c>
      <c r="E221" s="16"/>
      <c r="F221" s="15" t="s">
        <v>16</v>
      </c>
    </row>
    <row r="222" spans="1:6">
      <c r="A222" s="14" t="s">
        <v>5091</v>
      </c>
      <c r="B222" s="15" t="s">
        <v>5294</v>
      </c>
      <c r="C222" s="15" t="s">
        <v>5295</v>
      </c>
      <c r="D222" s="15"/>
      <c r="E222" s="16"/>
      <c r="F222" s="15" t="s">
        <v>16</v>
      </c>
    </row>
    <row r="223" spans="1:6">
      <c r="A223" s="14" t="s">
        <v>5091</v>
      </c>
      <c r="B223" s="15" t="s">
        <v>2146</v>
      </c>
      <c r="C223" s="15" t="s">
        <v>2145</v>
      </c>
      <c r="D223" s="15" t="s">
        <v>5101</v>
      </c>
      <c r="E223" s="16" t="s">
        <v>5114</v>
      </c>
      <c r="F223" s="15" t="s">
        <v>1555</v>
      </c>
    </row>
    <row r="224" spans="1:6">
      <c r="A224" s="14" t="s">
        <v>5091</v>
      </c>
      <c r="B224" s="15" t="s">
        <v>5296</v>
      </c>
      <c r="C224" s="15" t="s">
        <v>5297</v>
      </c>
      <c r="D224" s="15" t="s">
        <v>5101</v>
      </c>
      <c r="E224" s="16" t="s">
        <v>5114</v>
      </c>
      <c r="F224" s="15" t="s">
        <v>16</v>
      </c>
    </row>
    <row r="225" spans="1:6">
      <c r="A225" s="14" t="s">
        <v>5091</v>
      </c>
      <c r="B225" s="15" t="s">
        <v>5298</v>
      </c>
      <c r="C225" s="15" t="s">
        <v>5299</v>
      </c>
      <c r="D225" s="15" t="s">
        <v>5092</v>
      </c>
      <c r="E225" s="16" t="s">
        <v>5093</v>
      </c>
      <c r="F225" s="15" t="s">
        <v>16</v>
      </c>
    </row>
    <row r="226" spans="1:6">
      <c r="A226" s="14" t="s">
        <v>5091</v>
      </c>
      <c r="B226" s="15" t="s">
        <v>2149</v>
      </c>
      <c r="C226" s="15" t="s">
        <v>2148</v>
      </c>
      <c r="D226" s="15" t="s">
        <v>5101</v>
      </c>
      <c r="E226" s="16" t="s">
        <v>5114</v>
      </c>
      <c r="F226" s="15" t="s">
        <v>213</v>
      </c>
    </row>
    <row r="227" spans="1:6">
      <c r="A227" s="14" t="s">
        <v>5091</v>
      </c>
      <c r="B227" s="15" t="s">
        <v>5300</v>
      </c>
      <c r="C227" s="15" t="s">
        <v>5301</v>
      </c>
      <c r="D227" s="15"/>
      <c r="E227" s="16" t="s">
        <v>5105</v>
      </c>
      <c r="F227" s="15" t="s">
        <v>16</v>
      </c>
    </row>
    <row r="228" spans="1:6">
      <c r="A228" s="14" t="s">
        <v>5091</v>
      </c>
      <c r="B228" s="15" t="s">
        <v>5302</v>
      </c>
      <c r="C228" s="15" t="s">
        <v>5303</v>
      </c>
      <c r="D228" s="15"/>
      <c r="E228" s="16"/>
      <c r="F228" s="15" t="s">
        <v>16</v>
      </c>
    </row>
    <row r="229" spans="1:6">
      <c r="A229" s="14" t="s">
        <v>5091</v>
      </c>
      <c r="B229" s="15" t="s">
        <v>5304</v>
      </c>
      <c r="C229" s="15" t="s">
        <v>5305</v>
      </c>
      <c r="D229" s="15" t="s">
        <v>5092</v>
      </c>
      <c r="E229" s="16" t="s">
        <v>5093</v>
      </c>
      <c r="F229" s="15" t="s">
        <v>16</v>
      </c>
    </row>
    <row r="230" spans="1:6">
      <c r="A230" s="14" t="s">
        <v>5091</v>
      </c>
      <c r="B230" s="15" t="s">
        <v>5306</v>
      </c>
      <c r="C230" s="15" t="s">
        <v>5307</v>
      </c>
      <c r="D230" s="15" t="s">
        <v>5110</v>
      </c>
      <c r="E230" s="16" t="s">
        <v>5102</v>
      </c>
      <c r="F230" s="15" t="s">
        <v>16</v>
      </c>
    </row>
    <row r="231" spans="1:6">
      <c r="A231" s="14" t="s">
        <v>5091</v>
      </c>
      <c r="B231" s="15" t="s">
        <v>5078</v>
      </c>
      <c r="C231" s="15" t="s">
        <v>5308</v>
      </c>
      <c r="D231" s="15" t="s">
        <v>5104</v>
      </c>
      <c r="E231" s="16"/>
      <c r="F231" s="15" t="s">
        <v>16</v>
      </c>
    </row>
    <row r="232" spans="1:6">
      <c r="A232" s="14" t="s">
        <v>5091</v>
      </c>
      <c r="B232" s="15" t="s">
        <v>5309</v>
      </c>
      <c r="C232" s="15" t="s">
        <v>5310</v>
      </c>
      <c r="D232" s="15" t="s">
        <v>5100</v>
      </c>
      <c r="E232" s="16"/>
      <c r="F232" s="15" t="s">
        <v>16</v>
      </c>
    </row>
    <row r="233" spans="1:6">
      <c r="A233" s="14" t="s">
        <v>5091</v>
      </c>
      <c r="B233" s="15" t="s">
        <v>5083</v>
      </c>
      <c r="C233" s="15" t="s">
        <v>5311</v>
      </c>
      <c r="D233" s="15" t="s">
        <v>5104</v>
      </c>
      <c r="E233" s="16" t="s">
        <v>5105</v>
      </c>
      <c r="F233" s="15" t="s">
        <v>16</v>
      </c>
    </row>
    <row r="234" spans="1:6">
      <c r="A234" s="14" t="s">
        <v>5091</v>
      </c>
      <c r="B234" s="15" t="s">
        <v>5312</v>
      </c>
      <c r="C234" s="15" t="s">
        <v>5313</v>
      </c>
      <c r="D234" s="15" t="s">
        <v>5092</v>
      </c>
      <c r="E234" s="16" t="s">
        <v>5093</v>
      </c>
      <c r="F234" s="15" t="s">
        <v>16</v>
      </c>
    </row>
    <row r="235" spans="1:6">
      <c r="A235" s="14" t="s">
        <v>5091</v>
      </c>
      <c r="B235" s="15" t="s">
        <v>5314</v>
      </c>
      <c r="C235" s="15" t="s">
        <v>5315</v>
      </c>
      <c r="D235" s="15"/>
      <c r="E235" s="16"/>
      <c r="F235" s="15" t="s">
        <v>16</v>
      </c>
    </row>
    <row r="236" spans="1:6">
      <c r="A236" s="14" t="s">
        <v>5316</v>
      </c>
      <c r="B236" s="15" t="s">
        <v>352</v>
      </c>
      <c r="C236" s="15" t="s">
        <v>351</v>
      </c>
      <c r="D236" s="15" t="s">
        <v>5092</v>
      </c>
      <c r="E236" s="16" t="s">
        <v>5106</v>
      </c>
      <c r="F236" s="15" t="s">
        <v>16</v>
      </c>
    </row>
    <row r="237" spans="1:6">
      <c r="A237" s="14" t="s">
        <v>5316</v>
      </c>
      <c r="B237" s="15" t="s">
        <v>779</v>
      </c>
      <c r="C237" s="15" t="s">
        <v>778</v>
      </c>
      <c r="D237" s="15" t="s">
        <v>5094</v>
      </c>
      <c r="E237" s="16" t="s">
        <v>5095</v>
      </c>
      <c r="F237" s="15" t="s">
        <v>16</v>
      </c>
    </row>
    <row r="238" spans="1:6">
      <c r="A238" s="14" t="s">
        <v>5316</v>
      </c>
      <c r="B238" s="15" t="s">
        <v>1183</v>
      </c>
      <c r="C238" s="15" t="s">
        <v>1182</v>
      </c>
      <c r="D238" s="15" t="s">
        <v>5092</v>
      </c>
      <c r="E238" s="16" t="s">
        <v>5093</v>
      </c>
      <c r="F238" s="15" t="s">
        <v>16</v>
      </c>
    </row>
    <row r="239" spans="1:6">
      <c r="A239" s="14" t="s">
        <v>5316</v>
      </c>
      <c r="B239" s="15" t="s">
        <v>1212</v>
      </c>
      <c r="C239" s="15" t="s">
        <v>1211</v>
      </c>
      <c r="D239" s="15" t="s">
        <v>5092</v>
      </c>
      <c r="E239" s="16" t="s">
        <v>5106</v>
      </c>
      <c r="F239" s="15" t="s">
        <v>16</v>
      </c>
    </row>
    <row r="240" spans="1:6">
      <c r="A240" s="14" t="s">
        <v>5316</v>
      </c>
      <c r="B240" s="15" t="s">
        <v>1305</v>
      </c>
      <c r="C240" s="15" t="s">
        <v>1304</v>
      </c>
      <c r="D240" s="15"/>
      <c r="E240" s="16" t="s">
        <v>5114</v>
      </c>
      <c r="F240" s="15" t="s">
        <v>16</v>
      </c>
    </row>
    <row r="241" spans="1:6">
      <c r="A241" s="14" t="s">
        <v>5316</v>
      </c>
      <c r="B241" s="15" t="s">
        <v>1313</v>
      </c>
      <c r="C241" s="15" t="s">
        <v>1312</v>
      </c>
      <c r="D241" s="15" t="s">
        <v>5162</v>
      </c>
      <c r="E241" s="16"/>
      <c r="F241" s="15" t="s">
        <v>16</v>
      </c>
    </row>
    <row r="242" spans="1:6">
      <c r="A242" s="14" t="s">
        <v>5316</v>
      </c>
      <c r="B242" s="15" t="s">
        <v>1323</v>
      </c>
      <c r="C242" s="15" t="s">
        <v>1322</v>
      </c>
      <c r="D242" s="15" t="s">
        <v>5110</v>
      </c>
      <c r="E242" s="16"/>
      <c r="F242" s="15" t="s">
        <v>16</v>
      </c>
    </row>
    <row r="243" spans="1:6">
      <c r="A243" s="14" t="s">
        <v>5316</v>
      </c>
      <c r="B243" s="15" t="s">
        <v>5317</v>
      </c>
      <c r="C243" s="15" t="s">
        <v>5318</v>
      </c>
      <c r="D243" s="15"/>
      <c r="E243" s="16"/>
      <c r="F243" s="15" t="s">
        <v>16</v>
      </c>
    </row>
    <row r="244" spans="1:6">
      <c r="A244" s="14" t="s">
        <v>5316</v>
      </c>
      <c r="B244" s="15" t="s">
        <v>1348</v>
      </c>
      <c r="C244" s="15" t="s">
        <v>1347</v>
      </c>
      <c r="D244" s="15"/>
      <c r="E244" s="16"/>
      <c r="F244" s="15" t="s">
        <v>16</v>
      </c>
    </row>
    <row r="245" spans="1:6">
      <c r="A245" s="14" t="s">
        <v>5316</v>
      </c>
      <c r="B245" s="15" t="s">
        <v>1362</v>
      </c>
      <c r="C245" s="15" t="s">
        <v>1361</v>
      </c>
      <c r="D245" s="15"/>
      <c r="E245" s="16"/>
      <c r="F245" s="15" t="s">
        <v>16</v>
      </c>
    </row>
    <row r="246" spans="1:6">
      <c r="A246" s="14" t="s">
        <v>5316</v>
      </c>
      <c r="B246" s="15" t="s">
        <v>1373</v>
      </c>
      <c r="C246" s="15" t="s">
        <v>1372</v>
      </c>
      <c r="D246" s="15" t="s">
        <v>5092</v>
      </c>
      <c r="E246" s="16" t="s">
        <v>5093</v>
      </c>
      <c r="F246" s="15" t="s">
        <v>16</v>
      </c>
    </row>
    <row r="247" spans="1:6">
      <c r="A247" s="14" t="s">
        <v>5316</v>
      </c>
      <c r="B247" s="15" t="s">
        <v>1387</v>
      </c>
      <c r="C247" s="15" t="s">
        <v>1386</v>
      </c>
      <c r="D247" s="15" t="s">
        <v>5092</v>
      </c>
      <c r="E247" s="16" t="s">
        <v>5119</v>
      </c>
      <c r="F247" s="15" t="s">
        <v>16</v>
      </c>
    </row>
    <row r="248" spans="1:6">
      <c r="A248" s="14" t="s">
        <v>5316</v>
      </c>
      <c r="B248" s="15" t="s">
        <v>1395</v>
      </c>
      <c r="C248" s="15" t="s">
        <v>1394</v>
      </c>
      <c r="D248" s="15" t="s">
        <v>5092</v>
      </c>
      <c r="E248" s="16" t="s">
        <v>5093</v>
      </c>
      <c r="F248" s="15" t="s">
        <v>16</v>
      </c>
    </row>
    <row r="249" spans="1:6">
      <c r="A249" s="14" t="s">
        <v>5316</v>
      </c>
      <c r="B249" s="15" t="s">
        <v>1559</v>
      </c>
      <c r="C249" s="15" t="s">
        <v>1558</v>
      </c>
      <c r="D249" s="15" t="s">
        <v>5104</v>
      </c>
      <c r="E249" s="16" t="s">
        <v>5105</v>
      </c>
      <c r="F249" s="15" t="s">
        <v>16</v>
      </c>
    </row>
    <row r="250" spans="1:6">
      <c r="A250" s="14" t="s">
        <v>5316</v>
      </c>
      <c r="B250" s="15" t="s">
        <v>1562</v>
      </c>
      <c r="C250" s="15" t="s">
        <v>1561</v>
      </c>
      <c r="D250" s="15" t="s">
        <v>5092</v>
      </c>
      <c r="E250" s="16" t="s">
        <v>5093</v>
      </c>
      <c r="F250" s="15" t="s">
        <v>213</v>
      </c>
    </row>
    <row r="251" spans="1:6">
      <c r="A251" s="14" t="s">
        <v>5316</v>
      </c>
      <c r="B251" s="15" t="s">
        <v>1567</v>
      </c>
      <c r="C251" s="15" t="s">
        <v>1566</v>
      </c>
      <c r="D251" s="15"/>
      <c r="E251" s="16"/>
      <c r="F251" s="15" t="s">
        <v>16</v>
      </c>
    </row>
    <row r="252" spans="1:6">
      <c r="A252" s="14" t="s">
        <v>5316</v>
      </c>
      <c r="B252" s="15" t="s">
        <v>1571</v>
      </c>
      <c r="C252" s="15" t="s">
        <v>1570</v>
      </c>
      <c r="D252" s="15" t="s">
        <v>5104</v>
      </c>
      <c r="E252" s="16" t="s">
        <v>5105</v>
      </c>
      <c r="F252" s="15" t="s">
        <v>1216</v>
      </c>
    </row>
    <row r="253" spans="1:6">
      <c r="A253" s="14" t="s">
        <v>5316</v>
      </c>
      <c r="B253" s="15" t="s">
        <v>1596</v>
      </c>
      <c r="C253" s="15" t="s">
        <v>1595</v>
      </c>
      <c r="D253" s="15" t="s">
        <v>5094</v>
      </c>
      <c r="E253" s="16" t="s">
        <v>5095</v>
      </c>
      <c r="F253" s="15" t="s">
        <v>16</v>
      </c>
    </row>
    <row r="254" spans="1:6">
      <c r="A254" s="14" t="s">
        <v>5316</v>
      </c>
      <c r="B254" s="15" t="s">
        <v>1599</v>
      </c>
      <c r="C254" s="15" t="s">
        <v>1598</v>
      </c>
      <c r="D254" s="15" t="s">
        <v>5110</v>
      </c>
      <c r="E254" s="16" t="s">
        <v>5102</v>
      </c>
      <c r="F254" s="15" t="s">
        <v>16</v>
      </c>
    </row>
    <row r="255" spans="1:6">
      <c r="A255" s="14" t="s">
        <v>5316</v>
      </c>
      <c r="B255" s="15" t="s">
        <v>2943</v>
      </c>
      <c r="C255" s="15" t="s">
        <v>2942</v>
      </c>
      <c r="D255" s="15"/>
      <c r="E255" s="16"/>
      <c r="F255" s="15" t="s">
        <v>213</v>
      </c>
    </row>
    <row r="256" spans="1:6">
      <c r="A256" s="14" t="s">
        <v>5316</v>
      </c>
      <c r="B256" s="15" t="s">
        <v>1619</v>
      </c>
      <c r="C256" s="15" t="s">
        <v>1618</v>
      </c>
      <c r="D256" s="15" t="s">
        <v>5118</v>
      </c>
      <c r="E256" s="16" t="s">
        <v>5119</v>
      </c>
      <c r="F256" s="15" t="s">
        <v>16</v>
      </c>
    </row>
    <row r="257" spans="1:6">
      <c r="A257" s="14" t="s">
        <v>5316</v>
      </c>
      <c r="B257" s="15" t="s">
        <v>1625</v>
      </c>
      <c r="C257" s="15" t="s">
        <v>1624</v>
      </c>
      <c r="D257" s="15" t="s">
        <v>5110</v>
      </c>
      <c r="E257" s="16" t="s">
        <v>5102</v>
      </c>
      <c r="F257" s="15" t="s">
        <v>16</v>
      </c>
    </row>
    <row r="258" spans="1:6">
      <c r="A258" s="14" t="s">
        <v>5316</v>
      </c>
      <c r="B258" s="15" t="s">
        <v>1727</v>
      </c>
      <c r="C258" s="15" t="s">
        <v>1726</v>
      </c>
      <c r="D258" s="15" t="s">
        <v>5110</v>
      </c>
      <c r="E258" s="16" t="s">
        <v>5102</v>
      </c>
      <c r="F258" s="15" t="s">
        <v>16</v>
      </c>
    </row>
    <row r="259" spans="1:6">
      <c r="A259" s="14" t="s">
        <v>5316</v>
      </c>
      <c r="B259" s="15" t="s">
        <v>1921</v>
      </c>
      <c r="C259" s="15" t="s">
        <v>1920</v>
      </c>
      <c r="D259" s="15" t="s">
        <v>5110</v>
      </c>
      <c r="E259" s="16" t="s">
        <v>5102</v>
      </c>
      <c r="F259" s="15" t="s">
        <v>213</v>
      </c>
    </row>
    <row r="260" spans="1:6">
      <c r="A260" s="14" t="s">
        <v>5316</v>
      </c>
      <c r="B260" s="15" t="s">
        <v>1925</v>
      </c>
      <c r="C260" s="15" t="s">
        <v>1924</v>
      </c>
      <c r="D260" s="15" t="s">
        <v>5092</v>
      </c>
      <c r="E260" s="16" t="s">
        <v>5093</v>
      </c>
      <c r="F260" s="15" t="s">
        <v>16</v>
      </c>
    </row>
    <row r="261" spans="1:6">
      <c r="A261" s="14" t="s">
        <v>5316</v>
      </c>
      <c r="B261" s="15" t="s">
        <v>1928</v>
      </c>
      <c r="C261" s="15" t="s">
        <v>1927</v>
      </c>
      <c r="D261" s="15" t="s">
        <v>5104</v>
      </c>
      <c r="E261" s="16" t="s">
        <v>5105</v>
      </c>
      <c r="F261" s="15" t="s">
        <v>16</v>
      </c>
    </row>
    <row r="262" spans="1:6">
      <c r="A262" s="14" t="s">
        <v>5316</v>
      </c>
      <c r="B262" s="15" t="s">
        <v>1931</v>
      </c>
      <c r="C262" s="15" t="s">
        <v>1930</v>
      </c>
      <c r="D262" s="15" t="s">
        <v>5101</v>
      </c>
      <c r="E262" s="16"/>
      <c r="F262" s="15" t="s">
        <v>16</v>
      </c>
    </row>
    <row r="263" spans="1:6">
      <c r="A263" s="14" t="s">
        <v>5316</v>
      </c>
      <c r="B263" s="15" t="s">
        <v>1947</v>
      </c>
      <c r="C263" s="15" t="s">
        <v>1946</v>
      </c>
      <c r="D263" s="15" t="s">
        <v>5162</v>
      </c>
      <c r="E263" s="16" t="s">
        <v>5093</v>
      </c>
      <c r="F263" s="15" t="s">
        <v>16</v>
      </c>
    </row>
    <row r="264" spans="1:6">
      <c r="A264" s="14" t="s">
        <v>5316</v>
      </c>
      <c r="B264" s="15" t="s">
        <v>1959</v>
      </c>
      <c r="C264" s="15" t="s">
        <v>1958</v>
      </c>
      <c r="D264" s="15"/>
      <c r="E264" s="16"/>
      <c r="F264" s="15" t="s">
        <v>16</v>
      </c>
    </row>
    <row r="265" spans="1:6">
      <c r="A265" s="14" t="s">
        <v>5316</v>
      </c>
      <c r="B265" s="15" t="s">
        <v>1962</v>
      </c>
      <c r="C265" s="15" t="s">
        <v>1961</v>
      </c>
      <c r="D265" s="15" t="s">
        <v>5094</v>
      </c>
      <c r="E265" s="16" t="s">
        <v>5113</v>
      </c>
      <c r="F265" s="15" t="s">
        <v>16</v>
      </c>
    </row>
    <row r="266" spans="1:6">
      <c r="A266" s="14" t="s">
        <v>5316</v>
      </c>
      <c r="B266" s="15" t="s">
        <v>1975</v>
      </c>
      <c r="C266" s="15" t="s">
        <v>1974</v>
      </c>
      <c r="D266" s="15" t="s">
        <v>5110</v>
      </c>
      <c r="E266" s="16" t="s">
        <v>5102</v>
      </c>
      <c r="F266" s="15" t="s">
        <v>213</v>
      </c>
    </row>
    <row r="267" spans="1:6">
      <c r="A267" s="14" t="s">
        <v>5316</v>
      </c>
      <c r="B267" s="15" t="s">
        <v>1994</v>
      </c>
      <c r="C267" s="15" t="s">
        <v>1993</v>
      </c>
      <c r="D267" s="15" t="s">
        <v>5092</v>
      </c>
      <c r="E267" s="16" t="s">
        <v>5093</v>
      </c>
      <c r="F267" s="15" t="s">
        <v>16</v>
      </c>
    </row>
    <row r="268" spans="1:6">
      <c r="A268" s="14" t="s">
        <v>5316</v>
      </c>
      <c r="B268" s="15" t="s">
        <v>5319</v>
      </c>
      <c r="C268" s="15" t="s">
        <v>5320</v>
      </c>
      <c r="D268" s="15"/>
      <c r="E268" s="16"/>
      <c r="F268" s="15" t="s">
        <v>16</v>
      </c>
    </row>
    <row r="269" spans="1:6">
      <c r="A269" s="14" t="s">
        <v>5316</v>
      </c>
      <c r="B269" s="15" t="s">
        <v>2013</v>
      </c>
      <c r="C269" s="15" t="s">
        <v>2012</v>
      </c>
      <c r="D269" s="15" t="s">
        <v>5101</v>
      </c>
      <c r="E269" s="16" t="s">
        <v>5114</v>
      </c>
      <c r="F269" s="15" t="s">
        <v>16</v>
      </c>
    </row>
    <row r="270" spans="1:6">
      <c r="A270" s="14" t="s">
        <v>5316</v>
      </c>
      <c r="B270" s="15" t="s">
        <v>2061</v>
      </c>
      <c r="C270" s="15" t="s">
        <v>2060</v>
      </c>
      <c r="D270" s="15" t="s">
        <v>5092</v>
      </c>
      <c r="E270" s="16"/>
      <c r="F270" s="15" t="s">
        <v>16</v>
      </c>
    </row>
    <row r="271" spans="1:6">
      <c r="A271" s="14" t="s">
        <v>5316</v>
      </c>
      <c r="B271" s="15" t="s">
        <v>2953</v>
      </c>
      <c r="C271" s="15" t="s">
        <v>2952</v>
      </c>
      <c r="D271" s="15"/>
      <c r="E271" s="16" t="s">
        <v>5095</v>
      </c>
      <c r="F271" s="15" t="s">
        <v>16</v>
      </c>
    </row>
    <row r="272" spans="1:6">
      <c r="A272" s="14" t="s">
        <v>5316</v>
      </c>
      <c r="B272" s="15" t="s">
        <v>5321</v>
      </c>
      <c r="C272" s="15" t="s">
        <v>5322</v>
      </c>
      <c r="D272" s="15" t="s">
        <v>5092</v>
      </c>
      <c r="E272" s="16" t="s">
        <v>5093</v>
      </c>
      <c r="F272" s="15" t="s">
        <v>16</v>
      </c>
    </row>
    <row r="273" spans="1:6">
      <c r="A273" s="14" t="s">
        <v>5316</v>
      </c>
      <c r="B273" s="15" t="s">
        <v>2122</v>
      </c>
      <c r="C273" s="15" t="s">
        <v>2121</v>
      </c>
      <c r="D273" s="15" t="s">
        <v>5104</v>
      </c>
      <c r="E273" s="16" t="s">
        <v>5105</v>
      </c>
      <c r="F273" s="15" t="s">
        <v>16</v>
      </c>
    </row>
    <row r="274" spans="1:6">
      <c r="A274" s="14" t="s">
        <v>5316</v>
      </c>
      <c r="B274" s="15" t="s">
        <v>2127</v>
      </c>
      <c r="C274" s="15" t="s">
        <v>2126</v>
      </c>
      <c r="D274" s="15" t="s">
        <v>5110</v>
      </c>
      <c r="E274" s="16" t="s">
        <v>5102</v>
      </c>
      <c r="F274" s="15" t="s">
        <v>16</v>
      </c>
    </row>
    <row r="275" spans="1:6">
      <c r="A275" s="14" t="s">
        <v>5316</v>
      </c>
      <c r="B275" s="15" t="s">
        <v>5323</v>
      </c>
      <c r="C275" s="15" t="s">
        <v>5324</v>
      </c>
      <c r="D275" s="15"/>
      <c r="E275" s="16" t="s">
        <v>5093</v>
      </c>
      <c r="F275" s="15" t="s">
        <v>16</v>
      </c>
    </row>
    <row r="276" spans="1:6">
      <c r="A276" s="14" t="s">
        <v>5316</v>
      </c>
      <c r="B276" s="15" t="s">
        <v>2144</v>
      </c>
      <c r="C276" s="15" t="s">
        <v>2143</v>
      </c>
      <c r="D276" s="15" t="s">
        <v>5110</v>
      </c>
      <c r="E276" s="16" t="s">
        <v>5102</v>
      </c>
      <c r="F276" s="15" t="s">
        <v>16</v>
      </c>
    </row>
    <row r="277" spans="1:6">
      <c r="A277" s="14" t="s">
        <v>5316</v>
      </c>
      <c r="B277" s="15" t="s">
        <v>2826</v>
      </c>
      <c r="C277" s="15" t="s">
        <v>2825</v>
      </c>
      <c r="D277" s="15" t="s">
        <v>5118</v>
      </c>
      <c r="E277" s="16" t="s">
        <v>5119</v>
      </c>
      <c r="F277" s="15" t="s">
        <v>213</v>
      </c>
    </row>
    <row r="278" spans="1:6">
      <c r="A278" s="14" t="s">
        <v>5316</v>
      </c>
      <c r="B278" s="15" t="s">
        <v>2829</v>
      </c>
      <c r="C278" s="15" t="s">
        <v>2828</v>
      </c>
      <c r="D278" s="15"/>
      <c r="E278" s="16"/>
      <c r="F278" s="15" t="s">
        <v>16</v>
      </c>
    </row>
    <row r="279" spans="1:6">
      <c r="A279" s="14" t="s">
        <v>5316</v>
      </c>
      <c r="B279" s="15" t="s">
        <v>2832</v>
      </c>
      <c r="C279" s="15" t="s">
        <v>2831</v>
      </c>
      <c r="D279" s="15" t="s">
        <v>5110</v>
      </c>
      <c r="E279" s="16" t="s">
        <v>5102</v>
      </c>
      <c r="F279" s="15" t="s">
        <v>213</v>
      </c>
    </row>
    <row r="280" spans="1:6">
      <c r="A280" s="14" t="s">
        <v>5316</v>
      </c>
      <c r="B280" s="15" t="s">
        <v>2837</v>
      </c>
      <c r="C280" s="15" t="s">
        <v>2836</v>
      </c>
      <c r="D280" s="15"/>
      <c r="E280" s="16"/>
      <c r="F280" s="15" t="s">
        <v>213</v>
      </c>
    </row>
    <row r="281" spans="1:6">
      <c r="A281" s="14" t="s">
        <v>5325</v>
      </c>
      <c r="B281" s="15" t="s">
        <v>5326</v>
      </c>
      <c r="C281" s="15" t="s">
        <v>5327</v>
      </c>
      <c r="D281" s="15" t="s">
        <v>5101</v>
      </c>
      <c r="E281" s="16" t="s">
        <v>5114</v>
      </c>
      <c r="F281" s="15" t="s">
        <v>16</v>
      </c>
    </row>
    <row r="282" spans="1:6">
      <c r="A282" s="14" t="s">
        <v>5325</v>
      </c>
      <c r="B282" s="15" t="s">
        <v>5328</v>
      </c>
      <c r="C282" s="15" t="s">
        <v>5329</v>
      </c>
      <c r="D282" s="15"/>
      <c r="E282" s="16"/>
      <c r="F282" s="15" t="s">
        <v>16</v>
      </c>
    </row>
    <row r="283" spans="1:6">
      <c r="A283" s="14" t="s">
        <v>5325</v>
      </c>
      <c r="B283" s="15" t="s">
        <v>5330</v>
      </c>
      <c r="C283" s="15" t="s">
        <v>5331</v>
      </c>
      <c r="D283" s="15" t="s">
        <v>5104</v>
      </c>
      <c r="E283" s="16" t="s">
        <v>5105</v>
      </c>
      <c r="F283" s="15" t="s">
        <v>16</v>
      </c>
    </row>
    <row r="284" spans="1:6">
      <c r="A284" s="14" t="s">
        <v>5325</v>
      </c>
      <c r="B284" s="15" t="s">
        <v>375</v>
      </c>
      <c r="C284" s="15" t="s">
        <v>374</v>
      </c>
      <c r="D284" s="15"/>
      <c r="E284" s="16"/>
      <c r="F284" s="15" t="s">
        <v>16</v>
      </c>
    </row>
    <row r="285" spans="1:6">
      <c r="A285" s="14" t="s">
        <v>5325</v>
      </c>
      <c r="B285" s="15" t="s">
        <v>449</v>
      </c>
      <c r="C285" s="15" t="s">
        <v>448</v>
      </c>
      <c r="D285" s="15" t="s">
        <v>5332</v>
      </c>
      <c r="E285" s="16"/>
      <c r="F285" s="15" t="s">
        <v>16</v>
      </c>
    </row>
    <row r="286" spans="1:6">
      <c r="A286" s="14" t="s">
        <v>5325</v>
      </c>
      <c r="B286" s="15" t="s">
        <v>15</v>
      </c>
      <c r="C286" s="15" t="s">
        <v>14</v>
      </c>
      <c r="D286" s="15" t="s">
        <v>5092</v>
      </c>
      <c r="E286" s="16" t="s">
        <v>5106</v>
      </c>
      <c r="F286" s="15" t="s">
        <v>16</v>
      </c>
    </row>
    <row r="287" spans="1:6">
      <c r="A287" s="14" t="s">
        <v>5325</v>
      </c>
      <c r="B287" s="15" t="s">
        <v>3251</v>
      </c>
      <c r="C287" s="15" t="s">
        <v>5333</v>
      </c>
      <c r="D287" s="15"/>
      <c r="E287" s="16"/>
      <c r="F287" s="15" t="s">
        <v>16</v>
      </c>
    </row>
    <row r="288" spans="1:6">
      <c r="A288" s="14" t="s">
        <v>5325</v>
      </c>
      <c r="B288" s="15" t="s">
        <v>5334</v>
      </c>
      <c r="C288" s="15" t="s">
        <v>5335</v>
      </c>
      <c r="D288" s="15"/>
      <c r="E288" s="16"/>
      <c r="F288" s="15" t="s">
        <v>16</v>
      </c>
    </row>
    <row r="289" spans="1:6">
      <c r="A289" s="14" t="s">
        <v>5325</v>
      </c>
      <c r="B289" s="15" t="s">
        <v>458</v>
      </c>
      <c r="C289" s="15" t="s">
        <v>457</v>
      </c>
      <c r="D289" s="15" t="s">
        <v>5104</v>
      </c>
      <c r="E289" s="16" t="s">
        <v>5105</v>
      </c>
      <c r="F289" s="15" t="s">
        <v>16</v>
      </c>
    </row>
    <row r="290" spans="1:6">
      <c r="A290" s="14" t="s">
        <v>5325</v>
      </c>
      <c r="B290" s="15" t="s">
        <v>5336</v>
      </c>
      <c r="C290" s="15" t="s">
        <v>5337</v>
      </c>
      <c r="D290" s="15" t="s">
        <v>5104</v>
      </c>
      <c r="E290" s="16" t="s">
        <v>5105</v>
      </c>
      <c r="F290" s="15" t="s">
        <v>16</v>
      </c>
    </row>
    <row r="291" spans="1:6">
      <c r="A291" s="14" t="s">
        <v>5325</v>
      </c>
      <c r="B291" s="15" t="s">
        <v>5338</v>
      </c>
      <c r="C291" s="15" t="s">
        <v>5339</v>
      </c>
      <c r="D291" s="15" t="s">
        <v>5092</v>
      </c>
      <c r="E291" s="16" t="s">
        <v>5093</v>
      </c>
      <c r="F291" s="15" t="s">
        <v>16</v>
      </c>
    </row>
    <row r="292" spans="1:6">
      <c r="A292" s="14" t="s">
        <v>5325</v>
      </c>
      <c r="B292" s="15" t="s">
        <v>480</v>
      </c>
      <c r="C292" s="15" t="s">
        <v>479</v>
      </c>
      <c r="D292" s="15" t="s">
        <v>5107</v>
      </c>
      <c r="E292" s="16" t="s">
        <v>5103</v>
      </c>
      <c r="F292" s="15" t="s">
        <v>16</v>
      </c>
    </row>
    <row r="293" spans="1:6">
      <c r="A293" s="14" t="s">
        <v>5325</v>
      </c>
      <c r="B293" s="15" t="s">
        <v>5340</v>
      </c>
      <c r="C293" s="15" t="s">
        <v>5341</v>
      </c>
      <c r="D293" s="15" t="s">
        <v>5101</v>
      </c>
      <c r="E293" s="16" t="s">
        <v>5102</v>
      </c>
      <c r="F293" s="15" t="s">
        <v>16</v>
      </c>
    </row>
    <row r="294" spans="1:6">
      <c r="A294" s="14" t="s">
        <v>5325</v>
      </c>
      <c r="B294" s="15" t="s">
        <v>490</v>
      </c>
      <c r="C294" s="15" t="s">
        <v>489</v>
      </c>
      <c r="D294" s="15" t="s">
        <v>5092</v>
      </c>
      <c r="E294" s="16" t="s">
        <v>5093</v>
      </c>
      <c r="F294" s="15" t="s">
        <v>16</v>
      </c>
    </row>
    <row r="295" spans="1:6">
      <c r="A295" s="14" t="s">
        <v>5325</v>
      </c>
      <c r="B295" s="15" t="s">
        <v>3274</v>
      </c>
      <c r="C295" s="15" t="s">
        <v>5342</v>
      </c>
      <c r="D295" s="15"/>
      <c r="E295" s="16"/>
      <c r="F295" s="15" t="s">
        <v>16</v>
      </c>
    </row>
    <row r="296" spans="1:6">
      <c r="A296" s="14" t="s">
        <v>5325</v>
      </c>
      <c r="B296" s="15" t="s">
        <v>511</v>
      </c>
      <c r="C296" s="15" t="s">
        <v>510</v>
      </c>
      <c r="D296" s="15" t="s">
        <v>5110</v>
      </c>
      <c r="E296" s="16" t="s">
        <v>5102</v>
      </c>
      <c r="F296" s="15" t="s">
        <v>16</v>
      </c>
    </row>
    <row r="297" spans="1:6">
      <c r="A297" s="14" t="s">
        <v>5325</v>
      </c>
      <c r="B297" s="15" t="s">
        <v>523</v>
      </c>
      <c r="C297" s="15" t="s">
        <v>522</v>
      </c>
      <c r="D297" s="15" t="s">
        <v>5104</v>
      </c>
      <c r="E297" s="16" t="s">
        <v>5105</v>
      </c>
      <c r="F297" s="15" t="s">
        <v>16</v>
      </c>
    </row>
    <row r="298" spans="1:6">
      <c r="A298" s="14" t="s">
        <v>5325</v>
      </c>
      <c r="B298" s="15" t="s">
        <v>5343</v>
      </c>
      <c r="C298" s="15" t="s">
        <v>5344</v>
      </c>
      <c r="D298" s="15" t="s">
        <v>5092</v>
      </c>
      <c r="E298" s="16" t="s">
        <v>5093</v>
      </c>
      <c r="F298" s="15" t="s">
        <v>16</v>
      </c>
    </row>
    <row r="299" spans="1:6">
      <c r="A299" s="14" t="s">
        <v>5325</v>
      </c>
      <c r="B299" s="15" t="s">
        <v>527</v>
      </c>
      <c r="C299" s="15" t="s">
        <v>526</v>
      </c>
      <c r="D299" s="15"/>
      <c r="E299" s="16"/>
      <c r="F299" s="15" t="s">
        <v>16</v>
      </c>
    </row>
    <row r="300" spans="1:6">
      <c r="A300" s="14" t="s">
        <v>5325</v>
      </c>
      <c r="B300" s="15" t="s">
        <v>530</v>
      </c>
      <c r="C300" s="15" t="s">
        <v>529</v>
      </c>
      <c r="D300" s="15"/>
      <c r="E300" s="16"/>
      <c r="F300" s="15" t="s">
        <v>16</v>
      </c>
    </row>
    <row r="301" spans="1:6">
      <c r="A301" s="14" t="s">
        <v>5325</v>
      </c>
      <c r="B301" s="15" t="s">
        <v>534</v>
      </c>
      <c r="C301" s="15" t="s">
        <v>533</v>
      </c>
      <c r="D301" s="15" t="s">
        <v>5110</v>
      </c>
      <c r="E301" s="16"/>
      <c r="F301" s="15" t="s">
        <v>16</v>
      </c>
    </row>
    <row r="302" spans="1:6">
      <c r="A302" s="14" t="s">
        <v>5325</v>
      </c>
      <c r="B302" s="15" t="s">
        <v>538</v>
      </c>
      <c r="C302" s="15" t="s">
        <v>537</v>
      </c>
      <c r="D302" s="15" t="s">
        <v>5094</v>
      </c>
      <c r="E302" s="16" t="s">
        <v>5113</v>
      </c>
      <c r="F302" s="15" t="s">
        <v>16</v>
      </c>
    </row>
    <row r="303" spans="1:6">
      <c r="A303" s="14" t="s">
        <v>5325</v>
      </c>
      <c r="B303" s="15" t="s">
        <v>5345</v>
      </c>
      <c r="C303" s="15" t="s">
        <v>5346</v>
      </c>
      <c r="D303" s="15"/>
      <c r="E303" s="16"/>
      <c r="F303" s="15" t="s">
        <v>16</v>
      </c>
    </row>
    <row r="304" spans="1:6">
      <c r="A304" s="14" t="s">
        <v>5325</v>
      </c>
      <c r="B304" s="15" t="s">
        <v>542</v>
      </c>
      <c r="C304" s="15" t="s">
        <v>541</v>
      </c>
      <c r="D304" s="15" t="s">
        <v>5092</v>
      </c>
      <c r="E304" s="16" t="s">
        <v>5093</v>
      </c>
      <c r="F304" s="15" t="s">
        <v>16</v>
      </c>
    </row>
    <row r="305" spans="1:6">
      <c r="A305" s="14" t="s">
        <v>5325</v>
      </c>
      <c r="B305" s="15" t="s">
        <v>548</v>
      </c>
      <c r="C305" s="15" t="s">
        <v>547</v>
      </c>
      <c r="D305" s="15" t="s">
        <v>5104</v>
      </c>
      <c r="E305" s="16" t="s">
        <v>5105</v>
      </c>
      <c r="F305" s="15" t="s">
        <v>16</v>
      </c>
    </row>
    <row r="306" spans="1:6">
      <c r="A306" s="14" t="s">
        <v>5325</v>
      </c>
      <c r="B306" s="15" t="s">
        <v>558</v>
      </c>
      <c r="C306" s="15" t="s">
        <v>557</v>
      </c>
      <c r="D306" s="15"/>
      <c r="E306" s="16"/>
      <c r="F306" s="15" t="s">
        <v>16</v>
      </c>
    </row>
    <row r="307" spans="1:6">
      <c r="A307" s="14" t="s">
        <v>5325</v>
      </c>
      <c r="B307" s="15" t="s">
        <v>561</v>
      </c>
      <c r="C307" s="15" t="s">
        <v>560</v>
      </c>
      <c r="D307" s="15" t="s">
        <v>5162</v>
      </c>
      <c r="E307" s="16" t="s">
        <v>5105</v>
      </c>
      <c r="F307" s="15" t="s">
        <v>16</v>
      </c>
    </row>
    <row r="308" spans="1:6">
      <c r="A308" s="14" t="s">
        <v>5325</v>
      </c>
      <c r="B308" s="15" t="s">
        <v>3335</v>
      </c>
      <c r="C308" s="15" t="s">
        <v>5347</v>
      </c>
      <c r="D308" s="15" t="s">
        <v>5110</v>
      </c>
      <c r="E308" s="16" t="s">
        <v>5113</v>
      </c>
      <c r="F308" s="15" t="s">
        <v>16</v>
      </c>
    </row>
    <row r="309" spans="1:6">
      <c r="A309" s="14" t="s">
        <v>5325</v>
      </c>
      <c r="B309" s="15" t="s">
        <v>5348</v>
      </c>
      <c r="C309" s="15" t="s">
        <v>5349</v>
      </c>
      <c r="D309" s="15" t="s">
        <v>5092</v>
      </c>
      <c r="E309" s="16"/>
      <c r="F309" s="15" t="s">
        <v>16</v>
      </c>
    </row>
    <row r="310" spans="1:6">
      <c r="A310" s="14" t="s">
        <v>5325</v>
      </c>
      <c r="B310" s="15" t="s">
        <v>563</v>
      </c>
      <c r="C310" s="15" t="s">
        <v>562</v>
      </c>
      <c r="D310" s="15" t="s">
        <v>5104</v>
      </c>
      <c r="E310" s="16" t="s">
        <v>5093</v>
      </c>
      <c r="F310" s="15" t="s">
        <v>16</v>
      </c>
    </row>
    <row r="311" spans="1:6">
      <c r="A311" s="14" t="s">
        <v>5325</v>
      </c>
      <c r="B311" s="15" t="s">
        <v>5350</v>
      </c>
      <c r="C311" s="15" t="s">
        <v>5351</v>
      </c>
      <c r="D311" s="15" t="s">
        <v>5110</v>
      </c>
      <c r="E311" s="16" t="s">
        <v>5113</v>
      </c>
      <c r="F311" s="15" t="s">
        <v>16</v>
      </c>
    </row>
    <row r="312" spans="1:6">
      <c r="A312" s="14" t="s">
        <v>5325</v>
      </c>
      <c r="B312" s="15" t="s">
        <v>54</v>
      </c>
      <c r="C312" s="15" t="s">
        <v>53</v>
      </c>
      <c r="D312" s="15" t="s">
        <v>5101</v>
      </c>
      <c r="E312" s="16" t="s">
        <v>5114</v>
      </c>
      <c r="F312" s="15" t="s">
        <v>16</v>
      </c>
    </row>
    <row r="313" spans="1:6">
      <c r="A313" s="14" t="s">
        <v>5325</v>
      </c>
      <c r="B313" s="15" t="s">
        <v>5352</v>
      </c>
      <c r="C313" s="15" t="s">
        <v>5353</v>
      </c>
      <c r="D313" s="15"/>
      <c r="E313" s="16"/>
      <c r="F313" s="15" t="s">
        <v>16</v>
      </c>
    </row>
    <row r="314" spans="1:6">
      <c r="A314" s="14" t="s">
        <v>5325</v>
      </c>
      <c r="B314" s="15" t="s">
        <v>591</v>
      </c>
      <c r="C314" s="15" t="s">
        <v>590</v>
      </c>
      <c r="D314" s="15"/>
      <c r="E314" s="16" t="s">
        <v>5102</v>
      </c>
      <c r="F314" s="15" t="s">
        <v>16</v>
      </c>
    </row>
    <row r="315" spans="1:6">
      <c r="A315" s="14" t="s">
        <v>5325</v>
      </c>
      <c r="B315" s="15" t="s">
        <v>5354</v>
      </c>
      <c r="C315" s="15" t="s">
        <v>5355</v>
      </c>
      <c r="D315" s="15"/>
      <c r="E315" s="16"/>
      <c r="F315" s="15" t="s">
        <v>16</v>
      </c>
    </row>
    <row r="316" spans="1:6">
      <c r="A316" s="14" t="s">
        <v>5325</v>
      </c>
      <c r="B316" s="15" t="s">
        <v>5356</v>
      </c>
      <c r="C316" s="15" t="s">
        <v>5357</v>
      </c>
      <c r="D316" s="15"/>
      <c r="E316" s="16"/>
      <c r="F316" s="15" t="s">
        <v>16</v>
      </c>
    </row>
    <row r="317" spans="1:6">
      <c r="A317" s="14" t="s">
        <v>5325</v>
      </c>
      <c r="B317" s="15" t="s">
        <v>5358</v>
      </c>
      <c r="C317" s="15" t="s">
        <v>611</v>
      </c>
      <c r="D317" s="15"/>
      <c r="E317" s="16"/>
      <c r="F317" s="15" t="s">
        <v>16</v>
      </c>
    </row>
    <row r="318" spans="1:6">
      <c r="A318" s="14" t="s">
        <v>5325</v>
      </c>
      <c r="B318" s="15" t="s">
        <v>5359</v>
      </c>
      <c r="C318" s="15" t="s">
        <v>5360</v>
      </c>
      <c r="D318" s="15" t="s">
        <v>5110</v>
      </c>
      <c r="E318" s="16"/>
      <c r="F318" s="15" t="s">
        <v>16</v>
      </c>
    </row>
    <row r="319" spans="1:6">
      <c r="A319" s="14" t="s">
        <v>5325</v>
      </c>
      <c r="B319" s="15" t="s">
        <v>5361</v>
      </c>
      <c r="C319" s="15" t="s">
        <v>5362</v>
      </c>
      <c r="D319" s="15" t="s">
        <v>5118</v>
      </c>
      <c r="E319" s="16" t="s">
        <v>5119</v>
      </c>
      <c r="F319" s="15" t="s">
        <v>16</v>
      </c>
    </row>
    <row r="320" spans="1:6">
      <c r="A320" s="14" t="s">
        <v>5325</v>
      </c>
      <c r="B320" s="15" t="s">
        <v>656</v>
      </c>
      <c r="C320" s="15" t="s">
        <v>655</v>
      </c>
      <c r="D320" s="15"/>
      <c r="E320" s="16"/>
      <c r="F320" s="15" t="s">
        <v>16</v>
      </c>
    </row>
    <row r="321" spans="1:6">
      <c r="A321" s="14" t="s">
        <v>5325</v>
      </c>
      <c r="B321" s="15" t="s">
        <v>660</v>
      </c>
      <c r="C321" s="15" t="s">
        <v>659</v>
      </c>
      <c r="D321" s="15"/>
      <c r="E321" s="16"/>
      <c r="F321" s="15" t="s">
        <v>16</v>
      </c>
    </row>
    <row r="322" spans="1:6">
      <c r="A322" s="14" t="s">
        <v>5325</v>
      </c>
      <c r="B322" s="15" t="s">
        <v>5363</v>
      </c>
      <c r="C322" s="15" t="s">
        <v>5364</v>
      </c>
      <c r="D322" s="15"/>
      <c r="E322" s="16" t="s">
        <v>5095</v>
      </c>
      <c r="F322" s="15" t="s">
        <v>16</v>
      </c>
    </row>
    <row r="323" spans="1:6">
      <c r="A323" s="14" t="s">
        <v>5325</v>
      </c>
      <c r="B323" s="15" t="s">
        <v>667</v>
      </c>
      <c r="C323" s="15" t="s">
        <v>666</v>
      </c>
      <c r="D323" s="15" t="s">
        <v>5104</v>
      </c>
      <c r="E323" s="16" t="s">
        <v>5105</v>
      </c>
      <c r="F323" s="15" t="s">
        <v>16</v>
      </c>
    </row>
    <row r="324" spans="1:6">
      <c r="A324" s="14" t="s">
        <v>5325</v>
      </c>
      <c r="B324" s="15" t="s">
        <v>671</v>
      </c>
      <c r="C324" s="15" t="s">
        <v>670</v>
      </c>
      <c r="D324" s="15" t="s">
        <v>5092</v>
      </c>
      <c r="E324" s="16"/>
      <c r="F324" s="15" t="s">
        <v>16</v>
      </c>
    </row>
    <row r="325" spans="1:6">
      <c r="A325" s="14" t="s">
        <v>5325</v>
      </c>
      <c r="B325" s="15" t="s">
        <v>674</v>
      </c>
      <c r="C325" s="15" t="s">
        <v>673</v>
      </c>
      <c r="D325" s="15" t="s">
        <v>5110</v>
      </c>
      <c r="E325" s="16" t="s">
        <v>5102</v>
      </c>
      <c r="F325" s="15" t="s">
        <v>16</v>
      </c>
    </row>
    <row r="326" spans="1:6">
      <c r="A326" s="14" t="s">
        <v>5325</v>
      </c>
      <c r="B326" s="15" t="s">
        <v>5365</v>
      </c>
      <c r="C326" s="15" t="s">
        <v>5366</v>
      </c>
      <c r="D326" s="15"/>
      <c r="E326" s="16"/>
      <c r="F326" s="15" t="s">
        <v>16</v>
      </c>
    </row>
    <row r="327" spans="1:6">
      <c r="A327" s="14" t="s">
        <v>5325</v>
      </c>
      <c r="B327" s="15" t="s">
        <v>677</v>
      </c>
      <c r="C327" s="15" t="s">
        <v>676</v>
      </c>
      <c r="D327" s="15"/>
      <c r="E327" s="16"/>
      <c r="F327" s="15" t="s">
        <v>16</v>
      </c>
    </row>
    <row r="328" spans="1:6">
      <c r="A328" s="14" t="s">
        <v>5325</v>
      </c>
      <c r="B328" s="15" t="s">
        <v>5367</v>
      </c>
      <c r="C328" s="15" t="s">
        <v>5368</v>
      </c>
      <c r="D328" s="15"/>
      <c r="E328" s="16"/>
      <c r="F328" s="15" t="s">
        <v>16</v>
      </c>
    </row>
    <row r="329" spans="1:6">
      <c r="A329" s="14" t="s">
        <v>5325</v>
      </c>
      <c r="B329" s="15" t="s">
        <v>5369</v>
      </c>
      <c r="C329" s="15" t="s">
        <v>5370</v>
      </c>
      <c r="D329" s="15"/>
      <c r="E329" s="16"/>
      <c r="F329" s="15" t="s">
        <v>16</v>
      </c>
    </row>
    <row r="330" spans="1:6">
      <c r="A330" s="14" t="s">
        <v>5325</v>
      </c>
      <c r="B330" s="15" t="s">
        <v>680</v>
      </c>
      <c r="C330" s="15" t="s">
        <v>679</v>
      </c>
      <c r="D330" s="15" t="s">
        <v>5092</v>
      </c>
      <c r="E330" s="16" t="s">
        <v>5093</v>
      </c>
      <c r="F330" s="15" t="s">
        <v>16</v>
      </c>
    </row>
    <row r="331" spans="1:6">
      <c r="A331" s="14" t="s">
        <v>5325</v>
      </c>
      <c r="B331" s="15" t="s">
        <v>5371</v>
      </c>
      <c r="C331" s="15" t="s">
        <v>5372</v>
      </c>
      <c r="D331" s="15" t="s">
        <v>5092</v>
      </c>
      <c r="E331" s="16" t="s">
        <v>5103</v>
      </c>
      <c r="F331" s="15" t="s">
        <v>16</v>
      </c>
    </row>
    <row r="332" spans="1:6">
      <c r="A332" s="14" t="s">
        <v>5325</v>
      </c>
      <c r="B332" s="15" t="s">
        <v>5373</v>
      </c>
      <c r="C332" s="15" t="s">
        <v>5374</v>
      </c>
      <c r="D332" s="15"/>
      <c r="E332" s="16"/>
      <c r="F332" s="15" t="s">
        <v>16</v>
      </c>
    </row>
    <row r="333" spans="1:6">
      <c r="A333" s="14" t="s">
        <v>5325</v>
      </c>
      <c r="B333" s="15" t="s">
        <v>684</v>
      </c>
      <c r="C333" s="15" t="s">
        <v>683</v>
      </c>
      <c r="D333" s="15" t="s">
        <v>5110</v>
      </c>
      <c r="E333" s="16"/>
      <c r="F333" s="15" t="s">
        <v>16</v>
      </c>
    </row>
    <row r="334" spans="1:6">
      <c r="A334" s="14" t="s">
        <v>5325</v>
      </c>
      <c r="B334" s="15" t="s">
        <v>690</v>
      </c>
      <c r="C334" s="15" t="s">
        <v>689</v>
      </c>
      <c r="D334" s="15" t="s">
        <v>5118</v>
      </c>
      <c r="E334" s="16" t="s">
        <v>5114</v>
      </c>
      <c r="F334" s="15" t="s">
        <v>16</v>
      </c>
    </row>
    <row r="335" spans="1:6">
      <c r="A335" s="14" t="s">
        <v>5325</v>
      </c>
      <c r="B335" s="15" t="s">
        <v>716</v>
      </c>
      <c r="C335" s="15" t="s">
        <v>715</v>
      </c>
      <c r="D335" s="15" t="s">
        <v>5110</v>
      </c>
      <c r="E335" s="16" t="s">
        <v>5102</v>
      </c>
      <c r="F335" s="15" t="s">
        <v>16</v>
      </c>
    </row>
    <row r="336" spans="1:6">
      <c r="A336" s="14" t="s">
        <v>5325</v>
      </c>
      <c r="B336" s="15" t="s">
        <v>720</v>
      </c>
      <c r="C336" s="15" t="s">
        <v>719</v>
      </c>
      <c r="D336" s="15" t="s">
        <v>5110</v>
      </c>
      <c r="E336" s="16" t="s">
        <v>5114</v>
      </c>
      <c r="F336" s="15" t="s">
        <v>16</v>
      </c>
    </row>
    <row r="337" spans="1:6">
      <c r="A337" s="14" t="s">
        <v>5325</v>
      </c>
      <c r="B337" s="15" t="s">
        <v>723</v>
      </c>
      <c r="C337" s="15" t="s">
        <v>722</v>
      </c>
      <c r="D337" s="15" t="s">
        <v>5101</v>
      </c>
      <c r="E337" s="16" t="s">
        <v>5114</v>
      </c>
      <c r="F337" s="15" t="s">
        <v>16</v>
      </c>
    </row>
    <row r="338" spans="1:6">
      <c r="A338" s="14" t="s">
        <v>5325</v>
      </c>
      <c r="B338" s="15" t="s">
        <v>732</v>
      </c>
      <c r="C338" s="15" t="s">
        <v>731</v>
      </c>
      <c r="D338" s="15"/>
      <c r="E338" s="16"/>
      <c r="F338" s="15" t="s">
        <v>16</v>
      </c>
    </row>
    <row r="339" spans="1:6">
      <c r="A339" s="14" t="s">
        <v>5325</v>
      </c>
      <c r="B339" s="15" t="s">
        <v>735</v>
      </c>
      <c r="C339" s="15" t="s">
        <v>734</v>
      </c>
      <c r="D339" s="15" t="s">
        <v>5104</v>
      </c>
      <c r="E339" s="16" t="s">
        <v>5105</v>
      </c>
      <c r="F339" s="15" t="s">
        <v>16</v>
      </c>
    </row>
    <row r="340" spans="1:6">
      <c r="A340" s="14" t="s">
        <v>5325</v>
      </c>
      <c r="B340" s="15" t="s">
        <v>5375</v>
      </c>
      <c r="C340" s="15" t="s">
        <v>5376</v>
      </c>
      <c r="D340" s="15" t="s">
        <v>5110</v>
      </c>
      <c r="E340" s="16" t="s">
        <v>5102</v>
      </c>
      <c r="F340" s="15" t="s">
        <v>16</v>
      </c>
    </row>
    <row r="341" spans="1:6">
      <c r="A341" s="14" t="s">
        <v>5325</v>
      </c>
      <c r="B341" s="15" t="s">
        <v>743</v>
      </c>
      <c r="C341" s="15" t="s">
        <v>742</v>
      </c>
      <c r="D341" s="15" t="s">
        <v>5092</v>
      </c>
      <c r="E341" s="16"/>
      <c r="F341" s="15" t="s">
        <v>16</v>
      </c>
    </row>
    <row r="342" spans="1:6">
      <c r="A342" s="14" t="s">
        <v>5325</v>
      </c>
      <c r="B342" s="15" t="s">
        <v>5377</v>
      </c>
      <c r="C342" s="15" t="s">
        <v>5378</v>
      </c>
      <c r="D342" s="15" t="s">
        <v>5118</v>
      </c>
      <c r="E342" s="16"/>
      <c r="F342" s="15" t="s">
        <v>16</v>
      </c>
    </row>
    <row r="343" spans="1:6">
      <c r="A343" s="14" t="s">
        <v>5325</v>
      </c>
      <c r="B343" s="15" t="s">
        <v>5379</v>
      </c>
      <c r="C343" s="15" t="s">
        <v>5380</v>
      </c>
      <c r="D343" s="15"/>
      <c r="E343" s="16"/>
      <c r="F343" s="15" t="s">
        <v>16</v>
      </c>
    </row>
    <row r="344" spans="1:6">
      <c r="A344" s="14" t="s">
        <v>5325</v>
      </c>
      <c r="B344" s="15" t="s">
        <v>5381</v>
      </c>
      <c r="C344" s="15" t="s">
        <v>5382</v>
      </c>
      <c r="D344" s="15" t="s">
        <v>5092</v>
      </c>
      <c r="E344" s="16" t="s">
        <v>5103</v>
      </c>
      <c r="F344" s="15" t="s">
        <v>16</v>
      </c>
    </row>
    <row r="345" spans="1:6">
      <c r="A345" s="14" t="s">
        <v>5325</v>
      </c>
      <c r="B345" s="15" t="s">
        <v>5383</v>
      </c>
      <c r="C345" s="15" t="s">
        <v>5384</v>
      </c>
      <c r="D345" s="15"/>
      <c r="E345" s="16"/>
      <c r="F345" s="15" t="s">
        <v>16</v>
      </c>
    </row>
    <row r="346" spans="1:6">
      <c r="A346" s="14" t="s">
        <v>5325</v>
      </c>
      <c r="B346" s="15" t="s">
        <v>5385</v>
      </c>
      <c r="C346" s="15" t="s">
        <v>5386</v>
      </c>
      <c r="D346" s="15" t="s">
        <v>5118</v>
      </c>
      <c r="E346" s="16" t="s">
        <v>5119</v>
      </c>
      <c r="F346" s="15" t="s">
        <v>16</v>
      </c>
    </row>
    <row r="347" spans="1:6">
      <c r="A347" s="14" t="s">
        <v>5325</v>
      </c>
      <c r="B347" s="15" t="s">
        <v>5387</v>
      </c>
      <c r="C347" s="15" t="s">
        <v>5388</v>
      </c>
      <c r="D347" s="15" t="s">
        <v>5092</v>
      </c>
      <c r="E347" s="16"/>
      <c r="F347" s="15" t="s">
        <v>16</v>
      </c>
    </row>
    <row r="348" spans="1:6">
      <c r="A348" s="14" t="s">
        <v>5325</v>
      </c>
      <c r="B348" s="15" t="s">
        <v>5389</v>
      </c>
      <c r="C348" s="15" t="s">
        <v>5390</v>
      </c>
      <c r="D348" s="15" t="s">
        <v>5107</v>
      </c>
      <c r="E348" s="16" t="s">
        <v>5103</v>
      </c>
      <c r="F348" s="15" t="s">
        <v>16</v>
      </c>
    </row>
    <row r="349" spans="1:6">
      <c r="A349" s="14" t="s">
        <v>5325</v>
      </c>
      <c r="B349" s="15" t="s">
        <v>5391</v>
      </c>
      <c r="C349" s="15" t="s">
        <v>5392</v>
      </c>
      <c r="D349" s="15"/>
      <c r="E349" s="16"/>
      <c r="F349" s="15" t="s">
        <v>16</v>
      </c>
    </row>
    <row r="350" spans="1:6">
      <c r="A350" s="14" t="s">
        <v>5325</v>
      </c>
      <c r="B350" s="15" t="s">
        <v>5393</v>
      </c>
      <c r="C350" s="15" t="s">
        <v>5394</v>
      </c>
      <c r="D350" s="15"/>
      <c r="E350" s="16"/>
      <c r="F350" s="15" t="s">
        <v>16</v>
      </c>
    </row>
    <row r="351" spans="1:6">
      <c r="A351" s="14" t="s">
        <v>5325</v>
      </c>
      <c r="B351" s="15" t="s">
        <v>5395</v>
      </c>
      <c r="C351" s="15" t="s">
        <v>5396</v>
      </c>
      <c r="D351" s="15" t="s">
        <v>5110</v>
      </c>
      <c r="E351" s="16" t="s">
        <v>5102</v>
      </c>
      <c r="F351" s="15" t="s">
        <v>16</v>
      </c>
    </row>
    <row r="352" spans="1:6">
      <c r="A352" s="14" t="s">
        <v>5325</v>
      </c>
      <c r="B352" s="15" t="s">
        <v>5397</v>
      </c>
      <c r="C352" s="15" t="s">
        <v>5398</v>
      </c>
      <c r="D352" s="15" t="s">
        <v>5104</v>
      </c>
      <c r="E352" s="16" t="s">
        <v>5105</v>
      </c>
      <c r="F352" s="15" t="s">
        <v>16</v>
      </c>
    </row>
    <row r="353" spans="1:6">
      <c r="A353" s="14" t="s">
        <v>5325</v>
      </c>
      <c r="B353" s="15" t="s">
        <v>5399</v>
      </c>
      <c r="C353" s="15" t="s">
        <v>5400</v>
      </c>
      <c r="D353" s="15"/>
      <c r="E353" s="16"/>
      <c r="F353" s="15" t="s">
        <v>16</v>
      </c>
    </row>
    <row r="354" spans="1:6">
      <c r="A354" s="14" t="s">
        <v>5325</v>
      </c>
      <c r="B354" s="15" t="s">
        <v>5401</v>
      </c>
      <c r="C354" s="15" t="s">
        <v>5402</v>
      </c>
      <c r="D354" s="15"/>
      <c r="E354" s="16"/>
      <c r="F354" s="15" t="s">
        <v>16</v>
      </c>
    </row>
    <row r="355" spans="1:6">
      <c r="A355" s="14" t="s">
        <v>5325</v>
      </c>
      <c r="B355" s="15" t="s">
        <v>768</v>
      </c>
      <c r="C355" s="15" t="s">
        <v>767</v>
      </c>
      <c r="D355" s="15"/>
      <c r="E355" s="16"/>
      <c r="F355" s="15" t="s">
        <v>16</v>
      </c>
    </row>
    <row r="356" spans="1:6">
      <c r="A356" s="14" t="s">
        <v>5325</v>
      </c>
      <c r="B356" s="15" t="s">
        <v>5403</v>
      </c>
      <c r="C356" s="15" t="s">
        <v>5404</v>
      </c>
      <c r="D356" s="15" t="s">
        <v>5110</v>
      </c>
      <c r="E356" s="16" t="s">
        <v>5102</v>
      </c>
      <c r="F356" s="15" t="s">
        <v>16</v>
      </c>
    </row>
    <row r="357" spans="1:6">
      <c r="A357" s="14" t="s">
        <v>5325</v>
      </c>
      <c r="B357" s="15" t="s">
        <v>5405</v>
      </c>
      <c r="C357" s="15" t="s">
        <v>5406</v>
      </c>
      <c r="D357" s="15" t="s">
        <v>5092</v>
      </c>
      <c r="E357" s="16" t="s">
        <v>5093</v>
      </c>
      <c r="F357" s="15" t="s">
        <v>16</v>
      </c>
    </row>
    <row r="358" spans="1:6">
      <c r="A358" s="14" t="s">
        <v>5325</v>
      </c>
      <c r="B358" s="15" t="s">
        <v>3808</v>
      </c>
      <c r="C358" s="15" t="s">
        <v>5407</v>
      </c>
      <c r="D358" s="15"/>
      <c r="E358" s="16"/>
      <c r="F358" s="15" t="s">
        <v>16</v>
      </c>
    </row>
    <row r="359" spans="1:6">
      <c r="A359" s="14" t="s">
        <v>5325</v>
      </c>
      <c r="B359" s="15" t="s">
        <v>5408</v>
      </c>
      <c r="C359" s="15" t="s">
        <v>5409</v>
      </c>
      <c r="D359" s="15"/>
      <c r="E359" s="16"/>
      <c r="F359" s="15" t="s">
        <v>16</v>
      </c>
    </row>
    <row r="360" spans="1:6">
      <c r="A360" s="14" t="s">
        <v>5325</v>
      </c>
      <c r="B360" s="15" t="s">
        <v>5410</v>
      </c>
      <c r="C360" s="15" t="s">
        <v>5411</v>
      </c>
      <c r="D360" s="15" t="s">
        <v>5094</v>
      </c>
      <c r="E360" s="16" t="s">
        <v>5114</v>
      </c>
      <c r="F360" s="15" t="s">
        <v>16</v>
      </c>
    </row>
    <row r="361" spans="1:6">
      <c r="A361" s="14" t="s">
        <v>5325</v>
      </c>
      <c r="B361" s="15" t="s">
        <v>2891</v>
      </c>
      <c r="C361" s="15" t="s">
        <v>2890</v>
      </c>
      <c r="D361" s="15"/>
      <c r="E361" s="16"/>
      <c r="F361" s="15" t="s">
        <v>16</v>
      </c>
    </row>
    <row r="362" spans="1:6">
      <c r="A362" s="14" t="s">
        <v>5325</v>
      </c>
      <c r="B362" s="15" t="s">
        <v>5412</v>
      </c>
      <c r="C362" s="15" t="s">
        <v>5413</v>
      </c>
      <c r="D362" s="15" t="s">
        <v>5092</v>
      </c>
      <c r="E362" s="16" t="s">
        <v>5106</v>
      </c>
      <c r="F362" s="15" t="s">
        <v>16</v>
      </c>
    </row>
    <row r="363" spans="1:6">
      <c r="A363" s="14" t="s">
        <v>5325</v>
      </c>
      <c r="B363" s="15" t="s">
        <v>771</v>
      </c>
      <c r="C363" s="15" t="s">
        <v>770</v>
      </c>
      <c r="D363" s="15"/>
      <c r="E363" s="16"/>
      <c r="F363" s="15" t="s">
        <v>16</v>
      </c>
    </row>
    <row r="364" spans="1:6">
      <c r="A364" s="14" t="s">
        <v>5325</v>
      </c>
      <c r="B364" s="15" t="s">
        <v>5414</v>
      </c>
      <c r="C364" s="15" t="s">
        <v>5415</v>
      </c>
      <c r="D364" s="15"/>
      <c r="E364" s="16"/>
      <c r="F364" s="15" t="s">
        <v>16</v>
      </c>
    </row>
    <row r="365" spans="1:6">
      <c r="A365" s="14" t="s">
        <v>5325</v>
      </c>
      <c r="B365" s="15" t="s">
        <v>827</v>
      </c>
      <c r="C365" s="15" t="s">
        <v>826</v>
      </c>
      <c r="D365" s="15" t="s">
        <v>5092</v>
      </c>
      <c r="E365" s="16" t="s">
        <v>5106</v>
      </c>
      <c r="F365" s="15" t="s">
        <v>16</v>
      </c>
    </row>
    <row r="366" spans="1:6">
      <c r="A366" s="14" t="s">
        <v>5325</v>
      </c>
      <c r="B366" s="15" t="s">
        <v>3854</v>
      </c>
      <c r="C366" s="15" t="s">
        <v>5416</v>
      </c>
      <c r="D366" s="15" t="s">
        <v>5092</v>
      </c>
      <c r="E366" s="16" t="s">
        <v>5093</v>
      </c>
      <c r="F366" s="15" t="s">
        <v>16</v>
      </c>
    </row>
    <row r="367" spans="1:6">
      <c r="A367" s="14" t="s">
        <v>5325</v>
      </c>
      <c r="B367" s="15" t="s">
        <v>5417</v>
      </c>
      <c r="C367" s="15" t="s">
        <v>5416</v>
      </c>
      <c r="D367" s="15" t="s">
        <v>5092</v>
      </c>
      <c r="E367" s="16" t="s">
        <v>5093</v>
      </c>
      <c r="F367" s="15" t="s">
        <v>16</v>
      </c>
    </row>
    <row r="368" spans="1:6">
      <c r="A368" s="14" t="s">
        <v>5325</v>
      </c>
      <c r="B368" s="15" t="s">
        <v>5418</v>
      </c>
      <c r="C368" s="15" t="s">
        <v>5419</v>
      </c>
      <c r="D368" s="15" t="s">
        <v>5101</v>
      </c>
      <c r="E368" s="16" t="s">
        <v>5114</v>
      </c>
      <c r="F368" s="15" t="s">
        <v>16</v>
      </c>
    </row>
    <row r="369" spans="1:6">
      <c r="A369" s="14" t="s">
        <v>5325</v>
      </c>
      <c r="B369" s="15" t="s">
        <v>838</v>
      </c>
      <c r="C369" s="15" t="s">
        <v>837</v>
      </c>
      <c r="D369" s="15"/>
      <c r="E369" s="16"/>
      <c r="F369" s="15" t="s">
        <v>16</v>
      </c>
    </row>
    <row r="370" spans="1:6">
      <c r="A370" s="14" t="s">
        <v>5325</v>
      </c>
      <c r="B370" s="15" t="s">
        <v>841</v>
      </c>
      <c r="C370" s="15" t="s">
        <v>840</v>
      </c>
      <c r="D370" s="15" t="s">
        <v>5162</v>
      </c>
      <c r="E370" s="16" t="s">
        <v>5105</v>
      </c>
      <c r="F370" s="15" t="s">
        <v>16</v>
      </c>
    </row>
    <row r="371" spans="1:6">
      <c r="A371" s="14" t="s">
        <v>5325</v>
      </c>
      <c r="B371" s="15" t="s">
        <v>845</v>
      </c>
      <c r="C371" s="15" t="s">
        <v>844</v>
      </c>
      <c r="D371" s="15" t="s">
        <v>5092</v>
      </c>
      <c r="E371" s="16" t="s">
        <v>5093</v>
      </c>
      <c r="F371" s="15" t="s">
        <v>16</v>
      </c>
    </row>
    <row r="372" spans="1:6">
      <c r="A372" s="14" t="s">
        <v>5325</v>
      </c>
      <c r="B372" s="15" t="s">
        <v>850</v>
      </c>
      <c r="C372" s="15" t="s">
        <v>849</v>
      </c>
      <c r="D372" s="15" t="s">
        <v>5092</v>
      </c>
      <c r="E372" s="16" t="s">
        <v>5106</v>
      </c>
      <c r="F372" s="15" t="s">
        <v>16</v>
      </c>
    </row>
    <row r="373" spans="1:6">
      <c r="A373" s="14" t="s">
        <v>5325</v>
      </c>
      <c r="B373" s="15" t="s">
        <v>855</v>
      </c>
      <c r="C373" s="15" t="s">
        <v>854</v>
      </c>
      <c r="D373" s="15" t="s">
        <v>5110</v>
      </c>
      <c r="E373" s="16" t="s">
        <v>5102</v>
      </c>
      <c r="F373" s="15" t="s">
        <v>16</v>
      </c>
    </row>
    <row r="374" spans="1:6">
      <c r="A374" s="14" t="s">
        <v>5325</v>
      </c>
      <c r="B374" s="15" t="s">
        <v>3863</v>
      </c>
      <c r="C374" s="15" t="s">
        <v>5420</v>
      </c>
      <c r="D374" s="15" t="s">
        <v>5110</v>
      </c>
      <c r="E374" s="16"/>
      <c r="F374" s="15" t="s">
        <v>16</v>
      </c>
    </row>
    <row r="375" spans="1:6">
      <c r="A375" s="14" t="s">
        <v>5325</v>
      </c>
      <c r="B375" s="15" t="s">
        <v>5421</v>
      </c>
      <c r="C375" s="15" t="s">
        <v>5422</v>
      </c>
      <c r="D375" s="15" t="s">
        <v>5092</v>
      </c>
      <c r="E375" s="16" t="s">
        <v>5102</v>
      </c>
      <c r="F375" s="15" t="s">
        <v>16</v>
      </c>
    </row>
    <row r="376" spans="1:6">
      <c r="A376" s="14" t="s">
        <v>5325</v>
      </c>
      <c r="B376" s="15" t="s">
        <v>5423</v>
      </c>
      <c r="C376" s="15" t="s">
        <v>5424</v>
      </c>
      <c r="D376" s="15"/>
      <c r="E376" s="16"/>
      <c r="F376" s="15" t="s">
        <v>16</v>
      </c>
    </row>
    <row r="377" spans="1:6">
      <c r="A377" s="14" t="s">
        <v>5325</v>
      </c>
      <c r="B377" s="15" t="s">
        <v>5425</v>
      </c>
      <c r="C377" s="15" t="s">
        <v>5426</v>
      </c>
      <c r="D377" s="15"/>
      <c r="E377" s="16"/>
      <c r="F377" s="15" t="s">
        <v>16</v>
      </c>
    </row>
    <row r="378" spans="1:6">
      <c r="A378" s="14" t="s">
        <v>5325</v>
      </c>
      <c r="B378" s="15" t="s">
        <v>5427</v>
      </c>
      <c r="C378" s="15" t="s">
        <v>5428</v>
      </c>
      <c r="D378" s="15"/>
      <c r="E378" s="16"/>
      <c r="F378" s="15" t="s">
        <v>16</v>
      </c>
    </row>
    <row r="379" spans="1:6">
      <c r="A379" s="14" t="s">
        <v>5325</v>
      </c>
      <c r="B379" s="15" t="s">
        <v>903</v>
      </c>
      <c r="C379" s="15" t="s">
        <v>902</v>
      </c>
      <c r="D379" s="15" t="s">
        <v>5110</v>
      </c>
      <c r="E379" s="16" t="s">
        <v>5102</v>
      </c>
      <c r="F379" s="15" t="s">
        <v>16</v>
      </c>
    </row>
    <row r="380" spans="1:6">
      <c r="A380" s="14" t="s">
        <v>5325</v>
      </c>
      <c r="B380" s="15" t="s">
        <v>906</v>
      </c>
      <c r="C380" s="15" t="s">
        <v>905</v>
      </c>
      <c r="D380" s="15"/>
      <c r="E380" s="16" t="s">
        <v>5102</v>
      </c>
      <c r="F380" s="15" t="s">
        <v>16</v>
      </c>
    </row>
    <row r="381" spans="1:6">
      <c r="A381" s="14" t="s">
        <v>5325</v>
      </c>
      <c r="B381" s="15" t="s">
        <v>5429</v>
      </c>
      <c r="C381" s="15" t="s">
        <v>5430</v>
      </c>
      <c r="D381" s="15" t="s">
        <v>5118</v>
      </c>
      <c r="E381" s="16" t="s">
        <v>5119</v>
      </c>
      <c r="F381" s="15" t="s">
        <v>16</v>
      </c>
    </row>
    <row r="382" spans="1:6">
      <c r="A382" s="14" t="s">
        <v>5325</v>
      </c>
      <c r="B382" s="15" t="s">
        <v>5431</v>
      </c>
      <c r="C382" s="15" t="s">
        <v>5432</v>
      </c>
      <c r="D382" s="15"/>
      <c r="E382" s="16"/>
      <c r="F382" s="15" t="s">
        <v>16</v>
      </c>
    </row>
    <row r="383" spans="1:6">
      <c r="A383" s="14" t="s">
        <v>5325</v>
      </c>
      <c r="B383" s="15" t="s">
        <v>119</v>
      </c>
      <c r="C383" s="15" t="s">
        <v>118</v>
      </c>
      <c r="D383" s="15" t="s">
        <v>5092</v>
      </c>
      <c r="E383" s="16" t="s">
        <v>5103</v>
      </c>
      <c r="F383" s="15" t="s">
        <v>16</v>
      </c>
    </row>
    <row r="384" spans="1:6">
      <c r="A384" s="14" t="s">
        <v>5325</v>
      </c>
      <c r="B384" s="15" t="s">
        <v>909</v>
      </c>
      <c r="C384" s="15" t="s">
        <v>908</v>
      </c>
      <c r="D384" s="15" t="s">
        <v>5104</v>
      </c>
      <c r="E384" s="16" t="s">
        <v>5105</v>
      </c>
      <c r="F384" s="15" t="s">
        <v>16</v>
      </c>
    </row>
    <row r="385" spans="1:6">
      <c r="A385" s="14" t="s">
        <v>5325</v>
      </c>
      <c r="B385" s="15" t="s">
        <v>918</v>
      </c>
      <c r="C385" s="15" t="s">
        <v>917</v>
      </c>
      <c r="D385" s="15"/>
      <c r="E385" s="16"/>
      <c r="F385" s="15" t="s">
        <v>16</v>
      </c>
    </row>
    <row r="386" spans="1:6">
      <c r="A386" s="14" t="s">
        <v>5325</v>
      </c>
      <c r="B386" s="15" t="s">
        <v>133</v>
      </c>
      <c r="C386" s="15" t="s">
        <v>132</v>
      </c>
      <c r="D386" s="15" t="s">
        <v>5092</v>
      </c>
      <c r="E386" s="16" t="s">
        <v>5103</v>
      </c>
      <c r="F386" s="15" t="s">
        <v>16</v>
      </c>
    </row>
    <row r="387" spans="1:6">
      <c r="A387" s="14" t="s">
        <v>5325</v>
      </c>
      <c r="B387" s="15" t="s">
        <v>920</v>
      </c>
      <c r="C387" s="15" t="s">
        <v>919</v>
      </c>
      <c r="D387" s="15" t="s">
        <v>5092</v>
      </c>
      <c r="E387" s="16" t="s">
        <v>5093</v>
      </c>
      <c r="F387" s="15" t="s">
        <v>16</v>
      </c>
    </row>
    <row r="388" spans="1:6">
      <c r="A388" s="14" t="s">
        <v>5325</v>
      </c>
      <c r="B388" s="15" t="s">
        <v>5433</v>
      </c>
      <c r="C388" s="15" t="s">
        <v>5434</v>
      </c>
      <c r="D388" s="15" t="s">
        <v>5110</v>
      </c>
      <c r="E388" s="16" t="s">
        <v>5102</v>
      </c>
      <c r="F388" s="15" t="s">
        <v>16</v>
      </c>
    </row>
    <row r="389" spans="1:6">
      <c r="A389" s="14" t="s">
        <v>5325</v>
      </c>
      <c r="B389" s="15" t="s">
        <v>135</v>
      </c>
      <c r="C389" s="15" t="s">
        <v>134</v>
      </c>
      <c r="D389" s="15" t="s">
        <v>5435</v>
      </c>
      <c r="E389" s="16" t="s">
        <v>5103</v>
      </c>
      <c r="F389" s="15" t="s">
        <v>16</v>
      </c>
    </row>
    <row r="390" spans="1:6">
      <c r="A390" s="14" t="s">
        <v>5325</v>
      </c>
      <c r="B390" s="15" t="s">
        <v>5436</v>
      </c>
      <c r="C390" s="15" t="s">
        <v>5437</v>
      </c>
      <c r="D390" s="15"/>
      <c r="E390" s="16" t="s">
        <v>5095</v>
      </c>
      <c r="F390" s="15" t="s">
        <v>16</v>
      </c>
    </row>
    <row r="391" spans="1:6">
      <c r="A391" s="14" t="s">
        <v>5325</v>
      </c>
      <c r="B391" s="15" t="s">
        <v>3917</v>
      </c>
      <c r="C391" s="15" t="s">
        <v>5438</v>
      </c>
      <c r="D391" s="15" t="s">
        <v>5101</v>
      </c>
      <c r="E391" s="16" t="s">
        <v>5114</v>
      </c>
      <c r="F391" s="15" t="s">
        <v>16</v>
      </c>
    </row>
    <row r="392" spans="1:6">
      <c r="A392" s="14" t="s">
        <v>5325</v>
      </c>
      <c r="B392" s="15" t="s">
        <v>5439</v>
      </c>
      <c r="C392" s="15" t="s">
        <v>5440</v>
      </c>
      <c r="D392" s="15"/>
      <c r="E392" s="16"/>
      <c r="F392" s="15" t="s">
        <v>16</v>
      </c>
    </row>
    <row r="393" spans="1:6">
      <c r="A393" s="14" t="s">
        <v>5325</v>
      </c>
      <c r="B393" s="15" t="s">
        <v>5441</v>
      </c>
      <c r="C393" s="15" t="s">
        <v>5442</v>
      </c>
      <c r="D393" s="15"/>
      <c r="E393" s="16"/>
      <c r="F393" s="15" t="s">
        <v>16</v>
      </c>
    </row>
    <row r="394" spans="1:6">
      <c r="A394" s="14" t="s">
        <v>5325</v>
      </c>
      <c r="B394" s="15" t="s">
        <v>5443</v>
      </c>
      <c r="C394" s="15" t="s">
        <v>5444</v>
      </c>
      <c r="D394" s="15"/>
      <c r="E394" s="16"/>
      <c r="F394" s="15" t="s">
        <v>16</v>
      </c>
    </row>
    <row r="395" spans="1:6">
      <c r="A395" s="14" t="s">
        <v>5325</v>
      </c>
      <c r="B395" s="15" t="s">
        <v>968</v>
      </c>
      <c r="C395" s="15" t="s">
        <v>967</v>
      </c>
      <c r="D395" s="15"/>
      <c r="E395" s="16"/>
      <c r="F395" s="15" t="s">
        <v>16</v>
      </c>
    </row>
    <row r="396" spans="1:6">
      <c r="A396" s="14" t="s">
        <v>5325</v>
      </c>
      <c r="B396" s="15" t="s">
        <v>5445</v>
      </c>
      <c r="C396" s="15" t="s">
        <v>5446</v>
      </c>
      <c r="D396" s="15"/>
      <c r="E396" s="16"/>
      <c r="F396" s="15" t="s">
        <v>16</v>
      </c>
    </row>
    <row r="397" spans="1:6">
      <c r="A397" s="14" t="s">
        <v>5325</v>
      </c>
      <c r="B397" s="15" t="s">
        <v>3925</v>
      </c>
      <c r="C397" s="15" t="s">
        <v>978</v>
      </c>
      <c r="D397" s="15"/>
      <c r="E397" s="16"/>
      <c r="F397" s="15" t="s">
        <v>213</v>
      </c>
    </row>
    <row r="398" spans="1:6">
      <c r="A398" s="14" t="s">
        <v>5325</v>
      </c>
      <c r="B398" s="15" t="s">
        <v>5447</v>
      </c>
      <c r="C398" s="15" t="s">
        <v>5448</v>
      </c>
      <c r="D398" s="15" t="s">
        <v>5092</v>
      </c>
      <c r="E398" s="16" t="s">
        <v>5093</v>
      </c>
      <c r="F398" s="15" t="s">
        <v>16</v>
      </c>
    </row>
    <row r="399" spans="1:6">
      <c r="A399" s="14" t="s">
        <v>5325</v>
      </c>
      <c r="B399" s="15" t="s">
        <v>985</v>
      </c>
      <c r="C399" s="15" t="s">
        <v>984</v>
      </c>
      <c r="D399" s="15" t="s">
        <v>5092</v>
      </c>
      <c r="E399" s="16" t="s">
        <v>5093</v>
      </c>
      <c r="F399" s="15" t="s">
        <v>213</v>
      </c>
    </row>
    <row r="400" spans="1:6">
      <c r="A400" s="14" t="s">
        <v>5325</v>
      </c>
      <c r="B400" s="15" t="s">
        <v>988</v>
      </c>
      <c r="C400" s="15" t="s">
        <v>987</v>
      </c>
      <c r="D400" s="15" t="s">
        <v>5110</v>
      </c>
      <c r="E400" s="16" t="s">
        <v>5102</v>
      </c>
      <c r="F400" s="15" t="s">
        <v>16</v>
      </c>
    </row>
    <row r="401" spans="1:6">
      <c r="A401" s="14" t="s">
        <v>5325</v>
      </c>
      <c r="B401" s="15" t="s">
        <v>1014</v>
      </c>
      <c r="C401" s="15" t="s">
        <v>1013</v>
      </c>
      <c r="D401" s="15" t="s">
        <v>5162</v>
      </c>
      <c r="E401" s="16" t="s">
        <v>5105</v>
      </c>
      <c r="F401" s="15" t="s">
        <v>16</v>
      </c>
    </row>
    <row r="402" spans="1:6">
      <c r="A402" s="14" t="s">
        <v>5325</v>
      </c>
      <c r="B402" s="15" t="s">
        <v>1017</v>
      </c>
      <c r="C402" s="15" t="s">
        <v>1016</v>
      </c>
      <c r="D402" s="15" t="s">
        <v>5131</v>
      </c>
      <c r="E402" s="16"/>
      <c r="F402" s="15" t="s">
        <v>16</v>
      </c>
    </row>
    <row r="403" spans="1:6">
      <c r="A403" s="14" t="s">
        <v>5325</v>
      </c>
      <c r="B403" s="15" t="s">
        <v>5449</v>
      </c>
      <c r="C403" s="15" t="s">
        <v>5450</v>
      </c>
      <c r="D403" s="15" t="s">
        <v>5092</v>
      </c>
      <c r="E403" s="16" t="s">
        <v>5093</v>
      </c>
      <c r="F403" s="15" t="s">
        <v>16</v>
      </c>
    </row>
    <row r="404" spans="1:6">
      <c r="A404" s="14" t="s">
        <v>5325</v>
      </c>
      <c r="B404" s="15" t="s">
        <v>1042</v>
      </c>
      <c r="C404" s="15" t="s">
        <v>1041</v>
      </c>
      <c r="D404" s="15"/>
      <c r="E404" s="16" t="s">
        <v>5113</v>
      </c>
      <c r="F404" s="15" t="s">
        <v>382</v>
      </c>
    </row>
    <row r="405" spans="1:6">
      <c r="A405" s="14" t="s">
        <v>5325</v>
      </c>
      <c r="B405" s="15" t="s">
        <v>5451</v>
      </c>
      <c r="C405" s="15" t="s">
        <v>5452</v>
      </c>
      <c r="D405" s="15"/>
      <c r="E405" s="16"/>
      <c r="F405" s="15" t="s">
        <v>16</v>
      </c>
    </row>
    <row r="406" spans="1:6">
      <c r="A406" s="14" t="s">
        <v>5325</v>
      </c>
      <c r="B406" s="15" t="s">
        <v>1062</v>
      </c>
      <c r="C406" s="15" t="s">
        <v>1061</v>
      </c>
      <c r="D406" s="15" t="s">
        <v>5162</v>
      </c>
      <c r="E406" s="16" t="s">
        <v>5093</v>
      </c>
      <c r="F406" s="15" t="s">
        <v>16</v>
      </c>
    </row>
    <row r="407" spans="1:6">
      <c r="A407" s="14" t="s">
        <v>5325</v>
      </c>
      <c r="B407" s="15" t="s">
        <v>3975</v>
      </c>
      <c r="C407" s="15" t="s">
        <v>5453</v>
      </c>
      <c r="D407" s="15"/>
      <c r="E407" s="16"/>
      <c r="F407" s="15" t="s">
        <v>16</v>
      </c>
    </row>
    <row r="408" spans="1:6">
      <c r="A408" s="14" t="s">
        <v>5325</v>
      </c>
      <c r="B408" s="15" t="s">
        <v>1065</v>
      </c>
      <c r="C408" s="15" t="s">
        <v>1064</v>
      </c>
      <c r="D408" s="15" t="s">
        <v>5092</v>
      </c>
      <c r="E408" s="16" t="s">
        <v>5093</v>
      </c>
      <c r="F408" s="15" t="s">
        <v>16</v>
      </c>
    </row>
    <row r="409" spans="1:6">
      <c r="A409" s="14" t="s">
        <v>5325</v>
      </c>
      <c r="B409" s="15" t="s">
        <v>3980</v>
      </c>
      <c r="C409" s="15" t="s">
        <v>5454</v>
      </c>
      <c r="D409" s="15"/>
      <c r="E409" s="16"/>
      <c r="F409" s="15" t="s">
        <v>213</v>
      </c>
    </row>
    <row r="410" spans="1:6">
      <c r="A410" s="14" t="s">
        <v>5325</v>
      </c>
      <c r="B410" s="15" t="s">
        <v>5455</v>
      </c>
      <c r="C410" s="15" t="s">
        <v>5456</v>
      </c>
      <c r="D410" s="15" t="s">
        <v>5101</v>
      </c>
      <c r="E410" s="16" t="s">
        <v>5102</v>
      </c>
      <c r="F410" s="15" t="s">
        <v>16</v>
      </c>
    </row>
    <row r="411" spans="1:6">
      <c r="A411" s="14" t="s">
        <v>5325</v>
      </c>
      <c r="B411" s="15" t="s">
        <v>1074</v>
      </c>
      <c r="C411" s="15" t="s">
        <v>1073</v>
      </c>
      <c r="D411" s="15"/>
      <c r="E411" s="16"/>
      <c r="F411" s="15" t="s">
        <v>16</v>
      </c>
    </row>
    <row r="412" spans="1:6">
      <c r="A412" s="14" t="s">
        <v>5325</v>
      </c>
      <c r="B412" s="15" t="s">
        <v>140</v>
      </c>
      <c r="C412" s="15" t="s">
        <v>139</v>
      </c>
      <c r="D412" s="15" t="s">
        <v>5435</v>
      </c>
      <c r="E412" s="16" t="s">
        <v>5103</v>
      </c>
      <c r="F412" s="15" t="s">
        <v>16</v>
      </c>
    </row>
    <row r="413" spans="1:6">
      <c r="A413" s="14" t="s">
        <v>5325</v>
      </c>
      <c r="B413" s="15" t="s">
        <v>5457</v>
      </c>
      <c r="C413" s="15" t="s">
        <v>5458</v>
      </c>
      <c r="D413" s="15"/>
      <c r="E413" s="16"/>
      <c r="F413" s="15" t="s">
        <v>16</v>
      </c>
    </row>
    <row r="414" spans="1:6">
      <c r="A414" s="14" t="s">
        <v>5325</v>
      </c>
      <c r="B414" s="15" t="s">
        <v>5459</v>
      </c>
      <c r="C414" s="15" t="s">
        <v>5460</v>
      </c>
      <c r="D414" s="15"/>
      <c r="E414" s="16"/>
      <c r="F414" s="15" t="s">
        <v>16</v>
      </c>
    </row>
    <row r="415" spans="1:6">
      <c r="A415" s="14" t="s">
        <v>5325</v>
      </c>
      <c r="B415" s="15" t="s">
        <v>5461</v>
      </c>
      <c r="C415" s="15" t="s">
        <v>5462</v>
      </c>
      <c r="D415" s="15" t="s">
        <v>5104</v>
      </c>
      <c r="E415" s="16" t="s">
        <v>5113</v>
      </c>
      <c r="F415" s="15" t="s">
        <v>16</v>
      </c>
    </row>
    <row r="416" spans="1:6">
      <c r="A416" s="14" t="s">
        <v>5325</v>
      </c>
      <c r="B416" s="15" t="s">
        <v>1091</v>
      </c>
      <c r="C416" s="15" t="s">
        <v>1090</v>
      </c>
      <c r="D416" s="15" t="s">
        <v>5110</v>
      </c>
      <c r="E416" s="16" t="s">
        <v>5114</v>
      </c>
      <c r="F416" s="15" t="s">
        <v>16</v>
      </c>
    </row>
    <row r="417" spans="1:6">
      <c r="A417" s="14" t="s">
        <v>5325</v>
      </c>
      <c r="B417" s="15" t="s">
        <v>151</v>
      </c>
      <c r="C417" s="15" t="s">
        <v>150</v>
      </c>
      <c r="D417" s="15" t="s">
        <v>5092</v>
      </c>
      <c r="E417" s="16" t="s">
        <v>5103</v>
      </c>
      <c r="F417" s="15" t="s">
        <v>16</v>
      </c>
    </row>
    <row r="418" spans="1:6">
      <c r="A418" s="14" t="s">
        <v>5325</v>
      </c>
      <c r="B418" s="15" t="s">
        <v>1100</v>
      </c>
      <c r="C418" s="15" t="s">
        <v>1099</v>
      </c>
      <c r="D418" s="15" t="s">
        <v>5092</v>
      </c>
      <c r="E418" s="16" t="s">
        <v>5093</v>
      </c>
      <c r="F418" s="15" t="s">
        <v>16</v>
      </c>
    </row>
    <row r="419" spans="1:6">
      <c r="A419" s="14" t="s">
        <v>5325</v>
      </c>
      <c r="B419" s="15" t="s">
        <v>5463</v>
      </c>
      <c r="C419" s="15" t="s">
        <v>5464</v>
      </c>
      <c r="D419" s="15" t="s">
        <v>5110</v>
      </c>
      <c r="E419" s="16" t="s">
        <v>5102</v>
      </c>
      <c r="F419" s="15" t="s">
        <v>16</v>
      </c>
    </row>
    <row r="420" spans="1:6">
      <c r="A420" s="14" t="s">
        <v>5325</v>
      </c>
      <c r="B420" s="15" t="s">
        <v>5465</v>
      </c>
      <c r="C420" s="15" t="s">
        <v>5466</v>
      </c>
      <c r="D420" s="15" t="s">
        <v>5162</v>
      </c>
      <c r="E420" s="16"/>
      <c r="F420" s="15" t="s">
        <v>16</v>
      </c>
    </row>
    <row r="421" spans="1:6">
      <c r="A421" s="14" t="s">
        <v>5325</v>
      </c>
      <c r="B421" s="15" t="s">
        <v>155</v>
      </c>
      <c r="C421" s="15" t="s">
        <v>154</v>
      </c>
      <c r="D421" s="15" t="s">
        <v>5107</v>
      </c>
      <c r="E421" s="16" t="s">
        <v>5103</v>
      </c>
      <c r="F421" s="15" t="s">
        <v>16</v>
      </c>
    </row>
    <row r="422" spans="1:6">
      <c r="A422" s="14" t="s">
        <v>5325</v>
      </c>
      <c r="B422" s="15" t="s">
        <v>1130</v>
      </c>
      <c r="C422" s="15" t="s">
        <v>1129</v>
      </c>
      <c r="D422" s="15"/>
      <c r="E422" s="16"/>
      <c r="F422" s="15" t="s">
        <v>213</v>
      </c>
    </row>
    <row r="423" spans="1:6">
      <c r="A423" s="14" t="s">
        <v>5325</v>
      </c>
      <c r="B423" s="15" t="s">
        <v>4090</v>
      </c>
      <c r="C423" s="15" t="s">
        <v>5467</v>
      </c>
      <c r="D423" s="15" t="s">
        <v>5110</v>
      </c>
      <c r="E423" s="16"/>
      <c r="F423" s="15" t="s">
        <v>213</v>
      </c>
    </row>
    <row r="424" spans="1:6">
      <c r="A424" s="14" t="s">
        <v>5325</v>
      </c>
      <c r="B424" s="15" t="s">
        <v>2869</v>
      </c>
      <c r="C424" s="15" t="s">
        <v>2868</v>
      </c>
      <c r="D424" s="15"/>
      <c r="E424" s="16"/>
      <c r="F424" s="15" t="s">
        <v>16</v>
      </c>
    </row>
    <row r="425" spans="1:6">
      <c r="A425" s="14" t="s">
        <v>5325</v>
      </c>
      <c r="B425" s="15" t="s">
        <v>1209</v>
      </c>
      <c r="C425" s="15" t="s">
        <v>1208</v>
      </c>
      <c r="D425" s="15"/>
      <c r="E425" s="16"/>
      <c r="F425" s="15" t="s">
        <v>213</v>
      </c>
    </row>
    <row r="426" spans="1:6">
      <c r="A426" s="14" t="s">
        <v>5325</v>
      </c>
      <c r="B426" s="15" t="s">
        <v>5468</v>
      </c>
      <c r="C426" s="15" t="s">
        <v>5469</v>
      </c>
      <c r="D426" s="15" t="s">
        <v>5092</v>
      </c>
      <c r="E426" s="16" t="s">
        <v>5093</v>
      </c>
      <c r="F426" s="15" t="s">
        <v>16</v>
      </c>
    </row>
    <row r="427" spans="1:6">
      <c r="A427" s="14" t="s">
        <v>5325</v>
      </c>
      <c r="B427" s="15" t="s">
        <v>5470</v>
      </c>
      <c r="C427" s="15" t="s">
        <v>5471</v>
      </c>
      <c r="D427" s="15" t="s">
        <v>5092</v>
      </c>
      <c r="E427" s="16" t="s">
        <v>5106</v>
      </c>
      <c r="F427" s="15" t="s">
        <v>16</v>
      </c>
    </row>
    <row r="428" spans="1:6">
      <c r="A428" s="14" t="s">
        <v>5325</v>
      </c>
      <c r="B428" s="15" t="s">
        <v>5472</v>
      </c>
      <c r="C428" s="15" t="s">
        <v>5473</v>
      </c>
      <c r="D428" s="15"/>
      <c r="E428" s="16"/>
      <c r="F428" s="15" t="s">
        <v>213</v>
      </c>
    </row>
    <row r="429" spans="1:6">
      <c r="A429" s="14" t="s">
        <v>5325</v>
      </c>
      <c r="B429" s="15" t="s">
        <v>1311</v>
      </c>
      <c r="C429" s="15" t="s">
        <v>1310</v>
      </c>
      <c r="D429" s="15"/>
      <c r="E429" s="16"/>
      <c r="F429" s="15" t="s">
        <v>16</v>
      </c>
    </row>
    <row r="430" spans="1:6">
      <c r="A430" s="14" t="s">
        <v>5325</v>
      </c>
      <c r="B430" s="15" t="s">
        <v>160</v>
      </c>
      <c r="C430" s="15" t="s">
        <v>159</v>
      </c>
      <c r="D430" s="15" t="s">
        <v>5092</v>
      </c>
      <c r="E430" s="16" t="s">
        <v>5106</v>
      </c>
      <c r="F430" s="15" t="s">
        <v>16</v>
      </c>
    </row>
    <row r="431" spans="1:6">
      <c r="A431" s="14" t="s">
        <v>5325</v>
      </c>
      <c r="B431" s="15" t="s">
        <v>1318</v>
      </c>
      <c r="C431" s="15" t="s">
        <v>1317</v>
      </c>
      <c r="D431" s="15" t="s">
        <v>5110</v>
      </c>
      <c r="E431" s="16" t="s">
        <v>5102</v>
      </c>
      <c r="F431" s="15" t="s">
        <v>213</v>
      </c>
    </row>
    <row r="432" spans="1:6">
      <c r="A432" s="14" t="s">
        <v>5325</v>
      </c>
      <c r="B432" s="15" t="s">
        <v>349</v>
      </c>
      <c r="C432" s="15" t="s">
        <v>348</v>
      </c>
      <c r="D432" s="15"/>
      <c r="E432" s="16"/>
      <c r="F432" s="15" t="s">
        <v>213</v>
      </c>
    </row>
    <row r="433" spans="1:6">
      <c r="A433" s="14" t="s">
        <v>5325</v>
      </c>
      <c r="B433" s="15" t="s">
        <v>1320</v>
      </c>
      <c r="C433" s="15" t="s">
        <v>1319</v>
      </c>
      <c r="D433" s="15" t="s">
        <v>5110</v>
      </c>
      <c r="E433" s="16"/>
      <c r="F433" s="15" t="s">
        <v>213</v>
      </c>
    </row>
    <row r="434" spans="1:6">
      <c r="A434" s="14" t="s">
        <v>5325</v>
      </c>
      <c r="B434" s="15" t="s">
        <v>2852</v>
      </c>
      <c r="C434" s="15" t="s">
        <v>2851</v>
      </c>
      <c r="D434" s="15"/>
      <c r="E434" s="16"/>
      <c r="F434" s="15" t="s">
        <v>213</v>
      </c>
    </row>
    <row r="435" spans="1:6">
      <c r="A435" s="14" t="s">
        <v>5325</v>
      </c>
      <c r="B435" s="15" t="s">
        <v>1330</v>
      </c>
      <c r="C435" s="15" t="s">
        <v>1329</v>
      </c>
      <c r="D435" s="15"/>
      <c r="E435" s="16"/>
      <c r="F435" s="15" t="s">
        <v>16</v>
      </c>
    </row>
    <row r="436" spans="1:6">
      <c r="A436" s="14" t="s">
        <v>5325</v>
      </c>
      <c r="B436" s="15" t="s">
        <v>1376</v>
      </c>
      <c r="C436" s="15" t="s">
        <v>1375</v>
      </c>
      <c r="D436" s="15" t="s">
        <v>5092</v>
      </c>
      <c r="E436" s="16" t="s">
        <v>5093</v>
      </c>
      <c r="F436" s="15" t="s">
        <v>16</v>
      </c>
    </row>
    <row r="437" spans="1:6">
      <c r="A437" s="14" t="s">
        <v>5325</v>
      </c>
      <c r="B437" s="15" t="s">
        <v>1383</v>
      </c>
      <c r="C437" s="15" t="s">
        <v>1382</v>
      </c>
      <c r="D437" s="15" t="s">
        <v>5092</v>
      </c>
      <c r="E437" s="16" t="s">
        <v>5106</v>
      </c>
      <c r="F437" s="15" t="s">
        <v>213</v>
      </c>
    </row>
    <row r="438" spans="1:6">
      <c r="A438" s="14" t="s">
        <v>5325</v>
      </c>
      <c r="B438" s="15" t="s">
        <v>4298</v>
      </c>
      <c r="C438" s="15" t="s">
        <v>5144</v>
      </c>
      <c r="D438" s="15"/>
      <c r="E438" s="16"/>
      <c r="F438" s="15" t="s">
        <v>16</v>
      </c>
    </row>
    <row r="439" spans="1:6">
      <c r="A439" s="14" t="s">
        <v>5325</v>
      </c>
      <c r="B439" s="15" t="s">
        <v>173</v>
      </c>
      <c r="C439" s="15" t="s">
        <v>172</v>
      </c>
      <c r="D439" s="15" t="s">
        <v>5092</v>
      </c>
      <c r="E439" s="16" t="s">
        <v>5106</v>
      </c>
      <c r="F439" s="15" t="s">
        <v>16</v>
      </c>
    </row>
    <row r="440" spans="1:6">
      <c r="A440" s="14" t="s">
        <v>5325</v>
      </c>
      <c r="B440" s="15" t="s">
        <v>4315</v>
      </c>
      <c r="C440" s="15" t="s">
        <v>5474</v>
      </c>
      <c r="D440" s="15"/>
      <c r="E440" s="16"/>
      <c r="F440" s="15" t="s">
        <v>16</v>
      </c>
    </row>
    <row r="441" spans="1:6">
      <c r="A441" s="14" t="s">
        <v>5325</v>
      </c>
      <c r="B441" s="15" t="s">
        <v>2906</v>
      </c>
      <c r="C441" s="15" t="s">
        <v>2905</v>
      </c>
      <c r="D441" s="15"/>
      <c r="E441" s="16"/>
      <c r="F441" s="15">
        <v>0</v>
      </c>
    </row>
    <row r="442" spans="1:6">
      <c r="A442" s="14" t="s">
        <v>5325</v>
      </c>
      <c r="B442" s="15" t="s">
        <v>1448</v>
      </c>
      <c r="C442" s="15" t="s">
        <v>1447</v>
      </c>
      <c r="D442" s="15" t="s">
        <v>5092</v>
      </c>
      <c r="E442" s="16" t="s">
        <v>5106</v>
      </c>
      <c r="F442" s="15" t="s">
        <v>213</v>
      </c>
    </row>
    <row r="443" spans="1:6">
      <c r="A443" s="14" t="s">
        <v>5325</v>
      </c>
      <c r="B443" s="15" t="s">
        <v>2856</v>
      </c>
      <c r="C443" s="15" t="s">
        <v>2855</v>
      </c>
      <c r="D443" s="15"/>
      <c r="E443" s="16"/>
      <c r="F443" s="15" t="s">
        <v>16</v>
      </c>
    </row>
    <row r="444" spans="1:6">
      <c r="A444" s="14" t="s">
        <v>5325</v>
      </c>
      <c r="B444" s="15" t="s">
        <v>5475</v>
      </c>
      <c r="C444" s="15" t="s">
        <v>5476</v>
      </c>
      <c r="D444" s="15"/>
      <c r="E444" s="16"/>
      <c r="F444" s="15" t="s">
        <v>16</v>
      </c>
    </row>
    <row r="445" spans="1:6">
      <c r="A445" s="14" t="s">
        <v>5325</v>
      </c>
      <c r="B445" s="15" t="s">
        <v>1483</v>
      </c>
      <c r="C445" s="15" t="s">
        <v>1482</v>
      </c>
      <c r="D445" s="15"/>
      <c r="E445" s="16"/>
      <c r="F445" s="15" t="s">
        <v>213</v>
      </c>
    </row>
    <row r="446" spans="1:6">
      <c r="A446" s="14" t="s">
        <v>5325</v>
      </c>
      <c r="B446" s="15" t="s">
        <v>5477</v>
      </c>
      <c r="C446" s="15" t="s">
        <v>5478</v>
      </c>
      <c r="D446" s="15" t="s">
        <v>5110</v>
      </c>
      <c r="E446" s="16"/>
      <c r="F446" s="15" t="s">
        <v>213</v>
      </c>
    </row>
    <row r="447" spans="1:6">
      <c r="A447" s="14" t="s">
        <v>5325</v>
      </c>
      <c r="B447" s="15" t="s">
        <v>1510</v>
      </c>
      <c r="C447" s="15" t="s">
        <v>1509</v>
      </c>
      <c r="D447" s="15" t="s">
        <v>5094</v>
      </c>
      <c r="E447" s="16" t="s">
        <v>5113</v>
      </c>
      <c r="F447" s="15" t="s">
        <v>16</v>
      </c>
    </row>
    <row r="448" spans="1:6">
      <c r="A448" s="14" t="s">
        <v>5325</v>
      </c>
      <c r="B448" s="15" t="s">
        <v>1564</v>
      </c>
      <c r="C448" s="15" t="s">
        <v>1563</v>
      </c>
      <c r="D448" s="15" t="s">
        <v>5104</v>
      </c>
      <c r="E448" s="16" t="s">
        <v>5105</v>
      </c>
      <c r="F448" s="15" t="s">
        <v>16</v>
      </c>
    </row>
    <row r="449" spans="1:6">
      <c r="A449" s="14" t="s">
        <v>5325</v>
      </c>
      <c r="B449" s="15" t="s">
        <v>4482</v>
      </c>
      <c r="C449" s="15" t="s">
        <v>5479</v>
      </c>
      <c r="D449" s="15" t="s">
        <v>5118</v>
      </c>
      <c r="E449" s="16" t="s">
        <v>5119</v>
      </c>
      <c r="F449" s="15" t="s">
        <v>16</v>
      </c>
    </row>
    <row r="450" spans="1:6">
      <c r="A450" s="14" t="s">
        <v>5325</v>
      </c>
      <c r="B450" s="15" t="s">
        <v>1603</v>
      </c>
      <c r="C450" s="15" t="s">
        <v>1602</v>
      </c>
      <c r="D450" s="15" t="s">
        <v>5094</v>
      </c>
      <c r="E450" s="16" t="s">
        <v>5095</v>
      </c>
      <c r="F450" s="15" t="s">
        <v>16</v>
      </c>
    </row>
    <row r="451" spans="1:6">
      <c r="A451" s="14" t="s">
        <v>5325</v>
      </c>
      <c r="B451" s="15" t="s">
        <v>1730</v>
      </c>
      <c r="C451" s="15" t="s">
        <v>1729</v>
      </c>
      <c r="D451" s="15" t="s">
        <v>5104</v>
      </c>
      <c r="E451" s="16" t="s">
        <v>5105</v>
      </c>
      <c r="F451" s="15" t="s">
        <v>16</v>
      </c>
    </row>
    <row r="452" spans="1:6">
      <c r="A452" s="14" t="s">
        <v>5325</v>
      </c>
      <c r="B452" s="15" t="s">
        <v>1747</v>
      </c>
      <c r="C452" s="15" t="s">
        <v>1746</v>
      </c>
      <c r="D452" s="15" t="s">
        <v>5101</v>
      </c>
      <c r="E452" s="16" t="s">
        <v>5114</v>
      </c>
      <c r="F452" s="15" t="s">
        <v>16</v>
      </c>
    </row>
    <row r="453" spans="1:6">
      <c r="A453" s="14" t="s">
        <v>5325</v>
      </c>
      <c r="B453" s="15" t="s">
        <v>1913</v>
      </c>
      <c r="C453" s="15" t="s">
        <v>1912</v>
      </c>
      <c r="D453" s="15"/>
      <c r="E453" s="16"/>
      <c r="F453" s="15" t="s">
        <v>16</v>
      </c>
    </row>
    <row r="454" spans="1:6">
      <c r="A454" s="14" t="s">
        <v>5325</v>
      </c>
      <c r="B454" s="15" t="s">
        <v>2903</v>
      </c>
      <c r="C454" s="15" t="s">
        <v>2902</v>
      </c>
      <c r="D454" s="15"/>
      <c r="E454" s="16"/>
      <c r="F454" s="15">
        <v>0</v>
      </c>
    </row>
    <row r="455" spans="1:6">
      <c r="A455" s="14" t="s">
        <v>5325</v>
      </c>
      <c r="B455" s="15" t="s">
        <v>346</v>
      </c>
      <c r="C455" s="15" t="s">
        <v>345</v>
      </c>
      <c r="D455" s="15"/>
      <c r="E455" s="16" t="s">
        <v>5103</v>
      </c>
      <c r="F455" s="15">
        <v>0</v>
      </c>
    </row>
    <row r="456" spans="1:6">
      <c r="A456" s="14" t="s">
        <v>5325</v>
      </c>
      <c r="B456" s="15" t="s">
        <v>2099</v>
      </c>
      <c r="C456" s="15" t="s">
        <v>2098</v>
      </c>
      <c r="D456" s="15" t="s">
        <v>5101</v>
      </c>
      <c r="E456" s="16" t="s">
        <v>5114</v>
      </c>
      <c r="F456" s="15" t="s">
        <v>16</v>
      </c>
    </row>
    <row r="457" spans="1:6">
      <c r="A457" s="14" t="s">
        <v>5325</v>
      </c>
      <c r="B457" s="15" t="s">
        <v>2137</v>
      </c>
      <c r="C457" s="15" t="s">
        <v>2098</v>
      </c>
      <c r="D457" s="15" t="s">
        <v>5101</v>
      </c>
      <c r="E457" s="16" t="s">
        <v>5114</v>
      </c>
      <c r="F457" s="15" t="s">
        <v>16</v>
      </c>
    </row>
    <row r="458" spans="1:6">
      <c r="A458" s="14" t="s">
        <v>5325</v>
      </c>
      <c r="B458" s="15" t="s">
        <v>216</v>
      </c>
      <c r="C458" s="15" t="s">
        <v>2136</v>
      </c>
      <c r="D458" s="15"/>
      <c r="E458" s="16"/>
      <c r="F458" s="15" t="s">
        <v>16</v>
      </c>
    </row>
    <row r="459" spans="1:6">
      <c r="A459" s="14" t="s">
        <v>5325</v>
      </c>
      <c r="B459" s="15" t="s">
        <v>79</v>
      </c>
      <c r="C459" s="15" t="s">
        <v>78</v>
      </c>
      <c r="D459" s="15" t="s">
        <v>5092</v>
      </c>
      <c r="E459" s="16" t="s">
        <v>5093</v>
      </c>
      <c r="F459" s="15" t="s">
        <v>16</v>
      </c>
    </row>
    <row r="460" spans="1:6">
      <c r="A460" s="14" t="s">
        <v>5325</v>
      </c>
      <c r="B460" s="15" t="s">
        <v>94</v>
      </c>
      <c r="C460" s="15" t="s">
        <v>93</v>
      </c>
      <c r="D460" s="15" t="s">
        <v>5092</v>
      </c>
      <c r="E460" s="16" t="s">
        <v>5106</v>
      </c>
      <c r="F460" s="15" t="s">
        <v>16</v>
      </c>
    </row>
    <row r="461" spans="1:6">
      <c r="A461" s="14" t="s">
        <v>5325</v>
      </c>
      <c r="B461" s="15" t="s">
        <v>100</v>
      </c>
      <c r="C461" s="15" t="s">
        <v>99</v>
      </c>
      <c r="D461" s="15" t="s">
        <v>5092</v>
      </c>
      <c r="E461" s="16" t="s">
        <v>5103</v>
      </c>
      <c r="F461" s="15" t="s">
        <v>16</v>
      </c>
    </row>
    <row r="462" spans="1:6">
      <c r="A462" s="14" t="s">
        <v>5325</v>
      </c>
      <c r="B462" s="15" t="s">
        <v>5480</v>
      </c>
      <c r="C462" s="15" t="s">
        <v>5481</v>
      </c>
      <c r="D462" s="15" t="s">
        <v>5092</v>
      </c>
      <c r="E462" s="16"/>
      <c r="F462" s="15" t="s">
        <v>16</v>
      </c>
    </row>
    <row r="463" spans="1:6">
      <c r="A463" s="14" t="s">
        <v>5325</v>
      </c>
      <c r="B463" s="15" t="s">
        <v>5482</v>
      </c>
      <c r="C463" s="15" t="s">
        <v>5483</v>
      </c>
      <c r="D463" s="15" t="s">
        <v>5435</v>
      </c>
      <c r="E463" s="16" t="s">
        <v>5103</v>
      </c>
      <c r="F463" s="15" t="s">
        <v>213</v>
      </c>
    </row>
    <row r="464" spans="1:6">
      <c r="A464" s="14" t="s">
        <v>5325</v>
      </c>
      <c r="B464" s="15" t="s">
        <v>170</v>
      </c>
      <c r="C464" s="15" t="s">
        <v>169</v>
      </c>
      <c r="D464" s="15" t="s">
        <v>5092</v>
      </c>
      <c r="E464" s="16" t="s">
        <v>5093</v>
      </c>
      <c r="F464" s="15" t="s">
        <v>16</v>
      </c>
    </row>
    <row r="465" spans="1:6">
      <c r="A465" s="14" t="s">
        <v>5325</v>
      </c>
      <c r="B465" s="15" t="s">
        <v>182</v>
      </c>
      <c r="C465" s="15" t="s">
        <v>181</v>
      </c>
      <c r="D465" s="15" t="s">
        <v>5092</v>
      </c>
      <c r="E465" s="16" t="s">
        <v>5103</v>
      </c>
      <c r="F465" s="15" t="s">
        <v>16</v>
      </c>
    </row>
    <row r="466" spans="1:6">
      <c r="A466" s="14" t="s">
        <v>5325</v>
      </c>
      <c r="B466" s="15" t="s">
        <v>186</v>
      </c>
      <c r="C466" s="15" t="s">
        <v>185</v>
      </c>
      <c r="D466" s="15" t="s">
        <v>5092</v>
      </c>
      <c r="E466" s="16" t="s">
        <v>5103</v>
      </c>
      <c r="F466" s="15" t="s">
        <v>16</v>
      </c>
    </row>
    <row r="467" spans="1:6">
      <c r="A467" s="14" t="s">
        <v>5325</v>
      </c>
      <c r="B467" s="15" t="s">
        <v>204</v>
      </c>
      <c r="C467" s="15" t="s">
        <v>203</v>
      </c>
      <c r="D467" s="15" t="s">
        <v>5435</v>
      </c>
      <c r="E467" s="16" t="s">
        <v>5103</v>
      </c>
      <c r="F467" s="15" t="s">
        <v>16</v>
      </c>
    </row>
    <row r="468" spans="1:6">
      <c r="A468" s="14" t="s">
        <v>5325</v>
      </c>
      <c r="B468" s="15" t="s">
        <v>4407</v>
      </c>
      <c r="C468" s="15" t="s">
        <v>5484</v>
      </c>
      <c r="D468" s="15"/>
      <c r="E468" s="16" t="s">
        <v>5103</v>
      </c>
      <c r="F468" s="15" t="s">
        <v>16</v>
      </c>
    </row>
    <row r="469" spans="1:6">
      <c r="A469" s="14" t="s">
        <v>5325</v>
      </c>
      <c r="B469" s="15" t="s">
        <v>208</v>
      </c>
      <c r="C469" s="15" t="s">
        <v>207</v>
      </c>
      <c r="D469" s="15" t="s">
        <v>5092</v>
      </c>
      <c r="E469" s="16" t="s">
        <v>5103</v>
      </c>
      <c r="F469" s="15" t="s">
        <v>16</v>
      </c>
    </row>
    <row r="470" spans="1:6">
      <c r="A470" s="14" t="s">
        <v>5325</v>
      </c>
      <c r="B470" s="15" t="s">
        <v>212</v>
      </c>
      <c r="C470" s="15" t="s">
        <v>211</v>
      </c>
      <c r="D470" s="15"/>
      <c r="E470" s="16" t="s">
        <v>5093</v>
      </c>
      <c r="F470" s="15" t="s">
        <v>213</v>
      </c>
    </row>
    <row r="471" spans="1:6">
      <c r="A471" s="14" t="s">
        <v>5325</v>
      </c>
      <c r="B471" s="15" t="s">
        <v>216</v>
      </c>
      <c r="C471" s="15" t="s">
        <v>215</v>
      </c>
      <c r="D471" s="15" t="s">
        <v>5092</v>
      </c>
      <c r="E471" s="16" t="s">
        <v>5103</v>
      </c>
      <c r="F471" s="15" t="s">
        <v>16</v>
      </c>
    </row>
    <row r="472" spans="1:6">
      <c r="A472" s="14" t="s">
        <v>5325</v>
      </c>
      <c r="B472" s="15" t="s">
        <v>4502</v>
      </c>
      <c r="C472" s="15" t="s">
        <v>5485</v>
      </c>
      <c r="D472" s="15" t="s">
        <v>5110</v>
      </c>
      <c r="E472" s="16" t="s">
        <v>5102</v>
      </c>
      <c r="F472" s="15" t="s">
        <v>213</v>
      </c>
    </row>
    <row r="473" spans="1:6">
      <c r="A473" s="14" t="s">
        <v>5325</v>
      </c>
      <c r="B473" s="15" t="s">
        <v>4534</v>
      </c>
      <c r="C473" s="15" t="s">
        <v>5486</v>
      </c>
      <c r="D473" s="15" t="s">
        <v>5092</v>
      </c>
      <c r="E473" s="16" t="s">
        <v>5093</v>
      </c>
      <c r="F473" s="15" t="s">
        <v>16</v>
      </c>
    </row>
    <row r="474" spans="1:6">
      <c r="A474" s="14" t="s">
        <v>5325</v>
      </c>
      <c r="B474" s="15" t="s">
        <v>228</v>
      </c>
      <c r="C474" s="15" t="s">
        <v>227</v>
      </c>
      <c r="D474" s="15" t="s">
        <v>5107</v>
      </c>
      <c r="E474" s="16" t="s">
        <v>5103</v>
      </c>
      <c r="F474" s="15" t="s">
        <v>16</v>
      </c>
    </row>
    <row r="475" spans="1:6">
      <c r="A475" s="14" t="s">
        <v>5325</v>
      </c>
      <c r="B475" s="15" t="s">
        <v>237</v>
      </c>
      <c r="C475" s="15" t="s">
        <v>236</v>
      </c>
      <c r="D475" s="15" t="s">
        <v>5092</v>
      </c>
      <c r="E475" s="16" t="s">
        <v>5103</v>
      </c>
      <c r="F475" s="15" t="s">
        <v>16</v>
      </c>
    </row>
    <row r="476" spans="1:6">
      <c r="A476" s="14" t="s">
        <v>5325</v>
      </c>
      <c r="B476" s="15" t="s">
        <v>247</v>
      </c>
      <c r="C476" s="15" t="s">
        <v>246</v>
      </c>
      <c r="D476" s="15" t="s">
        <v>5092</v>
      </c>
      <c r="E476" s="16" t="s">
        <v>5103</v>
      </c>
      <c r="F476" s="15" t="s">
        <v>16</v>
      </c>
    </row>
    <row r="477" spans="1:6">
      <c r="A477" s="14" t="s">
        <v>5325</v>
      </c>
      <c r="B477" s="15" t="s">
        <v>252</v>
      </c>
      <c r="C477" s="15" t="s">
        <v>251</v>
      </c>
      <c r="D477" s="15" t="s">
        <v>5092</v>
      </c>
      <c r="E477" s="16" t="s">
        <v>5103</v>
      </c>
      <c r="F477" s="15" t="s">
        <v>16</v>
      </c>
    </row>
    <row r="478" spans="1:6">
      <c r="A478" s="14" t="s">
        <v>5325</v>
      </c>
      <c r="B478" s="15" t="s">
        <v>257</v>
      </c>
      <c r="C478" s="15" t="s">
        <v>256</v>
      </c>
      <c r="D478" s="15" t="s">
        <v>5092</v>
      </c>
      <c r="E478" s="16"/>
      <c r="F478" s="15" t="s">
        <v>16</v>
      </c>
    </row>
    <row r="479" spans="1:6">
      <c r="A479" s="14" t="s">
        <v>5325</v>
      </c>
      <c r="B479" s="15" t="s">
        <v>261</v>
      </c>
      <c r="C479" s="15" t="s">
        <v>260</v>
      </c>
      <c r="D479" s="15" t="s">
        <v>5435</v>
      </c>
      <c r="E479" s="16" t="s">
        <v>5103</v>
      </c>
      <c r="F479" s="15" t="s">
        <v>16</v>
      </c>
    </row>
    <row r="480" spans="1:6">
      <c r="A480" s="14" t="s">
        <v>5325</v>
      </c>
      <c r="B480" s="15" t="s">
        <v>5487</v>
      </c>
      <c r="C480" s="15" t="s">
        <v>5488</v>
      </c>
      <c r="D480" s="15"/>
      <c r="E480" s="16" t="s">
        <v>5103</v>
      </c>
      <c r="F480" s="15" t="s">
        <v>16</v>
      </c>
    </row>
    <row r="481" spans="1:6">
      <c r="A481" s="14" t="s">
        <v>5325</v>
      </c>
      <c r="B481" s="15" t="s">
        <v>264</v>
      </c>
      <c r="C481" s="15" t="s">
        <v>263</v>
      </c>
      <c r="D481" s="15" t="s">
        <v>5092</v>
      </c>
      <c r="E481" s="16" t="s">
        <v>5103</v>
      </c>
      <c r="F481" s="15" t="s">
        <v>16</v>
      </c>
    </row>
    <row r="482" spans="1:6">
      <c r="A482" s="14" t="s">
        <v>5325</v>
      </c>
      <c r="B482" s="15" t="s">
        <v>275</v>
      </c>
      <c r="C482" s="15" t="s">
        <v>274</v>
      </c>
      <c r="D482" s="15" t="s">
        <v>5092</v>
      </c>
      <c r="E482" s="16" t="s">
        <v>5103</v>
      </c>
      <c r="F482" s="15" t="s">
        <v>16</v>
      </c>
    </row>
    <row r="483" spans="1:6">
      <c r="A483" s="14" t="s">
        <v>5325</v>
      </c>
      <c r="B483" s="15" t="s">
        <v>5489</v>
      </c>
      <c r="C483" s="15" t="s">
        <v>5490</v>
      </c>
      <c r="D483" s="15"/>
      <c r="E483" s="16" t="s">
        <v>5103</v>
      </c>
      <c r="F483" s="15" t="s">
        <v>16</v>
      </c>
    </row>
    <row r="484" spans="1:6">
      <c r="A484" s="14" t="s">
        <v>5325</v>
      </c>
      <c r="B484" s="15" t="s">
        <v>278</v>
      </c>
      <c r="C484" s="15" t="s">
        <v>277</v>
      </c>
      <c r="D484" s="15" t="s">
        <v>5092</v>
      </c>
      <c r="E484" s="16" t="s">
        <v>5103</v>
      </c>
      <c r="F484" s="15" t="s">
        <v>16</v>
      </c>
    </row>
    <row r="485" spans="1:6">
      <c r="A485" s="14" t="s">
        <v>5325</v>
      </c>
      <c r="B485" s="15" t="s">
        <v>309</v>
      </c>
      <c r="C485" s="15" t="s">
        <v>308</v>
      </c>
      <c r="D485" s="15" t="s">
        <v>5110</v>
      </c>
      <c r="E485" s="16" t="s">
        <v>5102</v>
      </c>
      <c r="F485" s="15" t="s">
        <v>213</v>
      </c>
    </row>
    <row r="486" spans="1:6">
      <c r="A486" s="14" t="s">
        <v>5325</v>
      </c>
      <c r="B486" s="15" t="s">
        <v>5491</v>
      </c>
      <c r="C486" s="15" t="s">
        <v>5492</v>
      </c>
      <c r="D486" s="15" t="s">
        <v>5435</v>
      </c>
      <c r="E486" s="16" t="s">
        <v>5103</v>
      </c>
      <c r="F486" s="15" t="s">
        <v>16</v>
      </c>
    </row>
    <row r="487" spans="1:6">
      <c r="A487" s="14" t="s">
        <v>5325</v>
      </c>
      <c r="B487" s="15" t="s">
        <v>315</v>
      </c>
      <c r="C487" s="15" t="s">
        <v>314</v>
      </c>
      <c r="D487" s="15"/>
      <c r="E487" s="16" t="s">
        <v>5103</v>
      </c>
      <c r="F487" s="15" t="s">
        <v>16</v>
      </c>
    </row>
    <row r="488" spans="1:6">
      <c r="A488" s="14" t="s">
        <v>5325</v>
      </c>
      <c r="B488" s="15" t="s">
        <v>321</v>
      </c>
      <c r="C488" s="15" t="s">
        <v>320</v>
      </c>
      <c r="D488" s="15" t="s">
        <v>5092</v>
      </c>
      <c r="E488" s="16" t="s">
        <v>5103</v>
      </c>
      <c r="F488" s="15" t="s">
        <v>16</v>
      </c>
    </row>
    <row r="489" spans="1:6">
      <c r="A489" s="14" t="s">
        <v>5325</v>
      </c>
      <c r="B489" s="15" t="s">
        <v>326</v>
      </c>
      <c r="C489" s="15" t="s">
        <v>325</v>
      </c>
      <c r="D489" s="15"/>
      <c r="E489" s="16" t="s">
        <v>5103</v>
      </c>
      <c r="F489" s="15" t="s">
        <v>16</v>
      </c>
    </row>
    <row r="490" spans="1:6">
      <c r="A490" s="14" t="s">
        <v>5325</v>
      </c>
      <c r="B490" s="15" t="s">
        <v>329</v>
      </c>
      <c r="C490" s="15" t="s">
        <v>328</v>
      </c>
      <c r="D490" s="15" t="s">
        <v>5092</v>
      </c>
      <c r="E490" s="16" t="s">
        <v>5106</v>
      </c>
      <c r="F490" s="15" t="s">
        <v>16</v>
      </c>
    </row>
    <row r="491" spans="1:6">
      <c r="A491" s="14" t="s">
        <v>5325</v>
      </c>
      <c r="B491" s="15" t="s">
        <v>332</v>
      </c>
      <c r="C491" s="15" t="s">
        <v>331</v>
      </c>
      <c r="D491" s="15" t="s">
        <v>5092</v>
      </c>
      <c r="E491" s="16" t="s">
        <v>5103</v>
      </c>
      <c r="F491" s="15" t="s">
        <v>16</v>
      </c>
    </row>
    <row r="492" spans="1:6">
      <c r="A492" s="14" t="s">
        <v>5325</v>
      </c>
      <c r="B492" s="15" t="s">
        <v>335</v>
      </c>
      <c r="C492" s="15" t="s">
        <v>334</v>
      </c>
      <c r="D492" s="15" t="s">
        <v>5435</v>
      </c>
      <c r="E492" s="16" t="s">
        <v>5103</v>
      </c>
      <c r="F492" s="15" t="s">
        <v>16</v>
      </c>
    </row>
    <row r="493" spans="1:6">
      <c r="A493" s="14" t="s">
        <v>5325</v>
      </c>
      <c r="B493" s="15" t="s">
        <v>342</v>
      </c>
      <c r="C493" s="15" t="s">
        <v>341</v>
      </c>
      <c r="D493" s="15" t="s">
        <v>5107</v>
      </c>
      <c r="E493" s="16" t="s">
        <v>5103</v>
      </c>
      <c r="F493" s="15" t="s">
        <v>16</v>
      </c>
    </row>
    <row r="494" spans="1:6">
      <c r="A494" s="14" t="s">
        <v>5493</v>
      </c>
      <c r="B494" s="15" t="s">
        <v>5494</v>
      </c>
      <c r="C494" s="15" t="s">
        <v>5495</v>
      </c>
      <c r="D494" s="15"/>
      <c r="E494" s="16"/>
      <c r="F494" s="15" t="s">
        <v>213</v>
      </c>
    </row>
    <row r="495" spans="1:6">
      <c r="A495" s="14" t="s">
        <v>5325</v>
      </c>
      <c r="B495" s="15" t="s">
        <v>5496</v>
      </c>
      <c r="C495" s="15" t="s">
        <v>5497</v>
      </c>
      <c r="D495" s="15"/>
      <c r="E495" s="16" t="s">
        <v>5093</v>
      </c>
      <c r="F495" s="15" t="s">
        <v>16</v>
      </c>
    </row>
    <row r="496" spans="1:6">
      <c r="A496" s="14" t="s">
        <v>5091</v>
      </c>
      <c r="B496" s="15" t="s">
        <v>1437</v>
      </c>
      <c r="C496" s="15" t="s">
        <v>1436</v>
      </c>
      <c r="D496" s="15" t="s">
        <v>5092</v>
      </c>
      <c r="E496" s="16" t="s">
        <v>5106</v>
      </c>
      <c r="F496" s="15" t="s">
        <v>213</v>
      </c>
    </row>
    <row r="497" spans="1:6">
      <c r="A497" s="14" t="s">
        <v>5091</v>
      </c>
      <c r="B497" s="15" t="s">
        <v>774</v>
      </c>
      <c r="C497" s="15" t="s">
        <v>773</v>
      </c>
      <c r="D497" s="15" t="s">
        <v>5101</v>
      </c>
      <c r="E497" s="16" t="s">
        <v>5102</v>
      </c>
      <c r="F497" s="15" t="s">
        <v>213</v>
      </c>
    </row>
    <row r="498" spans="1:6">
      <c r="A498" s="14" t="s">
        <v>5091</v>
      </c>
      <c r="B498" s="15" t="s">
        <v>1296</v>
      </c>
      <c r="C498" s="15" t="s">
        <v>1295</v>
      </c>
      <c r="D498" s="15" t="s">
        <v>5110</v>
      </c>
      <c r="E498" s="16" t="s">
        <v>5102</v>
      </c>
      <c r="F498" s="15" t="s">
        <v>213</v>
      </c>
    </row>
    <row r="499" spans="1:6">
      <c r="A499" s="14" t="s">
        <v>5091</v>
      </c>
      <c r="B499" s="15" t="s">
        <v>5498</v>
      </c>
      <c r="C499" s="15" t="s">
        <v>5499</v>
      </c>
      <c r="D499" s="15" t="s">
        <v>5101</v>
      </c>
      <c r="E499" s="16" t="s">
        <v>5114</v>
      </c>
      <c r="F499" s="15" t="s">
        <v>213</v>
      </c>
    </row>
    <row r="500" spans="1:6">
      <c r="A500" s="14" t="s">
        <v>5325</v>
      </c>
      <c r="B500" s="15" t="s">
        <v>2834</v>
      </c>
      <c r="C500" s="15" t="s">
        <v>2833</v>
      </c>
      <c r="D500" s="15" t="s">
        <v>5110</v>
      </c>
      <c r="E500" s="16" t="s">
        <v>5102</v>
      </c>
      <c r="F500" s="15" t="s">
        <v>213</v>
      </c>
    </row>
    <row r="501" spans="1:6">
      <c r="A501" s="14" t="s">
        <v>5091</v>
      </c>
      <c r="B501" s="15" t="s">
        <v>3086</v>
      </c>
      <c r="C501" s="15" t="s">
        <v>3085</v>
      </c>
      <c r="D501" s="15"/>
      <c r="E501" s="16"/>
      <c r="F501" s="15" t="s">
        <v>213</v>
      </c>
    </row>
    <row r="502" spans="1:6">
      <c r="A502" s="14" t="s">
        <v>5091</v>
      </c>
      <c r="B502" s="15" t="s">
        <v>586</v>
      </c>
      <c r="C502" s="15" t="s">
        <v>585</v>
      </c>
      <c r="D502" s="15" t="s">
        <v>5092</v>
      </c>
      <c r="E502" s="16" t="s">
        <v>5093</v>
      </c>
      <c r="F502" s="15" t="s">
        <v>213</v>
      </c>
    </row>
    <row r="503" spans="1:6">
      <c r="A503" s="14" t="s">
        <v>5091</v>
      </c>
      <c r="B503" s="15" t="s">
        <v>1071</v>
      </c>
      <c r="C503" s="15" t="s">
        <v>1070</v>
      </c>
      <c r="D503" s="15"/>
      <c r="E503" s="16" t="s">
        <v>5095</v>
      </c>
      <c r="F503" s="15" t="s">
        <v>213</v>
      </c>
    </row>
    <row r="504" spans="1:6">
      <c r="A504" s="14" t="s">
        <v>5325</v>
      </c>
      <c r="B504" s="15" t="s">
        <v>1289</v>
      </c>
      <c r="C504" s="15" t="s">
        <v>1288</v>
      </c>
      <c r="D504" s="15" t="s">
        <v>5110</v>
      </c>
      <c r="E504" s="16" t="s">
        <v>5102</v>
      </c>
      <c r="F504" s="15" t="s">
        <v>213</v>
      </c>
    </row>
    <row r="505" spans="1:6">
      <c r="A505" s="14" t="s">
        <v>5325</v>
      </c>
      <c r="B505" s="15" t="s">
        <v>1366</v>
      </c>
      <c r="C505" s="15" t="s">
        <v>1365</v>
      </c>
      <c r="D505" s="15"/>
      <c r="E505" s="16"/>
      <c r="F505" s="15" t="s">
        <v>213</v>
      </c>
    </row>
    <row r="506" spans="1:6">
      <c r="A506" s="14" t="s">
        <v>5091</v>
      </c>
      <c r="B506" s="15" t="s">
        <v>1125</v>
      </c>
      <c r="C506" s="15" t="s">
        <v>1124</v>
      </c>
      <c r="D506" s="15" t="s">
        <v>5110</v>
      </c>
      <c r="E506" s="16" t="s">
        <v>5102</v>
      </c>
      <c r="F506" s="15" t="s">
        <v>213</v>
      </c>
    </row>
    <row r="507" spans="1:6">
      <c r="A507" s="14" t="s">
        <v>5316</v>
      </c>
      <c r="B507" s="15" t="s">
        <v>2846</v>
      </c>
      <c r="C507" s="15" t="s">
        <v>2845</v>
      </c>
      <c r="D507" s="15"/>
      <c r="E507" s="16" t="s">
        <v>5106</v>
      </c>
      <c r="F507" s="15" t="s">
        <v>213</v>
      </c>
    </row>
    <row r="508" spans="1:6">
      <c r="A508" s="14" t="s">
        <v>5325</v>
      </c>
      <c r="B508" s="15" t="s">
        <v>2946</v>
      </c>
      <c r="C508" s="15" t="s">
        <v>2945</v>
      </c>
      <c r="D508" s="15"/>
      <c r="E508" s="16"/>
      <c r="F508" s="15" t="s">
        <v>213</v>
      </c>
    </row>
    <row r="509" spans="1:6">
      <c r="A509" s="14" t="s">
        <v>5091</v>
      </c>
      <c r="B509" s="15" t="s">
        <v>595</v>
      </c>
      <c r="C509" s="15" t="s">
        <v>594</v>
      </c>
      <c r="D509" s="15"/>
      <c r="E509" s="16"/>
      <c r="F509" s="15" t="s">
        <v>213</v>
      </c>
    </row>
    <row r="510" spans="1:6">
      <c r="A510" s="14" t="s">
        <v>5325</v>
      </c>
      <c r="B510" s="15" t="s">
        <v>1742</v>
      </c>
      <c r="C510" s="15" t="s">
        <v>1741</v>
      </c>
      <c r="D510" s="15"/>
      <c r="E510" s="16"/>
      <c r="F510" s="15" t="s">
        <v>213</v>
      </c>
    </row>
    <row r="511" spans="1:6">
      <c r="A511" s="14" t="s">
        <v>5091</v>
      </c>
      <c r="B511" s="15" t="s">
        <v>2058</v>
      </c>
      <c r="C511" s="15" t="s">
        <v>2057</v>
      </c>
      <c r="D511" s="15" t="s">
        <v>5110</v>
      </c>
      <c r="E511" s="16" t="s">
        <v>5102</v>
      </c>
      <c r="F511" s="15" t="s">
        <v>213</v>
      </c>
    </row>
    <row r="512" spans="1:6">
      <c r="A512" s="14" t="s">
        <v>5091</v>
      </c>
      <c r="B512" s="15" t="s">
        <v>994</v>
      </c>
      <c r="C512" s="15" t="s">
        <v>993</v>
      </c>
      <c r="D512" s="15" t="s">
        <v>5110</v>
      </c>
      <c r="E512" s="16" t="s">
        <v>5102</v>
      </c>
      <c r="F512" s="15" t="s">
        <v>213</v>
      </c>
    </row>
    <row r="513" spans="1:6">
      <c r="A513" s="14" t="s">
        <v>5091</v>
      </c>
      <c r="B513" s="15" t="s">
        <v>857</v>
      </c>
      <c r="C513" s="15" t="s">
        <v>856</v>
      </c>
      <c r="D513" s="15" t="s">
        <v>5110</v>
      </c>
      <c r="E513" s="16" t="s">
        <v>5102</v>
      </c>
      <c r="F513" s="15" t="s">
        <v>213</v>
      </c>
    </row>
    <row r="514" spans="1:6">
      <c r="A514" s="14" t="s">
        <v>5325</v>
      </c>
      <c r="B514" s="15" t="s">
        <v>982</v>
      </c>
      <c r="C514" s="15" t="s">
        <v>981</v>
      </c>
      <c r="D514" s="15"/>
      <c r="E514" s="16" t="s">
        <v>5102</v>
      </c>
      <c r="F514" s="15" t="s">
        <v>213</v>
      </c>
    </row>
    <row r="515" spans="1:6">
      <c r="A515" s="14" t="s">
        <v>5316</v>
      </c>
      <c r="B515" s="15" t="s">
        <v>979</v>
      </c>
      <c r="C515" s="15" t="s">
        <v>978</v>
      </c>
      <c r="D515" s="15"/>
      <c r="E515" s="16"/>
      <c r="F515" s="15" t="s">
        <v>213</v>
      </c>
    </row>
    <row r="516" spans="1:6">
      <c r="A516" s="14" t="s">
        <v>5325</v>
      </c>
      <c r="B516" s="15" t="s">
        <v>455</v>
      </c>
      <c r="C516" s="15" t="s">
        <v>454</v>
      </c>
      <c r="D516" s="15"/>
      <c r="E516" s="16"/>
      <c r="F516" s="15" t="s">
        <v>213</v>
      </c>
    </row>
    <row r="517" spans="1:6">
      <c r="A517" s="14" t="s">
        <v>5325</v>
      </c>
      <c r="B517" s="15" t="s">
        <v>971</v>
      </c>
      <c r="C517" s="15" t="s">
        <v>970</v>
      </c>
      <c r="D517" s="15"/>
      <c r="E517" s="16" t="s">
        <v>5102</v>
      </c>
      <c r="F517" s="15" t="s">
        <v>213</v>
      </c>
    </row>
    <row r="518" spans="1:6">
      <c r="A518" s="14" t="s">
        <v>5325</v>
      </c>
      <c r="B518" s="15" t="s">
        <v>664</v>
      </c>
      <c r="C518" s="15" t="s">
        <v>663</v>
      </c>
      <c r="D518" s="15"/>
      <c r="E518" s="16" t="s">
        <v>5095</v>
      </c>
      <c r="F518" s="15" t="s">
        <v>16</v>
      </c>
    </row>
    <row r="519" spans="1:6">
      <c r="A519" s="14" t="s">
        <v>5493</v>
      </c>
      <c r="B519" s="15" t="s">
        <v>5500</v>
      </c>
      <c r="C519" s="15" t="s">
        <v>5501</v>
      </c>
      <c r="D519" s="15"/>
      <c r="E519" s="16"/>
      <c r="F519" s="15" t="s">
        <v>16</v>
      </c>
    </row>
    <row r="520" spans="1:6">
      <c r="A520" s="14" t="s">
        <v>5325</v>
      </c>
      <c r="B520" s="15" t="s">
        <v>2134</v>
      </c>
      <c r="C520" s="15" t="s">
        <v>2133</v>
      </c>
      <c r="D520" s="15" t="s">
        <v>5092</v>
      </c>
      <c r="E520" s="16" t="s">
        <v>5106</v>
      </c>
      <c r="F520" s="15" t="s">
        <v>16</v>
      </c>
    </row>
    <row r="521" spans="1:6">
      <c r="A521" s="18" t="s">
        <v>5325</v>
      </c>
      <c r="B521" s="19" t="s">
        <v>2137</v>
      </c>
      <c r="C521" s="19" t="s">
        <v>2136</v>
      </c>
      <c r="D521" s="15"/>
      <c r="E521" s="20"/>
      <c r="F521" s="19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55890-649A-4653-8BF1-E44436728C7C}">
  <sheetPr codeName="Hoja3"/>
  <dimension ref="A1:T4500"/>
  <sheetViews>
    <sheetView workbookViewId="0">
      <selection activeCell="H7" sqref="H7"/>
    </sheetView>
  </sheetViews>
  <sheetFormatPr defaultColWidth="11.42578125" defaultRowHeight="14.45"/>
  <cols>
    <col min="1" max="1" width="14.5703125" customWidth="1"/>
    <col min="2" max="2" width="11" customWidth="1"/>
    <col min="3" max="3" width="36.85546875" customWidth="1"/>
    <col min="4" max="4" width="11.28515625" customWidth="1"/>
    <col min="5" max="5" width="15.42578125" customWidth="1"/>
    <col min="6" max="6" width="16.5703125" customWidth="1"/>
    <col min="8" max="8" width="17" customWidth="1"/>
    <col min="10" max="10" width="12.42578125" customWidth="1"/>
    <col min="11" max="11" width="17.28515625" style="10" customWidth="1"/>
    <col min="12" max="12" width="17" style="10" customWidth="1"/>
    <col min="13" max="13" width="12" customWidth="1"/>
    <col min="14" max="14" width="17" style="10" customWidth="1"/>
    <col min="17" max="17" width="16.140625" customWidth="1"/>
    <col min="18" max="18" width="13.7109375" customWidth="1"/>
    <col min="19" max="19" width="12.85546875" customWidth="1"/>
    <col min="20" max="20" width="18.5703125" customWidth="1"/>
  </cols>
  <sheetData>
    <row r="1" spans="1:20" ht="22.15" customHeight="1" thickBot="1">
      <c r="A1" s="44" t="s">
        <v>5087</v>
      </c>
      <c r="B1" s="44" t="s">
        <v>3</v>
      </c>
      <c r="C1" s="44" t="s">
        <v>4</v>
      </c>
      <c r="D1" s="44" t="s">
        <v>5</v>
      </c>
      <c r="E1" s="44" t="s">
        <v>6</v>
      </c>
      <c r="F1" s="44" t="s">
        <v>7</v>
      </c>
      <c r="G1" s="44" t="s">
        <v>7</v>
      </c>
      <c r="H1" s="44" t="s">
        <v>8</v>
      </c>
      <c r="I1" s="44" t="s">
        <v>8</v>
      </c>
      <c r="J1" s="44" t="s">
        <v>11</v>
      </c>
      <c r="K1" s="44" t="s">
        <v>9</v>
      </c>
      <c r="L1" s="44" t="s">
        <v>10</v>
      </c>
      <c r="M1" s="44" t="s">
        <v>12</v>
      </c>
      <c r="N1" s="44" t="s">
        <v>13</v>
      </c>
    </row>
    <row r="2" spans="1:20">
      <c r="A2" t="str">
        <f>IFERROR(_xlfn.XLOOKUP(B2,Cuentas!$C$1:$C$521,Cuentas!$A$1:$A$521),"")</f>
        <v>Nicolas</v>
      </c>
      <c r="B2" t="s">
        <v>14</v>
      </c>
      <c r="C2" t="s">
        <v>15</v>
      </c>
      <c r="D2" t="s">
        <v>16</v>
      </c>
      <c r="E2" t="s">
        <v>5502</v>
      </c>
      <c r="F2" t="s">
        <v>18</v>
      </c>
      <c r="G2" t="s">
        <v>19</v>
      </c>
      <c r="I2" s="2">
        <v>45713</v>
      </c>
      <c r="J2" t="s">
        <v>20</v>
      </c>
      <c r="K2" s="21">
        <v>-1491.6</v>
      </c>
      <c r="L2" s="21">
        <v>-1491.6</v>
      </c>
      <c r="M2">
        <v>0</v>
      </c>
      <c r="N2" s="21">
        <v>-1491.6</v>
      </c>
    </row>
    <row r="3" spans="1:20">
      <c r="A3" t="str">
        <f>IFERROR(_xlfn.XLOOKUP(B3,Cuentas!$C$1:$C$521,Cuentas!$A$1:$A$521),"")</f>
        <v>Nicolas</v>
      </c>
      <c r="B3" t="s">
        <v>14</v>
      </c>
      <c r="C3" t="s">
        <v>15</v>
      </c>
      <c r="D3" t="s">
        <v>16</v>
      </c>
      <c r="E3" t="s">
        <v>7</v>
      </c>
      <c r="F3" t="s">
        <v>22</v>
      </c>
      <c r="G3" t="s">
        <v>22</v>
      </c>
      <c r="H3" s="2">
        <v>45712</v>
      </c>
      <c r="I3" s="2">
        <v>45742</v>
      </c>
      <c r="J3" t="s">
        <v>20</v>
      </c>
      <c r="K3" s="21">
        <v>1288.2</v>
      </c>
      <c r="L3" s="21">
        <v>1288.2</v>
      </c>
      <c r="M3">
        <v>13</v>
      </c>
      <c r="N3" s="21">
        <v>1288.2</v>
      </c>
    </row>
    <row r="4" spans="1:20">
      <c r="A4" t="str">
        <f>IFERROR(_xlfn.XLOOKUP(B4,Cuentas!$C$1:$C$521,Cuentas!$A$1:$A$521),"")</f>
        <v>Nicolas</v>
      </c>
      <c r="B4" t="s">
        <v>14</v>
      </c>
      <c r="C4" t="s">
        <v>15</v>
      </c>
      <c r="D4" t="s">
        <v>16</v>
      </c>
      <c r="E4" t="s">
        <v>7</v>
      </c>
      <c r="F4" t="s">
        <v>23</v>
      </c>
      <c r="G4" t="s">
        <v>23</v>
      </c>
      <c r="H4" s="2">
        <v>45719</v>
      </c>
      <c r="I4" s="2">
        <v>45749</v>
      </c>
      <c r="J4" t="s">
        <v>20</v>
      </c>
      <c r="K4" s="21">
        <v>7773.95</v>
      </c>
      <c r="L4" s="21">
        <v>7773.95</v>
      </c>
      <c r="M4">
        <v>0</v>
      </c>
      <c r="N4" s="21">
        <v>0</v>
      </c>
      <c r="Q4" s="40" t="s">
        <v>13</v>
      </c>
      <c r="R4" s="40"/>
      <c r="S4" s="40"/>
      <c r="T4" s="41"/>
    </row>
    <row r="5" spans="1:20">
      <c r="A5" t="str">
        <f>IFERROR(_xlfn.XLOOKUP(B5,Cuentas!$C$1:$C$521,Cuentas!$A$1:$A$521),"")</f>
        <v>Nicolas</v>
      </c>
      <c r="B5" t="s">
        <v>14</v>
      </c>
      <c r="C5" t="s">
        <v>15</v>
      </c>
      <c r="D5" t="s">
        <v>16</v>
      </c>
      <c r="E5" t="s">
        <v>7</v>
      </c>
      <c r="F5" t="s">
        <v>24</v>
      </c>
      <c r="G5" t="s">
        <v>24</v>
      </c>
      <c r="H5" s="2">
        <v>45729</v>
      </c>
      <c r="I5" s="2">
        <v>45759</v>
      </c>
      <c r="J5" t="s">
        <v>20</v>
      </c>
      <c r="K5" s="21">
        <v>271.2</v>
      </c>
      <c r="L5" s="21">
        <v>271.2</v>
      </c>
      <c r="M5">
        <v>0</v>
      </c>
      <c r="N5" s="21">
        <v>0</v>
      </c>
      <c r="Q5" s="32">
        <v>0</v>
      </c>
      <c r="R5" s="42">
        <f>SUMIFS(N:N,M:M,Q5)</f>
        <v>892035.77000000281</v>
      </c>
      <c r="S5" s="42"/>
      <c r="T5" s="42"/>
    </row>
    <row r="6" spans="1:20">
      <c r="A6" t="str">
        <f>IFERROR(_xlfn.XLOOKUP(B6,Cuentas!$C$1:$C$521,Cuentas!$A$1:$A$521),"")</f>
        <v>Nicolas</v>
      </c>
      <c r="B6" t="s">
        <v>14</v>
      </c>
      <c r="C6" t="s">
        <v>15</v>
      </c>
      <c r="D6" t="s">
        <v>16</v>
      </c>
      <c r="E6" t="s">
        <v>7</v>
      </c>
      <c r="F6" t="s">
        <v>25</v>
      </c>
      <c r="G6" t="s">
        <v>25</v>
      </c>
      <c r="H6" s="2">
        <v>45729</v>
      </c>
      <c r="I6" s="2">
        <v>45759</v>
      </c>
      <c r="J6" t="s">
        <v>20</v>
      </c>
      <c r="K6" s="21">
        <v>316.39999999999998</v>
      </c>
      <c r="L6" s="21">
        <v>316.39999999999998</v>
      </c>
      <c r="M6">
        <v>0</v>
      </c>
      <c r="N6" s="21">
        <v>0</v>
      </c>
      <c r="Q6" s="38">
        <f>Ejecutar!$H$6</f>
        <v>10</v>
      </c>
      <c r="R6" s="42">
        <f>SUMIFS(N:N,M:M,Q6)</f>
        <v>215043.96000000011</v>
      </c>
      <c r="S6" s="42">
        <f>$R$5/4</f>
        <v>223008.9425000007</v>
      </c>
      <c r="T6" s="39">
        <f>R6+S6</f>
        <v>438052.90250000078</v>
      </c>
    </row>
    <row r="7" spans="1:20">
      <c r="A7" t="str">
        <f>IFERROR(_xlfn.XLOOKUP(B7,Cuentas!$C$1:$C$521,Cuentas!$A$1:$A$521),"")</f>
        <v>Nicolas</v>
      </c>
      <c r="B7" t="s">
        <v>14</v>
      </c>
      <c r="C7" t="s">
        <v>15</v>
      </c>
      <c r="D7" t="s">
        <v>16</v>
      </c>
      <c r="E7" t="s">
        <v>7</v>
      </c>
      <c r="F7" t="s">
        <v>26</v>
      </c>
      <c r="G7" t="s">
        <v>26</v>
      </c>
      <c r="H7" s="2">
        <v>45729</v>
      </c>
      <c r="I7" s="2">
        <v>45759</v>
      </c>
      <c r="J7" t="s">
        <v>20</v>
      </c>
      <c r="K7" s="21">
        <v>7023.18</v>
      </c>
      <c r="L7" s="21">
        <v>7023.18</v>
      </c>
      <c r="M7">
        <v>0</v>
      </c>
      <c r="N7" s="21">
        <v>0</v>
      </c>
      <c r="Q7" s="34">
        <f>Q6+1</f>
        <v>11</v>
      </c>
      <c r="R7" s="33">
        <f>SUMIFS(N:N,M:M,Q7)</f>
        <v>330086.74</v>
      </c>
      <c r="S7" s="42">
        <f t="shared" ref="S7:S9" si="0">$R$5/4</f>
        <v>223008.9425000007</v>
      </c>
      <c r="T7" s="35">
        <f t="shared" ref="T7:T9" si="1">R7+S7</f>
        <v>553095.68250000069</v>
      </c>
    </row>
    <row r="8" spans="1:20">
      <c r="A8" t="str">
        <f>IFERROR(_xlfn.XLOOKUP(B8,Cuentas!$C$1:$C$521,Cuentas!$A$1:$A$521),"")</f>
        <v>Nicolas</v>
      </c>
      <c r="B8" t="s">
        <v>14</v>
      </c>
      <c r="C8" t="s">
        <v>15</v>
      </c>
      <c r="D8" t="s">
        <v>16</v>
      </c>
      <c r="E8" t="s">
        <v>7</v>
      </c>
      <c r="F8" t="s">
        <v>27</v>
      </c>
      <c r="G8" t="s">
        <v>27</v>
      </c>
      <c r="H8" s="2">
        <v>45729</v>
      </c>
      <c r="I8" s="2">
        <v>45759</v>
      </c>
      <c r="J8" t="s">
        <v>20</v>
      </c>
      <c r="K8" s="21">
        <v>2515.38</v>
      </c>
      <c r="L8" s="21">
        <v>2515.38</v>
      </c>
      <c r="M8">
        <v>0</v>
      </c>
      <c r="N8" s="21">
        <v>0</v>
      </c>
      <c r="Q8" s="34">
        <f t="shared" ref="Q8:Q9" si="2">Q7+1</f>
        <v>12</v>
      </c>
      <c r="R8" s="33">
        <f>SUMIFS(N:N,M:M,Q8)</f>
        <v>330320.04000000004</v>
      </c>
      <c r="S8" s="42">
        <f t="shared" si="0"/>
        <v>223008.9425000007</v>
      </c>
      <c r="T8" s="35">
        <f t="shared" si="1"/>
        <v>553328.98250000074</v>
      </c>
    </row>
    <row r="9" spans="1:20" ht="15" thickBot="1">
      <c r="A9" t="str">
        <f>IFERROR(_xlfn.XLOOKUP(B9,Cuentas!$C$1:$C$521,Cuentas!$A$1:$A$521),"")</f>
        <v>Nicolas</v>
      </c>
      <c r="B9" t="s">
        <v>14</v>
      </c>
      <c r="C9" t="s">
        <v>15</v>
      </c>
      <c r="D9" t="s">
        <v>16</v>
      </c>
      <c r="E9" t="s">
        <v>7</v>
      </c>
      <c r="F9" t="s">
        <v>28</v>
      </c>
      <c r="G9" t="s">
        <v>28</v>
      </c>
      <c r="H9" s="2">
        <v>45729</v>
      </c>
      <c r="I9" s="2">
        <v>45759</v>
      </c>
      <c r="J9" t="s">
        <v>20</v>
      </c>
      <c r="K9" s="21">
        <v>2306.5500000000002</v>
      </c>
      <c r="L9" s="21">
        <v>2306.5500000000002</v>
      </c>
      <c r="M9">
        <v>0</v>
      </c>
      <c r="N9" s="21">
        <v>0</v>
      </c>
      <c r="Q9" s="36">
        <f t="shared" si="2"/>
        <v>13</v>
      </c>
      <c r="R9" s="43">
        <f>SUMIFS(N:N,M:M,Q9)</f>
        <v>779620.73000000033</v>
      </c>
      <c r="S9" s="42">
        <f t="shared" si="0"/>
        <v>223008.9425000007</v>
      </c>
      <c r="T9" s="37">
        <f t="shared" si="1"/>
        <v>1002629.672500001</v>
      </c>
    </row>
    <row r="10" spans="1:20" ht="15" thickBot="1">
      <c r="A10" t="str">
        <f>IFERROR(_xlfn.XLOOKUP(B10,Cuentas!$C$1:$C$521,Cuentas!$A$1:$A$521),"")</f>
        <v>Nicolas</v>
      </c>
      <c r="B10" t="s">
        <v>14</v>
      </c>
      <c r="C10" t="s">
        <v>15</v>
      </c>
      <c r="D10" t="s">
        <v>16</v>
      </c>
      <c r="E10" t="s">
        <v>7</v>
      </c>
      <c r="F10" t="s">
        <v>29</v>
      </c>
      <c r="G10" t="s">
        <v>29</v>
      </c>
      <c r="H10" s="2">
        <v>45729</v>
      </c>
      <c r="I10" s="2">
        <v>45759</v>
      </c>
      <c r="J10" t="s">
        <v>20</v>
      </c>
      <c r="K10" s="21">
        <v>3801.32</v>
      </c>
      <c r="L10" s="21">
        <v>3801.32</v>
      </c>
      <c r="M10">
        <v>0</v>
      </c>
      <c r="N10" s="21">
        <v>0</v>
      </c>
      <c r="Q10" s="29" t="s">
        <v>5503</v>
      </c>
      <c r="R10" s="30"/>
      <c r="S10" s="30"/>
      <c r="T10" s="31">
        <f>SUM(T6:T9)</f>
        <v>2547107.240000003</v>
      </c>
    </row>
    <row r="11" spans="1:20">
      <c r="A11" t="str">
        <f>IFERROR(_xlfn.XLOOKUP(B11,Cuentas!$C$1:$C$521,Cuentas!$A$1:$A$521),"")</f>
        <v>Nicolas</v>
      </c>
      <c r="B11" t="s">
        <v>14</v>
      </c>
      <c r="C11" t="s">
        <v>15</v>
      </c>
      <c r="D11" t="s">
        <v>16</v>
      </c>
      <c r="E11" t="s">
        <v>7</v>
      </c>
      <c r="F11" t="s">
        <v>30</v>
      </c>
      <c r="G11" t="s">
        <v>30</v>
      </c>
      <c r="H11" s="2">
        <v>45729</v>
      </c>
      <c r="I11" s="2">
        <v>45759</v>
      </c>
      <c r="J11" t="s">
        <v>20</v>
      </c>
      <c r="K11" s="21">
        <v>389.85</v>
      </c>
      <c r="L11" s="21">
        <v>389.85</v>
      </c>
      <c r="M11">
        <v>0</v>
      </c>
      <c r="N11" s="21">
        <v>0</v>
      </c>
    </row>
    <row r="12" spans="1:20">
      <c r="A12" t="str">
        <f>IFERROR(_xlfn.XLOOKUP(B12,Cuentas!$C$1:$C$521,Cuentas!$A$1:$A$521),"")</f>
        <v>Nicolas</v>
      </c>
      <c r="B12" t="s">
        <v>14</v>
      </c>
      <c r="C12" t="s">
        <v>15</v>
      </c>
      <c r="D12" t="s">
        <v>16</v>
      </c>
      <c r="E12" t="s">
        <v>7</v>
      </c>
      <c r="F12" t="s">
        <v>31</v>
      </c>
      <c r="G12" t="s">
        <v>31</v>
      </c>
      <c r="H12" s="2">
        <v>45729</v>
      </c>
      <c r="I12" s="2">
        <v>45759</v>
      </c>
      <c r="J12" t="s">
        <v>20</v>
      </c>
      <c r="K12" s="21">
        <v>247.48</v>
      </c>
      <c r="L12" s="21">
        <v>247.48</v>
      </c>
      <c r="M12">
        <v>0</v>
      </c>
      <c r="N12" s="21">
        <v>0</v>
      </c>
    </row>
    <row r="13" spans="1:20">
      <c r="A13" t="str">
        <f>IFERROR(_xlfn.XLOOKUP(B13,Cuentas!$C$1:$C$521,Cuentas!$A$1:$A$521),"")</f>
        <v>Nicolas</v>
      </c>
      <c r="B13" t="s">
        <v>14</v>
      </c>
      <c r="C13" t="s">
        <v>15</v>
      </c>
      <c r="D13" t="s">
        <v>16</v>
      </c>
      <c r="E13" t="s">
        <v>7</v>
      </c>
      <c r="F13" t="s">
        <v>32</v>
      </c>
      <c r="G13" t="s">
        <v>32</v>
      </c>
      <c r="H13" s="2">
        <v>45730</v>
      </c>
      <c r="I13" s="2">
        <v>45760</v>
      </c>
      <c r="J13" t="s">
        <v>20</v>
      </c>
      <c r="K13" s="21">
        <v>1582</v>
      </c>
      <c r="L13" s="21">
        <v>1582</v>
      </c>
      <c r="M13">
        <v>0</v>
      </c>
      <c r="N13" s="21">
        <v>0</v>
      </c>
    </row>
    <row r="14" spans="1:20">
      <c r="A14" t="str">
        <f>IFERROR(_xlfn.XLOOKUP(B14,Cuentas!$C$1:$C$521,Cuentas!$A$1:$A$521),"")</f>
        <v>Nicolas</v>
      </c>
      <c r="B14" t="s">
        <v>14</v>
      </c>
      <c r="C14" t="s">
        <v>15</v>
      </c>
      <c r="D14" t="s">
        <v>16</v>
      </c>
      <c r="E14" t="s">
        <v>7</v>
      </c>
      <c r="F14" t="s">
        <v>33</v>
      </c>
      <c r="G14" t="s">
        <v>33</v>
      </c>
      <c r="H14" s="2">
        <v>45730</v>
      </c>
      <c r="I14" s="2">
        <v>45760</v>
      </c>
      <c r="J14" t="s">
        <v>20</v>
      </c>
      <c r="K14" s="21">
        <v>7419.59</v>
      </c>
      <c r="L14" s="21">
        <v>7419.59</v>
      </c>
      <c r="M14">
        <v>0</v>
      </c>
      <c r="N14" s="21">
        <v>0</v>
      </c>
    </row>
    <row r="15" spans="1:20">
      <c r="A15" t="str">
        <f>IFERROR(_xlfn.XLOOKUP(B15,Cuentas!$C$1:$C$521,Cuentas!$A$1:$A$521),"")</f>
        <v>Nicolas</v>
      </c>
      <c r="B15" t="s">
        <v>14</v>
      </c>
      <c r="C15" t="s">
        <v>15</v>
      </c>
      <c r="D15" t="s">
        <v>16</v>
      </c>
      <c r="E15" t="s">
        <v>7</v>
      </c>
      <c r="F15" t="s">
        <v>34</v>
      </c>
      <c r="G15" t="s">
        <v>34</v>
      </c>
      <c r="H15" s="2">
        <v>45735</v>
      </c>
      <c r="I15" s="2">
        <v>45765</v>
      </c>
      <c r="J15" t="s">
        <v>20</v>
      </c>
      <c r="K15" s="21">
        <v>23260.03</v>
      </c>
      <c r="L15" s="21">
        <v>23260.03</v>
      </c>
      <c r="M15">
        <v>0</v>
      </c>
      <c r="N15" s="21">
        <v>0</v>
      </c>
    </row>
    <row r="16" spans="1:20">
      <c r="A16" t="str">
        <f>IFERROR(_xlfn.XLOOKUP(B16,Cuentas!$C$1:$C$521,Cuentas!$A$1:$A$521),"")</f>
        <v>Nicolas</v>
      </c>
      <c r="B16" t="s">
        <v>14</v>
      </c>
      <c r="C16" t="s">
        <v>15</v>
      </c>
      <c r="D16" t="s">
        <v>16</v>
      </c>
      <c r="E16" t="s">
        <v>7</v>
      </c>
      <c r="F16" t="s">
        <v>35</v>
      </c>
      <c r="G16" t="s">
        <v>35</v>
      </c>
      <c r="H16" s="2">
        <v>45737</v>
      </c>
      <c r="I16" s="2">
        <v>45767</v>
      </c>
      <c r="J16" t="s">
        <v>20</v>
      </c>
      <c r="K16" s="21">
        <v>9254.7000000000007</v>
      </c>
      <c r="L16" s="21">
        <v>9254.7000000000007</v>
      </c>
      <c r="M16">
        <v>0</v>
      </c>
      <c r="N16" s="21">
        <v>0</v>
      </c>
    </row>
    <row r="17" spans="1:14">
      <c r="A17" t="str">
        <f>IFERROR(_xlfn.XLOOKUP(B17,Cuentas!$C$1:$C$521,Cuentas!$A$1:$A$521),"")</f>
        <v>Nicolas</v>
      </c>
      <c r="B17" t="s">
        <v>14</v>
      </c>
      <c r="C17" t="s">
        <v>15</v>
      </c>
      <c r="D17" t="s">
        <v>16</v>
      </c>
      <c r="E17" t="s">
        <v>7</v>
      </c>
      <c r="F17" t="s">
        <v>36</v>
      </c>
      <c r="G17" t="s">
        <v>36</v>
      </c>
      <c r="H17" s="2">
        <v>45741</v>
      </c>
      <c r="I17" s="2">
        <v>45771</v>
      </c>
      <c r="J17" t="s">
        <v>20</v>
      </c>
      <c r="K17" s="21">
        <v>16746.599999999999</v>
      </c>
      <c r="L17" s="21">
        <v>16746.599999999999</v>
      </c>
      <c r="M17">
        <v>0</v>
      </c>
      <c r="N17" s="21">
        <v>0</v>
      </c>
    </row>
    <row r="18" spans="1:14">
      <c r="A18" t="str">
        <f>IFERROR(_xlfn.XLOOKUP(B18,Cuentas!$C$1:$C$521,Cuentas!$A$1:$A$521),"")</f>
        <v>Nicolas</v>
      </c>
      <c r="B18" t="s">
        <v>14</v>
      </c>
      <c r="C18" t="s">
        <v>15</v>
      </c>
      <c r="D18" t="s">
        <v>16</v>
      </c>
      <c r="E18" t="s">
        <v>7</v>
      </c>
      <c r="F18" t="s">
        <v>37</v>
      </c>
      <c r="G18" t="s">
        <v>37</v>
      </c>
      <c r="H18" s="2">
        <v>45742</v>
      </c>
      <c r="I18" s="2">
        <v>45772</v>
      </c>
      <c r="J18" t="s">
        <v>20</v>
      </c>
      <c r="K18" s="21">
        <v>549.17999999999995</v>
      </c>
      <c r="L18" s="21">
        <v>549.17999999999995</v>
      </c>
      <c r="M18">
        <v>0</v>
      </c>
      <c r="N18" s="21">
        <v>0</v>
      </c>
    </row>
    <row r="19" spans="1:14">
      <c r="A19" t="str">
        <f>IFERROR(_xlfn.XLOOKUP(B19,Cuentas!$C$1:$C$521,Cuentas!$A$1:$A$521),"")</f>
        <v>Yuldor</v>
      </c>
      <c r="B19" t="s">
        <v>38</v>
      </c>
      <c r="C19" t="s">
        <v>39</v>
      </c>
      <c r="D19" t="s">
        <v>16</v>
      </c>
      <c r="E19" t="s">
        <v>5502</v>
      </c>
      <c r="F19" t="s">
        <v>40</v>
      </c>
      <c r="G19" t="s">
        <v>19</v>
      </c>
      <c r="I19" s="2">
        <v>45252</v>
      </c>
      <c r="J19" t="s">
        <v>20</v>
      </c>
      <c r="K19" s="21">
        <v>-81.7</v>
      </c>
      <c r="L19" s="21">
        <v>-81.7</v>
      </c>
      <c r="M19">
        <v>0</v>
      </c>
      <c r="N19" s="21">
        <v>-81.7</v>
      </c>
    </row>
    <row r="20" spans="1:14">
      <c r="A20" t="str">
        <f>IFERROR(_xlfn.XLOOKUP(B20,Cuentas!$C$1:$C$521,Cuentas!$A$1:$A$521),"")</f>
        <v>Yuldor</v>
      </c>
      <c r="B20" t="s">
        <v>38</v>
      </c>
      <c r="C20" t="s">
        <v>39</v>
      </c>
      <c r="D20" t="s">
        <v>16</v>
      </c>
      <c r="E20" t="s">
        <v>7</v>
      </c>
      <c r="F20" t="s">
        <v>41</v>
      </c>
      <c r="G20" t="s">
        <v>41</v>
      </c>
      <c r="H20" s="2">
        <v>45237</v>
      </c>
      <c r="I20" s="2">
        <v>45267</v>
      </c>
      <c r="J20" t="s">
        <v>20</v>
      </c>
      <c r="K20" s="21">
        <v>130</v>
      </c>
      <c r="L20" s="21">
        <v>130</v>
      </c>
      <c r="M20">
        <v>0</v>
      </c>
      <c r="N20" s="21">
        <v>130</v>
      </c>
    </row>
    <row r="21" spans="1:14">
      <c r="A21" t="str">
        <f>IFERROR(_xlfn.XLOOKUP(B21,Cuentas!$C$1:$C$521,Cuentas!$A$1:$A$521),"")</f>
        <v>Yuldor</v>
      </c>
      <c r="B21" t="s">
        <v>38</v>
      </c>
      <c r="C21" t="s">
        <v>39</v>
      </c>
      <c r="D21" t="s">
        <v>16</v>
      </c>
      <c r="E21" t="s">
        <v>7</v>
      </c>
      <c r="F21" t="s">
        <v>42</v>
      </c>
      <c r="G21" t="s">
        <v>42</v>
      </c>
      <c r="H21" s="2">
        <v>45238</v>
      </c>
      <c r="I21" s="2">
        <v>45268</v>
      </c>
      <c r="J21" t="s">
        <v>20</v>
      </c>
      <c r="K21" s="21">
        <v>201.42</v>
      </c>
      <c r="L21" s="21">
        <v>201.42</v>
      </c>
      <c r="M21">
        <v>0</v>
      </c>
      <c r="N21" s="21">
        <v>201.42</v>
      </c>
    </row>
    <row r="22" spans="1:14">
      <c r="A22" t="str">
        <f>IFERROR(_xlfn.XLOOKUP(B22,Cuentas!$C$1:$C$521,Cuentas!$A$1:$A$521),"")</f>
        <v>Yuldor</v>
      </c>
      <c r="B22" t="s">
        <v>38</v>
      </c>
      <c r="C22" t="s">
        <v>39</v>
      </c>
      <c r="D22" t="s">
        <v>16</v>
      </c>
      <c r="E22" t="s">
        <v>7</v>
      </c>
      <c r="F22" t="s">
        <v>43</v>
      </c>
      <c r="G22" t="s">
        <v>43</v>
      </c>
      <c r="H22" s="2">
        <v>45279</v>
      </c>
      <c r="I22" s="2">
        <v>45309</v>
      </c>
      <c r="J22" t="s">
        <v>20</v>
      </c>
      <c r="K22" s="21">
        <v>167.81</v>
      </c>
      <c r="L22" s="21">
        <v>167.81</v>
      </c>
      <c r="M22">
        <v>0</v>
      </c>
      <c r="N22" s="21">
        <v>167.81</v>
      </c>
    </row>
    <row r="23" spans="1:14">
      <c r="A23" t="str">
        <f>IFERROR(_xlfn.XLOOKUP(B23,Cuentas!$C$1:$C$521,Cuentas!$A$1:$A$521),"")</f>
        <v>Yuldor</v>
      </c>
      <c r="B23" t="s">
        <v>38</v>
      </c>
      <c r="C23" t="s">
        <v>39</v>
      </c>
      <c r="D23" t="s">
        <v>16</v>
      </c>
      <c r="E23" t="s">
        <v>5502</v>
      </c>
      <c r="F23" t="s">
        <v>44</v>
      </c>
      <c r="G23" t="s">
        <v>19</v>
      </c>
      <c r="I23" s="2">
        <v>45331</v>
      </c>
      <c r="J23" t="s">
        <v>20</v>
      </c>
      <c r="K23" s="21">
        <v>-1102</v>
      </c>
      <c r="L23" s="21">
        <v>-1102</v>
      </c>
      <c r="M23">
        <v>0</v>
      </c>
      <c r="N23" s="21">
        <v>-1102</v>
      </c>
    </row>
    <row r="24" spans="1:14">
      <c r="A24" t="str">
        <f>IFERROR(_xlfn.XLOOKUP(B24,Cuentas!$C$1:$C$521,Cuentas!$A$1:$A$521),"")</f>
        <v>Yuldor</v>
      </c>
      <c r="B24" t="s">
        <v>38</v>
      </c>
      <c r="C24" t="s">
        <v>39</v>
      </c>
      <c r="D24" t="s">
        <v>16</v>
      </c>
      <c r="E24" t="s">
        <v>7</v>
      </c>
      <c r="F24" t="s">
        <v>45</v>
      </c>
      <c r="G24" t="s">
        <v>45</v>
      </c>
      <c r="H24" s="2">
        <v>45307</v>
      </c>
      <c r="I24" s="2">
        <v>45337</v>
      </c>
      <c r="J24" t="s">
        <v>20</v>
      </c>
      <c r="K24" s="21">
        <v>130</v>
      </c>
      <c r="L24" s="21">
        <v>130</v>
      </c>
      <c r="M24">
        <v>0</v>
      </c>
      <c r="N24" s="21">
        <v>130</v>
      </c>
    </row>
    <row r="25" spans="1:14">
      <c r="A25" t="str">
        <f>IFERROR(_xlfn.XLOOKUP(B25,Cuentas!$C$1:$C$521,Cuentas!$A$1:$A$521),"")</f>
        <v>Yuldor</v>
      </c>
      <c r="B25" t="s">
        <v>38</v>
      </c>
      <c r="C25" t="s">
        <v>39</v>
      </c>
      <c r="D25" t="s">
        <v>16</v>
      </c>
      <c r="E25" t="s">
        <v>7</v>
      </c>
      <c r="F25" t="s">
        <v>46</v>
      </c>
      <c r="G25" t="s">
        <v>46</v>
      </c>
      <c r="H25" s="2">
        <v>45666</v>
      </c>
      <c r="I25" s="2">
        <v>45696</v>
      </c>
      <c r="J25" t="s">
        <v>20</v>
      </c>
      <c r="K25" s="21">
        <v>12920.99</v>
      </c>
      <c r="L25" s="21">
        <v>12920.99</v>
      </c>
      <c r="M25">
        <v>0</v>
      </c>
      <c r="N25" s="21">
        <v>12920.99</v>
      </c>
    </row>
    <row r="26" spans="1:14">
      <c r="A26" t="str">
        <f>IFERROR(_xlfn.XLOOKUP(B26,Cuentas!$C$1:$C$521,Cuentas!$A$1:$A$521),"")</f>
        <v>Yuldor</v>
      </c>
      <c r="B26" t="s">
        <v>38</v>
      </c>
      <c r="C26" t="s">
        <v>39</v>
      </c>
      <c r="D26" t="s">
        <v>16</v>
      </c>
      <c r="E26" t="s">
        <v>7</v>
      </c>
      <c r="F26" t="s">
        <v>47</v>
      </c>
      <c r="G26" t="s">
        <v>47</v>
      </c>
      <c r="H26" s="2">
        <v>45673</v>
      </c>
      <c r="I26" s="2">
        <v>45703</v>
      </c>
      <c r="J26" t="s">
        <v>20</v>
      </c>
      <c r="K26" s="21">
        <v>1107.4000000000001</v>
      </c>
      <c r="L26" s="21">
        <v>1107.4000000000001</v>
      </c>
      <c r="M26">
        <v>0</v>
      </c>
      <c r="N26" s="21">
        <v>1107.4000000000001</v>
      </c>
    </row>
    <row r="27" spans="1:14">
      <c r="A27" t="str">
        <f>IFERROR(_xlfn.XLOOKUP(B27,Cuentas!$C$1:$C$521,Cuentas!$A$1:$A$521),"")</f>
        <v>Yuldor</v>
      </c>
      <c r="B27" t="s">
        <v>38</v>
      </c>
      <c r="C27" t="s">
        <v>39</v>
      </c>
      <c r="D27" t="s">
        <v>16</v>
      </c>
      <c r="E27" t="s">
        <v>7</v>
      </c>
      <c r="F27" t="s">
        <v>48</v>
      </c>
      <c r="G27" t="s">
        <v>48</v>
      </c>
      <c r="H27" s="2">
        <v>45740</v>
      </c>
      <c r="I27" s="2">
        <v>45770</v>
      </c>
      <c r="J27" t="s">
        <v>20</v>
      </c>
      <c r="K27" s="21">
        <v>3876.12</v>
      </c>
      <c r="L27" s="21">
        <v>3876.12</v>
      </c>
      <c r="M27">
        <v>0</v>
      </c>
      <c r="N27" s="21">
        <v>0</v>
      </c>
    </row>
    <row r="28" spans="1:14">
      <c r="A28" t="str">
        <f>IFERROR(_xlfn.XLOOKUP(B28,Cuentas!$C$1:$C$521,Cuentas!$A$1:$A$521),"")</f>
        <v>Yuldor</v>
      </c>
      <c r="B28" t="s">
        <v>38</v>
      </c>
      <c r="C28" t="s">
        <v>39</v>
      </c>
      <c r="D28" t="s">
        <v>16</v>
      </c>
      <c r="E28" t="s">
        <v>7</v>
      </c>
      <c r="F28" t="s">
        <v>49</v>
      </c>
      <c r="G28" t="s">
        <v>49</v>
      </c>
      <c r="H28" s="2">
        <v>45742</v>
      </c>
      <c r="I28" s="2">
        <v>45772</v>
      </c>
      <c r="J28" t="s">
        <v>20</v>
      </c>
      <c r="K28" s="21">
        <v>1102</v>
      </c>
      <c r="L28" s="21">
        <v>1102</v>
      </c>
      <c r="M28">
        <v>0</v>
      </c>
      <c r="N28" s="21">
        <v>0</v>
      </c>
    </row>
    <row r="29" spans="1:14">
      <c r="A29" t="str">
        <f>IFERROR(_xlfn.XLOOKUP(B29,Cuentas!$C$1:$C$521,Cuentas!$A$1:$A$521),"")</f>
        <v>Yuldor</v>
      </c>
      <c r="B29" t="s">
        <v>50</v>
      </c>
      <c r="C29" t="s">
        <v>51</v>
      </c>
      <c r="D29" t="s">
        <v>16</v>
      </c>
      <c r="E29" t="s">
        <v>7</v>
      </c>
      <c r="F29" t="s">
        <v>52</v>
      </c>
      <c r="G29" t="s">
        <v>52</v>
      </c>
      <c r="H29" s="2">
        <v>45719</v>
      </c>
      <c r="I29" s="2">
        <v>45749</v>
      </c>
      <c r="J29" t="s">
        <v>20</v>
      </c>
      <c r="K29" s="21">
        <v>4475.97</v>
      </c>
      <c r="L29" s="21">
        <v>4475.97</v>
      </c>
      <c r="M29">
        <v>0</v>
      </c>
      <c r="N29" s="21">
        <v>0</v>
      </c>
    </row>
    <row r="30" spans="1:14">
      <c r="A30" t="str">
        <f>IFERROR(_xlfn.XLOOKUP(B30,Cuentas!$C$1:$C$521,Cuentas!$A$1:$A$521),"")</f>
        <v>Nicolas</v>
      </c>
      <c r="B30" t="s">
        <v>53</v>
      </c>
      <c r="C30" t="s">
        <v>54</v>
      </c>
      <c r="D30" t="s">
        <v>16</v>
      </c>
      <c r="E30" t="s">
        <v>3139</v>
      </c>
      <c r="F30" t="s">
        <v>19</v>
      </c>
      <c r="G30" t="s">
        <v>19</v>
      </c>
      <c r="I30" s="2">
        <v>45560</v>
      </c>
      <c r="J30" t="s">
        <v>20</v>
      </c>
      <c r="K30" s="21">
        <v>-1868.1</v>
      </c>
      <c r="L30" s="21">
        <v>-1868.1</v>
      </c>
      <c r="M30">
        <v>0</v>
      </c>
      <c r="N30" s="21">
        <v>-1868.1</v>
      </c>
    </row>
    <row r="31" spans="1:14">
      <c r="A31" t="str">
        <f>IFERROR(_xlfn.XLOOKUP(B31,Cuentas!$C$1:$C$521,Cuentas!$A$1:$A$521),"")</f>
        <v>Nicolas</v>
      </c>
      <c r="B31" t="s">
        <v>53</v>
      </c>
      <c r="C31" t="s">
        <v>54</v>
      </c>
      <c r="D31" t="s">
        <v>16</v>
      </c>
      <c r="E31" t="s">
        <v>3139</v>
      </c>
      <c r="F31" t="s">
        <v>19</v>
      </c>
      <c r="G31" t="s">
        <v>19</v>
      </c>
      <c r="I31" s="2">
        <v>45659</v>
      </c>
      <c r="J31" t="s">
        <v>20</v>
      </c>
      <c r="K31" s="21">
        <v>-20</v>
      </c>
      <c r="L31" s="21">
        <v>-20</v>
      </c>
      <c r="M31">
        <v>0</v>
      </c>
      <c r="N31" s="21">
        <v>-20</v>
      </c>
    </row>
    <row r="32" spans="1:14">
      <c r="A32" t="str">
        <f>IFERROR(_xlfn.XLOOKUP(B32,Cuentas!$C$1:$C$521,Cuentas!$A$1:$A$521),"")</f>
        <v>Nicolas</v>
      </c>
      <c r="B32" t="s">
        <v>53</v>
      </c>
      <c r="C32" t="s">
        <v>54</v>
      </c>
      <c r="D32" t="s">
        <v>16</v>
      </c>
      <c r="E32" t="s">
        <v>7</v>
      </c>
      <c r="F32" t="s">
        <v>56</v>
      </c>
      <c r="G32" t="s">
        <v>56</v>
      </c>
      <c r="H32" s="2">
        <v>45692</v>
      </c>
      <c r="I32" s="2">
        <v>45722</v>
      </c>
      <c r="J32" t="s">
        <v>20</v>
      </c>
      <c r="K32" s="21">
        <v>748</v>
      </c>
      <c r="L32" s="21">
        <v>748</v>
      </c>
      <c r="M32">
        <v>10</v>
      </c>
      <c r="N32" s="21">
        <v>748</v>
      </c>
    </row>
    <row r="33" spans="1:14">
      <c r="A33" t="str">
        <f>IFERROR(_xlfn.XLOOKUP(B33,Cuentas!$C$1:$C$521,Cuentas!$A$1:$A$521),"")</f>
        <v>Nicolas</v>
      </c>
      <c r="B33" t="s">
        <v>53</v>
      </c>
      <c r="C33" t="s">
        <v>54</v>
      </c>
      <c r="D33" t="s">
        <v>16</v>
      </c>
      <c r="E33" t="s">
        <v>7</v>
      </c>
      <c r="F33" t="s">
        <v>57</v>
      </c>
      <c r="G33" t="s">
        <v>57</v>
      </c>
      <c r="H33" s="2">
        <v>45692</v>
      </c>
      <c r="I33" s="2">
        <v>45722</v>
      </c>
      <c r="J33" t="s">
        <v>20</v>
      </c>
      <c r="K33" s="21">
        <v>172</v>
      </c>
      <c r="L33" s="21">
        <v>172</v>
      </c>
      <c r="M33">
        <v>10</v>
      </c>
      <c r="N33" s="21">
        <v>172</v>
      </c>
    </row>
    <row r="34" spans="1:14">
      <c r="A34" t="str">
        <f>IFERROR(_xlfn.XLOOKUP(B34,Cuentas!$C$1:$C$521,Cuentas!$A$1:$A$521),"")</f>
        <v>Nicolas</v>
      </c>
      <c r="B34" t="s">
        <v>53</v>
      </c>
      <c r="C34" t="s">
        <v>54</v>
      </c>
      <c r="D34" t="s">
        <v>16</v>
      </c>
      <c r="E34" t="s">
        <v>7</v>
      </c>
      <c r="F34" t="s">
        <v>58</v>
      </c>
      <c r="G34" t="s">
        <v>58</v>
      </c>
      <c r="H34" s="2">
        <v>45692</v>
      </c>
      <c r="I34" s="2">
        <v>45722</v>
      </c>
      <c r="J34" t="s">
        <v>20</v>
      </c>
      <c r="K34" s="21">
        <v>258</v>
      </c>
      <c r="L34" s="21">
        <v>258</v>
      </c>
      <c r="M34">
        <v>10</v>
      </c>
      <c r="N34" s="21">
        <v>258</v>
      </c>
    </row>
    <row r="35" spans="1:14">
      <c r="A35" t="str">
        <f>IFERROR(_xlfn.XLOOKUP(B35,Cuentas!$C$1:$C$521,Cuentas!$A$1:$A$521),"")</f>
        <v>Nicolas</v>
      </c>
      <c r="B35" t="s">
        <v>53</v>
      </c>
      <c r="C35" t="s">
        <v>54</v>
      </c>
      <c r="D35" t="s">
        <v>16</v>
      </c>
      <c r="E35" t="s">
        <v>7</v>
      </c>
      <c r="F35" t="s">
        <v>59</v>
      </c>
      <c r="G35" t="s">
        <v>59</v>
      </c>
      <c r="H35" s="2">
        <v>45701</v>
      </c>
      <c r="I35" s="2">
        <v>45731</v>
      </c>
      <c r="J35" t="s">
        <v>20</v>
      </c>
      <c r="K35" s="21">
        <v>5040</v>
      </c>
      <c r="L35" s="21">
        <v>5040</v>
      </c>
      <c r="M35">
        <v>11</v>
      </c>
      <c r="N35" s="21">
        <v>5040</v>
      </c>
    </row>
    <row r="36" spans="1:14">
      <c r="A36" t="str">
        <f>IFERROR(_xlfn.XLOOKUP(B36,Cuentas!$C$1:$C$521,Cuentas!$A$1:$A$521),"")</f>
        <v>Nicolas</v>
      </c>
      <c r="B36" t="s">
        <v>53</v>
      </c>
      <c r="C36" t="s">
        <v>54</v>
      </c>
      <c r="D36" t="s">
        <v>16</v>
      </c>
      <c r="E36" t="s">
        <v>7</v>
      </c>
      <c r="F36" t="s">
        <v>60</v>
      </c>
      <c r="G36" t="s">
        <v>60</v>
      </c>
      <c r="H36" s="2">
        <v>45701</v>
      </c>
      <c r="I36" s="2">
        <v>45731</v>
      </c>
      <c r="J36" t="s">
        <v>20</v>
      </c>
      <c r="K36" s="21">
        <v>19854.240000000002</v>
      </c>
      <c r="L36" s="21">
        <v>19854.240000000002</v>
      </c>
      <c r="M36">
        <v>11</v>
      </c>
      <c r="N36" s="21">
        <v>19854.240000000002</v>
      </c>
    </row>
    <row r="37" spans="1:14">
      <c r="A37" t="str">
        <f>IFERROR(_xlfn.XLOOKUP(B37,Cuentas!$C$1:$C$521,Cuentas!$A$1:$A$521),"")</f>
        <v>Nicolas</v>
      </c>
      <c r="B37" t="s">
        <v>53</v>
      </c>
      <c r="C37" t="s">
        <v>54</v>
      </c>
      <c r="D37" t="s">
        <v>16</v>
      </c>
      <c r="E37" t="s">
        <v>3139</v>
      </c>
      <c r="F37" t="s">
        <v>19</v>
      </c>
      <c r="G37" t="s">
        <v>19</v>
      </c>
      <c r="I37" s="2">
        <v>45733</v>
      </c>
      <c r="J37" t="s">
        <v>20</v>
      </c>
      <c r="K37" s="21">
        <v>-492.96</v>
      </c>
      <c r="L37" s="21">
        <v>-492.96</v>
      </c>
      <c r="M37">
        <v>12</v>
      </c>
      <c r="N37" s="21">
        <v>-492.96</v>
      </c>
    </row>
    <row r="38" spans="1:14">
      <c r="A38" t="str">
        <f>IFERROR(_xlfn.XLOOKUP(B38,Cuentas!$C$1:$C$521,Cuentas!$A$1:$A$521),"")</f>
        <v>Nicolas</v>
      </c>
      <c r="B38" t="s">
        <v>53</v>
      </c>
      <c r="C38" t="s">
        <v>54</v>
      </c>
      <c r="D38" t="s">
        <v>16</v>
      </c>
      <c r="E38" t="s">
        <v>7</v>
      </c>
      <c r="F38" t="s">
        <v>61</v>
      </c>
      <c r="G38" t="s">
        <v>61</v>
      </c>
      <c r="H38" s="2">
        <v>45705</v>
      </c>
      <c r="I38" s="2">
        <v>45735</v>
      </c>
      <c r="J38" t="s">
        <v>20</v>
      </c>
      <c r="K38" s="21">
        <v>19482.62</v>
      </c>
      <c r="L38" s="21">
        <v>19482.62</v>
      </c>
      <c r="M38">
        <v>12</v>
      </c>
      <c r="N38" s="21">
        <v>19482.62</v>
      </c>
    </row>
    <row r="39" spans="1:14">
      <c r="A39" t="str">
        <f>IFERROR(_xlfn.XLOOKUP(B39,Cuentas!$C$1:$C$521,Cuentas!$A$1:$A$521),"")</f>
        <v>Nicolas</v>
      </c>
      <c r="B39" t="s">
        <v>53</v>
      </c>
      <c r="C39" t="s">
        <v>54</v>
      </c>
      <c r="D39" t="s">
        <v>16</v>
      </c>
      <c r="E39" t="s">
        <v>7</v>
      </c>
      <c r="F39" t="s">
        <v>62</v>
      </c>
      <c r="G39" t="s">
        <v>62</v>
      </c>
      <c r="H39" s="2">
        <v>45706</v>
      </c>
      <c r="I39" s="2">
        <v>45736</v>
      </c>
      <c r="J39" t="s">
        <v>20</v>
      </c>
      <c r="K39" s="21">
        <v>21147.09</v>
      </c>
      <c r="L39" s="21">
        <v>21147.09</v>
      </c>
      <c r="M39">
        <v>12</v>
      </c>
      <c r="N39" s="21">
        <v>21147.09</v>
      </c>
    </row>
    <row r="40" spans="1:14">
      <c r="A40" t="str">
        <f>IFERROR(_xlfn.XLOOKUP(B40,Cuentas!$C$1:$C$521,Cuentas!$A$1:$A$521),"")</f>
        <v>Nicolas</v>
      </c>
      <c r="B40" t="s">
        <v>53</v>
      </c>
      <c r="C40" t="s">
        <v>54</v>
      </c>
      <c r="D40" t="s">
        <v>16</v>
      </c>
      <c r="E40" t="s">
        <v>7</v>
      </c>
      <c r="F40" t="s">
        <v>63</v>
      </c>
      <c r="G40" t="s">
        <v>63</v>
      </c>
      <c r="H40" s="2">
        <v>45706</v>
      </c>
      <c r="I40" s="2">
        <v>45736</v>
      </c>
      <c r="J40" t="s">
        <v>20</v>
      </c>
      <c r="K40" s="21">
        <v>21147.09</v>
      </c>
      <c r="L40" s="21">
        <v>21147.09</v>
      </c>
      <c r="M40">
        <v>12</v>
      </c>
      <c r="N40" s="21">
        <v>21147.09</v>
      </c>
    </row>
    <row r="41" spans="1:14">
      <c r="A41" t="str">
        <f>IFERROR(_xlfn.XLOOKUP(B41,Cuentas!$C$1:$C$521,Cuentas!$A$1:$A$521),"")</f>
        <v>Nicolas</v>
      </c>
      <c r="B41" t="s">
        <v>53</v>
      </c>
      <c r="C41" t="s">
        <v>54</v>
      </c>
      <c r="D41" t="s">
        <v>16</v>
      </c>
      <c r="E41" t="s">
        <v>7</v>
      </c>
      <c r="F41" t="s">
        <v>64</v>
      </c>
      <c r="G41" t="s">
        <v>64</v>
      </c>
      <c r="H41" s="2">
        <v>45708</v>
      </c>
      <c r="I41" s="2">
        <v>45738</v>
      </c>
      <c r="J41" t="s">
        <v>20</v>
      </c>
      <c r="K41" s="21">
        <v>11550.85</v>
      </c>
      <c r="L41" s="21">
        <v>11550.85</v>
      </c>
      <c r="M41">
        <v>12</v>
      </c>
      <c r="N41" s="21">
        <v>11550.85</v>
      </c>
    </row>
    <row r="42" spans="1:14">
      <c r="A42" t="str">
        <f>IFERROR(_xlfn.XLOOKUP(B42,Cuentas!$C$1:$C$521,Cuentas!$A$1:$A$521),"")</f>
        <v>Nicolas</v>
      </c>
      <c r="B42" t="s">
        <v>53</v>
      </c>
      <c r="C42" t="s">
        <v>54</v>
      </c>
      <c r="D42" t="s">
        <v>16</v>
      </c>
      <c r="E42" t="s">
        <v>7</v>
      </c>
      <c r="F42" t="s">
        <v>65</v>
      </c>
      <c r="G42" t="s">
        <v>65</v>
      </c>
      <c r="H42" s="2">
        <v>45708</v>
      </c>
      <c r="I42" s="2">
        <v>45738</v>
      </c>
      <c r="J42" t="s">
        <v>20</v>
      </c>
      <c r="K42" s="21">
        <v>10479.17</v>
      </c>
      <c r="L42" s="21">
        <v>10479.17</v>
      </c>
      <c r="M42">
        <v>12</v>
      </c>
      <c r="N42" s="21">
        <v>10479.17</v>
      </c>
    </row>
    <row r="43" spans="1:14">
      <c r="A43" t="str">
        <f>IFERROR(_xlfn.XLOOKUP(B43,Cuentas!$C$1:$C$521,Cuentas!$A$1:$A$521),"")</f>
        <v>Nicolas</v>
      </c>
      <c r="B43" t="s">
        <v>53</v>
      </c>
      <c r="C43" t="s">
        <v>54</v>
      </c>
      <c r="D43" t="s">
        <v>16</v>
      </c>
      <c r="E43" t="s">
        <v>7</v>
      </c>
      <c r="F43" t="s">
        <v>66</v>
      </c>
      <c r="G43" t="s">
        <v>66</v>
      </c>
      <c r="H43" s="2">
        <v>45709</v>
      </c>
      <c r="I43" s="2">
        <v>45739</v>
      </c>
      <c r="J43" t="s">
        <v>20</v>
      </c>
      <c r="K43" s="21">
        <v>21696</v>
      </c>
      <c r="L43" s="21">
        <v>21696</v>
      </c>
      <c r="M43">
        <v>13</v>
      </c>
      <c r="N43" s="21">
        <v>21696</v>
      </c>
    </row>
    <row r="44" spans="1:14">
      <c r="A44" t="str">
        <f>IFERROR(_xlfn.XLOOKUP(B44,Cuentas!$C$1:$C$521,Cuentas!$A$1:$A$521),"")</f>
        <v>Nicolas</v>
      </c>
      <c r="B44" t="s">
        <v>53</v>
      </c>
      <c r="C44" t="s">
        <v>54</v>
      </c>
      <c r="D44" t="s">
        <v>16</v>
      </c>
      <c r="E44" t="s">
        <v>7</v>
      </c>
      <c r="F44" t="s">
        <v>67</v>
      </c>
      <c r="G44" t="s">
        <v>67</v>
      </c>
      <c r="H44" s="2">
        <v>45709</v>
      </c>
      <c r="I44" s="2">
        <v>45739</v>
      </c>
      <c r="J44" t="s">
        <v>20</v>
      </c>
      <c r="K44" s="21">
        <v>26369.86</v>
      </c>
      <c r="L44" s="21">
        <v>26369.86</v>
      </c>
      <c r="M44">
        <v>13</v>
      </c>
      <c r="N44" s="21">
        <v>26369.86</v>
      </c>
    </row>
    <row r="45" spans="1:14">
      <c r="A45" t="str">
        <f>IFERROR(_xlfn.XLOOKUP(B45,Cuentas!$C$1:$C$521,Cuentas!$A$1:$A$521),"")</f>
        <v>Nicolas</v>
      </c>
      <c r="B45" t="s">
        <v>53</v>
      </c>
      <c r="C45" t="s">
        <v>54</v>
      </c>
      <c r="D45" t="s">
        <v>16</v>
      </c>
      <c r="E45" t="s">
        <v>7</v>
      </c>
      <c r="F45" t="s">
        <v>68</v>
      </c>
      <c r="G45" t="s">
        <v>68</v>
      </c>
      <c r="H45" s="2">
        <v>45713</v>
      </c>
      <c r="I45" s="2">
        <v>45743</v>
      </c>
      <c r="J45" t="s">
        <v>20</v>
      </c>
      <c r="K45" s="21">
        <v>21147.09</v>
      </c>
      <c r="L45" s="21">
        <v>21147.09</v>
      </c>
      <c r="M45">
        <v>13</v>
      </c>
      <c r="N45" s="21">
        <v>21147.09</v>
      </c>
    </row>
    <row r="46" spans="1:14">
      <c r="A46" t="str">
        <f>IFERROR(_xlfn.XLOOKUP(B46,Cuentas!$C$1:$C$521,Cuentas!$A$1:$A$521),"")</f>
        <v>Nicolas</v>
      </c>
      <c r="B46" t="s">
        <v>53</v>
      </c>
      <c r="C46" t="s">
        <v>54</v>
      </c>
      <c r="D46" t="s">
        <v>16</v>
      </c>
      <c r="E46" t="s">
        <v>7</v>
      </c>
      <c r="F46" t="s">
        <v>69</v>
      </c>
      <c r="G46" t="s">
        <v>69</v>
      </c>
      <c r="H46" s="2">
        <v>45715</v>
      </c>
      <c r="I46" s="2">
        <v>45745</v>
      </c>
      <c r="J46" t="s">
        <v>20</v>
      </c>
      <c r="K46" s="21">
        <v>25521.49</v>
      </c>
      <c r="L46" s="21">
        <v>25521.49</v>
      </c>
      <c r="M46">
        <v>13</v>
      </c>
      <c r="N46" s="21">
        <v>25521.49</v>
      </c>
    </row>
    <row r="47" spans="1:14">
      <c r="A47" t="str">
        <f>IFERROR(_xlfn.XLOOKUP(B47,Cuentas!$C$1:$C$521,Cuentas!$A$1:$A$521),"")</f>
        <v>Nicolas</v>
      </c>
      <c r="B47" t="s">
        <v>53</v>
      </c>
      <c r="C47" t="s">
        <v>54</v>
      </c>
      <c r="D47" t="s">
        <v>16</v>
      </c>
      <c r="E47" t="s">
        <v>7</v>
      </c>
      <c r="F47" t="s">
        <v>70</v>
      </c>
      <c r="G47" t="s">
        <v>70</v>
      </c>
      <c r="H47" s="2">
        <v>45723</v>
      </c>
      <c r="I47" s="2">
        <v>45753</v>
      </c>
      <c r="J47" t="s">
        <v>20</v>
      </c>
      <c r="K47" s="21">
        <v>5040</v>
      </c>
      <c r="L47" s="21">
        <v>5040</v>
      </c>
      <c r="M47">
        <v>0</v>
      </c>
      <c r="N47" s="21">
        <v>0</v>
      </c>
    </row>
    <row r="48" spans="1:14">
      <c r="A48" t="str">
        <f>IFERROR(_xlfn.XLOOKUP(B48,Cuentas!$C$1:$C$521,Cuentas!$A$1:$A$521),"")</f>
        <v>Nicolas</v>
      </c>
      <c r="B48" t="s">
        <v>53</v>
      </c>
      <c r="C48" t="s">
        <v>54</v>
      </c>
      <c r="D48" t="s">
        <v>16</v>
      </c>
      <c r="E48" t="s">
        <v>7</v>
      </c>
      <c r="F48" t="s">
        <v>71</v>
      </c>
      <c r="G48" t="s">
        <v>71</v>
      </c>
      <c r="H48" s="2">
        <v>45723</v>
      </c>
      <c r="I48" s="2">
        <v>45753</v>
      </c>
      <c r="J48" t="s">
        <v>20</v>
      </c>
      <c r="K48" s="21">
        <v>2736</v>
      </c>
      <c r="L48" s="21">
        <v>2736</v>
      </c>
      <c r="M48">
        <v>0</v>
      </c>
      <c r="N48" s="21">
        <v>0</v>
      </c>
    </row>
    <row r="49" spans="1:14">
      <c r="A49" t="str">
        <f>IFERROR(_xlfn.XLOOKUP(B49,Cuentas!$C$1:$C$521,Cuentas!$A$1:$A$521),"")</f>
        <v>Nicolas</v>
      </c>
      <c r="B49" t="s">
        <v>53</v>
      </c>
      <c r="C49" t="s">
        <v>54</v>
      </c>
      <c r="D49" t="s">
        <v>16</v>
      </c>
      <c r="E49" t="s">
        <v>7</v>
      </c>
      <c r="F49" t="s">
        <v>72</v>
      </c>
      <c r="G49" t="s">
        <v>72</v>
      </c>
      <c r="H49" s="2">
        <v>45723</v>
      </c>
      <c r="I49" s="2">
        <v>45753</v>
      </c>
      <c r="J49" t="s">
        <v>20</v>
      </c>
      <c r="K49" s="21">
        <v>10662.32</v>
      </c>
      <c r="L49" s="21">
        <v>10662.32</v>
      </c>
      <c r="M49">
        <v>0</v>
      </c>
      <c r="N49" s="21">
        <v>0</v>
      </c>
    </row>
    <row r="50" spans="1:14">
      <c r="A50" t="str">
        <f>IFERROR(_xlfn.XLOOKUP(B50,Cuentas!$C$1:$C$521,Cuentas!$A$1:$A$521),"")</f>
        <v>Nicolas</v>
      </c>
      <c r="B50" t="s">
        <v>53</v>
      </c>
      <c r="C50" t="s">
        <v>54</v>
      </c>
      <c r="D50" t="s">
        <v>16</v>
      </c>
      <c r="E50" t="s">
        <v>7</v>
      </c>
      <c r="F50" t="s">
        <v>73</v>
      </c>
      <c r="G50" t="s">
        <v>73</v>
      </c>
      <c r="H50" s="2">
        <v>45723</v>
      </c>
      <c r="I50" s="2">
        <v>45753</v>
      </c>
      <c r="J50" t="s">
        <v>20</v>
      </c>
      <c r="K50" s="21">
        <v>6636</v>
      </c>
      <c r="L50" s="21">
        <v>6636</v>
      </c>
      <c r="M50">
        <v>0</v>
      </c>
      <c r="N50" s="21">
        <v>0</v>
      </c>
    </row>
    <row r="51" spans="1:14">
      <c r="A51" t="str">
        <f>IFERROR(_xlfn.XLOOKUP(B51,Cuentas!$C$1:$C$521,Cuentas!$A$1:$A$521),"")</f>
        <v>Nicolas</v>
      </c>
      <c r="B51" t="s">
        <v>53</v>
      </c>
      <c r="C51" t="s">
        <v>54</v>
      </c>
      <c r="D51" t="s">
        <v>16</v>
      </c>
      <c r="E51" t="s">
        <v>7</v>
      </c>
      <c r="F51" t="s">
        <v>74</v>
      </c>
      <c r="G51" t="s">
        <v>74</v>
      </c>
      <c r="H51" s="2">
        <v>45727</v>
      </c>
      <c r="I51" s="2">
        <v>45757</v>
      </c>
      <c r="J51" t="s">
        <v>20</v>
      </c>
      <c r="K51" s="21">
        <v>302.39999999999998</v>
      </c>
      <c r="L51" s="21">
        <v>302.39999999999998</v>
      </c>
      <c r="M51">
        <v>0</v>
      </c>
      <c r="N51" s="21">
        <v>0</v>
      </c>
    </row>
    <row r="52" spans="1:14">
      <c r="A52" t="str">
        <f>IFERROR(_xlfn.XLOOKUP(B52,Cuentas!$C$1:$C$521,Cuentas!$A$1:$A$521),"")</f>
        <v>Nicolas</v>
      </c>
      <c r="B52" t="s">
        <v>53</v>
      </c>
      <c r="C52" t="s">
        <v>54</v>
      </c>
      <c r="D52" t="s">
        <v>16</v>
      </c>
      <c r="E52" t="s">
        <v>7</v>
      </c>
      <c r="F52" t="s">
        <v>75</v>
      </c>
      <c r="G52" t="s">
        <v>75</v>
      </c>
      <c r="H52" s="2">
        <v>45729</v>
      </c>
      <c r="I52" s="2">
        <v>45759</v>
      </c>
      <c r="J52" t="s">
        <v>20</v>
      </c>
      <c r="K52" s="21">
        <v>3780</v>
      </c>
      <c r="L52" s="21">
        <v>3780</v>
      </c>
      <c r="M52">
        <v>0</v>
      </c>
      <c r="N52" s="21">
        <v>0</v>
      </c>
    </row>
    <row r="53" spans="1:14">
      <c r="A53" t="str">
        <f>IFERROR(_xlfn.XLOOKUP(B53,Cuentas!$C$1:$C$521,Cuentas!$A$1:$A$521),"")</f>
        <v>Nicolas</v>
      </c>
      <c r="B53" t="s">
        <v>53</v>
      </c>
      <c r="C53" t="s">
        <v>54</v>
      </c>
      <c r="D53" t="s">
        <v>16</v>
      </c>
      <c r="E53" t="s">
        <v>7</v>
      </c>
      <c r="F53" t="s">
        <v>76</v>
      </c>
      <c r="G53" t="s">
        <v>76</v>
      </c>
      <c r="H53" s="2">
        <v>45730</v>
      </c>
      <c r="I53" s="2">
        <v>45760</v>
      </c>
      <c r="J53" t="s">
        <v>20</v>
      </c>
      <c r="K53" s="21">
        <v>2389.65</v>
      </c>
      <c r="L53" s="21">
        <v>2389.65</v>
      </c>
      <c r="M53">
        <v>0</v>
      </c>
      <c r="N53" s="21">
        <v>0</v>
      </c>
    </row>
    <row r="54" spans="1:14">
      <c r="A54" t="str">
        <f>IFERROR(_xlfn.XLOOKUP(B54,Cuentas!$C$1:$C$521,Cuentas!$A$1:$A$521),"")</f>
        <v>Nicolas</v>
      </c>
      <c r="B54" t="s">
        <v>53</v>
      </c>
      <c r="C54" t="s">
        <v>54</v>
      </c>
      <c r="D54" t="s">
        <v>16</v>
      </c>
      <c r="E54" t="s">
        <v>7</v>
      </c>
      <c r="F54" t="s">
        <v>77</v>
      </c>
      <c r="G54" t="s">
        <v>77</v>
      </c>
      <c r="H54" s="2">
        <v>45733</v>
      </c>
      <c r="I54" s="2">
        <v>45763</v>
      </c>
      <c r="J54" t="s">
        <v>20</v>
      </c>
      <c r="K54" s="21">
        <v>537</v>
      </c>
      <c r="L54" s="21">
        <v>537</v>
      </c>
      <c r="M54">
        <v>0</v>
      </c>
      <c r="N54" s="21">
        <v>0</v>
      </c>
    </row>
    <row r="55" spans="1:14">
      <c r="A55" t="str">
        <f>IFERROR(_xlfn.XLOOKUP(B55,Cuentas!$C$1:$C$521,Cuentas!$A$1:$A$521),"")</f>
        <v>Nicolas</v>
      </c>
      <c r="B55" t="s">
        <v>78</v>
      </c>
      <c r="C55" t="s">
        <v>79</v>
      </c>
      <c r="D55" t="s">
        <v>16</v>
      </c>
      <c r="E55" t="s">
        <v>3139</v>
      </c>
      <c r="F55" t="s">
        <v>19</v>
      </c>
      <c r="G55" t="s">
        <v>19</v>
      </c>
      <c r="I55" s="2">
        <v>45329</v>
      </c>
      <c r="J55" t="s">
        <v>20</v>
      </c>
      <c r="K55" s="21">
        <v>-176.73</v>
      </c>
      <c r="L55" s="21">
        <v>-176.73</v>
      </c>
      <c r="M55">
        <v>0</v>
      </c>
      <c r="N55" s="21">
        <v>-176.73</v>
      </c>
    </row>
    <row r="56" spans="1:14">
      <c r="A56" t="str">
        <f>IFERROR(_xlfn.XLOOKUP(B56,Cuentas!$C$1:$C$521,Cuentas!$A$1:$A$521),"")</f>
        <v>Nicolas</v>
      </c>
      <c r="B56" t="s">
        <v>78</v>
      </c>
      <c r="C56" t="s">
        <v>79</v>
      </c>
      <c r="D56" t="s">
        <v>16</v>
      </c>
      <c r="E56" t="s">
        <v>5502</v>
      </c>
      <c r="F56" t="s">
        <v>80</v>
      </c>
      <c r="G56" t="s">
        <v>19</v>
      </c>
      <c r="I56" s="2">
        <v>45331</v>
      </c>
      <c r="J56" t="s">
        <v>20</v>
      </c>
      <c r="K56" s="21">
        <v>-771.75</v>
      </c>
      <c r="L56" s="21">
        <v>-771.75</v>
      </c>
      <c r="M56">
        <v>0</v>
      </c>
      <c r="N56" s="21">
        <v>-771.75</v>
      </c>
    </row>
    <row r="57" spans="1:14">
      <c r="A57" t="str">
        <f>IFERROR(_xlfn.XLOOKUP(B57,Cuentas!$C$1:$C$521,Cuentas!$A$1:$A$521),"")</f>
        <v>Nicolas</v>
      </c>
      <c r="B57" t="s">
        <v>78</v>
      </c>
      <c r="C57" t="s">
        <v>79</v>
      </c>
      <c r="D57" t="s">
        <v>16</v>
      </c>
      <c r="E57" t="s">
        <v>5502</v>
      </c>
      <c r="F57" t="s">
        <v>81</v>
      </c>
      <c r="G57" t="s">
        <v>19</v>
      </c>
      <c r="I57" s="2">
        <v>45342</v>
      </c>
      <c r="J57" t="s">
        <v>20</v>
      </c>
      <c r="K57" s="21">
        <v>-88.2</v>
      </c>
      <c r="L57" s="21">
        <v>-88.2</v>
      </c>
      <c r="M57">
        <v>0</v>
      </c>
      <c r="N57" s="21">
        <v>-88.2</v>
      </c>
    </row>
    <row r="58" spans="1:14">
      <c r="A58" t="str">
        <f>IFERROR(_xlfn.XLOOKUP(B58,Cuentas!$C$1:$C$521,Cuentas!$A$1:$A$521),"")</f>
        <v>Nicolas</v>
      </c>
      <c r="B58" t="s">
        <v>78</v>
      </c>
      <c r="C58" t="s">
        <v>79</v>
      </c>
      <c r="D58" t="s">
        <v>16</v>
      </c>
      <c r="E58" t="s">
        <v>5502</v>
      </c>
      <c r="F58" t="s">
        <v>82</v>
      </c>
      <c r="G58" t="s">
        <v>19</v>
      </c>
      <c r="I58" s="2">
        <v>45495</v>
      </c>
      <c r="J58" t="s">
        <v>20</v>
      </c>
      <c r="K58" s="21">
        <v>-14.7</v>
      </c>
      <c r="L58" s="21">
        <v>-14.7</v>
      </c>
      <c r="M58">
        <v>0</v>
      </c>
      <c r="N58" s="21">
        <v>-14.7</v>
      </c>
    </row>
    <row r="59" spans="1:14">
      <c r="A59" t="str">
        <f>IFERROR(_xlfn.XLOOKUP(B59,Cuentas!$C$1:$C$521,Cuentas!$A$1:$A$521),"")</f>
        <v>Nicolas</v>
      </c>
      <c r="B59" t="s">
        <v>78</v>
      </c>
      <c r="C59" t="s">
        <v>79</v>
      </c>
      <c r="D59" t="s">
        <v>16</v>
      </c>
      <c r="E59" t="s">
        <v>7</v>
      </c>
      <c r="F59" t="s">
        <v>83</v>
      </c>
      <c r="G59" t="s">
        <v>83</v>
      </c>
      <c r="H59" s="2">
        <v>45476</v>
      </c>
      <c r="I59" s="2">
        <v>45506</v>
      </c>
      <c r="J59" t="s">
        <v>20</v>
      </c>
      <c r="K59" s="21">
        <v>172.72</v>
      </c>
      <c r="L59" s="21">
        <v>172.72</v>
      </c>
      <c r="M59">
        <v>0</v>
      </c>
      <c r="N59" s="21">
        <v>172.72</v>
      </c>
    </row>
    <row r="60" spans="1:14">
      <c r="A60" t="str">
        <f>IFERROR(_xlfn.XLOOKUP(B60,Cuentas!$C$1:$C$521,Cuentas!$A$1:$A$521),"")</f>
        <v>Nicolas</v>
      </c>
      <c r="B60" t="s">
        <v>78</v>
      </c>
      <c r="C60" t="s">
        <v>79</v>
      </c>
      <c r="D60" t="s">
        <v>16</v>
      </c>
      <c r="E60" t="s">
        <v>7</v>
      </c>
      <c r="F60" t="s">
        <v>84</v>
      </c>
      <c r="G60" t="s">
        <v>84</v>
      </c>
      <c r="H60" s="2">
        <v>45505</v>
      </c>
      <c r="I60" s="2">
        <v>45535</v>
      </c>
      <c r="J60" t="s">
        <v>20</v>
      </c>
      <c r="K60" s="21">
        <v>735</v>
      </c>
      <c r="L60" s="21">
        <v>735</v>
      </c>
      <c r="M60">
        <v>0</v>
      </c>
      <c r="N60" s="21">
        <v>735</v>
      </c>
    </row>
    <row r="61" spans="1:14">
      <c r="A61" t="str">
        <f>IFERROR(_xlfn.XLOOKUP(B61,Cuentas!$C$1:$C$521,Cuentas!$A$1:$A$521),"")</f>
        <v>Nicolas</v>
      </c>
      <c r="B61" t="s">
        <v>78</v>
      </c>
      <c r="C61" t="s">
        <v>79</v>
      </c>
      <c r="D61" t="s">
        <v>16</v>
      </c>
      <c r="E61" t="s">
        <v>7</v>
      </c>
      <c r="F61" t="s">
        <v>85</v>
      </c>
      <c r="G61" t="s">
        <v>85</v>
      </c>
      <c r="H61" s="2">
        <v>45589</v>
      </c>
      <c r="I61" s="2">
        <v>45619</v>
      </c>
      <c r="J61" t="s">
        <v>20</v>
      </c>
      <c r="K61" s="21">
        <v>2940</v>
      </c>
      <c r="L61" s="21">
        <v>367.5</v>
      </c>
      <c r="M61">
        <v>0</v>
      </c>
      <c r="N61" s="21">
        <v>367.5</v>
      </c>
    </row>
    <row r="62" spans="1:14">
      <c r="A62" t="str">
        <f>IFERROR(_xlfn.XLOOKUP(B62,Cuentas!$C$1:$C$521,Cuentas!$A$1:$A$521),"")</f>
        <v>Nicolas</v>
      </c>
      <c r="B62" t="s">
        <v>78</v>
      </c>
      <c r="C62" t="s">
        <v>79</v>
      </c>
      <c r="D62" t="s">
        <v>16</v>
      </c>
      <c r="E62" t="s">
        <v>3139</v>
      </c>
      <c r="F62" t="s">
        <v>85</v>
      </c>
      <c r="G62" t="s">
        <v>85</v>
      </c>
      <c r="I62" s="2">
        <v>45688</v>
      </c>
      <c r="J62" t="s">
        <v>20</v>
      </c>
      <c r="K62" s="21">
        <v>-2572.5</v>
      </c>
      <c r="L62" s="21" t="s">
        <v>86</v>
      </c>
      <c r="M62">
        <v>0</v>
      </c>
      <c r="N62" s="21" t="s">
        <v>86</v>
      </c>
    </row>
    <row r="63" spans="1:14">
      <c r="A63" t="str">
        <f>IFERROR(_xlfn.XLOOKUP(B63,Cuentas!$C$1:$C$521,Cuentas!$A$1:$A$521),"")</f>
        <v>Nicolas</v>
      </c>
      <c r="B63" t="s">
        <v>78</v>
      </c>
      <c r="C63" t="s">
        <v>79</v>
      </c>
      <c r="D63" t="s">
        <v>16</v>
      </c>
      <c r="E63" t="s">
        <v>7</v>
      </c>
      <c r="F63" t="s">
        <v>87</v>
      </c>
      <c r="G63" t="s">
        <v>87</v>
      </c>
      <c r="H63" s="2">
        <v>45602</v>
      </c>
      <c r="I63" s="2">
        <v>45632</v>
      </c>
      <c r="J63" t="s">
        <v>20</v>
      </c>
      <c r="K63" s="21">
        <v>1176</v>
      </c>
      <c r="L63" s="21">
        <v>147</v>
      </c>
      <c r="M63">
        <v>0</v>
      </c>
      <c r="N63" s="21">
        <v>147</v>
      </c>
    </row>
    <row r="64" spans="1:14">
      <c r="A64" t="str">
        <f>IFERROR(_xlfn.XLOOKUP(B64,Cuentas!$C$1:$C$521,Cuentas!$A$1:$A$521),"")</f>
        <v>Nicolas</v>
      </c>
      <c r="B64" t="s">
        <v>78</v>
      </c>
      <c r="C64" t="s">
        <v>79</v>
      </c>
      <c r="D64" t="s">
        <v>16</v>
      </c>
      <c r="E64" t="s">
        <v>3139</v>
      </c>
      <c r="F64" t="s">
        <v>87</v>
      </c>
      <c r="G64" t="s">
        <v>87</v>
      </c>
      <c r="I64" s="2">
        <v>45688</v>
      </c>
      <c r="J64" t="s">
        <v>20</v>
      </c>
      <c r="K64" s="21">
        <v>-1029</v>
      </c>
      <c r="L64" s="21" t="s">
        <v>86</v>
      </c>
      <c r="M64">
        <v>0</v>
      </c>
      <c r="N64" s="21" t="s">
        <v>86</v>
      </c>
    </row>
    <row r="65" spans="1:14">
      <c r="A65" t="str">
        <f>IFERROR(_xlfn.XLOOKUP(B65,Cuentas!$C$1:$C$521,Cuentas!$A$1:$A$521),"")</f>
        <v>Nicolas</v>
      </c>
      <c r="B65" t="s">
        <v>78</v>
      </c>
      <c r="C65" t="s">
        <v>79</v>
      </c>
      <c r="D65" t="s">
        <v>16</v>
      </c>
      <c r="E65" t="s">
        <v>7</v>
      </c>
      <c r="F65" t="s">
        <v>88</v>
      </c>
      <c r="G65" t="s">
        <v>88</v>
      </c>
      <c r="H65" s="2">
        <v>45708</v>
      </c>
      <c r="I65" s="2">
        <v>45738</v>
      </c>
      <c r="J65" t="s">
        <v>20</v>
      </c>
      <c r="K65" s="21">
        <v>10804.5</v>
      </c>
      <c r="L65" s="21">
        <v>10804.5</v>
      </c>
      <c r="M65">
        <v>12</v>
      </c>
      <c r="N65" s="21">
        <v>10804.5</v>
      </c>
    </row>
    <row r="66" spans="1:14">
      <c r="A66" t="str">
        <f>IFERROR(_xlfn.XLOOKUP(B66,Cuentas!$C$1:$C$521,Cuentas!$A$1:$A$521),"")</f>
        <v>Nicolas</v>
      </c>
      <c r="B66" t="s">
        <v>78</v>
      </c>
      <c r="C66" t="s">
        <v>79</v>
      </c>
      <c r="D66" t="s">
        <v>16</v>
      </c>
      <c r="E66" t="s">
        <v>7</v>
      </c>
      <c r="F66" t="s">
        <v>89</v>
      </c>
      <c r="G66" t="s">
        <v>89</v>
      </c>
      <c r="H66" s="2">
        <v>45721</v>
      </c>
      <c r="I66" s="2">
        <v>45751</v>
      </c>
      <c r="J66" t="s">
        <v>20</v>
      </c>
      <c r="K66" s="21">
        <v>13230</v>
      </c>
      <c r="L66" s="21">
        <v>13230</v>
      </c>
      <c r="M66">
        <v>0</v>
      </c>
      <c r="N66" s="21">
        <v>0</v>
      </c>
    </row>
    <row r="67" spans="1:14">
      <c r="A67" t="str">
        <f>IFERROR(_xlfn.XLOOKUP(B67,Cuentas!$C$1:$C$521,Cuentas!$A$1:$A$521),"")</f>
        <v>Nicolas</v>
      </c>
      <c r="B67" t="s">
        <v>78</v>
      </c>
      <c r="C67" t="s">
        <v>79</v>
      </c>
      <c r="D67" t="s">
        <v>16</v>
      </c>
      <c r="E67" t="s">
        <v>7</v>
      </c>
      <c r="F67" t="s">
        <v>90</v>
      </c>
      <c r="G67" t="s">
        <v>90</v>
      </c>
      <c r="H67" s="2">
        <v>45727</v>
      </c>
      <c r="I67" s="2">
        <v>45757</v>
      </c>
      <c r="J67" t="s">
        <v>20</v>
      </c>
      <c r="K67" s="21">
        <v>14259</v>
      </c>
      <c r="L67" s="21">
        <v>14259</v>
      </c>
      <c r="M67">
        <v>0</v>
      </c>
      <c r="N67" s="21">
        <v>0</v>
      </c>
    </row>
    <row r="68" spans="1:14">
      <c r="A68" t="str">
        <f>IFERROR(_xlfn.XLOOKUP(B68,Cuentas!$C$1:$C$521,Cuentas!$A$1:$A$521),"")</f>
        <v>Nicolas</v>
      </c>
      <c r="B68" t="s">
        <v>78</v>
      </c>
      <c r="C68" t="s">
        <v>79</v>
      </c>
      <c r="D68" t="s">
        <v>16</v>
      </c>
      <c r="E68" t="s">
        <v>7</v>
      </c>
      <c r="F68" t="s">
        <v>91</v>
      </c>
      <c r="G68" t="s">
        <v>91</v>
      </c>
      <c r="H68" s="2">
        <v>45735</v>
      </c>
      <c r="I68" s="2">
        <v>45765</v>
      </c>
      <c r="J68" t="s">
        <v>20</v>
      </c>
      <c r="K68" s="21">
        <v>12054</v>
      </c>
      <c r="L68" s="21">
        <v>12054</v>
      </c>
      <c r="M68">
        <v>0</v>
      </c>
      <c r="N68" s="21">
        <v>0</v>
      </c>
    </row>
    <row r="69" spans="1:14">
      <c r="A69" t="str">
        <f>IFERROR(_xlfn.XLOOKUP(B69,Cuentas!$C$1:$C$521,Cuentas!$A$1:$A$521),"")</f>
        <v>Nicolas</v>
      </c>
      <c r="B69" t="s">
        <v>78</v>
      </c>
      <c r="C69" t="s">
        <v>79</v>
      </c>
      <c r="D69" t="s">
        <v>16</v>
      </c>
      <c r="E69" t="s">
        <v>7</v>
      </c>
      <c r="F69" t="s">
        <v>92</v>
      </c>
      <c r="G69" t="s">
        <v>92</v>
      </c>
      <c r="H69" s="2">
        <v>45736</v>
      </c>
      <c r="I69" s="2">
        <v>45766</v>
      </c>
      <c r="J69" t="s">
        <v>20</v>
      </c>
      <c r="K69" s="21">
        <v>2205</v>
      </c>
      <c r="L69" s="21">
        <v>2205</v>
      </c>
      <c r="M69">
        <v>0</v>
      </c>
      <c r="N69" s="21">
        <v>0</v>
      </c>
    </row>
    <row r="70" spans="1:14">
      <c r="A70" t="str">
        <f>IFERROR(_xlfn.XLOOKUP(B70,Cuentas!$C$1:$C$521,Cuentas!$A$1:$A$521),"")</f>
        <v>Nicolas</v>
      </c>
      <c r="B70" t="s">
        <v>93</v>
      </c>
      <c r="C70" t="s">
        <v>94</v>
      </c>
      <c r="D70" t="s">
        <v>16</v>
      </c>
      <c r="E70" t="s">
        <v>7</v>
      </c>
      <c r="F70" t="s">
        <v>95</v>
      </c>
      <c r="G70" t="s">
        <v>95</v>
      </c>
      <c r="H70" s="2">
        <v>45275</v>
      </c>
      <c r="I70" s="2">
        <v>45305</v>
      </c>
      <c r="J70" t="s">
        <v>20</v>
      </c>
      <c r="K70" s="21">
        <v>381.94</v>
      </c>
      <c r="L70" s="21">
        <v>381.94</v>
      </c>
      <c r="M70">
        <v>0</v>
      </c>
      <c r="N70" s="21">
        <v>381.94</v>
      </c>
    </row>
    <row r="71" spans="1:14">
      <c r="A71" t="str">
        <f>IFERROR(_xlfn.XLOOKUP(B71,Cuentas!$C$1:$C$521,Cuentas!$A$1:$A$521),"")</f>
        <v>Nicolas</v>
      </c>
      <c r="B71" t="s">
        <v>93</v>
      </c>
      <c r="C71" t="s">
        <v>94</v>
      </c>
      <c r="D71" t="s">
        <v>16</v>
      </c>
      <c r="E71" t="s">
        <v>7</v>
      </c>
      <c r="F71" t="s">
        <v>96</v>
      </c>
      <c r="G71" t="s">
        <v>96</v>
      </c>
      <c r="H71" s="2">
        <v>45398</v>
      </c>
      <c r="I71" s="2">
        <v>45428</v>
      </c>
      <c r="J71" t="s">
        <v>20</v>
      </c>
      <c r="K71" s="21">
        <v>31157.49</v>
      </c>
      <c r="L71" s="21">
        <v>2709.74</v>
      </c>
      <c r="M71">
        <v>0</v>
      </c>
      <c r="N71" s="21">
        <v>2709.74</v>
      </c>
    </row>
    <row r="72" spans="1:14">
      <c r="A72" t="str">
        <f>IFERROR(_xlfn.XLOOKUP(B72,Cuentas!$C$1:$C$521,Cuentas!$A$1:$A$521),"")</f>
        <v>Nicolas</v>
      </c>
      <c r="B72" t="s">
        <v>93</v>
      </c>
      <c r="C72" t="s">
        <v>94</v>
      </c>
      <c r="D72" t="s">
        <v>16</v>
      </c>
      <c r="E72" t="s">
        <v>3139</v>
      </c>
      <c r="F72" t="s">
        <v>96</v>
      </c>
      <c r="G72" t="s">
        <v>96</v>
      </c>
      <c r="I72" s="2">
        <v>45565</v>
      </c>
      <c r="J72" t="s">
        <v>20</v>
      </c>
      <c r="K72" s="21">
        <v>-28447.75</v>
      </c>
      <c r="L72" s="21" t="s">
        <v>86</v>
      </c>
      <c r="M72">
        <v>0</v>
      </c>
      <c r="N72" s="21" t="s">
        <v>86</v>
      </c>
    </row>
    <row r="73" spans="1:14">
      <c r="A73" t="str">
        <f>IFERROR(_xlfn.XLOOKUP(B73,Cuentas!$C$1:$C$521,Cuentas!$A$1:$A$521),"")</f>
        <v>Nicolas</v>
      </c>
      <c r="B73" t="s">
        <v>93</v>
      </c>
      <c r="C73" t="s">
        <v>94</v>
      </c>
      <c r="D73" t="s">
        <v>16</v>
      </c>
      <c r="E73" t="s">
        <v>7</v>
      </c>
      <c r="F73" t="s">
        <v>97</v>
      </c>
      <c r="G73" t="s">
        <v>97</v>
      </c>
      <c r="H73" s="2">
        <v>45565</v>
      </c>
      <c r="I73" s="2">
        <v>45595</v>
      </c>
      <c r="J73" t="s">
        <v>20</v>
      </c>
      <c r="K73" s="21">
        <v>589.86</v>
      </c>
      <c r="L73" s="21">
        <v>589.86</v>
      </c>
      <c r="M73">
        <v>0</v>
      </c>
      <c r="N73" s="21">
        <v>589.86</v>
      </c>
    </row>
    <row r="74" spans="1:14">
      <c r="A74" t="str">
        <f>IFERROR(_xlfn.XLOOKUP(B74,Cuentas!$C$1:$C$521,Cuentas!$A$1:$A$521),"")</f>
        <v>Nicolas</v>
      </c>
      <c r="B74" t="s">
        <v>93</v>
      </c>
      <c r="C74" t="s">
        <v>94</v>
      </c>
      <c r="D74" t="s">
        <v>16</v>
      </c>
      <c r="E74" t="s">
        <v>7</v>
      </c>
      <c r="F74" t="s">
        <v>98</v>
      </c>
      <c r="G74" t="s">
        <v>98</v>
      </c>
      <c r="H74" s="2">
        <v>45623</v>
      </c>
      <c r="I74" s="2">
        <v>45653</v>
      </c>
      <c r="J74" t="s">
        <v>20</v>
      </c>
      <c r="K74" s="21">
        <v>1839.82</v>
      </c>
      <c r="L74" s="21">
        <v>1839.82</v>
      </c>
      <c r="M74">
        <v>0</v>
      </c>
      <c r="N74" s="21">
        <v>1839.82</v>
      </c>
    </row>
    <row r="75" spans="1:14">
      <c r="A75" t="str">
        <f>IFERROR(_xlfn.XLOOKUP(B75,Cuentas!$C$1:$C$521,Cuentas!$A$1:$A$521),"")</f>
        <v>Nicolas</v>
      </c>
      <c r="B75" t="s">
        <v>93</v>
      </c>
      <c r="C75" t="s">
        <v>94</v>
      </c>
      <c r="D75" t="s">
        <v>16</v>
      </c>
      <c r="E75" t="s">
        <v>3139</v>
      </c>
      <c r="F75" t="s">
        <v>19</v>
      </c>
      <c r="G75" t="s">
        <v>19</v>
      </c>
      <c r="I75" s="2">
        <v>45685</v>
      </c>
      <c r="J75" t="s">
        <v>20</v>
      </c>
      <c r="K75" s="21">
        <v>-1494.99</v>
      </c>
      <c r="L75" s="21">
        <v>-1494.99</v>
      </c>
      <c r="M75">
        <v>0</v>
      </c>
      <c r="N75" s="21">
        <v>-1494.99</v>
      </c>
    </row>
    <row r="76" spans="1:14">
      <c r="A76" t="str">
        <f>IFERROR(_xlfn.XLOOKUP(B76,Cuentas!$C$1:$C$521,Cuentas!$A$1:$A$521),"")</f>
        <v>Nicolas</v>
      </c>
      <c r="B76" t="s">
        <v>99</v>
      </c>
      <c r="C76" t="s">
        <v>100</v>
      </c>
      <c r="D76" t="s">
        <v>16</v>
      </c>
      <c r="E76" t="s">
        <v>7</v>
      </c>
      <c r="F76" t="s">
        <v>101</v>
      </c>
      <c r="G76" t="s">
        <v>101</v>
      </c>
      <c r="H76" s="2">
        <v>45428</v>
      </c>
      <c r="I76" s="2">
        <v>45458</v>
      </c>
      <c r="J76" t="s">
        <v>20</v>
      </c>
      <c r="K76" s="21">
        <v>698.64</v>
      </c>
      <c r="L76" s="21">
        <v>300.83</v>
      </c>
      <c r="M76">
        <v>0</v>
      </c>
      <c r="N76" s="21">
        <v>300.83</v>
      </c>
    </row>
    <row r="77" spans="1:14">
      <c r="A77" t="str">
        <f>IFERROR(_xlfn.XLOOKUP(B77,Cuentas!$C$1:$C$521,Cuentas!$A$1:$A$521),"")</f>
        <v>Nicolas</v>
      </c>
      <c r="B77" t="s">
        <v>99</v>
      </c>
      <c r="C77" t="s">
        <v>100</v>
      </c>
      <c r="D77" t="s">
        <v>16</v>
      </c>
      <c r="E77" t="s">
        <v>5502</v>
      </c>
      <c r="F77" t="s">
        <v>102</v>
      </c>
      <c r="G77" t="s">
        <v>101</v>
      </c>
      <c r="I77" s="2">
        <v>45519</v>
      </c>
      <c r="J77" t="s">
        <v>20</v>
      </c>
      <c r="K77" s="21">
        <v>-49.78</v>
      </c>
      <c r="L77" s="21" t="s">
        <v>86</v>
      </c>
      <c r="M77">
        <v>0</v>
      </c>
      <c r="N77" s="21" t="s">
        <v>86</v>
      </c>
    </row>
    <row r="78" spans="1:14">
      <c r="A78" t="str">
        <f>IFERROR(_xlfn.XLOOKUP(B78,Cuentas!$C$1:$C$521,Cuentas!$A$1:$A$521),"")</f>
        <v>Nicolas</v>
      </c>
      <c r="B78" t="s">
        <v>99</v>
      </c>
      <c r="C78" t="s">
        <v>100</v>
      </c>
      <c r="D78" t="s">
        <v>16</v>
      </c>
      <c r="E78" t="s">
        <v>3139</v>
      </c>
      <c r="F78" t="s">
        <v>101</v>
      </c>
      <c r="G78" t="s">
        <v>101</v>
      </c>
      <c r="I78" s="2">
        <v>45621</v>
      </c>
      <c r="J78" t="s">
        <v>20</v>
      </c>
      <c r="K78" s="21">
        <v>-348.03</v>
      </c>
      <c r="L78" s="21" t="s">
        <v>86</v>
      </c>
      <c r="M78">
        <v>0</v>
      </c>
      <c r="N78" s="21" t="s">
        <v>86</v>
      </c>
    </row>
    <row r="79" spans="1:14">
      <c r="A79" t="str">
        <f>IFERROR(_xlfn.XLOOKUP(B79,Cuentas!$C$1:$C$521,Cuentas!$A$1:$A$521),"")</f>
        <v>Nicolas</v>
      </c>
      <c r="B79" t="s">
        <v>99</v>
      </c>
      <c r="C79" t="s">
        <v>100</v>
      </c>
      <c r="D79" t="s">
        <v>16</v>
      </c>
      <c r="E79" t="s">
        <v>7</v>
      </c>
      <c r="F79" t="s">
        <v>103</v>
      </c>
      <c r="G79" t="s">
        <v>103</v>
      </c>
      <c r="H79" s="2">
        <v>45442</v>
      </c>
      <c r="I79" s="2">
        <v>45472</v>
      </c>
      <c r="J79" t="s">
        <v>20</v>
      </c>
      <c r="K79" s="21">
        <v>21288.05</v>
      </c>
      <c r="L79" s="21">
        <v>21288.05</v>
      </c>
      <c r="M79">
        <v>0</v>
      </c>
      <c r="N79" s="21">
        <v>21288.05</v>
      </c>
    </row>
    <row r="80" spans="1:14">
      <c r="A80" t="str">
        <f>IFERROR(_xlfn.XLOOKUP(B80,Cuentas!$C$1:$C$521,Cuentas!$A$1:$A$521),"")</f>
        <v>Nicolas</v>
      </c>
      <c r="B80" t="s">
        <v>99</v>
      </c>
      <c r="C80" t="s">
        <v>100</v>
      </c>
      <c r="D80" t="s">
        <v>16</v>
      </c>
      <c r="E80" t="s">
        <v>7</v>
      </c>
      <c r="F80" t="s">
        <v>104</v>
      </c>
      <c r="G80" t="s">
        <v>104</v>
      </c>
      <c r="H80" s="2">
        <v>45552</v>
      </c>
      <c r="I80" s="2">
        <v>45582</v>
      </c>
      <c r="J80" t="s">
        <v>20</v>
      </c>
      <c r="K80" s="21">
        <v>350.67</v>
      </c>
      <c r="L80" s="21">
        <v>320.25</v>
      </c>
      <c r="M80">
        <v>0</v>
      </c>
      <c r="N80" s="21">
        <v>320.25</v>
      </c>
    </row>
    <row r="81" spans="1:14">
      <c r="A81" t="str">
        <f>IFERROR(_xlfn.XLOOKUP(B81,Cuentas!$C$1:$C$521,Cuentas!$A$1:$A$521),"")</f>
        <v>Nicolas</v>
      </c>
      <c r="B81" t="s">
        <v>99</v>
      </c>
      <c r="C81" t="s">
        <v>100</v>
      </c>
      <c r="D81" t="s">
        <v>16</v>
      </c>
      <c r="E81" t="s">
        <v>5502</v>
      </c>
      <c r="F81" t="s">
        <v>105</v>
      </c>
      <c r="G81" t="s">
        <v>104</v>
      </c>
      <c r="I81" s="2">
        <v>45581</v>
      </c>
      <c r="J81" t="s">
        <v>20</v>
      </c>
      <c r="K81" s="21">
        <v>-30.42</v>
      </c>
      <c r="L81" s="21" t="s">
        <v>86</v>
      </c>
      <c r="M81">
        <v>0</v>
      </c>
      <c r="N81" s="21" t="s">
        <v>86</v>
      </c>
    </row>
    <row r="82" spans="1:14">
      <c r="A82" t="str">
        <f>IFERROR(_xlfn.XLOOKUP(B82,Cuentas!$C$1:$C$521,Cuentas!$A$1:$A$521),"")</f>
        <v>Nicolas</v>
      </c>
      <c r="B82" t="s">
        <v>99</v>
      </c>
      <c r="C82" t="s">
        <v>100</v>
      </c>
      <c r="D82" t="s">
        <v>16</v>
      </c>
      <c r="E82" t="s">
        <v>7</v>
      </c>
      <c r="F82" t="s">
        <v>106</v>
      </c>
      <c r="G82" t="s">
        <v>106</v>
      </c>
      <c r="H82" s="2">
        <v>45552</v>
      </c>
      <c r="I82" s="2">
        <v>45582</v>
      </c>
      <c r="J82" t="s">
        <v>20</v>
      </c>
      <c r="K82" s="21">
        <v>1407.41</v>
      </c>
      <c r="L82" s="21">
        <v>1285.3</v>
      </c>
      <c r="M82">
        <v>0</v>
      </c>
      <c r="N82" s="21">
        <v>1285.3</v>
      </c>
    </row>
    <row r="83" spans="1:14">
      <c r="A83" t="str">
        <f>IFERROR(_xlfn.XLOOKUP(B83,Cuentas!$C$1:$C$521,Cuentas!$A$1:$A$521),"")</f>
        <v>Nicolas</v>
      </c>
      <c r="B83" t="s">
        <v>99</v>
      </c>
      <c r="C83" t="s">
        <v>100</v>
      </c>
      <c r="D83" t="s">
        <v>16</v>
      </c>
      <c r="E83" t="s">
        <v>5502</v>
      </c>
      <c r="F83" t="s">
        <v>107</v>
      </c>
      <c r="G83" t="s">
        <v>106</v>
      </c>
      <c r="I83" s="2">
        <v>45581</v>
      </c>
      <c r="J83" t="s">
        <v>20</v>
      </c>
      <c r="K83" s="21">
        <v>-122.11</v>
      </c>
      <c r="L83" s="21" t="s">
        <v>86</v>
      </c>
      <c r="M83">
        <v>0</v>
      </c>
      <c r="N83" s="21" t="s">
        <v>86</v>
      </c>
    </row>
    <row r="84" spans="1:14">
      <c r="A84" t="str">
        <f>IFERROR(_xlfn.XLOOKUP(B84,Cuentas!$C$1:$C$521,Cuentas!$A$1:$A$521),"")</f>
        <v>Nicolas</v>
      </c>
      <c r="B84" t="s">
        <v>99</v>
      </c>
      <c r="C84" t="s">
        <v>100</v>
      </c>
      <c r="D84" t="s">
        <v>16</v>
      </c>
      <c r="E84" t="s">
        <v>7</v>
      </c>
      <c r="F84" t="s">
        <v>108</v>
      </c>
      <c r="G84" t="s">
        <v>108</v>
      </c>
      <c r="H84" s="2">
        <v>45555</v>
      </c>
      <c r="I84" s="2">
        <v>45585</v>
      </c>
      <c r="J84" t="s">
        <v>20</v>
      </c>
      <c r="K84" s="21">
        <v>19174.419999999998</v>
      </c>
      <c r="L84" s="21">
        <v>17510.87</v>
      </c>
      <c r="M84">
        <v>0</v>
      </c>
      <c r="N84" s="21">
        <v>17510.87</v>
      </c>
    </row>
    <row r="85" spans="1:14">
      <c r="A85" t="str">
        <f>IFERROR(_xlfn.XLOOKUP(B85,Cuentas!$C$1:$C$521,Cuentas!$A$1:$A$521),"")</f>
        <v>Nicolas</v>
      </c>
      <c r="B85" t="s">
        <v>99</v>
      </c>
      <c r="C85" t="s">
        <v>100</v>
      </c>
      <c r="D85" t="s">
        <v>16</v>
      </c>
      <c r="E85" t="s">
        <v>5502</v>
      </c>
      <c r="F85" t="s">
        <v>109</v>
      </c>
      <c r="G85" t="s">
        <v>108</v>
      </c>
      <c r="I85" s="2">
        <v>45581</v>
      </c>
      <c r="J85" t="s">
        <v>20</v>
      </c>
      <c r="K85" s="21">
        <v>-1663.55</v>
      </c>
      <c r="L85" s="21" t="s">
        <v>86</v>
      </c>
      <c r="M85">
        <v>0</v>
      </c>
      <c r="N85" s="21" t="s">
        <v>86</v>
      </c>
    </row>
    <row r="86" spans="1:14">
      <c r="A86" t="str">
        <f>IFERROR(_xlfn.XLOOKUP(B86,Cuentas!$C$1:$C$521,Cuentas!$A$1:$A$521),"")</f>
        <v>Nicolas</v>
      </c>
      <c r="B86" t="s">
        <v>99</v>
      </c>
      <c r="C86" t="s">
        <v>100</v>
      </c>
      <c r="D86" t="s">
        <v>16</v>
      </c>
      <c r="E86" t="s">
        <v>7</v>
      </c>
      <c r="F86" t="s">
        <v>110</v>
      </c>
      <c r="G86" t="s">
        <v>110</v>
      </c>
      <c r="H86" s="2">
        <v>45565</v>
      </c>
      <c r="I86" s="2">
        <v>45595</v>
      </c>
      <c r="J86" t="s">
        <v>20</v>
      </c>
      <c r="K86" s="21">
        <v>516.70000000000005</v>
      </c>
      <c r="L86" s="21">
        <v>516.70000000000005</v>
      </c>
      <c r="M86">
        <v>0</v>
      </c>
      <c r="N86" s="21">
        <v>516.70000000000005</v>
      </c>
    </row>
    <row r="87" spans="1:14">
      <c r="A87" t="str">
        <f>IFERROR(_xlfn.XLOOKUP(B87,Cuentas!$C$1:$C$521,Cuentas!$A$1:$A$521),"")</f>
        <v>Nicolas</v>
      </c>
      <c r="B87" t="s">
        <v>99</v>
      </c>
      <c r="C87" t="s">
        <v>100</v>
      </c>
      <c r="D87" t="s">
        <v>16</v>
      </c>
      <c r="E87" t="s">
        <v>7</v>
      </c>
      <c r="F87" t="s">
        <v>111</v>
      </c>
      <c r="G87" t="s">
        <v>111</v>
      </c>
      <c r="H87" s="2">
        <v>45565</v>
      </c>
      <c r="I87" s="2">
        <v>45595</v>
      </c>
      <c r="J87" t="s">
        <v>20</v>
      </c>
      <c r="K87" s="21">
        <v>1064.4000000000001</v>
      </c>
      <c r="L87" s="21">
        <v>1064.4000000000001</v>
      </c>
      <c r="M87">
        <v>0</v>
      </c>
      <c r="N87" s="21">
        <v>1064.4000000000001</v>
      </c>
    </row>
    <row r="88" spans="1:14">
      <c r="A88" t="str">
        <f>IFERROR(_xlfn.XLOOKUP(B88,Cuentas!$C$1:$C$521,Cuentas!$A$1:$A$521),"")</f>
        <v>Nicolas</v>
      </c>
      <c r="B88" t="s">
        <v>99</v>
      </c>
      <c r="C88" t="s">
        <v>100</v>
      </c>
      <c r="D88" t="s">
        <v>16</v>
      </c>
      <c r="E88" t="s">
        <v>7</v>
      </c>
      <c r="F88" t="s">
        <v>112</v>
      </c>
      <c r="G88" t="s">
        <v>112</v>
      </c>
      <c r="H88" s="2">
        <v>45573</v>
      </c>
      <c r="I88" s="2">
        <v>45603</v>
      </c>
      <c r="J88" t="s">
        <v>20</v>
      </c>
      <c r="K88" s="21">
        <v>1034.98</v>
      </c>
      <c r="L88" s="21">
        <v>1034.98</v>
      </c>
      <c r="M88">
        <v>0</v>
      </c>
      <c r="N88" s="21">
        <v>1034.98</v>
      </c>
    </row>
    <row r="89" spans="1:14">
      <c r="A89" t="str">
        <f>IFERROR(_xlfn.XLOOKUP(B89,Cuentas!$C$1:$C$521,Cuentas!$A$1:$A$521),"")</f>
        <v>Nicolas</v>
      </c>
      <c r="B89" t="s">
        <v>99</v>
      </c>
      <c r="C89" t="s">
        <v>100</v>
      </c>
      <c r="D89" t="s">
        <v>16</v>
      </c>
      <c r="E89" t="s">
        <v>7</v>
      </c>
      <c r="F89" t="s">
        <v>113</v>
      </c>
      <c r="G89" t="s">
        <v>113</v>
      </c>
      <c r="H89" s="2">
        <v>45617</v>
      </c>
      <c r="I89" s="2">
        <v>45647</v>
      </c>
      <c r="J89" t="s">
        <v>20</v>
      </c>
      <c r="K89" s="21">
        <v>2299.5</v>
      </c>
      <c r="L89" s="21">
        <v>2299.5</v>
      </c>
      <c r="M89">
        <v>0</v>
      </c>
      <c r="N89" s="21">
        <v>2299.5</v>
      </c>
    </row>
    <row r="90" spans="1:14">
      <c r="A90" t="str">
        <f>IFERROR(_xlfn.XLOOKUP(B90,Cuentas!$C$1:$C$521,Cuentas!$A$1:$A$521),"")</f>
        <v>Nicolas</v>
      </c>
      <c r="B90" t="s">
        <v>99</v>
      </c>
      <c r="C90" t="s">
        <v>100</v>
      </c>
      <c r="D90" t="s">
        <v>16</v>
      </c>
      <c r="E90" t="s">
        <v>7</v>
      </c>
      <c r="F90" t="s">
        <v>114</v>
      </c>
      <c r="G90" t="s">
        <v>114</v>
      </c>
      <c r="H90" s="2">
        <v>45630</v>
      </c>
      <c r="I90" s="2">
        <v>45660</v>
      </c>
      <c r="J90" t="s">
        <v>20</v>
      </c>
      <c r="K90" s="21">
        <v>378.93</v>
      </c>
      <c r="L90" s="21">
        <v>378.93</v>
      </c>
      <c r="M90">
        <v>0</v>
      </c>
      <c r="N90" s="21">
        <v>378.93</v>
      </c>
    </row>
    <row r="91" spans="1:14">
      <c r="A91" t="str">
        <f>IFERROR(_xlfn.XLOOKUP(B91,Cuentas!$C$1:$C$521,Cuentas!$A$1:$A$521),"")</f>
        <v>Nicolas</v>
      </c>
      <c r="B91" t="s">
        <v>99</v>
      </c>
      <c r="C91" t="s">
        <v>100</v>
      </c>
      <c r="D91" t="s">
        <v>16</v>
      </c>
      <c r="E91" t="s">
        <v>7</v>
      </c>
      <c r="F91" t="s">
        <v>115</v>
      </c>
      <c r="G91" t="s">
        <v>115</v>
      </c>
      <c r="H91" s="2">
        <v>45652</v>
      </c>
      <c r="I91" s="2">
        <v>45682</v>
      </c>
      <c r="J91" t="s">
        <v>20</v>
      </c>
      <c r="K91" s="21">
        <v>148.21</v>
      </c>
      <c r="L91" s="21">
        <v>148.21</v>
      </c>
      <c r="M91">
        <v>0</v>
      </c>
      <c r="N91" s="21">
        <v>148.21</v>
      </c>
    </row>
    <row r="92" spans="1:14">
      <c r="A92" t="str">
        <f>IFERROR(_xlfn.XLOOKUP(B92,Cuentas!$C$1:$C$521,Cuentas!$A$1:$A$521),"")</f>
        <v>Nicolas</v>
      </c>
      <c r="B92" t="s">
        <v>99</v>
      </c>
      <c r="C92" t="s">
        <v>100</v>
      </c>
      <c r="D92" t="s">
        <v>16</v>
      </c>
      <c r="E92" t="s">
        <v>7</v>
      </c>
      <c r="F92" t="s">
        <v>116</v>
      </c>
      <c r="G92" t="s">
        <v>116</v>
      </c>
      <c r="H92" s="2">
        <v>45666</v>
      </c>
      <c r="I92" s="2">
        <v>45696</v>
      </c>
      <c r="J92" t="s">
        <v>20</v>
      </c>
      <c r="K92" s="21">
        <v>14696.23</v>
      </c>
      <c r="L92" s="21">
        <v>12782.1</v>
      </c>
      <c r="M92">
        <v>0</v>
      </c>
      <c r="N92" s="21">
        <v>12782.1</v>
      </c>
    </row>
    <row r="93" spans="1:14">
      <c r="A93" t="str">
        <f>IFERROR(_xlfn.XLOOKUP(B93,Cuentas!$C$1:$C$521,Cuentas!$A$1:$A$521),"")</f>
        <v>Nicolas</v>
      </c>
      <c r="B93" t="s">
        <v>99</v>
      </c>
      <c r="C93" t="s">
        <v>100</v>
      </c>
      <c r="D93" t="s">
        <v>16</v>
      </c>
      <c r="E93" t="s">
        <v>5502</v>
      </c>
      <c r="F93" t="s">
        <v>117</v>
      </c>
      <c r="G93" t="s">
        <v>116</v>
      </c>
      <c r="I93" s="2">
        <v>45688</v>
      </c>
      <c r="J93" t="s">
        <v>20</v>
      </c>
      <c r="K93" s="21">
        <v>-1914.13</v>
      </c>
      <c r="L93" s="21" t="s">
        <v>86</v>
      </c>
      <c r="M93">
        <v>0</v>
      </c>
      <c r="N93" s="21" t="s">
        <v>86</v>
      </c>
    </row>
    <row r="94" spans="1:14">
      <c r="A94" t="str">
        <f>IFERROR(_xlfn.XLOOKUP(B94,Cuentas!$C$1:$C$521,Cuentas!$A$1:$A$521),"")</f>
        <v>Nicolas</v>
      </c>
      <c r="B94" t="s">
        <v>118</v>
      </c>
      <c r="C94" t="s">
        <v>119</v>
      </c>
      <c r="D94" t="s">
        <v>16</v>
      </c>
      <c r="E94" t="s">
        <v>7</v>
      </c>
      <c r="F94" t="s">
        <v>120</v>
      </c>
      <c r="G94" t="s">
        <v>120</v>
      </c>
      <c r="H94" s="2">
        <v>45642</v>
      </c>
      <c r="I94" s="2">
        <v>45672</v>
      </c>
      <c r="J94" t="s">
        <v>20</v>
      </c>
      <c r="K94" s="21">
        <v>587.6</v>
      </c>
      <c r="L94" s="21">
        <v>587.6</v>
      </c>
      <c r="M94">
        <v>0</v>
      </c>
      <c r="N94" s="21">
        <v>587.6</v>
      </c>
    </row>
    <row r="95" spans="1:14">
      <c r="A95" t="str">
        <f>IFERROR(_xlfn.XLOOKUP(B95,Cuentas!$C$1:$C$521,Cuentas!$A$1:$A$521),"")</f>
        <v>Nicolas</v>
      </c>
      <c r="B95" t="s">
        <v>118</v>
      </c>
      <c r="C95" t="s">
        <v>119</v>
      </c>
      <c r="D95" t="s">
        <v>16</v>
      </c>
      <c r="E95" t="s">
        <v>7</v>
      </c>
      <c r="F95" t="s">
        <v>121</v>
      </c>
      <c r="G95" t="s">
        <v>121</v>
      </c>
      <c r="H95" s="2">
        <v>45679</v>
      </c>
      <c r="I95" s="2">
        <v>45709</v>
      </c>
      <c r="J95" t="s">
        <v>20</v>
      </c>
      <c r="K95" s="21">
        <v>9394</v>
      </c>
      <c r="L95" s="21">
        <v>8884.68</v>
      </c>
      <c r="M95">
        <v>0</v>
      </c>
      <c r="N95" s="21">
        <v>8884.68</v>
      </c>
    </row>
    <row r="96" spans="1:14">
      <c r="A96" t="str">
        <f>IFERROR(_xlfn.XLOOKUP(B96,Cuentas!$C$1:$C$521,Cuentas!$A$1:$A$521),"")</f>
        <v>Nicolas</v>
      </c>
      <c r="B96" t="s">
        <v>118</v>
      </c>
      <c r="C96" t="s">
        <v>119</v>
      </c>
      <c r="D96" t="s">
        <v>16</v>
      </c>
      <c r="E96" t="s">
        <v>5502</v>
      </c>
      <c r="F96" t="s">
        <v>122</v>
      </c>
      <c r="G96" t="s">
        <v>121</v>
      </c>
      <c r="I96" s="2">
        <v>45733</v>
      </c>
      <c r="J96" t="s">
        <v>20</v>
      </c>
      <c r="K96" s="21">
        <v>-509.32</v>
      </c>
      <c r="L96" s="21" t="s">
        <v>86</v>
      </c>
      <c r="M96">
        <v>12</v>
      </c>
      <c r="N96" s="21" t="s">
        <v>86</v>
      </c>
    </row>
    <row r="97" spans="1:14">
      <c r="A97" t="str">
        <f>IFERROR(_xlfn.XLOOKUP(B97,Cuentas!$C$1:$C$521,Cuentas!$A$1:$A$521),"")</f>
        <v>Nicolas</v>
      </c>
      <c r="B97" t="s">
        <v>118</v>
      </c>
      <c r="C97" t="s">
        <v>119</v>
      </c>
      <c r="D97" t="s">
        <v>16</v>
      </c>
      <c r="E97" t="s">
        <v>7</v>
      </c>
      <c r="F97" t="s">
        <v>123</v>
      </c>
      <c r="G97" t="s">
        <v>123</v>
      </c>
      <c r="H97" s="2">
        <v>45687</v>
      </c>
      <c r="I97" s="2">
        <v>45717</v>
      </c>
      <c r="J97" t="s">
        <v>20</v>
      </c>
      <c r="K97" s="21">
        <v>3693.01</v>
      </c>
      <c r="L97" s="21">
        <v>3609.41</v>
      </c>
      <c r="M97">
        <v>10</v>
      </c>
      <c r="N97" s="21">
        <v>3609.41</v>
      </c>
    </row>
    <row r="98" spans="1:14">
      <c r="A98" t="str">
        <f>IFERROR(_xlfn.XLOOKUP(B98,Cuentas!$C$1:$C$521,Cuentas!$A$1:$A$521),"")</f>
        <v>Nicolas</v>
      </c>
      <c r="B98" t="s">
        <v>118</v>
      </c>
      <c r="C98" t="s">
        <v>119</v>
      </c>
      <c r="D98" t="s">
        <v>16</v>
      </c>
      <c r="E98" t="s">
        <v>5502</v>
      </c>
      <c r="F98" t="s">
        <v>124</v>
      </c>
      <c r="G98" t="s">
        <v>123</v>
      </c>
      <c r="I98" s="2">
        <v>45733</v>
      </c>
      <c r="J98" t="s">
        <v>20</v>
      </c>
      <c r="K98" s="21">
        <v>-83.6</v>
      </c>
      <c r="L98" s="21" t="s">
        <v>86</v>
      </c>
      <c r="M98">
        <v>12</v>
      </c>
      <c r="N98" s="21" t="s">
        <v>86</v>
      </c>
    </row>
    <row r="99" spans="1:14">
      <c r="A99" t="str">
        <f>IFERROR(_xlfn.XLOOKUP(B99,Cuentas!$C$1:$C$521,Cuentas!$A$1:$A$521),"")</f>
        <v>Nicolas</v>
      </c>
      <c r="B99" t="s">
        <v>118</v>
      </c>
      <c r="C99" t="s">
        <v>119</v>
      </c>
      <c r="D99" t="s">
        <v>16</v>
      </c>
      <c r="E99" t="s">
        <v>7</v>
      </c>
      <c r="F99" t="s">
        <v>125</v>
      </c>
      <c r="G99" t="s">
        <v>125</v>
      </c>
      <c r="H99" s="2">
        <v>45687</v>
      </c>
      <c r="I99" s="2">
        <v>45717</v>
      </c>
      <c r="J99" t="s">
        <v>20</v>
      </c>
      <c r="K99" s="21">
        <v>1423.8</v>
      </c>
      <c r="L99" s="21">
        <v>1423.8</v>
      </c>
      <c r="M99">
        <v>10</v>
      </c>
      <c r="N99" s="21">
        <v>1423.8</v>
      </c>
    </row>
    <row r="100" spans="1:14">
      <c r="A100" t="str">
        <f>IFERROR(_xlfn.XLOOKUP(B100,Cuentas!$C$1:$C$521,Cuentas!$A$1:$A$521),"")</f>
        <v>Nicolas</v>
      </c>
      <c r="B100" t="s">
        <v>118</v>
      </c>
      <c r="C100" t="s">
        <v>119</v>
      </c>
      <c r="D100" t="s">
        <v>16</v>
      </c>
      <c r="E100" t="s">
        <v>7</v>
      </c>
      <c r="F100" t="s">
        <v>126</v>
      </c>
      <c r="G100" t="s">
        <v>126</v>
      </c>
      <c r="H100" s="2">
        <v>45716</v>
      </c>
      <c r="I100" s="2">
        <v>45746</v>
      </c>
      <c r="J100" t="s">
        <v>20</v>
      </c>
      <c r="K100" s="21">
        <v>2373</v>
      </c>
      <c r="L100" s="21">
        <v>2373</v>
      </c>
      <c r="M100">
        <v>13</v>
      </c>
      <c r="N100" s="21">
        <v>2373</v>
      </c>
    </row>
    <row r="101" spans="1:14">
      <c r="A101" t="str">
        <f>IFERROR(_xlfn.XLOOKUP(B101,Cuentas!$C$1:$C$521,Cuentas!$A$1:$A$521),"")</f>
        <v>Nicolas</v>
      </c>
      <c r="B101" t="s">
        <v>118</v>
      </c>
      <c r="C101" t="s">
        <v>119</v>
      </c>
      <c r="D101" t="s">
        <v>16</v>
      </c>
      <c r="E101" t="s">
        <v>7</v>
      </c>
      <c r="F101" t="s">
        <v>127</v>
      </c>
      <c r="G101" t="s">
        <v>127</v>
      </c>
      <c r="H101" s="2">
        <v>45721</v>
      </c>
      <c r="I101" s="2">
        <v>45751</v>
      </c>
      <c r="J101" t="s">
        <v>20</v>
      </c>
      <c r="K101" s="21">
        <v>442.96</v>
      </c>
      <c r="L101" s="21">
        <v>442.96</v>
      </c>
      <c r="M101">
        <v>0</v>
      </c>
      <c r="N101" s="21">
        <v>0</v>
      </c>
    </row>
    <row r="102" spans="1:14">
      <c r="A102" t="str">
        <f>IFERROR(_xlfn.XLOOKUP(B102,Cuentas!$C$1:$C$521,Cuentas!$A$1:$A$521),"")</f>
        <v>Nicolas</v>
      </c>
      <c r="B102" t="s">
        <v>118</v>
      </c>
      <c r="C102" t="s">
        <v>119</v>
      </c>
      <c r="D102" t="s">
        <v>16</v>
      </c>
      <c r="E102" t="s">
        <v>7</v>
      </c>
      <c r="F102" t="s">
        <v>128</v>
      </c>
      <c r="G102" t="s">
        <v>128</v>
      </c>
      <c r="H102" s="2">
        <v>45735</v>
      </c>
      <c r="I102" s="2">
        <v>45765</v>
      </c>
      <c r="J102" t="s">
        <v>20</v>
      </c>
      <c r="K102" s="21">
        <v>6830.64</v>
      </c>
      <c r="L102" s="21">
        <v>6830.64</v>
      </c>
      <c r="M102">
        <v>0</v>
      </c>
      <c r="N102" s="21">
        <v>0</v>
      </c>
    </row>
    <row r="103" spans="1:14">
      <c r="A103" t="str">
        <f>IFERROR(_xlfn.XLOOKUP(B103,Cuentas!$C$1:$C$521,Cuentas!$A$1:$A$521),"")</f>
        <v>Nicolas</v>
      </c>
      <c r="B103" t="s">
        <v>118</v>
      </c>
      <c r="C103" t="s">
        <v>119</v>
      </c>
      <c r="D103" t="s">
        <v>16</v>
      </c>
      <c r="E103" t="s">
        <v>7</v>
      </c>
      <c r="F103" t="s">
        <v>129</v>
      </c>
      <c r="G103" t="s">
        <v>129</v>
      </c>
      <c r="H103" s="2">
        <v>45735</v>
      </c>
      <c r="I103" s="2">
        <v>45765</v>
      </c>
      <c r="J103" t="s">
        <v>20</v>
      </c>
      <c r="K103" s="21">
        <v>4972</v>
      </c>
      <c r="L103" s="21">
        <v>4972</v>
      </c>
      <c r="M103">
        <v>0</v>
      </c>
      <c r="N103" s="21">
        <v>0</v>
      </c>
    </row>
    <row r="104" spans="1:14">
      <c r="A104" t="str">
        <f>IFERROR(_xlfn.XLOOKUP(B104,Cuentas!$C$1:$C$521,Cuentas!$A$1:$A$521),"")</f>
        <v>Nicolas</v>
      </c>
      <c r="B104" t="s">
        <v>118</v>
      </c>
      <c r="C104" t="s">
        <v>119</v>
      </c>
      <c r="D104" t="s">
        <v>16</v>
      </c>
      <c r="E104" t="s">
        <v>7</v>
      </c>
      <c r="F104" t="s">
        <v>130</v>
      </c>
      <c r="G104" t="s">
        <v>130</v>
      </c>
      <c r="H104" s="2">
        <v>45737</v>
      </c>
      <c r="I104" s="2">
        <v>45767</v>
      </c>
      <c r="J104" t="s">
        <v>20</v>
      </c>
      <c r="K104" s="21">
        <v>1559.4</v>
      </c>
      <c r="L104" s="21">
        <v>1559.4</v>
      </c>
      <c r="M104">
        <v>0</v>
      </c>
      <c r="N104" s="21">
        <v>0</v>
      </c>
    </row>
    <row r="105" spans="1:14">
      <c r="A105" t="str">
        <f>IFERROR(_xlfn.XLOOKUP(B105,Cuentas!$C$1:$C$521,Cuentas!$A$1:$A$521),"")</f>
        <v>Nicolas</v>
      </c>
      <c r="B105" t="s">
        <v>118</v>
      </c>
      <c r="C105" t="s">
        <v>119</v>
      </c>
      <c r="D105" t="s">
        <v>16</v>
      </c>
      <c r="E105" t="s">
        <v>7</v>
      </c>
      <c r="F105" t="s">
        <v>131</v>
      </c>
      <c r="G105" t="s">
        <v>131</v>
      </c>
      <c r="H105" s="2">
        <v>45741</v>
      </c>
      <c r="I105" s="2">
        <v>45771</v>
      </c>
      <c r="J105" t="s">
        <v>20</v>
      </c>
      <c r="K105" s="21">
        <v>4759.5600000000004</v>
      </c>
      <c r="L105" s="21">
        <v>4759.5600000000004</v>
      </c>
      <c r="M105">
        <v>0</v>
      </c>
      <c r="N105" s="21">
        <v>0</v>
      </c>
    </row>
    <row r="106" spans="1:14">
      <c r="A106" t="str">
        <f>IFERROR(_xlfn.XLOOKUP(B106,Cuentas!$C$1:$C$521,Cuentas!$A$1:$A$521),"")</f>
        <v>Nicolas</v>
      </c>
      <c r="B106" t="s">
        <v>132</v>
      </c>
      <c r="C106" t="s">
        <v>133</v>
      </c>
      <c r="D106" t="s">
        <v>16</v>
      </c>
      <c r="E106" t="s">
        <v>3139</v>
      </c>
      <c r="F106" t="s">
        <v>19</v>
      </c>
      <c r="G106" t="s">
        <v>19</v>
      </c>
      <c r="I106" s="2">
        <v>45520</v>
      </c>
      <c r="J106" t="s">
        <v>20</v>
      </c>
      <c r="K106" s="21">
        <v>-896.09</v>
      </c>
      <c r="L106" s="21">
        <v>-896.09</v>
      </c>
      <c r="M106">
        <v>0</v>
      </c>
      <c r="N106" s="21">
        <v>-896.09</v>
      </c>
    </row>
    <row r="107" spans="1:14">
      <c r="A107" t="str">
        <f>IFERROR(_xlfn.XLOOKUP(B107,Cuentas!$C$1:$C$521,Cuentas!$A$1:$A$521),"")</f>
        <v>Nicolas</v>
      </c>
      <c r="B107" t="s">
        <v>132</v>
      </c>
      <c r="C107" t="s">
        <v>133</v>
      </c>
      <c r="D107" t="s">
        <v>16</v>
      </c>
      <c r="E107" t="s">
        <v>3139</v>
      </c>
      <c r="F107" t="s">
        <v>19</v>
      </c>
      <c r="G107" t="s">
        <v>19</v>
      </c>
      <c r="I107" s="2">
        <v>45575</v>
      </c>
      <c r="J107" t="s">
        <v>20</v>
      </c>
      <c r="K107" s="21">
        <v>-946.26</v>
      </c>
      <c r="L107" s="21">
        <v>-946.26</v>
      </c>
      <c r="M107">
        <v>0</v>
      </c>
      <c r="N107" s="21">
        <v>-946.26</v>
      </c>
    </row>
    <row r="108" spans="1:14">
      <c r="A108" t="str">
        <f>IFERROR(_xlfn.XLOOKUP(B108,Cuentas!$C$1:$C$521,Cuentas!$A$1:$A$521),"")</f>
        <v>Nicolas</v>
      </c>
      <c r="B108" t="s">
        <v>134</v>
      </c>
      <c r="C108" t="s">
        <v>135</v>
      </c>
      <c r="D108" t="s">
        <v>16</v>
      </c>
      <c r="E108" t="s">
        <v>7</v>
      </c>
      <c r="F108" t="s">
        <v>136</v>
      </c>
      <c r="G108" t="s">
        <v>136</v>
      </c>
      <c r="H108" s="2">
        <v>45714</v>
      </c>
      <c r="I108" s="2">
        <v>45744</v>
      </c>
      <c r="J108" t="s">
        <v>20</v>
      </c>
      <c r="K108" s="21">
        <v>2715</v>
      </c>
      <c r="L108" s="21">
        <v>2715</v>
      </c>
      <c r="M108">
        <v>13</v>
      </c>
      <c r="N108" s="21">
        <v>2715</v>
      </c>
    </row>
    <row r="109" spans="1:14">
      <c r="A109" t="str">
        <f>IFERROR(_xlfn.XLOOKUP(B109,Cuentas!$C$1:$C$521,Cuentas!$A$1:$A$521),"")</f>
        <v>Nicolas</v>
      </c>
      <c r="B109" t="s">
        <v>134</v>
      </c>
      <c r="C109" t="s">
        <v>135</v>
      </c>
      <c r="D109" t="s">
        <v>16</v>
      </c>
      <c r="E109" t="s">
        <v>7</v>
      </c>
      <c r="F109" t="s">
        <v>137</v>
      </c>
      <c r="G109" t="s">
        <v>137</v>
      </c>
      <c r="H109" s="2">
        <v>45727</v>
      </c>
      <c r="I109" s="2">
        <v>45757</v>
      </c>
      <c r="J109" t="s">
        <v>20</v>
      </c>
      <c r="K109" s="21">
        <v>926.63</v>
      </c>
      <c r="L109" s="21">
        <v>926.63</v>
      </c>
      <c r="M109">
        <v>0</v>
      </c>
      <c r="N109" s="21">
        <v>0</v>
      </c>
    </row>
    <row r="110" spans="1:14">
      <c r="A110" t="str">
        <f>IFERROR(_xlfn.XLOOKUP(B110,Cuentas!$C$1:$C$521,Cuentas!$A$1:$A$521),"")</f>
        <v>Nicolas</v>
      </c>
      <c r="B110" t="s">
        <v>134</v>
      </c>
      <c r="C110" t="s">
        <v>135</v>
      </c>
      <c r="D110" t="s">
        <v>16</v>
      </c>
      <c r="E110" t="s">
        <v>7</v>
      </c>
      <c r="F110" t="s">
        <v>138</v>
      </c>
      <c r="G110" t="s">
        <v>138</v>
      </c>
      <c r="H110" s="2">
        <v>45727</v>
      </c>
      <c r="I110" s="2">
        <v>45757</v>
      </c>
      <c r="J110" t="s">
        <v>20</v>
      </c>
      <c r="K110" s="21">
        <v>375</v>
      </c>
      <c r="L110" s="21">
        <v>375</v>
      </c>
      <c r="M110">
        <v>0</v>
      </c>
      <c r="N110" s="21">
        <v>0</v>
      </c>
    </row>
    <row r="111" spans="1:14">
      <c r="A111" t="str">
        <f>IFERROR(_xlfn.XLOOKUP(B111,Cuentas!$C$1:$C$521,Cuentas!$A$1:$A$521),"")</f>
        <v>Nicolas</v>
      </c>
      <c r="B111" t="s">
        <v>139</v>
      </c>
      <c r="C111" t="s">
        <v>140</v>
      </c>
      <c r="D111" t="s">
        <v>16</v>
      </c>
      <c r="E111" t="s">
        <v>7</v>
      </c>
      <c r="F111" t="s">
        <v>141</v>
      </c>
      <c r="G111" t="s">
        <v>141</v>
      </c>
      <c r="H111" s="2">
        <v>45230</v>
      </c>
      <c r="I111" s="2">
        <v>45260</v>
      </c>
      <c r="J111" t="s">
        <v>20</v>
      </c>
      <c r="K111" s="21">
        <v>161.44999999999999</v>
      </c>
      <c r="L111" s="21">
        <v>161.44999999999999</v>
      </c>
      <c r="M111">
        <v>0</v>
      </c>
      <c r="N111" s="21">
        <v>161.44999999999999</v>
      </c>
    </row>
    <row r="112" spans="1:14">
      <c r="A112" t="str">
        <f>IFERROR(_xlfn.XLOOKUP(B112,Cuentas!$C$1:$C$521,Cuentas!$A$1:$A$521),"")</f>
        <v>Nicolas</v>
      </c>
      <c r="B112" t="s">
        <v>139</v>
      </c>
      <c r="C112" t="s">
        <v>140</v>
      </c>
      <c r="D112" t="s">
        <v>16</v>
      </c>
      <c r="E112" t="s">
        <v>7</v>
      </c>
      <c r="F112" t="s">
        <v>142</v>
      </c>
      <c r="G112" t="s">
        <v>142</v>
      </c>
      <c r="H112" s="2">
        <v>45345</v>
      </c>
      <c r="I112" s="2">
        <v>45375</v>
      </c>
      <c r="J112" t="s">
        <v>20</v>
      </c>
      <c r="K112" s="21">
        <v>38.5</v>
      </c>
      <c r="L112" s="21">
        <v>38.5</v>
      </c>
      <c r="M112">
        <v>0</v>
      </c>
      <c r="N112" s="21">
        <v>38.5</v>
      </c>
    </row>
    <row r="113" spans="1:14">
      <c r="A113" t="str">
        <f>IFERROR(_xlfn.XLOOKUP(B113,Cuentas!$C$1:$C$521,Cuentas!$A$1:$A$521),"")</f>
        <v>Nicolas</v>
      </c>
      <c r="B113" t="s">
        <v>139</v>
      </c>
      <c r="C113" t="s">
        <v>140</v>
      </c>
      <c r="D113" t="s">
        <v>16</v>
      </c>
      <c r="E113" t="s">
        <v>7</v>
      </c>
      <c r="F113" t="s">
        <v>143</v>
      </c>
      <c r="G113" t="s">
        <v>143</v>
      </c>
      <c r="H113" s="2">
        <v>45355</v>
      </c>
      <c r="I113" s="2">
        <v>45385</v>
      </c>
      <c r="J113" t="s">
        <v>20</v>
      </c>
      <c r="K113" s="21">
        <v>2366.91</v>
      </c>
      <c r="L113" s="21">
        <v>2366.91</v>
      </c>
      <c r="M113">
        <v>0</v>
      </c>
      <c r="N113" s="21">
        <v>2366.91</v>
      </c>
    </row>
    <row r="114" spans="1:14">
      <c r="A114" t="str">
        <f>IFERROR(_xlfn.XLOOKUP(B114,Cuentas!$C$1:$C$521,Cuentas!$A$1:$A$521),"")</f>
        <v>Nicolas</v>
      </c>
      <c r="B114" t="s">
        <v>139</v>
      </c>
      <c r="C114" t="s">
        <v>140</v>
      </c>
      <c r="D114" t="s">
        <v>16</v>
      </c>
      <c r="E114" t="s">
        <v>7</v>
      </c>
      <c r="F114" t="s">
        <v>144</v>
      </c>
      <c r="G114" t="s">
        <v>144</v>
      </c>
      <c r="H114" s="2">
        <v>45362</v>
      </c>
      <c r="I114" s="2">
        <v>45392</v>
      </c>
      <c r="J114" t="s">
        <v>20</v>
      </c>
      <c r="K114" s="21">
        <v>1352</v>
      </c>
      <c r="L114" s="21">
        <v>1352</v>
      </c>
      <c r="M114">
        <v>0</v>
      </c>
      <c r="N114" s="21">
        <v>1352</v>
      </c>
    </row>
    <row r="115" spans="1:14">
      <c r="A115" t="str">
        <f>IFERROR(_xlfn.XLOOKUP(B115,Cuentas!$C$1:$C$521,Cuentas!$A$1:$A$521),"")</f>
        <v>Nicolas</v>
      </c>
      <c r="B115" t="s">
        <v>139</v>
      </c>
      <c r="C115" t="s">
        <v>140</v>
      </c>
      <c r="D115" t="s">
        <v>16</v>
      </c>
      <c r="E115" t="s">
        <v>7</v>
      </c>
      <c r="F115" t="s">
        <v>145</v>
      </c>
      <c r="G115" t="s">
        <v>145</v>
      </c>
      <c r="H115" s="2">
        <v>45583</v>
      </c>
      <c r="I115" s="2">
        <v>45613</v>
      </c>
      <c r="J115" t="s">
        <v>20</v>
      </c>
      <c r="K115" s="21">
        <v>32921.42</v>
      </c>
      <c r="L115" s="21">
        <v>665.23</v>
      </c>
      <c r="M115">
        <v>0</v>
      </c>
      <c r="N115" s="21">
        <v>665.23</v>
      </c>
    </row>
    <row r="116" spans="1:14">
      <c r="A116" t="str">
        <f>IFERROR(_xlfn.XLOOKUP(B116,Cuentas!$C$1:$C$521,Cuentas!$A$1:$A$521),"")</f>
        <v>Nicolas</v>
      </c>
      <c r="B116" t="s">
        <v>139</v>
      </c>
      <c r="C116" t="s">
        <v>140</v>
      </c>
      <c r="D116" t="s">
        <v>16</v>
      </c>
      <c r="E116" t="s">
        <v>5502</v>
      </c>
      <c r="F116" t="s">
        <v>146</v>
      </c>
      <c r="G116" t="s">
        <v>145</v>
      </c>
      <c r="I116" s="2">
        <v>45674</v>
      </c>
      <c r="J116" t="s">
        <v>20</v>
      </c>
      <c r="K116" s="21">
        <v>-150.06</v>
      </c>
      <c r="L116" s="21" t="s">
        <v>86</v>
      </c>
      <c r="M116">
        <v>0</v>
      </c>
      <c r="N116" s="21" t="s">
        <v>86</v>
      </c>
    </row>
    <row r="117" spans="1:14">
      <c r="A117" t="str">
        <f>IFERROR(_xlfn.XLOOKUP(B117,Cuentas!$C$1:$C$521,Cuentas!$A$1:$A$521),"")</f>
        <v>Nicolas</v>
      </c>
      <c r="B117" t="s">
        <v>139</v>
      </c>
      <c r="C117" t="s">
        <v>140</v>
      </c>
      <c r="D117" t="s">
        <v>16</v>
      </c>
      <c r="E117" t="s">
        <v>3139</v>
      </c>
      <c r="F117" t="s">
        <v>145</v>
      </c>
      <c r="G117" t="s">
        <v>145</v>
      </c>
      <c r="I117" s="2">
        <v>45685</v>
      </c>
      <c r="J117" t="s">
        <v>20</v>
      </c>
      <c r="K117" s="21">
        <v>-32106.13</v>
      </c>
      <c r="L117" s="21" t="s">
        <v>86</v>
      </c>
      <c r="M117">
        <v>0</v>
      </c>
      <c r="N117" s="21" t="s">
        <v>86</v>
      </c>
    </row>
    <row r="118" spans="1:14">
      <c r="A118" t="str">
        <f>IFERROR(_xlfn.XLOOKUP(B118,Cuentas!$C$1:$C$521,Cuentas!$A$1:$A$521),"")</f>
        <v>Nicolas</v>
      </c>
      <c r="B118" t="s">
        <v>139</v>
      </c>
      <c r="C118" t="s">
        <v>140</v>
      </c>
      <c r="D118" t="s">
        <v>16</v>
      </c>
      <c r="E118" t="s">
        <v>3139</v>
      </c>
      <c r="F118" t="s">
        <v>145</v>
      </c>
      <c r="G118" t="s">
        <v>145</v>
      </c>
      <c r="I118" s="2">
        <v>45689</v>
      </c>
      <c r="J118" t="s">
        <v>20</v>
      </c>
      <c r="K118" s="21">
        <v>32106.13</v>
      </c>
      <c r="L118" s="21" t="s">
        <v>86</v>
      </c>
      <c r="M118">
        <v>0</v>
      </c>
      <c r="N118" s="21" t="s">
        <v>86</v>
      </c>
    </row>
    <row r="119" spans="1:14">
      <c r="A119" t="str">
        <f>IFERROR(_xlfn.XLOOKUP(B119,Cuentas!$C$1:$C$521,Cuentas!$A$1:$A$521),"")</f>
        <v>Nicolas</v>
      </c>
      <c r="B119" t="s">
        <v>139</v>
      </c>
      <c r="C119" t="s">
        <v>140</v>
      </c>
      <c r="D119" t="s">
        <v>16</v>
      </c>
      <c r="E119" t="s">
        <v>3139</v>
      </c>
      <c r="F119" t="s">
        <v>145</v>
      </c>
      <c r="G119" t="s">
        <v>145</v>
      </c>
      <c r="I119" s="2">
        <v>45717</v>
      </c>
      <c r="J119" t="s">
        <v>20</v>
      </c>
      <c r="K119" s="21">
        <v>-32106.13</v>
      </c>
      <c r="L119" s="21" t="s">
        <v>86</v>
      </c>
      <c r="M119">
        <v>10</v>
      </c>
      <c r="N119" s="21" t="s">
        <v>86</v>
      </c>
    </row>
    <row r="120" spans="1:14">
      <c r="A120" t="str">
        <f>IFERROR(_xlfn.XLOOKUP(B120,Cuentas!$C$1:$C$521,Cuentas!$A$1:$A$521),"")</f>
        <v>Nicolas</v>
      </c>
      <c r="B120" t="s">
        <v>139</v>
      </c>
      <c r="C120" t="s">
        <v>140</v>
      </c>
      <c r="D120" t="s">
        <v>16</v>
      </c>
      <c r="E120" t="s">
        <v>7</v>
      </c>
      <c r="F120" t="s">
        <v>147</v>
      </c>
      <c r="G120" t="s">
        <v>147</v>
      </c>
      <c r="H120" s="2">
        <v>45635</v>
      </c>
      <c r="I120" s="2">
        <v>45665</v>
      </c>
      <c r="J120" t="s">
        <v>20</v>
      </c>
      <c r="K120" s="21">
        <v>6601.46</v>
      </c>
      <c r="L120" s="21">
        <v>6601.46</v>
      </c>
      <c r="M120">
        <v>0</v>
      </c>
      <c r="N120" s="21">
        <v>6601.46</v>
      </c>
    </row>
    <row r="121" spans="1:14">
      <c r="A121" t="str">
        <f>IFERROR(_xlfn.XLOOKUP(B121,Cuentas!$C$1:$C$521,Cuentas!$A$1:$A$521),"")</f>
        <v>Nicolas</v>
      </c>
      <c r="B121" t="s">
        <v>139</v>
      </c>
      <c r="C121" t="s">
        <v>140</v>
      </c>
      <c r="D121" t="s">
        <v>16</v>
      </c>
      <c r="E121" t="s">
        <v>7</v>
      </c>
      <c r="F121" t="s">
        <v>148</v>
      </c>
      <c r="G121" t="s">
        <v>148</v>
      </c>
      <c r="H121" s="2">
        <v>45645</v>
      </c>
      <c r="I121" s="2">
        <v>45675</v>
      </c>
      <c r="J121" t="s">
        <v>20</v>
      </c>
      <c r="K121" s="21">
        <v>1000.62</v>
      </c>
      <c r="L121" s="21">
        <v>1000.62</v>
      </c>
      <c r="M121">
        <v>0</v>
      </c>
      <c r="N121" s="21">
        <v>1000.62</v>
      </c>
    </row>
    <row r="122" spans="1:14">
      <c r="A122" t="str">
        <f>IFERROR(_xlfn.XLOOKUP(B122,Cuentas!$C$1:$C$521,Cuentas!$A$1:$A$521),"")</f>
        <v>Nicolas</v>
      </c>
      <c r="B122" t="s">
        <v>139</v>
      </c>
      <c r="C122" t="s">
        <v>140</v>
      </c>
      <c r="D122" t="s">
        <v>16</v>
      </c>
      <c r="E122" t="s">
        <v>7</v>
      </c>
      <c r="F122" t="s">
        <v>149</v>
      </c>
      <c r="G122" t="s">
        <v>149</v>
      </c>
      <c r="H122" s="2">
        <v>45671</v>
      </c>
      <c r="I122" s="2">
        <v>45701</v>
      </c>
      <c r="J122" t="s">
        <v>20</v>
      </c>
      <c r="K122" s="21">
        <v>17628</v>
      </c>
      <c r="L122" s="21">
        <v>17628</v>
      </c>
      <c r="M122">
        <v>0</v>
      </c>
      <c r="N122" s="21">
        <v>17628</v>
      </c>
    </row>
    <row r="123" spans="1:14">
      <c r="A123" t="str">
        <f>IFERROR(_xlfn.XLOOKUP(B123,Cuentas!$C$1:$C$521,Cuentas!$A$1:$A$521),"")</f>
        <v>Nicolas</v>
      </c>
      <c r="B123" t="s">
        <v>139</v>
      </c>
      <c r="C123" t="s">
        <v>140</v>
      </c>
      <c r="D123" t="s">
        <v>16</v>
      </c>
      <c r="E123" t="s">
        <v>3139</v>
      </c>
      <c r="F123" t="s">
        <v>19</v>
      </c>
      <c r="G123" t="s">
        <v>19</v>
      </c>
      <c r="I123" s="2">
        <v>45712</v>
      </c>
      <c r="J123" t="s">
        <v>20</v>
      </c>
      <c r="K123" s="21">
        <v>-6818.42</v>
      </c>
      <c r="L123" s="21">
        <v>-6818.42</v>
      </c>
      <c r="M123">
        <v>0</v>
      </c>
      <c r="N123" s="21">
        <v>-6818.42</v>
      </c>
    </row>
    <row r="124" spans="1:14">
      <c r="A124" t="str">
        <f>IFERROR(_xlfn.XLOOKUP(B124,Cuentas!$C$1:$C$521,Cuentas!$A$1:$A$521),"")</f>
        <v>Nicolas</v>
      </c>
      <c r="B124" t="s">
        <v>150</v>
      </c>
      <c r="C124" t="s">
        <v>151</v>
      </c>
      <c r="D124" t="s">
        <v>16</v>
      </c>
      <c r="E124" t="s">
        <v>7</v>
      </c>
      <c r="F124" t="s">
        <v>152</v>
      </c>
      <c r="G124" t="s">
        <v>152</v>
      </c>
      <c r="H124" s="2">
        <v>45719</v>
      </c>
      <c r="I124" s="2">
        <v>45749</v>
      </c>
      <c r="J124" t="s">
        <v>20</v>
      </c>
      <c r="K124" s="21">
        <v>745.8</v>
      </c>
      <c r="L124" s="21">
        <v>745.8</v>
      </c>
      <c r="M124">
        <v>0</v>
      </c>
      <c r="N124" s="21">
        <v>0</v>
      </c>
    </row>
    <row r="125" spans="1:14">
      <c r="A125" t="str">
        <f>IFERROR(_xlfn.XLOOKUP(B125,Cuentas!$C$1:$C$521,Cuentas!$A$1:$A$521),"")</f>
        <v>Nicolas</v>
      </c>
      <c r="B125" t="s">
        <v>150</v>
      </c>
      <c r="C125" t="s">
        <v>151</v>
      </c>
      <c r="D125" t="s">
        <v>16</v>
      </c>
      <c r="E125" t="s">
        <v>7</v>
      </c>
      <c r="F125" t="s">
        <v>153</v>
      </c>
      <c r="G125" t="s">
        <v>153</v>
      </c>
      <c r="H125" s="2">
        <v>45719</v>
      </c>
      <c r="I125" s="2">
        <v>45749</v>
      </c>
      <c r="J125" t="s">
        <v>20</v>
      </c>
      <c r="K125" s="21">
        <v>466.13</v>
      </c>
      <c r="L125" s="21">
        <v>466.13</v>
      </c>
      <c r="M125">
        <v>0</v>
      </c>
      <c r="N125" s="21">
        <v>0</v>
      </c>
    </row>
    <row r="126" spans="1:14">
      <c r="A126" t="str">
        <f>IFERROR(_xlfn.XLOOKUP(B126,Cuentas!$C$1:$C$521,Cuentas!$A$1:$A$521),"")</f>
        <v>Nicolas</v>
      </c>
      <c r="B126" t="s">
        <v>154</v>
      </c>
      <c r="C126" t="s">
        <v>155</v>
      </c>
      <c r="D126" t="s">
        <v>16</v>
      </c>
      <c r="E126" t="s">
        <v>7</v>
      </c>
      <c r="F126" t="s">
        <v>156</v>
      </c>
      <c r="G126" t="s">
        <v>156</v>
      </c>
      <c r="H126" s="2">
        <v>45708</v>
      </c>
      <c r="I126" s="2">
        <v>45738</v>
      </c>
      <c r="J126" t="s">
        <v>20</v>
      </c>
      <c r="K126" s="21">
        <v>1576.35</v>
      </c>
      <c r="L126" s="21">
        <v>1576.35</v>
      </c>
      <c r="M126">
        <v>12</v>
      </c>
      <c r="N126" s="21">
        <v>1576.35</v>
      </c>
    </row>
    <row r="127" spans="1:14">
      <c r="A127" t="str">
        <f>IFERROR(_xlfn.XLOOKUP(B127,Cuentas!$C$1:$C$521,Cuentas!$A$1:$A$521),"")</f>
        <v>Nicolas</v>
      </c>
      <c r="B127" t="s">
        <v>154</v>
      </c>
      <c r="C127" t="s">
        <v>155</v>
      </c>
      <c r="D127" t="s">
        <v>16</v>
      </c>
      <c r="E127" t="s">
        <v>7</v>
      </c>
      <c r="F127" t="s">
        <v>157</v>
      </c>
      <c r="G127" t="s">
        <v>157</v>
      </c>
      <c r="H127" s="2">
        <v>45736</v>
      </c>
      <c r="I127" s="2">
        <v>45766</v>
      </c>
      <c r="J127" t="s">
        <v>20</v>
      </c>
      <c r="K127" s="21">
        <v>844.11</v>
      </c>
      <c r="L127" s="21">
        <v>844.11</v>
      </c>
      <c r="M127">
        <v>0</v>
      </c>
      <c r="N127" s="21">
        <v>0</v>
      </c>
    </row>
    <row r="128" spans="1:14">
      <c r="A128" t="str">
        <f>IFERROR(_xlfn.XLOOKUP(B128,Cuentas!$C$1:$C$521,Cuentas!$A$1:$A$521),"")</f>
        <v>Nicolas</v>
      </c>
      <c r="B128" t="s">
        <v>154</v>
      </c>
      <c r="C128" t="s">
        <v>155</v>
      </c>
      <c r="D128" t="s">
        <v>16</v>
      </c>
      <c r="E128" t="s">
        <v>7</v>
      </c>
      <c r="F128" t="s">
        <v>158</v>
      </c>
      <c r="G128" t="s">
        <v>158</v>
      </c>
      <c r="H128" s="2">
        <v>45736</v>
      </c>
      <c r="I128" s="2">
        <v>45766</v>
      </c>
      <c r="J128" t="s">
        <v>20</v>
      </c>
      <c r="K128" s="21">
        <v>2009.14</v>
      </c>
      <c r="L128" s="21">
        <v>2009.14</v>
      </c>
      <c r="M128">
        <v>0</v>
      </c>
      <c r="N128" s="21">
        <v>0</v>
      </c>
    </row>
    <row r="129" spans="1:14">
      <c r="A129" t="str">
        <f>IFERROR(_xlfn.XLOOKUP(B129,Cuentas!$C$1:$C$521,Cuentas!$A$1:$A$521),"")</f>
        <v>Nicolas</v>
      </c>
      <c r="B129" t="s">
        <v>159</v>
      </c>
      <c r="C129" t="s">
        <v>160</v>
      </c>
      <c r="D129" t="s">
        <v>16</v>
      </c>
      <c r="E129" t="s">
        <v>7</v>
      </c>
      <c r="F129" t="s">
        <v>161</v>
      </c>
      <c r="G129" t="s">
        <v>161</v>
      </c>
      <c r="H129" s="2">
        <v>45166</v>
      </c>
      <c r="I129" s="2">
        <v>45196</v>
      </c>
      <c r="J129" t="s">
        <v>20</v>
      </c>
      <c r="K129" s="21">
        <v>374.36</v>
      </c>
      <c r="L129" s="21">
        <v>374.36</v>
      </c>
      <c r="M129">
        <v>0</v>
      </c>
      <c r="N129" s="21">
        <v>374.36</v>
      </c>
    </row>
    <row r="130" spans="1:14">
      <c r="A130" t="str">
        <f>IFERROR(_xlfn.XLOOKUP(B130,Cuentas!$C$1:$C$521,Cuentas!$A$1:$A$521),"")</f>
        <v>Nicolas</v>
      </c>
      <c r="B130" t="s">
        <v>159</v>
      </c>
      <c r="C130" t="s">
        <v>160</v>
      </c>
      <c r="D130" t="s">
        <v>16</v>
      </c>
      <c r="E130" t="s">
        <v>7</v>
      </c>
      <c r="F130" t="s">
        <v>162</v>
      </c>
      <c r="G130" t="s">
        <v>162</v>
      </c>
      <c r="H130" s="2">
        <v>45623</v>
      </c>
      <c r="I130" s="2">
        <v>45653</v>
      </c>
      <c r="J130" t="s">
        <v>20</v>
      </c>
      <c r="K130" s="21">
        <v>723.32</v>
      </c>
      <c r="L130" s="21">
        <v>47.32</v>
      </c>
      <c r="M130">
        <v>0</v>
      </c>
      <c r="N130" s="21">
        <v>47.32</v>
      </c>
    </row>
    <row r="131" spans="1:14">
      <c r="A131" t="str">
        <f>IFERROR(_xlfn.XLOOKUP(B131,Cuentas!$C$1:$C$521,Cuentas!$A$1:$A$521),"")</f>
        <v>Nicolas</v>
      </c>
      <c r="B131" t="s">
        <v>159</v>
      </c>
      <c r="C131" t="s">
        <v>160</v>
      </c>
      <c r="D131" t="s">
        <v>16</v>
      </c>
      <c r="E131" t="s">
        <v>3139</v>
      </c>
      <c r="F131" t="s">
        <v>162</v>
      </c>
      <c r="G131" t="s">
        <v>162</v>
      </c>
      <c r="I131" s="2">
        <v>45653</v>
      </c>
      <c r="J131" t="s">
        <v>20</v>
      </c>
      <c r="K131" s="21">
        <v>-676</v>
      </c>
      <c r="L131" s="21" t="s">
        <v>86</v>
      </c>
      <c r="M131">
        <v>0</v>
      </c>
      <c r="N131" s="21" t="s">
        <v>86</v>
      </c>
    </row>
    <row r="132" spans="1:14">
      <c r="A132" t="str">
        <f>IFERROR(_xlfn.XLOOKUP(B132,Cuentas!$C$1:$C$521,Cuentas!$A$1:$A$521),"")</f>
        <v>Nicolas</v>
      </c>
      <c r="B132" t="s">
        <v>159</v>
      </c>
      <c r="C132" t="s">
        <v>160</v>
      </c>
      <c r="D132" t="s">
        <v>16</v>
      </c>
      <c r="E132" t="s">
        <v>7</v>
      </c>
      <c r="F132" t="s">
        <v>163</v>
      </c>
      <c r="G132" t="s">
        <v>163</v>
      </c>
      <c r="H132" s="2">
        <v>45628</v>
      </c>
      <c r="I132" s="2">
        <v>45658</v>
      </c>
      <c r="J132" t="s">
        <v>20</v>
      </c>
      <c r="K132" s="21">
        <v>2247</v>
      </c>
      <c r="L132" s="21">
        <v>147</v>
      </c>
      <c r="M132">
        <v>0</v>
      </c>
      <c r="N132" s="21">
        <v>147</v>
      </c>
    </row>
    <row r="133" spans="1:14">
      <c r="A133" t="str">
        <f>IFERROR(_xlfn.XLOOKUP(B133,Cuentas!$C$1:$C$521,Cuentas!$A$1:$A$521),"")</f>
        <v>Nicolas</v>
      </c>
      <c r="B133" t="s">
        <v>159</v>
      </c>
      <c r="C133" t="s">
        <v>160</v>
      </c>
      <c r="D133" t="s">
        <v>16</v>
      </c>
      <c r="E133" t="s">
        <v>3139</v>
      </c>
      <c r="F133" t="s">
        <v>163</v>
      </c>
      <c r="G133" t="s">
        <v>163</v>
      </c>
      <c r="I133" s="2">
        <v>45685</v>
      </c>
      <c r="J133" t="s">
        <v>20</v>
      </c>
      <c r="K133" s="21">
        <v>-2100</v>
      </c>
      <c r="L133" s="21" t="s">
        <v>86</v>
      </c>
      <c r="M133">
        <v>0</v>
      </c>
      <c r="N133" s="21" t="s">
        <v>86</v>
      </c>
    </row>
    <row r="134" spans="1:14">
      <c r="A134" t="str">
        <f>IFERROR(_xlfn.XLOOKUP(B134,Cuentas!$C$1:$C$521,Cuentas!$A$1:$A$521),"")</f>
        <v>Nicolas</v>
      </c>
      <c r="B134" t="s">
        <v>159</v>
      </c>
      <c r="C134" t="s">
        <v>160</v>
      </c>
      <c r="D134" t="s">
        <v>16</v>
      </c>
      <c r="E134" t="s">
        <v>7</v>
      </c>
      <c r="F134" t="s">
        <v>164</v>
      </c>
      <c r="G134" t="s">
        <v>164</v>
      </c>
      <c r="H134" s="2">
        <v>45630</v>
      </c>
      <c r="I134" s="2">
        <v>45660</v>
      </c>
      <c r="J134" t="s">
        <v>20</v>
      </c>
      <c r="K134" s="21">
        <v>267.5</v>
      </c>
      <c r="L134" s="21">
        <v>17.5</v>
      </c>
      <c r="M134">
        <v>0</v>
      </c>
      <c r="N134" s="21">
        <v>17.5</v>
      </c>
    </row>
    <row r="135" spans="1:14">
      <c r="A135" t="str">
        <f>IFERROR(_xlfn.XLOOKUP(B135,Cuentas!$C$1:$C$521,Cuentas!$A$1:$A$521),"")</f>
        <v>Nicolas</v>
      </c>
      <c r="B135" t="s">
        <v>159</v>
      </c>
      <c r="C135" t="s">
        <v>160</v>
      </c>
      <c r="D135" t="s">
        <v>16</v>
      </c>
      <c r="E135" t="s">
        <v>3139</v>
      </c>
      <c r="F135" t="s">
        <v>164</v>
      </c>
      <c r="G135" t="s">
        <v>164</v>
      </c>
      <c r="I135" s="2">
        <v>45685</v>
      </c>
      <c r="J135" t="s">
        <v>20</v>
      </c>
      <c r="K135" s="21">
        <v>-250</v>
      </c>
      <c r="L135" s="21" t="s">
        <v>86</v>
      </c>
      <c r="M135">
        <v>0</v>
      </c>
      <c r="N135" s="21" t="s">
        <v>86</v>
      </c>
    </row>
    <row r="136" spans="1:14">
      <c r="A136" t="str">
        <f>IFERROR(_xlfn.XLOOKUP(B136,Cuentas!$C$1:$C$521,Cuentas!$A$1:$A$521),"")</f>
        <v>Nicolas</v>
      </c>
      <c r="B136" t="s">
        <v>159</v>
      </c>
      <c r="C136" t="s">
        <v>160</v>
      </c>
      <c r="D136" t="s">
        <v>16</v>
      </c>
      <c r="E136" t="s">
        <v>7</v>
      </c>
      <c r="F136" t="s">
        <v>165</v>
      </c>
      <c r="G136" t="s">
        <v>165</v>
      </c>
      <c r="H136" s="2">
        <v>45637</v>
      </c>
      <c r="I136" s="2">
        <v>45667</v>
      </c>
      <c r="J136" t="s">
        <v>20</v>
      </c>
      <c r="K136" s="21">
        <v>194.74</v>
      </c>
      <c r="L136" s="21">
        <v>12.74</v>
      </c>
      <c r="M136">
        <v>0</v>
      </c>
      <c r="N136" s="21">
        <v>12.74</v>
      </c>
    </row>
    <row r="137" spans="1:14">
      <c r="A137" t="str">
        <f>IFERROR(_xlfn.XLOOKUP(B137,Cuentas!$C$1:$C$521,Cuentas!$A$1:$A$521),"")</f>
        <v>Nicolas</v>
      </c>
      <c r="B137" t="s">
        <v>159</v>
      </c>
      <c r="C137" t="s">
        <v>160</v>
      </c>
      <c r="D137" t="s">
        <v>16</v>
      </c>
      <c r="E137" t="s">
        <v>3139</v>
      </c>
      <c r="F137" t="s">
        <v>165</v>
      </c>
      <c r="G137" t="s">
        <v>165</v>
      </c>
      <c r="I137" s="2">
        <v>45685</v>
      </c>
      <c r="J137" t="s">
        <v>20</v>
      </c>
      <c r="K137" s="21">
        <v>-182</v>
      </c>
      <c r="L137" s="21" t="s">
        <v>86</v>
      </c>
      <c r="M137">
        <v>0</v>
      </c>
      <c r="N137" s="21" t="s">
        <v>86</v>
      </c>
    </row>
    <row r="138" spans="1:14">
      <c r="A138" t="str">
        <f>IFERROR(_xlfn.XLOOKUP(B138,Cuentas!$C$1:$C$521,Cuentas!$A$1:$A$521),"")</f>
        <v>Nicolas</v>
      </c>
      <c r="B138" t="s">
        <v>159</v>
      </c>
      <c r="C138" t="s">
        <v>160</v>
      </c>
      <c r="D138" t="s">
        <v>16</v>
      </c>
      <c r="E138" t="s">
        <v>7</v>
      </c>
      <c r="F138" t="s">
        <v>166</v>
      </c>
      <c r="G138" t="s">
        <v>166</v>
      </c>
      <c r="H138" s="2">
        <v>45713</v>
      </c>
      <c r="I138" s="2">
        <v>45743</v>
      </c>
      <c r="J138" t="s">
        <v>20</v>
      </c>
      <c r="K138" s="21">
        <v>7056</v>
      </c>
      <c r="L138" s="21">
        <v>7056</v>
      </c>
      <c r="M138">
        <v>13</v>
      </c>
      <c r="N138" s="21">
        <v>7056</v>
      </c>
    </row>
    <row r="139" spans="1:14">
      <c r="A139" t="str">
        <f>IFERROR(_xlfn.XLOOKUP(B139,Cuentas!$C$1:$C$521,Cuentas!$A$1:$A$521),"")</f>
        <v>Nicolas</v>
      </c>
      <c r="B139" t="s">
        <v>159</v>
      </c>
      <c r="C139" t="s">
        <v>160</v>
      </c>
      <c r="D139" t="s">
        <v>16</v>
      </c>
      <c r="E139" t="s">
        <v>7</v>
      </c>
      <c r="F139" t="s">
        <v>167</v>
      </c>
      <c r="G139" t="s">
        <v>167</v>
      </c>
      <c r="H139" s="2">
        <v>45713</v>
      </c>
      <c r="I139" s="2">
        <v>45743</v>
      </c>
      <c r="J139" t="s">
        <v>20</v>
      </c>
      <c r="K139" s="21">
        <v>718</v>
      </c>
      <c r="L139" s="21">
        <v>718</v>
      </c>
      <c r="M139">
        <v>13</v>
      </c>
      <c r="N139" s="21">
        <v>718</v>
      </c>
    </row>
    <row r="140" spans="1:14">
      <c r="A140" t="str">
        <f>IFERROR(_xlfn.XLOOKUP(B140,Cuentas!$C$1:$C$521,Cuentas!$A$1:$A$521),"")</f>
        <v>Nicolas</v>
      </c>
      <c r="B140" t="s">
        <v>159</v>
      </c>
      <c r="C140" t="s">
        <v>160</v>
      </c>
      <c r="D140" t="s">
        <v>16</v>
      </c>
      <c r="E140" t="s">
        <v>7</v>
      </c>
      <c r="F140" t="s">
        <v>168</v>
      </c>
      <c r="G140" t="s">
        <v>168</v>
      </c>
      <c r="H140" s="2">
        <v>45727</v>
      </c>
      <c r="I140" s="2">
        <v>45757</v>
      </c>
      <c r="J140" t="s">
        <v>20</v>
      </c>
      <c r="K140" s="21">
        <v>2130.5</v>
      </c>
      <c r="L140" s="21">
        <v>2130.5</v>
      </c>
      <c r="M140">
        <v>0</v>
      </c>
      <c r="N140" s="21">
        <v>0</v>
      </c>
    </row>
    <row r="141" spans="1:14">
      <c r="A141" t="str">
        <f>IFERROR(_xlfn.XLOOKUP(B141,Cuentas!$C$1:$C$521,Cuentas!$A$1:$A$521),"")</f>
        <v>Nicolas</v>
      </c>
      <c r="B141" t="s">
        <v>169</v>
      </c>
      <c r="C141" t="s">
        <v>170</v>
      </c>
      <c r="D141" t="s">
        <v>16</v>
      </c>
      <c r="E141" t="s">
        <v>7</v>
      </c>
      <c r="F141" t="s">
        <v>171</v>
      </c>
      <c r="G141" t="s">
        <v>171</v>
      </c>
      <c r="H141" s="2">
        <v>45707</v>
      </c>
      <c r="I141" s="2">
        <v>45737</v>
      </c>
      <c r="J141" t="s">
        <v>20</v>
      </c>
      <c r="K141" s="21">
        <v>40</v>
      </c>
      <c r="L141" s="21">
        <v>40</v>
      </c>
      <c r="M141">
        <v>12</v>
      </c>
      <c r="N141" s="21">
        <v>40</v>
      </c>
    </row>
    <row r="142" spans="1:14">
      <c r="A142" t="str">
        <f>IFERROR(_xlfn.XLOOKUP(B142,Cuentas!$C$1:$C$521,Cuentas!$A$1:$A$521),"")</f>
        <v>Nicolas</v>
      </c>
      <c r="B142" t="s">
        <v>172</v>
      </c>
      <c r="C142" t="s">
        <v>173</v>
      </c>
      <c r="D142" t="s">
        <v>16</v>
      </c>
      <c r="E142" t="s">
        <v>5502</v>
      </c>
      <c r="F142" t="s">
        <v>174</v>
      </c>
      <c r="G142" t="s">
        <v>19</v>
      </c>
      <c r="I142" s="2">
        <v>45322</v>
      </c>
      <c r="J142" t="s">
        <v>20</v>
      </c>
      <c r="K142" s="21">
        <v>-4056.13</v>
      </c>
      <c r="L142" s="21">
        <v>-4056.13</v>
      </c>
      <c r="M142">
        <v>0</v>
      </c>
      <c r="N142" s="21">
        <v>-4056.13</v>
      </c>
    </row>
    <row r="143" spans="1:14">
      <c r="A143" t="str">
        <f>IFERROR(_xlfn.XLOOKUP(B143,Cuentas!$C$1:$C$521,Cuentas!$A$1:$A$521),"")</f>
        <v>Nicolas</v>
      </c>
      <c r="B143" t="s">
        <v>172</v>
      </c>
      <c r="C143" t="s">
        <v>173</v>
      </c>
      <c r="D143" t="s">
        <v>16</v>
      </c>
      <c r="E143" t="s">
        <v>5502</v>
      </c>
      <c r="F143" t="s">
        <v>175</v>
      </c>
      <c r="G143" t="s">
        <v>19</v>
      </c>
      <c r="I143" s="2">
        <v>45489</v>
      </c>
      <c r="J143" t="s">
        <v>20</v>
      </c>
      <c r="K143" s="21">
        <v>-240.46</v>
      </c>
      <c r="L143" s="21">
        <v>-240.46</v>
      </c>
      <c r="M143">
        <v>0</v>
      </c>
      <c r="N143" s="21">
        <v>-240.46</v>
      </c>
    </row>
    <row r="144" spans="1:14">
      <c r="A144" t="str">
        <f>IFERROR(_xlfn.XLOOKUP(B144,Cuentas!$C$1:$C$521,Cuentas!$A$1:$A$521),"")</f>
        <v>Nicolas</v>
      </c>
      <c r="B144" t="s">
        <v>172</v>
      </c>
      <c r="C144" t="s">
        <v>173</v>
      </c>
      <c r="D144" t="s">
        <v>16</v>
      </c>
      <c r="E144" t="s">
        <v>7</v>
      </c>
      <c r="F144" t="s">
        <v>176</v>
      </c>
      <c r="G144" t="s">
        <v>176</v>
      </c>
      <c r="H144" s="2">
        <v>45548</v>
      </c>
      <c r="I144" s="2">
        <v>45578</v>
      </c>
      <c r="J144" t="s">
        <v>20</v>
      </c>
      <c r="K144" s="21">
        <v>21051.9</v>
      </c>
      <c r="L144" s="21">
        <v>24.81</v>
      </c>
      <c r="M144">
        <v>0</v>
      </c>
      <c r="N144" s="21">
        <v>24.81</v>
      </c>
    </row>
    <row r="145" spans="1:14">
      <c r="A145" t="str">
        <f>IFERROR(_xlfn.XLOOKUP(B145,Cuentas!$C$1:$C$521,Cuentas!$A$1:$A$521),"")</f>
        <v>Nicolas</v>
      </c>
      <c r="B145" t="s">
        <v>172</v>
      </c>
      <c r="C145" t="s">
        <v>173</v>
      </c>
      <c r="D145" t="s">
        <v>16</v>
      </c>
      <c r="E145" t="s">
        <v>5502</v>
      </c>
      <c r="F145" t="s">
        <v>177</v>
      </c>
      <c r="G145" t="s">
        <v>176</v>
      </c>
      <c r="I145" s="2">
        <v>45667</v>
      </c>
      <c r="J145" t="s">
        <v>20</v>
      </c>
      <c r="K145" s="21">
        <v>-59.47</v>
      </c>
      <c r="L145" s="21" t="s">
        <v>86</v>
      </c>
      <c r="M145">
        <v>0</v>
      </c>
      <c r="N145" s="21" t="s">
        <v>86</v>
      </c>
    </row>
    <row r="146" spans="1:14">
      <c r="A146" t="str">
        <f>IFERROR(_xlfn.XLOOKUP(B146,Cuentas!$C$1:$C$521,Cuentas!$A$1:$A$521),"")</f>
        <v>Nicolas</v>
      </c>
      <c r="B146" t="s">
        <v>172</v>
      </c>
      <c r="C146" t="s">
        <v>173</v>
      </c>
      <c r="D146" t="s">
        <v>16</v>
      </c>
      <c r="E146" t="s">
        <v>3139</v>
      </c>
      <c r="F146" t="s">
        <v>176</v>
      </c>
      <c r="G146" t="s">
        <v>176</v>
      </c>
      <c r="I146" s="2">
        <v>45575</v>
      </c>
      <c r="J146" t="s">
        <v>20</v>
      </c>
      <c r="K146" s="21">
        <v>-20967.62</v>
      </c>
      <c r="L146" s="21" t="s">
        <v>86</v>
      </c>
      <c r="M146">
        <v>0</v>
      </c>
      <c r="N146" s="21" t="s">
        <v>86</v>
      </c>
    </row>
    <row r="147" spans="1:14">
      <c r="A147" t="str">
        <f>IFERROR(_xlfn.XLOOKUP(B147,Cuentas!$C$1:$C$521,Cuentas!$A$1:$A$521),"")</f>
        <v>Nicolas</v>
      </c>
      <c r="B147" t="s">
        <v>172</v>
      </c>
      <c r="C147" t="s">
        <v>173</v>
      </c>
      <c r="D147" t="s">
        <v>16</v>
      </c>
      <c r="E147" t="s">
        <v>7</v>
      </c>
      <c r="F147" t="s">
        <v>178</v>
      </c>
      <c r="G147" t="s">
        <v>178</v>
      </c>
      <c r="H147" s="2">
        <v>45614</v>
      </c>
      <c r="I147" s="2">
        <v>45644</v>
      </c>
      <c r="J147" t="s">
        <v>20</v>
      </c>
      <c r="K147" s="21">
        <v>24046.400000000001</v>
      </c>
      <c r="L147" s="21">
        <v>79.78</v>
      </c>
      <c r="M147">
        <v>0</v>
      </c>
      <c r="N147" s="21">
        <v>79.78</v>
      </c>
    </row>
    <row r="148" spans="1:14">
      <c r="A148" t="str">
        <f>IFERROR(_xlfn.XLOOKUP(B148,Cuentas!$C$1:$C$521,Cuentas!$A$1:$A$521),"")</f>
        <v>Nicolas</v>
      </c>
      <c r="B148" t="s">
        <v>172</v>
      </c>
      <c r="C148" t="s">
        <v>173</v>
      </c>
      <c r="D148" t="s">
        <v>16</v>
      </c>
      <c r="E148" t="s">
        <v>5502</v>
      </c>
      <c r="F148" t="s">
        <v>179</v>
      </c>
      <c r="G148" t="s">
        <v>178</v>
      </c>
      <c r="I148" s="2">
        <v>45667</v>
      </c>
      <c r="J148" t="s">
        <v>20</v>
      </c>
      <c r="K148" s="21">
        <v>-67.94</v>
      </c>
      <c r="L148" s="21" t="s">
        <v>86</v>
      </c>
      <c r="M148">
        <v>0</v>
      </c>
      <c r="N148" s="21" t="s">
        <v>86</v>
      </c>
    </row>
    <row r="149" spans="1:14">
      <c r="A149" t="str">
        <f>IFERROR(_xlfn.XLOOKUP(B149,Cuentas!$C$1:$C$521,Cuentas!$A$1:$A$521),"")</f>
        <v>Nicolas</v>
      </c>
      <c r="B149" t="s">
        <v>172</v>
      </c>
      <c r="C149" t="s">
        <v>173</v>
      </c>
      <c r="D149" t="s">
        <v>16</v>
      </c>
      <c r="E149" t="s">
        <v>3139</v>
      </c>
      <c r="F149" t="s">
        <v>178</v>
      </c>
      <c r="G149" t="s">
        <v>178</v>
      </c>
      <c r="I149" s="2">
        <v>45643</v>
      </c>
      <c r="J149" t="s">
        <v>20</v>
      </c>
      <c r="K149" s="21">
        <v>-23898.68</v>
      </c>
      <c r="L149" s="21" t="s">
        <v>86</v>
      </c>
      <c r="M149">
        <v>0</v>
      </c>
      <c r="N149" s="21" t="s">
        <v>86</v>
      </c>
    </row>
    <row r="150" spans="1:14">
      <c r="A150" t="str">
        <f>IFERROR(_xlfn.XLOOKUP(B150,Cuentas!$C$1:$C$521,Cuentas!$A$1:$A$521),"")</f>
        <v>Nicolas</v>
      </c>
      <c r="B150" t="s">
        <v>172</v>
      </c>
      <c r="C150" t="s">
        <v>173</v>
      </c>
      <c r="D150" t="s">
        <v>16</v>
      </c>
      <c r="E150" t="s">
        <v>7</v>
      </c>
      <c r="F150" t="s">
        <v>180</v>
      </c>
      <c r="G150" t="s">
        <v>180</v>
      </c>
      <c r="H150" s="2">
        <v>45670</v>
      </c>
      <c r="I150" s="2">
        <v>45700</v>
      </c>
      <c r="J150" t="s">
        <v>20</v>
      </c>
      <c r="K150" s="21">
        <v>36078.639999999999</v>
      </c>
      <c r="L150" s="21">
        <v>144.26</v>
      </c>
      <c r="M150">
        <v>0</v>
      </c>
      <c r="N150" s="21">
        <v>144.26</v>
      </c>
    </row>
    <row r="151" spans="1:14">
      <c r="A151" t="str">
        <f>IFERROR(_xlfn.XLOOKUP(B151,Cuentas!$C$1:$C$521,Cuentas!$A$1:$A$521),"")</f>
        <v>Nicolas</v>
      </c>
      <c r="B151" t="s">
        <v>172</v>
      </c>
      <c r="C151" t="s">
        <v>173</v>
      </c>
      <c r="D151" t="s">
        <v>16</v>
      </c>
      <c r="E151" t="s">
        <v>3139</v>
      </c>
      <c r="F151" t="s">
        <v>180</v>
      </c>
      <c r="G151" t="s">
        <v>180</v>
      </c>
      <c r="I151" s="2">
        <v>45699</v>
      </c>
      <c r="J151" t="s">
        <v>20</v>
      </c>
      <c r="K151" s="21">
        <v>-35934.379999999997</v>
      </c>
      <c r="L151" s="21" t="s">
        <v>86</v>
      </c>
      <c r="M151">
        <v>0</v>
      </c>
      <c r="N151" s="21" t="s">
        <v>86</v>
      </c>
    </row>
    <row r="152" spans="1:14">
      <c r="A152" t="str">
        <f>IFERROR(_xlfn.XLOOKUP(B152,Cuentas!$C$1:$C$521,Cuentas!$A$1:$A$521),"")</f>
        <v>Nicolas</v>
      </c>
      <c r="B152" t="s">
        <v>181</v>
      </c>
      <c r="C152" t="s">
        <v>182</v>
      </c>
      <c r="D152" t="s">
        <v>16</v>
      </c>
      <c r="E152" t="s">
        <v>3139</v>
      </c>
      <c r="F152" t="s">
        <v>19</v>
      </c>
      <c r="G152" t="s">
        <v>19</v>
      </c>
      <c r="I152" s="2">
        <v>45554</v>
      </c>
      <c r="J152" t="s">
        <v>20</v>
      </c>
      <c r="K152" s="21">
        <v>-3834.29</v>
      </c>
      <c r="L152" s="21">
        <v>-3834.29</v>
      </c>
      <c r="M152">
        <v>0</v>
      </c>
      <c r="N152" s="21">
        <v>-3834.29</v>
      </c>
    </row>
    <row r="153" spans="1:14">
      <c r="A153" t="str">
        <f>IFERROR(_xlfn.XLOOKUP(B153,Cuentas!$C$1:$C$521,Cuentas!$A$1:$A$521),"")</f>
        <v>Nicolas</v>
      </c>
      <c r="B153" t="s">
        <v>181</v>
      </c>
      <c r="C153" t="s">
        <v>182</v>
      </c>
      <c r="D153" t="s">
        <v>16</v>
      </c>
      <c r="E153" t="s">
        <v>7</v>
      </c>
      <c r="F153" t="s">
        <v>183</v>
      </c>
      <c r="G153" t="s">
        <v>183</v>
      </c>
      <c r="H153" s="2">
        <v>45607</v>
      </c>
      <c r="I153" s="2">
        <v>45637</v>
      </c>
      <c r="J153" t="s">
        <v>20</v>
      </c>
      <c r="K153" s="21">
        <v>1640.76</v>
      </c>
      <c r="L153" s="21">
        <v>1640.76</v>
      </c>
      <c r="M153">
        <v>0</v>
      </c>
      <c r="N153" s="21">
        <v>1640.76</v>
      </c>
    </row>
    <row r="154" spans="1:14">
      <c r="A154" t="str">
        <f>IFERROR(_xlfn.XLOOKUP(B154,Cuentas!$C$1:$C$521,Cuentas!$A$1:$A$521),"")</f>
        <v>Nicolas</v>
      </c>
      <c r="B154" t="s">
        <v>181</v>
      </c>
      <c r="C154" t="s">
        <v>182</v>
      </c>
      <c r="D154" t="s">
        <v>16</v>
      </c>
      <c r="E154" t="s">
        <v>7</v>
      </c>
      <c r="F154" t="s">
        <v>184</v>
      </c>
      <c r="G154" t="s">
        <v>184</v>
      </c>
      <c r="H154" s="2">
        <v>45713</v>
      </c>
      <c r="I154" s="2">
        <v>45743</v>
      </c>
      <c r="J154" t="s">
        <v>20</v>
      </c>
      <c r="K154" s="21">
        <v>372.9</v>
      </c>
      <c r="L154" s="21">
        <v>372.9</v>
      </c>
      <c r="M154">
        <v>13</v>
      </c>
      <c r="N154" s="21">
        <v>372.9</v>
      </c>
    </row>
    <row r="155" spans="1:14">
      <c r="A155" t="str">
        <f>IFERROR(_xlfn.XLOOKUP(B155,Cuentas!$C$1:$C$521,Cuentas!$A$1:$A$521),"")</f>
        <v>Nicolas</v>
      </c>
      <c r="B155" t="s">
        <v>185</v>
      </c>
      <c r="C155" t="s">
        <v>186</v>
      </c>
      <c r="D155" t="s">
        <v>16</v>
      </c>
      <c r="E155" t="s">
        <v>7</v>
      </c>
      <c r="F155" t="s">
        <v>187</v>
      </c>
      <c r="G155" t="s">
        <v>187</v>
      </c>
      <c r="H155" s="2">
        <v>45705</v>
      </c>
      <c r="I155" s="2">
        <v>45735</v>
      </c>
      <c r="J155" t="s">
        <v>20</v>
      </c>
      <c r="K155" s="21">
        <v>339</v>
      </c>
      <c r="L155" s="21">
        <v>339</v>
      </c>
      <c r="M155">
        <v>12</v>
      </c>
      <c r="N155" s="21">
        <v>339</v>
      </c>
    </row>
    <row r="156" spans="1:14">
      <c r="A156" t="str">
        <f>IFERROR(_xlfn.XLOOKUP(B156,Cuentas!$C$1:$C$521,Cuentas!$A$1:$A$521),"")</f>
        <v>Nicolas</v>
      </c>
      <c r="B156" t="s">
        <v>185</v>
      </c>
      <c r="C156" t="s">
        <v>186</v>
      </c>
      <c r="D156" t="s">
        <v>16</v>
      </c>
      <c r="E156" t="s">
        <v>7</v>
      </c>
      <c r="F156" t="s">
        <v>188</v>
      </c>
      <c r="G156" t="s">
        <v>188</v>
      </c>
      <c r="H156" s="2">
        <v>45708</v>
      </c>
      <c r="I156" s="2">
        <v>45738</v>
      </c>
      <c r="J156" t="s">
        <v>20</v>
      </c>
      <c r="K156" s="21">
        <v>2260</v>
      </c>
      <c r="L156" s="21">
        <v>2260</v>
      </c>
      <c r="M156">
        <v>12</v>
      </c>
      <c r="N156" s="21">
        <v>2260</v>
      </c>
    </row>
    <row r="157" spans="1:14">
      <c r="A157" t="str">
        <f>IFERROR(_xlfn.XLOOKUP(B157,Cuentas!$C$1:$C$521,Cuentas!$A$1:$A$521),"")</f>
        <v>Nicolas</v>
      </c>
      <c r="B157" t="s">
        <v>185</v>
      </c>
      <c r="C157" t="s">
        <v>186</v>
      </c>
      <c r="D157" t="s">
        <v>16</v>
      </c>
      <c r="E157" t="s">
        <v>7</v>
      </c>
      <c r="F157" t="s">
        <v>189</v>
      </c>
      <c r="G157" t="s">
        <v>189</v>
      </c>
      <c r="H157" s="2">
        <v>45708</v>
      </c>
      <c r="I157" s="2">
        <v>45738</v>
      </c>
      <c r="J157" t="s">
        <v>20</v>
      </c>
      <c r="K157" s="21">
        <v>590.99</v>
      </c>
      <c r="L157" s="21">
        <v>590.99</v>
      </c>
      <c r="M157">
        <v>12</v>
      </c>
      <c r="N157" s="21">
        <v>590.99</v>
      </c>
    </row>
    <row r="158" spans="1:14">
      <c r="A158" t="str">
        <f>IFERROR(_xlfn.XLOOKUP(B158,Cuentas!$C$1:$C$521,Cuentas!$A$1:$A$521),"")</f>
        <v>Nicolas</v>
      </c>
      <c r="B158" t="s">
        <v>185</v>
      </c>
      <c r="C158" t="s">
        <v>186</v>
      </c>
      <c r="D158" t="s">
        <v>16</v>
      </c>
      <c r="E158" t="s">
        <v>7</v>
      </c>
      <c r="F158" t="s">
        <v>190</v>
      </c>
      <c r="G158" t="s">
        <v>190</v>
      </c>
      <c r="H158" s="2">
        <v>45708</v>
      </c>
      <c r="I158" s="2">
        <v>45738</v>
      </c>
      <c r="J158" t="s">
        <v>20</v>
      </c>
      <c r="K158" s="21">
        <v>415.28</v>
      </c>
      <c r="L158" s="21">
        <v>415.28</v>
      </c>
      <c r="M158">
        <v>12</v>
      </c>
      <c r="N158" s="21">
        <v>415.28</v>
      </c>
    </row>
    <row r="159" spans="1:14">
      <c r="A159" t="str">
        <f>IFERROR(_xlfn.XLOOKUP(B159,Cuentas!$C$1:$C$521,Cuentas!$A$1:$A$521),"")</f>
        <v>Nicolas</v>
      </c>
      <c r="B159" t="s">
        <v>185</v>
      </c>
      <c r="C159" t="s">
        <v>186</v>
      </c>
      <c r="D159" t="s">
        <v>16</v>
      </c>
      <c r="E159" t="s">
        <v>7</v>
      </c>
      <c r="F159" t="s">
        <v>191</v>
      </c>
      <c r="G159" t="s">
        <v>191</v>
      </c>
      <c r="H159" s="2">
        <v>45708</v>
      </c>
      <c r="I159" s="2">
        <v>45738</v>
      </c>
      <c r="J159" t="s">
        <v>20</v>
      </c>
      <c r="K159" s="21">
        <v>1243</v>
      </c>
      <c r="L159" s="21">
        <v>1243</v>
      </c>
      <c r="M159">
        <v>12</v>
      </c>
      <c r="N159" s="21">
        <v>1243</v>
      </c>
    </row>
    <row r="160" spans="1:14">
      <c r="A160" t="str">
        <f>IFERROR(_xlfn.XLOOKUP(B160,Cuentas!$C$1:$C$521,Cuentas!$A$1:$A$521),"")</f>
        <v>Nicolas</v>
      </c>
      <c r="B160" t="s">
        <v>185</v>
      </c>
      <c r="C160" t="s">
        <v>186</v>
      </c>
      <c r="D160" t="s">
        <v>16</v>
      </c>
      <c r="E160" t="s">
        <v>7</v>
      </c>
      <c r="F160" t="s">
        <v>192</v>
      </c>
      <c r="G160" t="s">
        <v>192</v>
      </c>
      <c r="H160" s="2">
        <v>45716</v>
      </c>
      <c r="I160" s="2">
        <v>45746</v>
      </c>
      <c r="J160" t="s">
        <v>20</v>
      </c>
      <c r="K160" s="21">
        <v>302.83999999999997</v>
      </c>
      <c r="L160" s="21">
        <v>302.83999999999997</v>
      </c>
      <c r="M160">
        <v>13</v>
      </c>
      <c r="N160" s="21">
        <v>302.83999999999997</v>
      </c>
    </row>
    <row r="161" spans="1:14">
      <c r="A161" t="str">
        <f>IFERROR(_xlfn.XLOOKUP(B161,Cuentas!$C$1:$C$521,Cuentas!$A$1:$A$521),"")</f>
        <v>Nicolas</v>
      </c>
      <c r="B161" t="s">
        <v>185</v>
      </c>
      <c r="C161" t="s">
        <v>186</v>
      </c>
      <c r="D161" t="s">
        <v>16</v>
      </c>
      <c r="E161" t="s">
        <v>7</v>
      </c>
      <c r="F161" t="s">
        <v>193</v>
      </c>
      <c r="G161" t="s">
        <v>193</v>
      </c>
      <c r="H161" s="2">
        <v>45729</v>
      </c>
      <c r="I161" s="2">
        <v>45759</v>
      </c>
      <c r="J161" t="s">
        <v>20</v>
      </c>
      <c r="K161" s="21">
        <v>135.6</v>
      </c>
      <c r="L161" s="21">
        <v>135.6</v>
      </c>
      <c r="M161">
        <v>0</v>
      </c>
      <c r="N161" s="21">
        <v>0</v>
      </c>
    </row>
    <row r="162" spans="1:14">
      <c r="A162" t="str">
        <f>IFERROR(_xlfn.XLOOKUP(B162,Cuentas!$C$1:$C$521,Cuentas!$A$1:$A$521),"")</f>
        <v>Yuldor</v>
      </c>
      <c r="B162" t="s">
        <v>194</v>
      </c>
      <c r="C162" t="s">
        <v>195</v>
      </c>
      <c r="D162" t="s">
        <v>16</v>
      </c>
      <c r="E162" t="s">
        <v>7</v>
      </c>
      <c r="F162" t="s">
        <v>196</v>
      </c>
      <c r="G162" t="s">
        <v>196</v>
      </c>
      <c r="H162" s="2">
        <v>45560</v>
      </c>
      <c r="I162" s="2">
        <v>45590</v>
      </c>
      <c r="J162" t="s">
        <v>20</v>
      </c>
      <c r="K162" s="21">
        <v>336.74</v>
      </c>
      <c r="L162" s="21">
        <v>336.74</v>
      </c>
      <c r="M162">
        <v>0</v>
      </c>
      <c r="N162" s="21">
        <v>336.74</v>
      </c>
    </row>
    <row r="163" spans="1:14">
      <c r="A163" t="str">
        <f>IFERROR(_xlfn.XLOOKUP(B163,Cuentas!$C$1:$C$521,Cuentas!$A$1:$A$521),"")</f>
        <v>Yuldor</v>
      </c>
      <c r="B163" t="s">
        <v>194</v>
      </c>
      <c r="C163" t="s">
        <v>195</v>
      </c>
      <c r="D163" t="s">
        <v>16</v>
      </c>
      <c r="E163" t="s">
        <v>7</v>
      </c>
      <c r="F163" t="s">
        <v>197</v>
      </c>
      <c r="G163" t="s">
        <v>197</v>
      </c>
      <c r="H163" s="2">
        <v>45623</v>
      </c>
      <c r="I163" s="2">
        <v>45653</v>
      </c>
      <c r="J163" t="s">
        <v>20</v>
      </c>
      <c r="K163" s="21">
        <v>91.53</v>
      </c>
      <c r="L163" s="21">
        <v>91.53</v>
      </c>
      <c r="M163">
        <v>0</v>
      </c>
      <c r="N163" s="21">
        <v>91.53</v>
      </c>
    </row>
    <row r="164" spans="1:14">
      <c r="A164" t="str">
        <f>IFERROR(_xlfn.XLOOKUP(B164,Cuentas!$C$1:$C$521,Cuentas!$A$1:$A$521),"")</f>
        <v>Yuldor</v>
      </c>
      <c r="B164" t="s">
        <v>194</v>
      </c>
      <c r="C164" t="s">
        <v>195</v>
      </c>
      <c r="D164" t="s">
        <v>16</v>
      </c>
      <c r="E164" t="s">
        <v>7</v>
      </c>
      <c r="F164" t="s">
        <v>198</v>
      </c>
      <c r="G164" t="s">
        <v>198</v>
      </c>
      <c r="H164" s="2">
        <v>45635</v>
      </c>
      <c r="I164" s="2">
        <v>45665</v>
      </c>
      <c r="J164" t="s">
        <v>20</v>
      </c>
      <c r="K164" s="21">
        <v>122.04</v>
      </c>
      <c r="L164" s="21">
        <v>122.04</v>
      </c>
      <c r="M164">
        <v>0</v>
      </c>
      <c r="N164" s="21">
        <v>122.04</v>
      </c>
    </row>
    <row r="165" spans="1:14">
      <c r="A165" t="str">
        <f>IFERROR(_xlfn.XLOOKUP(B165,Cuentas!$C$1:$C$521,Cuentas!$A$1:$A$521),"")</f>
        <v>Yuldor</v>
      </c>
      <c r="B165" t="s">
        <v>194</v>
      </c>
      <c r="C165" t="s">
        <v>195</v>
      </c>
      <c r="D165" t="s">
        <v>16</v>
      </c>
      <c r="E165" t="s">
        <v>7</v>
      </c>
      <c r="F165" t="s">
        <v>199</v>
      </c>
      <c r="G165" t="s">
        <v>199</v>
      </c>
      <c r="H165" s="2">
        <v>45716</v>
      </c>
      <c r="I165" s="2">
        <v>45746</v>
      </c>
      <c r="J165" t="s">
        <v>20</v>
      </c>
      <c r="K165" s="21">
        <v>2858.9</v>
      </c>
      <c r="L165" s="21">
        <v>2858.9</v>
      </c>
      <c r="M165">
        <v>13</v>
      </c>
      <c r="N165" s="21">
        <v>2858.9</v>
      </c>
    </row>
    <row r="166" spans="1:14">
      <c r="A166" t="str">
        <f>IFERROR(_xlfn.XLOOKUP(B166,Cuentas!$C$1:$C$521,Cuentas!$A$1:$A$521),"")</f>
        <v>Yuldor</v>
      </c>
      <c r="B166" t="s">
        <v>194</v>
      </c>
      <c r="C166" t="s">
        <v>195</v>
      </c>
      <c r="D166" t="s">
        <v>16</v>
      </c>
      <c r="E166" t="s">
        <v>7</v>
      </c>
      <c r="F166" t="s">
        <v>200</v>
      </c>
      <c r="G166" t="s">
        <v>200</v>
      </c>
      <c r="H166" s="2">
        <v>45716</v>
      </c>
      <c r="I166" s="2">
        <v>45746</v>
      </c>
      <c r="J166" t="s">
        <v>20</v>
      </c>
      <c r="K166" s="21">
        <v>631.36</v>
      </c>
      <c r="L166" s="21">
        <v>631.36</v>
      </c>
      <c r="M166">
        <v>13</v>
      </c>
      <c r="N166" s="21">
        <v>631.36</v>
      </c>
    </row>
    <row r="167" spans="1:14">
      <c r="A167" t="str">
        <f>IFERROR(_xlfn.XLOOKUP(B167,Cuentas!$C$1:$C$521,Cuentas!$A$1:$A$521),"")</f>
        <v>Yuldor</v>
      </c>
      <c r="B167" t="s">
        <v>194</v>
      </c>
      <c r="C167" t="s">
        <v>195</v>
      </c>
      <c r="D167" t="s">
        <v>16</v>
      </c>
      <c r="E167" t="s">
        <v>7</v>
      </c>
      <c r="F167" t="s">
        <v>201</v>
      </c>
      <c r="G167" t="s">
        <v>201</v>
      </c>
      <c r="H167" s="2">
        <v>45741</v>
      </c>
      <c r="I167" s="2">
        <v>45771</v>
      </c>
      <c r="J167" t="s">
        <v>20</v>
      </c>
      <c r="K167" s="21">
        <v>1063.0999999999999</v>
      </c>
      <c r="L167" s="21">
        <v>1063.0999999999999</v>
      </c>
      <c r="M167">
        <v>0</v>
      </c>
      <c r="N167" s="21">
        <v>0</v>
      </c>
    </row>
    <row r="168" spans="1:14">
      <c r="A168" t="str">
        <f>IFERROR(_xlfn.XLOOKUP(B168,Cuentas!$C$1:$C$521,Cuentas!$A$1:$A$521),"")</f>
        <v>Yuldor</v>
      </c>
      <c r="B168" t="s">
        <v>194</v>
      </c>
      <c r="C168" t="s">
        <v>195</v>
      </c>
      <c r="D168" t="s">
        <v>16</v>
      </c>
      <c r="E168" t="s">
        <v>7</v>
      </c>
      <c r="F168" t="s">
        <v>202</v>
      </c>
      <c r="G168" t="s">
        <v>202</v>
      </c>
      <c r="H168" s="2">
        <v>45741</v>
      </c>
      <c r="I168" s="2">
        <v>45771</v>
      </c>
      <c r="J168" t="s">
        <v>20</v>
      </c>
      <c r="K168" s="21">
        <v>2712</v>
      </c>
      <c r="L168" s="21">
        <v>2712</v>
      </c>
      <c r="M168">
        <v>0</v>
      </c>
      <c r="N168" s="21">
        <v>0</v>
      </c>
    </row>
    <row r="169" spans="1:14">
      <c r="A169" t="str">
        <f>IFERROR(_xlfn.XLOOKUP(B169,Cuentas!$C$1:$C$521,Cuentas!$A$1:$A$521),"")</f>
        <v>Nicolas</v>
      </c>
      <c r="B169" t="s">
        <v>203</v>
      </c>
      <c r="C169" t="s">
        <v>204</v>
      </c>
      <c r="D169" t="s">
        <v>16</v>
      </c>
      <c r="E169" t="s">
        <v>7</v>
      </c>
      <c r="F169" t="s">
        <v>205</v>
      </c>
      <c r="G169" t="s">
        <v>205</v>
      </c>
      <c r="H169" s="2">
        <v>45677</v>
      </c>
      <c r="I169" s="2">
        <v>45707</v>
      </c>
      <c r="J169" t="s">
        <v>20</v>
      </c>
      <c r="K169" s="21">
        <v>68114.59</v>
      </c>
      <c r="L169" s="21">
        <v>68114.59</v>
      </c>
      <c r="M169">
        <v>0</v>
      </c>
      <c r="N169" s="21">
        <v>68114.59</v>
      </c>
    </row>
    <row r="170" spans="1:14">
      <c r="A170" t="str">
        <f>IFERROR(_xlfn.XLOOKUP(B170,Cuentas!$C$1:$C$521,Cuentas!$A$1:$A$521),"")</f>
        <v>Nicolas</v>
      </c>
      <c r="B170" t="s">
        <v>203</v>
      </c>
      <c r="C170" t="s">
        <v>204</v>
      </c>
      <c r="D170" t="s">
        <v>16</v>
      </c>
      <c r="E170" t="s">
        <v>7</v>
      </c>
      <c r="F170" t="s">
        <v>206</v>
      </c>
      <c r="G170" t="s">
        <v>206</v>
      </c>
      <c r="H170" s="2">
        <v>45727</v>
      </c>
      <c r="I170" s="2">
        <v>45757</v>
      </c>
      <c r="J170" t="s">
        <v>20</v>
      </c>
      <c r="K170" s="21">
        <v>69562.8</v>
      </c>
      <c r="L170" s="21">
        <v>69562.8</v>
      </c>
      <c r="M170">
        <v>0</v>
      </c>
      <c r="N170" s="21">
        <v>0</v>
      </c>
    </row>
    <row r="171" spans="1:14">
      <c r="A171" t="str">
        <f>IFERROR(_xlfn.XLOOKUP(B171,Cuentas!$C$1:$C$521,Cuentas!$A$1:$A$521),"")</f>
        <v>Nicolas</v>
      </c>
      <c r="B171" t="s">
        <v>207</v>
      </c>
      <c r="C171" t="s">
        <v>208</v>
      </c>
      <c r="D171" t="s">
        <v>16</v>
      </c>
      <c r="E171" t="s">
        <v>7</v>
      </c>
      <c r="F171" t="s">
        <v>209</v>
      </c>
      <c r="G171" t="s">
        <v>209</v>
      </c>
      <c r="H171" s="2">
        <v>45716</v>
      </c>
      <c r="I171" s="2">
        <v>45746</v>
      </c>
      <c r="J171" t="s">
        <v>20</v>
      </c>
      <c r="K171" s="21">
        <v>235.04</v>
      </c>
      <c r="L171" s="21">
        <v>235.04</v>
      </c>
      <c r="M171">
        <v>13</v>
      </c>
      <c r="N171" s="21">
        <v>235.04</v>
      </c>
    </row>
    <row r="172" spans="1:14">
      <c r="A172" t="str">
        <f>IFERROR(_xlfn.XLOOKUP(B172,Cuentas!$C$1:$C$521,Cuentas!$A$1:$A$521),"")</f>
        <v>Nicolas</v>
      </c>
      <c r="B172" t="s">
        <v>207</v>
      </c>
      <c r="C172" t="s">
        <v>208</v>
      </c>
      <c r="D172" t="s">
        <v>16</v>
      </c>
      <c r="E172" t="s">
        <v>7</v>
      </c>
      <c r="F172" t="s">
        <v>210</v>
      </c>
      <c r="G172" t="s">
        <v>210</v>
      </c>
      <c r="H172" s="2">
        <v>45733</v>
      </c>
      <c r="I172" s="2">
        <v>45763</v>
      </c>
      <c r="J172" t="s">
        <v>20</v>
      </c>
      <c r="K172" s="21">
        <v>317.52999999999997</v>
      </c>
      <c r="L172" s="21">
        <v>317.52999999999997</v>
      </c>
      <c r="M172">
        <v>0</v>
      </c>
      <c r="N172" s="21">
        <v>0</v>
      </c>
    </row>
    <row r="173" spans="1:14">
      <c r="A173" t="str">
        <f>IFERROR(_xlfn.XLOOKUP(B173,Cuentas!$C$1:$C$521,Cuentas!$A$1:$A$521),"")</f>
        <v>Nicolas</v>
      </c>
      <c r="B173" t="s">
        <v>211</v>
      </c>
      <c r="C173" t="s">
        <v>212</v>
      </c>
      <c r="D173" t="s">
        <v>213</v>
      </c>
      <c r="E173" t="s">
        <v>5502</v>
      </c>
      <c r="F173" t="s">
        <v>214</v>
      </c>
      <c r="G173" t="s">
        <v>19</v>
      </c>
      <c r="I173" s="2">
        <v>45428</v>
      </c>
      <c r="J173" t="s">
        <v>20</v>
      </c>
      <c r="K173" s="21">
        <v>-12463.9</v>
      </c>
      <c r="L173" s="21">
        <v>-12463.9</v>
      </c>
      <c r="M173">
        <v>0</v>
      </c>
      <c r="N173" s="21">
        <v>-12463.9</v>
      </c>
    </row>
    <row r="174" spans="1:14">
      <c r="A174" t="str">
        <f>IFERROR(_xlfn.XLOOKUP(B174,Cuentas!$C$1:$C$521,Cuentas!$A$1:$A$521),"")</f>
        <v>Nicolas</v>
      </c>
      <c r="B174" t="s">
        <v>215</v>
      </c>
      <c r="C174" t="s">
        <v>216</v>
      </c>
      <c r="D174" t="s">
        <v>16</v>
      </c>
      <c r="E174" t="s">
        <v>7</v>
      </c>
      <c r="F174" t="s">
        <v>217</v>
      </c>
      <c r="G174" t="s">
        <v>217</v>
      </c>
      <c r="H174" s="2">
        <v>45714</v>
      </c>
      <c r="I174" s="2">
        <v>45744</v>
      </c>
      <c r="J174" t="s">
        <v>20</v>
      </c>
      <c r="K174" s="21">
        <v>2305.1999999999998</v>
      </c>
      <c r="L174" s="21">
        <v>2305.1999999999998</v>
      </c>
      <c r="M174">
        <v>13</v>
      </c>
      <c r="N174" s="21">
        <v>2305.1999999999998</v>
      </c>
    </row>
    <row r="175" spans="1:14">
      <c r="A175" t="str">
        <f>IFERROR(_xlfn.XLOOKUP(B175,Cuentas!$C$1:$C$521,Cuentas!$A$1:$A$521),"")</f>
        <v>Nicolas</v>
      </c>
      <c r="B175" t="s">
        <v>215</v>
      </c>
      <c r="C175" t="s">
        <v>216</v>
      </c>
      <c r="D175" t="s">
        <v>16</v>
      </c>
      <c r="E175" t="s">
        <v>7</v>
      </c>
      <c r="F175" t="s">
        <v>218</v>
      </c>
      <c r="G175" t="s">
        <v>218</v>
      </c>
      <c r="H175" s="2">
        <v>45716</v>
      </c>
      <c r="I175" s="2">
        <v>45746</v>
      </c>
      <c r="J175" t="s">
        <v>20</v>
      </c>
      <c r="K175" s="21">
        <v>1785.4</v>
      </c>
      <c r="L175" s="21">
        <v>1785.4</v>
      </c>
      <c r="M175">
        <v>13</v>
      </c>
      <c r="N175" s="21">
        <v>1785.4</v>
      </c>
    </row>
    <row r="176" spans="1:14">
      <c r="A176" t="str">
        <f>IFERROR(_xlfn.XLOOKUP(B176,Cuentas!$C$1:$C$521,Cuentas!$A$1:$A$521),"")</f>
        <v>Nicolas</v>
      </c>
      <c r="B176" t="s">
        <v>215</v>
      </c>
      <c r="C176" t="s">
        <v>216</v>
      </c>
      <c r="D176" t="s">
        <v>16</v>
      </c>
      <c r="E176" t="s">
        <v>7</v>
      </c>
      <c r="F176" t="s">
        <v>219</v>
      </c>
      <c r="G176" t="s">
        <v>219</v>
      </c>
      <c r="H176" s="2">
        <v>45722</v>
      </c>
      <c r="I176" s="2">
        <v>45752</v>
      </c>
      <c r="J176" t="s">
        <v>20</v>
      </c>
      <c r="K176" s="21">
        <v>3842</v>
      </c>
      <c r="L176" s="21">
        <v>3842</v>
      </c>
      <c r="M176">
        <v>0</v>
      </c>
      <c r="N176" s="21">
        <v>0</v>
      </c>
    </row>
    <row r="177" spans="1:14">
      <c r="A177" t="str">
        <f>IFERROR(_xlfn.XLOOKUP(B177,Cuentas!$C$1:$C$521,Cuentas!$A$1:$A$521),"")</f>
        <v>Nicolas</v>
      </c>
      <c r="B177" t="s">
        <v>215</v>
      </c>
      <c r="C177" t="s">
        <v>216</v>
      </c>
      <c r="D177" t="s">
        <v>16</v>
      </c>
      <c r="E177" t="s">
        <v>7</v>
      </c>
      <c r="F177" t="s">
        <v>220</v>
      </c>
      <c r="G177" t="s">
        <v>220</v>
      </c>
      <c r="H177" s="2">
        <v>45735</v>
      </c>
      <c r="I177" s="2">
        <v>45765</v>
      </c>
      <c r="J177" t="s">
        <v>20</v>
      </c>
      <c r="K177" s="21">
        <v>4618.54</v>
      </c>
      <c r="L177" s="21">
        <v>4618.54</v>
      </c>
      <c r="M177">
        <v>0</v>
      </c>
      <c r="N177" s="21">
        <v>0</v>
      </c>
    </row>
    <row r="178" spans="1:14">
      <c r="A178" t="str">
        <f>IFERROR(_xlfn.XLOOKUP(B178,Cuentas!$C$1:$C$521,Cuentas!$A$1:$A$521),"")</f>
        <v>Yuldor</v>
      </c>
      <c r="B178" t="s">
        <v>221</v>
      </c>
      <c r="C178" t="s">
        <v>222</v>
      </c>
      <c r="D178" t="s">
        <v>16</v>
      </c>
      <c r="E178" t="s">
        <v>7</v>
      </c>
      <c r="F178" t="s">
        <v>223</v>
      </c>
      <c r="G178" t="s">
        <v>223</v>
      </c>
      <c r="H178" s="2">
        <v>45649</v>
      </c>
      <c r="I178" s="2">
        <v>45679</v>
      </c>
      <c r="J178" t="s">
        <v>20</v>
      </c>
      <c r="K178" s="21">
        <v>105786.47</v>
      </c>
      <c r="L178" s="21">
        <v>1454.69</v>
      </c>
      <c r="M178">
        <v>0</v>
      </c>
      <c r="N178" s="21">
        <v>1454.69</v>
      </c>
    </row>
    <row r="179" spans="1:14">
      <c r="A179" t="str">
        <f>IFERROR(_xlfn.XLOOKUP(B179,Cuentas!$C$1:$C$521,Cuentas!$A$1:$A$521),"")</f>
        <v>Yuldor</v>
      </c>
      <c r="B179" t="s">
        <v>221</v>
      </c>
      <c r="C179" t="s">
        <v>222</v>
      </c>
      <c r="D179" t="s">
        <v>16</v>
      </c>
      <c r="E179" t="s">
        <v>5502</v>
      </c>
      <c r="F179" t="s">
        <v>224</v>
      </c>
      <c r="G179" t="s">
        <v>223</v>
      </c>
      <c r="I179" s="2">
        <v>45693</v>
      </c>
      <c r="J179" t="s">
        <v>20</v>
      </c>
      <c r="K179" s="21">
        <v>-251.61</v>
      </c>
      <c r="L179" s="21" t="s">
        <v>86</v>
      </c>
      <c r="M179">
        <v>0</v>
      </c>
      <c r="N179" s="21" t="s">
        <v>86</v>
      </c>
    </row>
    <row r="180" spans="1:14">
      <c r="A180" t="str">
        <f>IFERROR(_xlfn.XLOOKUP(B180,Cuentas!$C$1:$C$521,Cuentas!$A$1:$A$521),"")</f>
        <v>Yuldor</v>
      </c>
      <c r="B180" t="s">
        <v>221</v>
      </c>
      <c r="C180" t="s">
        <v>222</v>
      </c>
      <c r="D180" t="s">
        <v>16</v>
      </c>
      <c r="E180" t="s">
        <v>3139</v>
      </c>
      <c r="F180" t="s">
        <v>223</v>
      </c>
      <c r="G180" t="s">
        <v>223</v>
      </c>
      <c r="I180" s="2">
        <v>45695</v>
      </c>
      <c r="J180" t="s">
        <v>20</v>
      </c>
      <c r="K180" s="21">
        <v>-104080.17</v>
      </c>
      <c r="L180" s="21" t="s">
        <v>86</v>
      </c>
      <c r="M180">
        <v>0</v>
      </c>
      <c r="N180" s="21" t="s">
        <v>86</v>
      </c>
    </row>
    <row r="181" spans="1:14">
      <c r="A181" t="str">
        <f>IFERROR(_xlfn.XLOOKUP(B181,Cuentas!$C$1:$C$521,Cuentas!$A$1:$A$521),"")</f>
        <v>Yuldor</v>
      </c>
      <c r="B181" t="s">
        <v>221</v>
      </c>
      <c r="C181" t="s">
        <v>222</v>
      </c>
      <c r="D181" t="s">
        <v>16</v>
      </c>
      <c r="E181" t="s">
        <v>7</v>
      </c>
      <c r="F181" t="s">
        <v>225</v>
      </c>
      <c r="G181" t="s">
        <v>225</v>
      </c>
      <c r="H181" s="2">
        <v>45664</v>
      </c>
      <c r="I181" s="2">
        <v>45694</v>
      </c>
      <c r="J181" t="s">
        <v>20</v>
      </c>
      <c r="K181" s="21">
        <v>4166.3999999999996</v>
      </c>
      <c r="L181" s="21">
        <v>4166.3999999999996</v>
      </c>
      <c r="M181">
        <v>0</v>
      </c>
      <c r="N181" s="21">
        <v>4166.3999999999996</v>
      </c>
    </row>
    <row r="182" spans="1:14">
      <c r="A182" t="str">
        <f>IFERROR(_xlfn.XLOOKUP(B182,Cuentas!$C$1:$C$521,Cuentas!$A$1:$A$521),"")</f>
        <v>Yuldor</v>
      </c>
      <c r="B182" t="s">
        <v>221</v>
      </c>
      <c r="C182" t="s">
        <v>222</v>
      </c>
      <c r="D182" t="s">
        <v>16</v>
      </c>
      <c r="E182" t="s">
        <v>7</v>
      </c>
      <c r="F182" t="s">
        <v>226</v>
      </c>
      <c r="G182" t="s">
        <v>226</v>
      </c>
      <c r="H182" s="2">
        <v>45688</v>
      </c>
      <c r="I182" s="2">
        <v>45718</v>
      </c>
      <c r="J182" t="s">
        <v>20</v>
      </c>
      <c r="K182" s="21">
        <v>1334.44</v>
      </c>
      <c r="L182" s="21">
        <v>1334.44</v>
      </c>
      <c r="M182">
        <v>10</v>
      </c>
      <c r="N182" s="21">
        <v>1334.44</v>
      </c>
    </row>
    <row r="183" spans="1:14">
      <c r="A183" t="str">
        <f>IFERROR(_xlfn.XLOOKUP(B183,Cuentas!$C$1:$C$521,Cuentas!$A$1:$A$521),"")</f>
        <v>Nicolas</v>
      </c>
      <c r="B183" t="s">
        <v>227</v>
      </c>
      <c r="C183" t="s">
        <v>228</v>
      </c>
      <c r="D183" t="s">
        <v>16</v>
      </c>
      <c r="E183" t="s">
        <v>7</v>
      </c>
      <c r="F183" t="s">
        <v>229</v>
      </c>
      <c r="G183" t="s">
        <v>229</v>
      </c>
      <c r="H183" s="2">
        <v>45197</v>
      </c>
      <c r="I183" s="2">
        <v>45227</v>
      </c>
      <c r="J183" t="s">
        <v>20</v>
      </c>
      <c r="K183" s="21">
        <v>492.75</v>
      </c>
      <c r="L183" s="21">
        <v>492.75</v>
      </c>
      <c r="M183">
        <v>0</v>
      </c>
      <c r="N183" s="21">
        <v>492.75</v>
      </c>
    </row>
    <row r="184" spans="1:14">
      <c r="A184" t="str">
        <f>IFERROR(_xlfn.XLOOKUP(B184,Cuentas!$C$1:$C$521,Cuentas!$A$1:$A$521),"")</f>
        <v>Nicolas</v>
      </c>
      <c r="B184" t="s">
        <v>227</v>
      </c>
      <c r="C184" t="s">
        <v>228</v>
      </c>
      <c r="D184" t="s">
        <v>16</v>
      </c>
      <c r="E184" t="s">
        <v>7</v>
      </c>
      <c r="F184" t="s">
        <v>230</v>
      </c>
      <c r="G184" t="s">
        <v>230</v>
      </c>
      <c r="H184" s="2">
        <v>45215</v>
      </c>
      <c r="I184" s="2">
        <v>45245</v>
      </c>
      <c r="J184" t="s">
        <v>20</v>
      </c>
      <c r="K184" s="21">
        <v>128.16999999999999</v>
      </c>
      <c r="L184" s="21">
        <v>128.16999999999999</v>
      </c>
      <c r="M184">
        <v>0</v>
      </c>
      <c r="N184" s="21">
        <v>128.16999999999999</v>
      </c>
    </row>
    <row r="185" spans="1:14">
      <c r="A185" t="str">
        <f>IFERROR(_xlfn.XLOOKUP(B185,Cuentas!$C$1:$C$521,Cuentas!$A$1:$A$521),"")</f>
        <v>Nicolas</v>
      </c>
      <c r="B185" t="s">
        <v>227</v>
      </c>
      <c r="C185" t="s">
        <v>228</v>
      </c>
      <c r="D185" t="s">
        <v>16</v>
      </c>
      <c r="E185" t="s">
        <v>7</v>
      </c>
      <c r="F185" t="s">
        <v>231</v>
      </c>
      <c r="G185" t="s">
        <v>231</v>
      </c>
      <c r="H185" s="2">
        <v>45266</v>
      </c>
      <c r="I185" s="2">
        <v>45296</v>
      </c>
      <c r="J185" t="s">
        <v>20</v>
      </c>
      <c r="K185" s="21">
        <v>20.22</v>
      </c>
      <c r="L185" s="21">
        <v>20.22</v>
      </c>
      <c r="M185">
        <v>0</v>
      </c>
      <c r="N185" s="21">
        <v>20.22</v>
      </c>
    </row>
    <row r="186" spans="1:14">
      <c r="A186" t="str">
        <f>IFERROR(_xlfn.XLOOKUP(B186,Cuentas!$C$1:$C$521,Cuentas!$A$1:$A$521),"")</f>
        <v>Nicolas</v>
      </c>
      <c r="B186" t="s">
        <v>227</v>
      </c>
      <c r="C186" t="s">
        <v>228</v>
      </c>
      <c r="D186" t="s">
        <v>16</v>
      </c>
      <c r="E186" t="s">
        <v>3139</v>
      </c>
      <c r="F186" t="s">
        <v>19</v>
      </c>
      <c r="G186" t="s">
        <v>19</v>
      </c>
      <c r="I186" s="2">
        <v>45303</v>
      </c>
      <c r="J186" t="s">
        <v>20</v>
      </c>
      <c r="K186" s="21">
        <v>-217.39</v>
      </c>
      <c r="L186" s="21">
        <v>-217.39</v>
      </c>
      <c r="M186">
        <v>0</v>
      </c>
      <c r="N186" s="21">
        <v>-217.39</v>
      </c>
    </row>
    <row r="187" spans="1:14">
      <c r="A187" t="str">
        <f>IFERROR(_xlfn.XLOOKUP(B187,Cuentas!$C$1:$C$521,Cuentas!$A$1:$A$521),"")</f>
        <v>Nicolas</v>
      </c>
      <c r="B187" t="s">
        <v>227</v>
      </c>
      <c r="C187" t="s">
        <v>228</v>
      </c>
      <c r="D187" t="s">
        <v>16</v>
      </c>
      <c r="E187" t="s">
        <v>7</v>
      </c>
      <c r="F187" t="s">
        <v>232</v>
      </c>
      <c r="G187" t="s">
        <v>232</v>
      </c>
      <c r="H187" s="2">
        <v>45314</v>
      </c>
      <c r="I187" s="2">
        <v>45344</v>
      </c>
      <c r="J187" t="s">
        <v>20</v>
      </c>
      <c r="K187" s="21">
        <v>645.78</v>
      </c>
      <c r="L187" s="21">
        <v>645.78</v>
      </c>
      <c r="M187">
        <v>0</v>
      </c>
      <c r="N187" s="21">
        <v>645.78</v>
      </c>
    </row>
    <row r="188" spans="1:14">
      <c r="A188" t="str">
        <f>IFERROR(_xlfn.XLOOKUP(B188,Cuentas!$C$1:$C$521,Cuentas!$A$1:$A$521),"")</f>
        <v>Nicolas</v>
      </c>
      <c r="B188" t="s">
        <v>227</v>
      </c>
      <c r="C188" t="s">
        <v>228</v>
      </c>
      <c r="D188" t="s">
        <v>16</v>
      </c>
      <c r="E188" t="s">
        <v>3139</v>
      </c>
      <c r="F188" t="s">
        <v>19</v>
      </c>
      <c r="G188" t="s">
        <v>19</v>
      </c>
      <c r="I188" s="2">
        <v>45504</v>
      </c>
      <c r="J188" t="s">
        <v>20</v>
      </c>
      <c r="K188" s="21">
        <v>492.75</v>
      </c>
      <c r="L188" s="21">
        <v>492.75</v>
      </c>
      <c r="M188">
        <v>0</v>
      </c>
      <c r="N188" s="21">
        <v>492.75</v>
      </c>
    </row>
    <row r="189" spans="1:14">
      <c r="A189" t="str">
        <f>IFERROR(_xlfn.XLOOKUP(B189,Cuentas!$C$1:$C$521,Cuentas!$A$1:$A$521),"")</f>
        <v>Nicolas</v>
      </c>
      <c r="B189" t="s">
        <v>227</v>
      </c>
      <c r="C189" t="s">
        <v>228</v>
      </c>
      <c r="D189" t="s">
        <v>16</v>
      </c>
      <c r="E189" t="s">
        <v>3139</v>
      </c>
      <c r="F189" t="s">
        <v>19</v>
      </c>
      <c r="G189" t="s">
        <v>19</v>
      </c>
      <c r="I189" s="2">
        <v>45504</v>
      </c>
      <c r="J189" t="s">
        <v>20</v>
      </c>
      <c r="K189" s="21">
        <v>-492.75</v>
      </c>
      <c r="L189" s="21">
        <v>-492.75</v>
      </c>
      <c r="M189">
        <v>0</v>
      </c>
      <c r="N189" s="21">
        <v>-492.75</v>
      </c>
    </row>
    <row r="190" spans="1:14">
      <c r="A190" t="str">
        <f>IFERROR(_xlfn.XLOOKUP(B190,Cuentas!$C$1:$C$521,Cuentas!$A$1:$A$521),"")</f>
        <v>Nicolas</v>
      </c>
      <c r="B190" t="s">
        <v>227</v>
      </c>
      <c r="C190" t="s">
        <v>228</v>
      </c>
      <c r="D190" t="s">
        <v>16</v>
      </c>
      <c r="E190" t="s">
        <v>7</v>
      </c>
      <c r="F190" t="s">
        <v>233</v>
      </c>
      <c r="G190" t="s">
        <v>233</v>
      </c>
      <c r="H190" s="2">
        <v>45565</v>
      </c>
      <c r="I190" s="2">
        <v>45595</v>
      </c>
      <c r="J190" t="s">
        <v>20</v>
      </c>
      <c r="K190" s="21">
        <v>22679.59</v>
      </c>
      <c r="L190" s="21">
        <v>-10723.33</v>
      </c>
      <c r="M190">
        <v>0</v>
      </c>
      <c r="N190" s="21">
        <v>-10723.33</v>
      </c>
    </row>
    <row r="191" spans="1:14">
      <c r="A191" t="str">
        <f>IFERROR(_xlfn.XLOOKUP(B191,Cuentas!$C$1:$C$521,Cuentas!$A$1:$A$521),"")</f>
        <v>Nicolas</v>
      </c>
      <c r="B191" t="s">
        <v>227</v>
      </c>
      <c r="C191" t="s">
        <v>228</v>
      </c>
      <c r="D191" t="s">
        <v>16</v>
      </c>
      <c r="E191" t="s">
        <v>5502</v>
      </c>
      <c r="F191" t="s">
        <v>234</v>
      </c>
      <c r="G191" t="s">
        <v>233</v>
      </c>
      <c r="I191" s="2">
        <v>45657</v>
      </c>
      <c r="J191" t="s">
        <v>20</v>
      </c>
      <c r="K191" s="21">
        <v>-10723.33</v>
      </c>
      <c r="L191" s="21" t="s">
        <v>86</v>
      </c>
      <c r="M191">
        <v>0</v>
      </c>
      <c r="N191" s="21" t="s">
        <v>86</v>
      </c>
    </row>
    <row r="192" spans="1:14">
      <c r="A192" t="str">
        <f>IFERROR(_xlfn.XLOOKUP(B192,Cuentas!$C$1:$C$521,Cuentas!$A$1:$A$521),"")</f>
        <v>Nicolas</v>
      </c>
      <c r="B192" t="s">
        <v>227</v>
      </c>
      <c r="C192" t="s">
        <v>228</v>
      </c>
      <c r="D192" t="s">
        <v>16</v>
      </c>
      <c r="E192" t="s">
        <v>3139</v>
      </c>
      <c r="F192" t="s">
        <v>233</v>
      </c>
      <c r="G192" t="s">
        <v>233</v>
      </c>
      <c r="I192" s="2">
        <v>45504</v>
      </c>
      <c r="J192" t="s">
        <v>20</v>
      </c>
      <c r="K192" s="21">
        <v>-20.22</v>
      </c>
      <c r="L192" s="21" t="s">
        <v>86</v>
      </c>
      <c r="M192">
        <v>0</v>
      </c>
      <c r="N192" s="21" t="s">
        <v>86</v>
      </c>
    </row>
    <row r="193" spans="1:14">
      <c r="A193" t="str">
        <f>IFERROR(_xlfn.XLOOKUP(B193,Cuentas!$C$1:$C$521,Cuentas!$A$1:$A$521),"")</f>
        <v>Nicolas</v>
      </c>
      <c r="B193" t="s">
        <v>227</v>
      </c>
      <c r="C193" t="s">
        <v>228</v>
      </c>
      <c r="D193" t="s">
        <v>16</v>
      </c>
      <c r="E193" t="s">
        <v>3139</v>
      </c>
      <c r="F193" t="s">
        <v>233</v>
      </c>
      <c r="G193" t="s">
        <v>233</v>
      </c>
      <c r="I193" s="2">
        <v>45504</v>
      </c>
      <c r="J193" t="s">
        <v>20</v>
      </c>
      <c r="K193" s="21">
        <v>-2221.54</v>
      </c>
      <c r="L193" s="21" t="s">
        <v>86</v>
      </c>
      <c r="M193">
        <v>0</v>
      </c>
      <c r="N193" s="21" t="s">
        <v>86</v>
      </c>
    </row>
    <row r="194" spans="1:14">
      <c r="A194" t="str">
        <f>IFERROR(_xlfn.XLOOKUP(B194,Cuentas!$C$1:$C$521,Cuentas!$A$1:$A$521),"")</f>
        <v>Nicolas</v>
      </c>
      <c r="B194" t="s">
        <v>227</v>
      </c>
      <c r="C194" t="s">
        <v>228</v>
      </c>
      <c r="D194" t="s">
        <v>16</v>
      </c>
      <c r="E194" t="s">
        <v>3139</v>
      </c>
      <c r="F194" t="s">
        <v>233</v>
      </c>
      <c r="G194" t="s">
        <v>233</v>
      </c>
      <c r="I194" s="2">
        <v>45594</v>
      </c>
      <c r="J194" t="s">
        <v>20</v>
      </c>
      <c r="K194" s="21">
        <v>-20437.830000000002</v>
      </c>
      <c r="L194" s="21" t="s">
        <v>86</v>
      </c>
      <c r="M194">
        <v>0</v>
      </c>
      <c r="N194" s="21" t="s">
        <v>86</v>
      </c>
    </row>
    <row r="195" spans="1:14">
      <c r="A195" t="str">
        <f>IFERROR(_xlfn.XLOOKUP(B195,Cuentas!$C$1:$C$521,Cuentas!$A$1:$A$521),"")</f>
        <v>Nicolas</v>
      </c>
      <c r="B195" t="s">
        <v>227</v>
      </c>
      <c r="C195" t="s">
        <v>228</v>
      </c>
      <c r="D195" t="s">
        <v>16</v>
      </c>
      <c r="E195" t="s">
        <v>7</v>
      </c>
      <c r="F195" t="s">
        <v>235</v>
      </c>
      <c r="G195" t="s">
        <v>235</v>
      </c>
      <c r="H195" s="2">
        <v>45721</v>
      </c>
      <c r="I195" s="2">
        <v>45751</v>
      </c>
      <c r="J195" t="s">
        <v>20</v>
      </c>
      <c r="K195" s="21">
        <v>16935.52</v>
      </c>
      <c r="L195" s="21">
        <v>16935.52</v>
      </c>
      <c r="M195">
        <v>0</v>
      </c>
      <c r="N195" s="21">
        <v>0</v>
      </c>
    </row>
    <row r="196" spans="1:14">
      <c r="A196" t="str">
        <f>IFERROR(_xlfn.XLOOKUP(B196,Cuentas!$C$1:$C$521,Cuentas!$A$1:$A$521),"")</f>
        <v>Nicolas</v>
      </c>
      <c r="B196" t="s">
        <v>236</v>
      </c>
      <c r="C196" t="s">
        <v>237</v>
      </c>
      <c r="D196" t="s">
        <v>16</v>
      </c>
      <c r="E196" t="s">
        <v>7</v>
      </c>
      <c r="F196" t="s">
        <v>238</v>
      </c>
      <c r="G196" t="s">
        <v>238</v>
      </c>
      <c r="H196" s="2">
        <v>45637</v>
      </c>
      <c r="I196" s="2">
        <v>45667</v>
      </c>
      <c r="J196" t="s">
        <v>20</v>
      </c>
      <c r="K196" s="21">
        <v>1448.66</v>
      </c>
      <c r="L196" s="21">
        <v>1448.66</v>
      </c>
      <c r="M196">
        <v>0</v>
      </c>
      <c r="N196" s="21">
        <v>1448.66</v>
      </c>
    </row>
    <row r="197" spans="1:14">
      <c r="A197" t="str">
        <f>IFERROR(_xlfn.XLOOKUP(B197,Cuentas!$C$1:$C$521,Cuentas!$A$1:$A$521),"")</f>
        <v>Yuldor</v>
      </c>
      <c r="B197" t="s">
        <v>239</v>
      </c>
      <c r="C197" t="s">
        <v>240</v>
      </c>
      <c r="D197" t="s">
        <v>16</v>
      </c>
      <c r="E197" t="s">
        <v>7</v>
      </c>
      <c r="F197" t="s">
        <v>241</v>
      </c>
      <c r="G197" t="s">
        <v>241</v>
      </c>
      <c r="H197" s="2">
        <v>45364</v>
      </c>
      <c r="I197" s="2">
        <v>45394</v>
      </c>
      <c r="J197" t="s">
        <v>20</v>
      </c>
      <c r="K197" s="21">
        <v>49.14</v>
      </c>
      <c r="L197" s="21">
        <v>49.14</v>
      </c>
      <c r="M197">
        <v>0</v>
      </c>
      <c r="N197" s="21">
        <v>49.14</v>
      </c>
    </row>
    <row r="198" spans="1:14">
      <c r="A198" t="str">
        <f>IFERROR(_xlfn.XLOOKUP(B198,Cuentas!$C$1:$C$521,Cuentas!$A$1:$A$521),"")</f>
        <v>Yuldor</v>
      </c>
      <c r="B198" t="s">
        <v>239</v>
      </c>
      <c r="C198" t="s">
        <v>240</v>
      </c>
      <c r="D198" t="s">
        <v>16</v>
      </c>
      <c r="E198" t="s">
        <v>7</v>
      </c>
      <c r="F198" t="s">
        <v>242</v>
      </c>
      <c r="G198" t="s">
        <v>242</v>
      </c>
      <c r="H198" s="2">
        <v>45681</v>
      </c>
      <c r="I198" s="2">
        <v>45711</v>
      </c>
      <c r="J198" t="s">
        <v>20</v>
      </c>
      <c r="K198" s="21">
        <v>2998.54</v>
      </c>
      <c r="L198" s="21">
        <v>390.54</v>
      </c>
      <c r="M198">
        <v>0</v>
      </c>
      <c r="N198" s="21">
        <v>390.54</v>
      </c>
    </row>
    <row r="199" spans="1:14">
      <c r="A199" t="str">
        <f>IFERROR(_xlfn.XLOOKUP(B199,Cuentas!$C$1:$C$521,Cuentas!$A$1:$A$521),"")</f>
        <v>Yuldor</v>
      </c>
      <c r="B199" t="s">
        <v>239</v>
      </c>
      <c r="C199" t="s">
        <v>240</v>
      </c>
      <c r="D199" t="s">
        <v>16</v>
      </c>
      <c r="E199" t="s">
        <v>3139</v>
      </c>
      <c r="F199" t="s">
        <v>242</v>
      </c>
      <c r="G199" t="s">
        <v>242</v>
      </c>
      <c r="I199" s="2">
        <v>45720</v>
      </c>
      <c r="J199" t="s">
        <v>20</v>
      </c>
      <c r="K199" s="21">
        <v>-2608</v>
      </c>
      <c r="L199" s="21" t="s">
        <v>86</v>
      </c>
      <c r="M199">
        <v>10</v>
      </c>
      <c r="N199" s="21" t="s">
        <v>86</v>
      </c>
    </row>
    <row r="200" spans="1:14">
      <c r="A200" t="str">
        <f>IFERROR(_xlfn.XLOOKUP(B200,Cuentas!$C$1:$C$521,Cuentas!$A$1:$A$521),"")</f>
        <v>Yuldor</v>
      </c>
      <c r="B200" t="s">
        <v>239</v>
      </c>
      <c r="C200" t="s">
        <v>240</v>
      </c>
      <c r="D200" t="s">
        <v>16</v>
      </c>
      <c r="E200" t="s">
        <v>7</v>
      </c>
      <c r="F200" t="s">
        <v>243</v>
      </c>
      <c r="G200" t="s">
        <v>243</v>
      </c>
      <c r="H200" s="2">
        <v>45709</v>
      </c>
      <c r="I200" s="2">
        <v>45739</v>
      </c>
      <c r="J200" t="s">
        <v>20</v>
      </c>
      <c r="K200" s="21">
        <v>17710.07</v>
      </c>
      <c r="L200" s="21">
        <v>17710.07</v>
      </c>
      <c r="M200">
        <v>13</v>
      </c>
      <c r="N200" s="21">
        <v>17710.07</v>
      </c>
    </row>
    <row r="201" spans="1:14">
      <c r="A201" t="str">
        <f>IFERROR(_xlfn.XLOOKUP(B201,Cuentas!$C$1:$C$521,Cuentas!$A$1:$A$521),"")</f>
        <v>Yuldor</v>
      </c>
      <c r="B201" t="s">
        <v>239</v>
      </c>
      <c r="C201" t="s">
        <v>240</v>
      </c>
      <c r="D201" t="s">
        <v>16</v>
      </c>
      <c r="E201" t="s">
        <v>7</v>
      </c>
      <c r="F201" t="s">
        <v>244</v>
      </c>
      <c r="G201" t="s">
        <v>244</v>
      </c>
      <c r="H201" s="2">
        <v>45709</v>
      </c>
      <c r="I201" s="2">
        <v>45739</v>
      </c>
      <c r="J201" t="s">
        <v>20</v>
      </c>
      <c r="K201" s="21">
        <v>4009.76</v>
      </c>
      <c r="L201" s="21">
        <v>4009.76</v>
      </c>
      <c r="M201">
        <v>13</v>
      </c>
      <c r="N201" s="21">
        <v>4009.76</v>
      </c>
    </row>
    <row r="202" spans="1:14">
      <c r="A202" t="str">
        <f>IFERROR(_xlfn.XLOOKUP(B202,Cuentas!$C$1:$C$521,Cuentas!$A$1:$A$521),"")</f>
        <v>Yuldor</v>
      </c>
      <c r="B202" t="s">
        <v>239</v>
      </c>
      <c r="C202" t="s">
        <v>240</v>
      </c>
      <c r="D202" t="s">
        <v>16</v>
      </c>
      <c r="E202" t="s">
        <v>7</v>
      </c>
      <c r="F202" t="s">
        <v>245</v>
      </c>
      <c r="G202" t="s">
        <v>245</v>
      </c>
      <c r="H202" s="2">
        <v>45730</v>
      </c>
      <c r="I202" s="2">
        <v>45760</v>
      </c>
      <c r="J202" t="s">
        <v>20</v>
      </c>
      <c r="K202" s="21">
        <v>6581.65</v>
      </c>
      <c r="L202" s="21">
        <v>6581.65</v>
      </c>
      <c r="M202">
        <v>0</v>
      </c>
      <c r="N202" s="21">
        <v>0</v>
      </c>
    </row>
    <row r="203" spans="1:14">
      <c r="A203" t="str">
        <f>IFERROR(_xlfn.XLOOKUP(B203,Cuentas!$C$1:$C$521,Cuentas!$A$1:$A$521),"")</f>
        <v>Nicolas</v>
      </c>
      <c r="B203" t="s">
        <v>246</v>
      </c>
      <c r="C203" t="s">
        <v>247</v>
      </c>
      <c r="D203" t="s">
        <v>16</v>
      </c>
      <c r="E203" t="s">
        <v>3139</v>
      </c>
      <c r="F203" t="s">
        <v>19</v>
      </c>
      <c r="G203" t="s">
        <v>19</v>
      </c>
      <c r="I203" s="2">
        <v>45398</v>
      </c>
      <c r="J203" t="s">
        <v>20</v>
      </c>
      <c r="K203" s="21">
        <v>-28.5</v>
      </c>
      <c r="L203" s="21">
        <v>-28.5</v>
      </c>
      <c r="M203">
        <v>0</v>
      </c>
      <c r="N203" s="21">
        <v>-28.5</v>
      </c>
    </row>
    <row r="204" spans="1:14">
      <c r="A204" t="str">
        <f>IFERROR(_xlfn.XLOOKUP(B204,Cuentas!$C$1:$C$521,Cuentas!$A$1:$A$521),"")</f>
        <v>Nicolas</v>
      </c>
      <c r="B204" t="s">
        <v>246</v>
      </c>
      <c r="C204" t="s">
        <v>247</v>
      </c>
      <c r="D204" t="s">
        <v>16</v>
      </c>
      <c r="E204" t="s">
        <v>7</v>
      </c>
      <c r="F204" t="s">
        <v>248</v>
      </c>
      <c r="G204" t="s">
        <v>248</v>
      </c>
      <c r="H204" s="2">
        <v>45590</v>
      </c>
      <c r="I204" s="2">
        <v>45620</v>
      </c>
      <c r="J204" t="s">
        <v>20</v>
      </c>
      <c r="K204" s="21">
        <v>1932.3</v>
      </c>
      <c r="L204" s="21">
        <v>1932.3</v>
      </c>
      <c r="M204">
        <v>0</v>
      </c>
      <c r="N204" s="21">
        <v>1932.3</v>
      </c>
    </row>
    <row r="205" spans="1:14">
      <c r="A205" t="str">
        <f>IFERROR(_xlfn.XLOOKUP(B205,Cuentas!$C$1:$C$521,Cuentas!$A$1:$A$521),"")</f>
        <v>Nicolas</v>
      </c>
      <c r="B205" t="s">
        <v>246</v>
      </c>
      <c r="C205" t="s">
        <v>247</v>
      </c>
      <c r="D205" t="s">
        <v>16</v>
      </c>
      <c r="E205" t="s">
        <v>7</v>
      </c>
      <c r="F205" t="s">
        <v>249</v>
      </c>
      <c r="G205" t="s">
        <v>249</v>
      </c>
      <c r="H205" s="2">
        <v>45608</v>
      </c>
      <c r="I205" s="2">
        <v>45638</v>
      </c>
      <c r="J205" t="s">
        <v>20</v>
      </c>
      <c r="K205" s="21">
        <v>149.16</v>
      </c>
      <c r="L205" s="21">
        <v>149.16</v>
      </c>
      <c r="M205">
        <v>0</v>
      </c>
      <c r="N205" s="21">
        <v>149.16</v>
      </c>
    </row>
    <row r="206" spans="1:14">
      <c r="A206" t="str">
        <f>IFERROR(_xlfn.XLOOKUP(B206,Cuentas!$C$1:$C$521,Cuentas!$A$1:$A$521),"")</f>
        <v>Nicolas</v>
      </c>
      <c r="B206" t="s">
        <v>246</v>
      </c>
      <c r="C206" t="s">
        <v>247</v>
      </c>
      <c r="D206" t="s">
        <v>16</v>
      </c>
      <c r="E206" t="s">
        <v>7</v>
      </c>
      <c r="F206" t="s">
        <v>250</v>
      </c>
      <c r="G206" t="s">
        <v>250</v>
      </c>
      <c r="H206" s="2">
        <v>45721</v>
      </c>
      <c r="I206" s="2">
        <v>45751</v>
      </c>
      <c r="J206" t="s">
        <v>20</v>
      </c>
      <c r="K206" s="21">
        <v>209.05</v>
      </c>
      <c r="L206" s="21">
        <v>209.05</v>
      </c>
      <c r="M206">
        <v>0</v>
      </c>
      <c r="N206" s="21">
        <v>0</v>
      </c>
    </row>
    <row r="207" spans="1:14">
      <c r="A207" t="str">
        <f>IFERROR(_xlfn.XLOOKUP(B207,Cuentas!$C$1:$C$521,Cuentas!$A$1:$A$521),"")</f>
        <v>Nicolas</v>
      </c>
      <c r="B207" t="s">
        <v>251</v>
      </c>
      <c r="C207" t="s">
        <v>252</v>
      </c>
      <c r="D207" t="s">
        <v>16</v>
      </c>
      <c r="E207" t="s">
        <v>7</v>
      </c>
      <c r="F207" t="s">
        <v>253</v>
      </c>
      <c r="G207" t="s">
        <v>253</v>
      </c>
      <c r="H207" s="2">
        <v>45721</v>
      </c>
      <c r="I207" s="2">
        <v>45751</v>
      </c>
      <c r="J207" t="s">
        <v>20</v>
      </c>
      <c r="K207" s="21">
        <v>4757.3</v>
      </c>
      <c r="L207" s="21">
        <v>4757.3</v>
      </c>
      <c r="M207">
        <v>0</v>
      </c>
      <c r="N207" s="21">
        <v>0</v>
      </c>
    </row>
    <row r="208" spans="1:14">
      <c r="A208" t="str">
        <f>IFERROR(_xlfn.XLOOKUP(B208,Cuentas!$C$1:$C$521,Cuentas!$A$1:$A$521),"")</f>
        <v>Nicolas</v>
      </c>
      <c r="B208" t="s">
        <v>251</v>
      </c>
      <c r="C208" t="s">
        <v>252</v>
      </c>
      <c r="D208" t="s">
        <v>16</v>
      </c>
      <c r="E208" t="s">
        <v>7</v>
      </c>
      <c r="F208" t="s">
        <v>254</v>
      </c>
      <c r="G208" t="s">
        <v>254</v>
      </c>
      <c r="H208" s="2">
        <v>45734</v>
      </c>
      <c r="I208" s="2">
        <v>45764</v>
      </c>
      <c r="J208" t="s">
        <v>20</v>
      </c>
      <c r="K208" s="21">
        <v>326.57</v>
      </c>
      <c r="L208" s="21">
        <v>326.57</v>
      </c>
      <c r="M208">
        <v>0</v>
      </c>
      <c r="N208" s="21">
        <v>0</v>
      </c>
    </row>
    <row r="209" spans="1:14">
      <c r="A209" t="str">
        <f>IFERROR(_xlfn.XLOOKUP(B209,Cuentas!$C$1:$C$521,Cuentas!$A$1:$A$521),"")</f>
        <v>Nicolas</v>
      </c>
      <c r="B209" t="s">
        <v>251</v>
      </c>
      <c r="C209" t="s">
        <v>252</v>
      </c>
      <c r="D209" t="s">
        <v>16</v>
      </c>
      <c r="E209" t="s">
        <v>7</v>
      </c>
      <c r="F209" t="s">
        <v>255</v>
      </c>
      <c r="G209" t="s">
        <v>255</v>
      </c>
      <c r="H209" s="2">
        <v>45742</v>
      </c>
      <c r="I209" s="2">
        <v>45772</v>
      </c>
      <c r="J209" t="s">
        <v>20</v>
      </c>
      <c r="K209" s="21">
        <v>1006.83</v>
      </c>
      <c r="L209" s="21">
        <v>1006.83</v>
      </c>
      <c r="M209">
        <v>0</v>
      </c>
      <c r="N209" s="21">
        <v>0</v>
      </c>
    </row>
    <row r="210" spans="1:14">
      <c r="A210" t="str">
        <f>IFERROR(_xlfn.XLOOKUP(B210,Cuentas!$C$1:$C$521,Cuentas!$A$1:$A$521),"")</f>
        <v>Nicolas</v>
      </c>
      <c r="B210" t="s">
        <v>256</v>
      </c>
      <c r="C210" t="s">
        <v>257</v>
      </c>
      <c r="D210" t="s">
        <v>16</v>
      </c>
      <c r="E210" t="s">
        <v>3139</v>
      </c>
      <c r="F210" t="s">
        <v>19</v>
      </c>
      <c r="G210" t="s">
        <v>19</v>
      </c>
      <c r="I210" s="2">
        <v>45628</v>
      </c>
      <c r="J210" t="s">
        <v>20</v>
      </c>
      <c r="K210" s="21">
        <v>-3525.48</v>
      </c>
      <c r="L210" s="21">
        <v>-3525.48</v>
      </c>
      <c r="M210">
        <v>0</v>
      </c>
      <c r="N210" s="21">
        <v>-3525.48</v>
      </c>
    </row>
    <row r="211" spans="1:14">
      <c r="A211" t="str">
        <f>IFERROR(_xlfn.XLOOKUP(B211,Cuentas!$C$1:$C$521,Cuentas!$A$1:$A$521),"")</f>
        <v>Nicolas</v>
      </c>
      <c r="B211" t="s">
        <v>256</v>
      </c>
      <c r="C211" t="s">
        <v>257</v>
      </c>
      <c r="D211" t="s">
        <v>16</v>
      </c>
      <c r="E211" t="s">
        <v>7</v>
      </c>
      <c r="F211" t="s">
        <v>258</v>
      </c>
      <c r="G211" t="s">
        <v>258</v>
      </c>
      <c r="H211" s="2">
        <v>45670</v>
      </c>
      <c r="I211" s="2">
        <v>45700</v>
      </c>
      <c r="J211" t="s">
        <v>20</v>
      </c>
      <c r="K211" s="21">
        <v>3452.07</v>
      </c>
      <c r="L211" s="21">
        <v>3452.07</v>
      </c>
      <c r="M211">
        <v>0</v>
      </c>
      <c r="N211" s="21">
        <v>3452.07</v>
      </c>
    </row>
    <row r="212" spans="1:14">
      <c r="A212" t="str">
        <f>IFERROR(_xlfn.XLOOKUP(B212,Cuentas!$C$1:$C$521,Cuentas!$A$1:$A$521),"")</f>
        <v>Nicolas</v>
      </c>
      <c r="B212" t="s">
        <v>256</v>
      </c>
      <c r="C212" t="s">
        <v>257</v>
      </c>
      <c r="D212" t="s">
        <v>16</v>
      </c>
      <c r="E212" t="s">
        <v>7</v>
      </c>
      <c r="F212" t="s">
        <v>259</v>
      </c>
      <c r="G212" t="s">
        <v>259</v>
      </c>
      <c r="H212" s="2">
        <v>45716</v>
      </c>
      <c r="I212" s="2">
        <v>45746</v>
      </c>
      <c r="J212" t="s">
        <v>20</v>
      </c>
      <c r="K212" s="21">
        <v>3525.48</v>
      </c>
      <c r="L212" s="21">
        <v>3525.48</v>
      </c>
      <c r="M212">
        <v>13</v>
      </c>
      <c r="N212" s="21">
        <v>3525.48</v>
      </c>
    </row>
    <row r="213" spans="1:14">
      <c r="A213" t="str">
        <f>IFERROR(_xlfn.XLOOKUP(B213,Cuentas!$C$1:$C$521,Cuentas!$A$1:$A$521),"")</f>
        <v>Nicolas</v>
      </c>
      <c r="B213" t="s">
        <v>260</v>
      </c>
      <c r="C213" t="s">
        <v>261</v>
      </c>
      <c r="D213" t="s">
        <v>16</v>
      </c>
      <c r="E213" t="s">
        <v>7</v>
      </c>
      <c r="F213" t="s">
        <v>262</v>
      </c>
      <c r="G213" t="s">
        <v>262</v>
      </c>
      <c r="H213" s="2">
        <v>45727</v>
      </c>
      <c r="I213" s="2">
        <v>45757</v>
      </c>
      <c r="J213" t="s">
        <v>20</v>
      </c>
      <c r="K213" s="21">
        <v>8407.2000000000007</v>
      </c>
      <c r="L213" s="21">
        <v>8407.2000000000007</v>
      </c>
      <c r="M213">
        <v>0</v>
      </c>
      <c r="N213" s="21">
        <v>0</v>
      </c>
    </row>
    <row r="214" spans="1:14">
      <c r="A214" t="str">
        <f>IFERROR(_xlfn.XLOOKUP(B214,Cuentas!$C$1:$C$521,Cuentas!$A$1:$A$521),"")</f>
        <v>Nicolas</v>
      </c>
      <c r="B214" t="s">
        <v>263</v>
      </c>
      <c r="C214" t="s">
        <v>264</v>
      </c>
      <c r="D214" t="s">
        <v>16</v>
      </c>
      <c r="E214" t="s">
        <v>7</v>
      </c>
      <c r="F214" t="s">
        <v>265</v>
      </c>
      <c r="G214" t="s">
        <v>265</v>
      </c>
      <c r="H214" s="2">
        <v>45233</v>
      </c>
      <c r="I214" s="2">
        <v>45233</v>
      </c>
      <c r="J214" t="s">
        <v>20</v>
      </c>
      <c r="K214" s="21">
        <v>159.12</v>
      </c>
      <c r="L214" s="21">
        <v>159.12</v>
      </c>
      <c r="M214">
        <v>0</v>
      </c>
      <c r="N214" s="21">
        <v>159.12</v>
      </c>
    </row>
    <row r="215" spans="1:14">
      <c r="A215" t="str">
        <f>IFERROR(_xlfn.XLOOKUP(B215,Cuentas!$C$1:$C$521,Cuentas!$A$1:$A$521),"")</f>
        <v>Nicolas</v>
      </c>
      <c r="B215" t="s">
        <v>263</v>
      </c>
      <c r="C215" t="s">
        <v>264</v>
      </c>
      <c r="D215" t="s">
        <v>16</v>
      </c>
      <c r="E215" t="s">
        <v>7</v>
      </c>
      <c r="F215" t="s">
        <v>266</v>
      </c>
      <c r="G215" t="s">
        <v>266</v>
      </c>
      <c r="H215" s="2">
        <v>45233</v>
      </c>
      <c r="I215" s="2">
        <v>45233</v>
      </c>
      <c r="J215" t="s">
        <v>20</v>
      </c>
      <c r="K215" s="21">
        <v>381.03</v>
      </c>
      <c r="L215" s="21">
        <v>381.03</v>
      </c>
      <c r="M215">
        <v>0</v>
      </c>
      <c r="N215" s="21">
        <v>381.03</v>
      </c>
    </row>
    <row r="216" spans="1:14">
      <c r="A216" t="str">
        <f>IFERROR(_xlfn.XLOOKUP(B216,Cuentas!$C$1:$C$521,Cuentas!$A$1:$A$521),"")</f>
        <v>Nicolas</v>
      </c>
      <c r="B216" t="s">
        <v>263</v>
      </c>
      <c r="C216" t="s">
        <v>264</v>
      </c>
      <c r="D216" t="s">
        <v>16</v>
      </c>
      <c r="E216" t="s">
        <v>7</v>
      </c>
      <c r="F216" t="s">
        <v>267</v>
      </c>
      <c r="G216" t="s">
        <v>267</v>
      </c>
      <c r="H216" s="2">
        <v>45692</v>
      </c>
      <c r="I216" s="2">
        <v>45722</v>
      </c>
      <c r="J216" t="s">
        <v>20</v>
      </c>
      <c r="K216" s="21">
        <v>257.08</v>
      </c>
      <c r="L216" s="21">
        <v>257.08</v>
      </c>
      <c r="M216">
        <v>10</v>
      </c>
      <c r="N216" s="21">
        <v>257.08</v>
      </c>
    </row>
    <row r="217" spans="1:14">
      <c r="A217" t="str">
        <f>IFERROR(_xlfn.XLOOKUP(B217,Cuentas!$C$1:$C$521,Cuentas!$A$1:$A$521),"")</f>
        <v>Nicolas</v>
      </c>
      <c r="B217" t="s">
        <v>263</v>
      </c>
      <c r="C217" t="s">
        <v>264</v>
      </c>
      <c r="D217" t="s">
        <v>16</v>
      </c>
      <c r="E217" t="s">
        <v>7</v>
      </c>
      <c r="F217" t="s">
        <v>268</v>
      </c>
      <c r="G217" t="s">
        <v>268</v>
      </c>
      <c r="H217" s="2">
        <v>45692</v>
      </c>
      <c r="I217" s="2">
        <v>45722</v>
      </c>
      <c r="J217" t="s">
        <v>20</v>
      </c>
      <c r="K217" s="21">
        <v>411.32</v>
      </c>
      <c r="L217" s="21">
        <v>411.32</v>
      </c>
      <c r="M217">
        <v>10</v>
      </c>
      <c r="N217" s="21">
        <v>411.32</v>
      </c>
    </row>
    <row r="218" spans="1:14">
      <c r="A218" t="str">
        <f>IFERROR(_xlfn.XLOOKUP(B218,Cuentas!$C$1:$C$521,Cuentas!$A$1:$A$521),"")</f>
        <v>Nicolas</v>
      </c>
      <c r="B218" t="s">
        <v>263</v>
      </c>
      <c r="C218" t="s">
        <v>264</v>
      </c>
      <c r="D218" t="s">
        <v>16</v>
      </c>
      <c r="E218" t="s">
        <v>7</v>
      </c>
      <c r="F218" t="s">
        <v>269</v>
      </c>
      <c r="G218" t="s">
        <v>269</v>
      </c>
      <c r="H218" s="2">
        <v>45716</v>
      </c>
      <c r="I218" s="2">
        <v>45746</v>
      </c>
      <c r="J218" t="s">
        <v>20</v>
      </c>
      <c r="K218" s="21">
        <v>153.68</v>
      </c>
      <c r="L218" s="21">
        <v>153.68</v>
      </c>
      <c r="M218">
        <v>13</v>
      </c>
      <c r="N218" s="21">
        <v>153.68</v>
      </c>
    </row>
    <row r="219" spans="1:14">
      <c r="A219" t="str">
        <f>IFERROR(_xlfn.XLOOKUP(B219,Cuentas!$C$1:$C$521,Cuentas!$A$1:$A$521),"")</f>
        <v>Nicolas</v>
      </c>
      <c r="B219" t="s">
        <v>263</v>
      </c>
      <c r="C219" t="s">
        <v>264</v>
      </c>
      <c r="D219" t="s">
        <v>16</v>
      </c>
      <c r="E219" t="s">
        <v>7</v>
      </c>
      <c r="F219" t="s">
        <v>270</v>
      </c>
      <c r="G219" t="s">
        <v>270</v>
      </c>
      <c r="H219" s="2">
        <v>45716</v>
      </c>
      <c r="I219" s="2">
        <v>45746</v>
      </c>
      <c r="J219" t="s">
        <v>20</v>
      </c>
      <c r="K219" s="21">
        <v>169.5</v>
      </c>
      <c r="L219" s="21">
        <v>169.5</v>
      </c>
      <c r="M219">
        <v>13</v>
      </c>
      <c r="N219" s="21">
        <v>169.5</v>
      </c>
    </row>
    <row r="220" spans="1:14">
      <c r="A220" t="str">
        <f>IFERROR(_xlfn.XLOOKUP(B220,Cuentas!$C$1:$C$521,Cuentas!$A$1:$A$521),"")</f>
        <v>Nicolas</v>
      </c>
      <c r="B220" t="s">
        <v>263</v>
      </c>
      <c r="C220" t="s">
        <v>264</v>
      </c>
      <c r="D220" t="s">
        <v>16</v>
      </c>
      <c r="E220" t="s">
        <v>7</v>
      </c>
      <c r="F220" t="s">
        <v>271</v>
      </c>
      <c r="G220" t="s">
        <v>271</v>
      </c>
      <c r="H220" s="2">
        <v>45735</v>
      </c>
      <c r="I220" s="2">
        <v>45765</v>
      </c>
      <c r="J220" t="s">
        <v>20</v>
      </c>
      <c r="K220" s="21">
        <v>387.82</v>
      </c>
      <c r="L220" s="21">
        <v>387.82</v>
      </c>
      <c r="M220">
        <v>0</v>
      </c>
      <c r="N220" s="21">
        <v>0</v>
      </c>
    </row>
    <row r="221" spans="1:14">
      <c r="A221" t="str">
        <f>IFERROR(_xlfn.XLOOKUP(B221,Cuentas!$C$1:$C$521,Cuentas!$A$1:$A$521),"")</f>
        <v>Nicolas</v>
      </c>
      <c r="B221" t="s">
        <v>263</v>
      </c>
      <c r="C221" t="s">
        <v>264</v>
      </c>
      <c r="D221" t="s">
        <v>16</v>
      </c>
      <c r="E221" t="s">
        <v>7</v>
      </c>
      <c r="F221" t="s">
        <v>272</v>
      </c>
      <c r="G221" t="s">
        <v>272</v>
      </c>
      <c r="H221" s="2">
        <v>45735</v>
      </c>
      <c r="I221" s="2">
        <v>45765</v>
      </c>
      <c r="J221" t="s">
        <v>20</v>
      </c>
      <c r="K221" s="21">
        <v>1391.6</v>
      </c>
      <c r="L221" s="21">
        <v>1391.6</v>
      </c>
      <c r="M221">
        <v>0</v>
      </c>
      <c r="N221" s="21">
        <v>0</v>
      </c>
    </row>
    <row r="222" spans="1:14">
      <c r="A222" t="str">
        <f>IFERROR(_xlfn.XLOOKUP(B222,Cuentas!$C$1:$C$521,Cuentas!$A$1:$A$521),"")</f>
        <v>Nicolas</v>
      </c>
      <c r="B222" t="s">
        <v>263</v>
      </c>
      <c r="C222" t="s">
        <v>264</v>
      </c>
      <c r="D222" t="s">
        <v>16</v>
      </c>
      <c r="E222" t="s">
        <v>7</v>
      </c>
      <c r="F222" t="s">
        <v>273</v>
      </c>
      <c r="G222" t="s">
        <v>273</v>
      </c>
      <c r="H222" s="2">
        <v>45736</v>
      </c>
      <c r="I222" s="2">
        <v>45766</v>
      </c>
      <c r="J222" t="s">
        <v>20</v>
      </c>
      <c r="K222" s="21">
        <v>551.28</v>
      </c>
      <c r="L222" s="21">
        <v>551.28</v>
      </c>
      <c r="M222">
        <v>0</v>
      </c>
      <c r="N222" s="21">
        <v>0</v>
      </c>
    </row>
    <row r="223" spans="1:14">
      <c r="A223" t="str">
        <f>IFERROR(_xlfn.XLOOKUP(B223,Cuentas!$C$1:$C$521,Cuentas!$A$1:$A$521),"")</f>
        <v>Nicolas</v>
      </c>
      <c r="B223" t="s">
        <v>274</v>
      </c>
      <c r="C223" t="s">
        <v>275</v>
      </c>
      <c r="D223" t="s">
        <v>16</v>
      </c>
      <c r="E223" t="s">
        <v>7</v>
      </c>
      <c r="F223" t="s">
        <v>276</v>
      </c>
      <c r="G223" t="s">
        <v>276</v>
      </c>
      <c r="H223" s="2">
        <v>45722</v>
      </c>
      <c r="I223" s="2">
        <v>45752</v>
      </c>
      <c r="J223" t="s">
        <v>20</v>
      </c>
      <c r="K223" s="21">
        <v>1048.5999999999999</v>
      </c>
      <c r="L223" s="21">
        <v>1048.5999999999999</v>
      </c>
      <c r="M223">
        <v>0</v>
      </c>
      <c r="N223" s="21">
        <v>0</v>
      </c>
    </row>
    <row r="224" spans="1:14">
      <c r="A224" t="str">
        <f>IFERROR(_xlfn.XLOOKUP(B224,Cuentas!$C$1:$C$521,Cuentas!$A$1:$A$521),"")</f>
        <v>Nicolas</v>
      </c>
      <c r="B224" t="s">
        <v>277</v>
      </c>
      <c r="C224" t="s">
        <v>278</v>
      </c>
      <c r="D224" t="s">
        <v>16</v>
      </c>
      <c r="E224" t="s">
        <v>7</v>
      </c>
      <c r="F224" t="s">
        <v>279</v>
      </c>
      <c r="G224" t="s">
        <v>279</v>
      </c>
      <c r="H224" s="2">
        <v>45323</v>
      </c>
      <c r="I224" s="2">
        <v>45353</v>
      </c>
      <c r="J224" t="s">
        <v>20</v>
      </c>
      <c r="K224" s="21">
        <v>240.07</v>
      </c>
      <c r="L224" s="21">
        <v>240.07</v>
      </c>
      <c r="M224">
        <v>0</v>
      </c>
      <c r="N224" s="21">
        <v>240.07</v>
      </c>
    </row>
    <row r="225" spans="1:14">
      <c r="A225" t="str">
        <f>IFERROR(_xlfn.XLOOKUP(B225,Cuentas!$C$1:$C$521,Cuentas!$A$1:$A$521),"")</f>
        <v>Nicolas</v>
      </c>
      <c r="B225" t="s">
        <v>277</v>
      </c>
      <c r="C225" t="s">
        <v>278</v>
      </c>
      <c r="D225" t="s">
        <v>16</v>
      </c>
      <c r="E225" t="s">
        <v>7</v>
      </c>
      <c r="F225" t="s">
        <v>280</v>
      </c>
      <c r="G225" t="s">
        <v>280</v>
      </c>
      <c r="H225" s="2">
        <v>45358</v>
      </c>
      <c r="I225" s="2">
        <v>45388</v>
      </c>
      <c r="J225" t="s">
        <v>20</v>
      </c>
      <c r="K225" s="21">
        <v>39</v>
      </c>
      <c r="L225" s="21">
        <v>39</v>
      </c>
      <c r="M225">
        <v>0</v>
      </c>
      <c r="N225" s="21">
        <v>39</v>
      </c>
    </row>
    <row r="226" spans="1:14">
      <c r="A226" t="str">
        <f>IFERROR(_xlfn.XLOOKUP(B226,Cuentas!$C$1:$C$521,Cuentas!$A$1:$A$521),"")</f>
        <v>Nicolas</v>
      </c>
      <c r="B226" t="s">
        <v>277</v>
      </c>
      <c r="C226" t="s">
        <v>278</v>
      </c>
      <c r="D226" t="s">
        <v>16</v>
      </c>
      <c r="E226" t="s">
        <v>7</v>
      </c>
      <c r="F226" t="s">
        <v>281</v>
      </c>
      <c r="G226" t="s">
        <v>281</v>
      </c>
      <c r="H226" s="2">
        <v>45358</v>
      </c>
      <c r="I226" s="2">
        <v>45388</v>
      </c>
      <c r="J226" t="s">
        <v>20</v>
      </c>
      <c r="K226" s="21">
        <v>99.84</v>
      </c>
      <c r="L226" s="21">
        <v>99.84</v>
      </c>
      <c r="M226">
        <v>0</v>
      </c>
      <c r="N226" s="21">
        <v>99.84</v>
      </c>
    </row>
    <row r="227" spans="1:14">
      <c r="A227" t="str">
        <f>IFERROR(_xlfn.XLOOKUP(B227,Cuentas!$C$1:$C$521,Cuentas!$A$1:$A$521),"")</f>
        <v>Nicolas</v>
      </c>
      <c r="B227" t="s">
        <v>277</v>
      </c>
      <c r="C227" t="s">
        <v>278</v>
      </c>
      <c r="D227" t="s">
        <v>16</v>
      </c>
      <c r="E227" t="s">
        <v>7</v>
      </c>
      <c r="F227" t="s">
        <v>282</v>
      </c>
      <c r="G227" t="s">
        <v>282</v>
      </c>
      <c r="H227" s="2">
        <v>45362</v>
      </c>
      <c r="I227" s="2">
        <v>45392</v>
      </c>
      <c r="J227" t="s">
        <v>20</v>
      </c>
      <c r="K227" s="21">
        <v>10.14</v>
      </c>
      <c r="L227" s="21">
        <v>10.14</v>
      </c>
      <c r="M227">
        <v>0</v>
      </c>
      <c r="N227" s="21">
        <v>10.14</v>
      </c>
    </row>
    <row r="228" spans="1:14">
      <c r="A228" t="str">
        <f>IFERROR(_xlfn.XLOOKUP(B228,Cuentas!$C$1:$C$521,Cuentas!$A$1:$A$521),"")</f>
        <v>Nicolas</v>
      </c>
      <c r="B228" t="s">
        <v>277</v>
      </c>
      <c r="C228" t="s">
        <v>278</v>
      </c>
      <c r="D228" t="s">
        <v>16</v>
      </c>
      <c r="E228" t="s">
        <v>7</v>
      </c>
      <c r="F228" t="s">
        <v>283</v>
      </c>
      <c r="G228" t="s">
        <v>283</v>
      </c>
      <c r="H228" s="2">
        <v>45362</v>
      </c>
      <c r="I228" s="2">
        <v>45392</v>
      </c>
      <c r="J228" t="s">
        <v>20</v>
      </c>
      <c r="K228" s="21">
        <v>167.96</v>
      </c>
      <c r="L228" s="21">
        <v>167.96</v>
      </c>
      <c r="M228">
        <v>0</v>
      </c>
      <c r="N228" s="21">
        <v>167.96</v>
      </c>
    </row>
    <row r="229" spans="1:14">
      <c r="A229" t="str">
        <f>IFERROR(_xlfn.XLOOKUP(B229,Cuentas!$C$1:$C$521,Cuentas!$A$1:$A$521),"")</f>
        <v>Nicolas</v>
      </c>
      <c r="B229" t="s">
        <v>277</v>
      </c>
      <c r="C229" t="s">
        <v>278</v>
      </c>
      <c r="D229" t="s">
        <v>16</v>
      </c>
      <c r="E229" t="s">
        <v>7</v>
      </c>
      <c r="F229" t="s">
        <v>284</v>
      </c>
      <c r="G229" t="s">
        <v>284</v>
      </c>
      <c r="H229" s="2">
        <v>45383</v>
      </c>
      <c r="I229" s="2">
        <v>45413</v>
      </c>
      <c r="J229" t="s">
        <v>20</v>
      </c>
      <c r="K229" s="21">
        <v>41.6</v>
      </c>
      <c r="L229" s="21">
        <v>41.6</v>
      </c>
      <c r="M229">
        <v>0</v>
      </c>
      <c r="N229" s="21">
        <v>41.6</v>
      </c>
    </row>
    <row r="230" spans="1:14">
      <c r="A230" t="str">
        <f>IFERROR(_xlfn.XLOOKUP(B230,Cuentas!$C$1:$C$521,Cuentas!$A$1:$A$521),"")</f>
        <v>Nicolas</v>
      </c>
      <c r="B230" t="s">
        <v>277</v>
      </c>
      <c r="C230" t="s">
        <v>278</v>
      </c>
      <c r="D230" t="s">
        <v>16</v>
      </c>
      <c r="E230" t="s">
        <v>7</v>
      </c>
      <c r="F230" t="s">
        <v>285</v>
      </c>
      <c r="G230" t="s">
        <v>285</v>
      </c>
      <c r="H230" s="2">
        <v>45392</v>
      </c>
      <c r="I230" s="2">
        <v>45422</v>
      </c>
      <c r="J230" t="s">
        <v>20</v>
      </c>
      <c r="K230" s="21">
        <v>206.39</v>
      </c>
      <c r="L230" s="21">
        <v>206.39</v>
      </c>
      <c r="M230">
        <v>0</v>
      </c>
      <c r="N230" s="21">
        <v>206.39</v>
      </c>
    </row>
    <row r="231" spans="1:14">
      <c r="A231" t="str">
        <f>IFERROR(_xlfn.XLOOKUP(B231,Cuentas!$C$1:$C$521,Cuentas!$A$1:$A$521),"")</f>
        <v>Nicolas</v>
      </c>
      <c r="B231" t="s">
        <v>277</v>
      </c>
      <c r="C231" t="s">
        <v>278</v>
      </c>
      <c r="D231" t="s">
        <v>16</v>
      </c>
      <c r="E231" t="s">
        <v>7</v>
      </c>
      <c r="F231" t="s">
        <v>286</v>
      </c>
      <c r="G231" t="s">
        <v>286</v>
      </c>
      <c r="H231" s="2">
        <v>45400</v>
      </c>
      <c r="I231" s="2">
        <v>45430</v>
      </c>
      <c r="J231" t="s">
        <v>20</v>
      </c>
      <c r="K231" s="21">
        <v>149.18</v>
      </c>
      <c r="L231" s="21">
        <v>149.18</v>
      </c>
      <c r="M231">
        <v>0</v>
      </c>
      <c r="N231" s="21">
        <v>149.18</v>
      </c>
    </row>
    <row r="232" spans="1:14">
      <c r="A232" t="str">
        <f>IFERROR(_xlfn.XLOOKUP(B232,Cuentas!$C$1:$C$521,Cuentas!$A$1:$A$521),"")</f>
        <v>Nicolas</v>
      </c>
      <c r="B232" t="s">
        <v>277</v>
      </c>
      <c r="C232" t="s">
        <v>278</v>
      </c>
      <c r="D232" t="s">
        <v>16</v>
      </c>
      <c r="E232" t="s">
        <v>7</v>
      </c>
      <c r="F232" t="s">
        <v>287</v>
      </c>
      <c r="G232" t="s">
        <v>287</v>
      </c>
      <c r="H232" s="2">
        <v>45400</v>
      </c>
      <c r="I232" s="2">
        <v>45430</v>
      </c>
      <c r="J232" t="s">
        <v>20</v>
      </c>
      <c r="K232" s="21">
        <v>55.9</v>
      </c>
      <c r="L232" s="21">
        <v>55.9</v>
      </c>
      <c r="M232">
        <v>0</v>
      </c>
      <c r="N232" s="21">
        <v>55.9</v>
      </c>
    </row>
    <row r="233" spans="1:14">
      <c r="A233" t="str">
        <f>IFERROR(_xlfn.XLOOKUP(B233,Cuentas!$C$1:$C$521,Cuentas!$A$1:$A$521),"")</f>
        <v>Nicolas</v>
      </c>
      <c r="B233" t="s">
        <v>277</v>
      </c>
      <c r="C233" t="s">
        <v>278</v>
      </c>
      <c r="D233" t="s">
        <v>16</v>
      </c>
      <c r="E233" t="s">
        <v>7</v>
      </c>
      <c r="F233" t="s">
        <v>288</v>
      </c>
      <c r="G233" t="s">
        <v>288</v>
      </c>
      <c r="H233" s="2">
        <v>45400</v>
      </c>
      <c r="I233" s="2">
        <v>45430</v>
      </c>
      <c r="J233" t="s">
        <v>20</v>
      </c>
      <c r="K233" s="21">
        <v>262.08</v>
      </c>
      <c r="L233" s="21">
        <v>262.08</v>
      </c>
      <c r="M233">
        <v>0</v>
      </c>
      <c r="N233" s="21">
        <v>262.08</v>
      </c>
    </row>
    <row r="234" spans="1:14">
      <c r="A234" t="str">
        <f>IFERROR(_xlfn.XLOOKUP(B234,Cuentas!$C$1:$C$521,Cuentas!$A$1:$A$521),"")</f>
        <v>Nicolas</v>
      </c>
      <c r="B234" t="s">
        <v>277</v>
      </c>
      <c r="C234" t="s">
        <v>278</v>
      </c>
      <c r="D234" t="s">
        <v>16</v>
      </c>
      <c r="E234" t="s">
        <v>7</v>
      </c>
      <c r="F234" t="s">
        <v>289</v>
      </c>
      <c r="G234" t="s">
        <v>289</v>
      </c>
      <c r="H234" s="2">
        <v>45443</v>
      </c>
      <c r="I234" s="2">
        <v>45473</v>
      </c>
      <c r="J234" t="s">
        <v>20</v>
      </c>
      <c r="K234" s="21">
        <v>59.8</v>
      </c>
      <c r="L234" s="21">
        <v>59.8</v>
      </c>
      <c r="M234">
        <v>0</v>
      </c>
      <c r="N234" s="21">
        <v>59.8</v>
      </c>
    </row>
    <row r="235" spans="1:14">
      <c r="A235" t="str">
        <f>IFERROR(_xlfn.XLOOKUP(B235,Cuentas!$C$1:$C$521,Cuentas!$A$1:$A$521),"")</f>
        <v>Nicolas</v>
      </c>
      <c r="B235" t="s">
        <v>277</v>
      </c>
      <c r="C235" t="s">
        <v>278</v>
      </c>
      <c r="D235" t="s">
        <v>16</v>
      </c>
      <c r="E235" t="s">
        <v>7</v>
      </c>
      <c r="F235" t="s">
        <v>290</v>
      </c>
      <c r="G235" t="s">
        <v>290</v>
      </c>
      <c r="H235" s="2">
        <v>45450</v>
      </c>
      <c r="I235" s="2">
        <v>45480</v>
      </c>
      <c r="J235" t="s">
        <v>20</v>
      </c>
      <c r="K235" s="21">
        <v>22.31</v>
      </c>
      <c r="L235" s="21">
        <v>22.31</v>
      </c>
      <c r="M235">
        <v>0</v>
      </c>
      <c r="N235" s="21">
        <v>22.31</v>
      </c>
    </row>
    <row r="236" spans="1:14">
      <c r="A236" t="str">
        <f>IFERROR(_xlfn.XLOOKUP(B236,Cuentas!$C$1:$C$521,Cuentas!$A$1:$A$521),"")</f>
        <v>Nicolas</v>
      </c>
      <c r="B236" t="s">
        <v>277</v>
      </c>
      <c r="C236" t="s">
        <v>278</v>
      </c>
      <c r="D236" t="s">
        <v>16</v>
      </c>
      <c r="E236" t="s">
        <v>7</v>
      </c>
      <c r="F236" t="s">
        <v>291</v>
      </c>
      <c r="G236" t="s">
        <v>291</v>
      </c>
      <c r="H236" s="2">
        <v>45512</v>
      </c>
      <c r="I236" s="2">
        <v>45542</v>
      </c>
      <c r="J236" t="s">
        <v>20</v>
      </c>
      <c r="K236" s="21">
        <v>715.97</v>
      </c>
      <c r="L236" s="21">
        <v>82.37</v>
      </c>
      <c r="M236">
        <v>0</v>
      </c>
      <c r="N236" s="21">
        <v>82.37</v>
      </c>
    </row>
    <row r="237" spans="1:14">
      <c r="A237" t="str">
        <f>IFERROR(_xlfn.XLOOKUP(B237,Cuentas!$C$1:$C$521,Cuentas!$A$1:$A$521),"")</f>
        <v>Nicolas</v>
      </c>
      <c r="B237" t="s">
        <v>277</v>
      </c>
      <c r="C237" t="s">
        <v>278</v>
      </c>
      <c r="D237" t="s">
        <v>16</v>
      </c>
      <c r="E237" t="s">
        <v>3139</v>
      </c>
      <c r="F237" t="s">
        <v>291</v>
      </c>
      <c r="G237" t="s">
        <v>291</v>
      </c>
      <c r="I237" s="2">
        <v>45560</v>
      </c>
      <c r="J237" t="s">
        <v>20</v>
      </c>
      <c r="K237" s="21">
        <v>-633.6</v>
      </c>
      <c r="L237" s="21" t="s">
        <v>86</v>
      </c>
      <c r="M237">
        <v>0</v>
      </c>
      <c r="N237" s="21" t="s">
        <v>86</v>
      </c>
    </row>
    <row r="238" spans="1:14">
      <c r="A238" t="str">
        <f>IFERROR(_xlfn.XLOOKUP(B238,Cuentas!$C$1:$C$521,Cuentas!$A$1:$A$521),"")</f>
        <v>Nicolas</v>
      </c>
      <c r="B238" t="s">
        <v>277</v>
      </c>
      <c r="C238" t="s">
        <v>278</v>
      </c>
      <c r="D238" t="s">
        <v>16</v>
      </c>
      <c r="E238" t="s">
        <v>7</v>
      </c>
      <c r="F238" t="s">
        <v>292</v>
      </c>
      <c r="G238" t="s">
        <v>292</v>
      </c>
      <c r="H238" s="2">
        <v>45512</v>
      </c>
      <c r="I238" s="2">
        <v>45542</v>
      </c>
      <c r="J238" t="s">
        <v>20</v>
      </c>
      <c r="K238" s="21">
        <v>835.3</v>
      </c>
      <c r="L238" s="21">
        <v>96.1</v>
      </c>
      <c r="M238">
        <v>0</v>
      </c>
      <c r="N238" s="21">
        <v>96.1</v>
      </c>
    </row>
    <row r="239" spans="1:14">
      <c r="A239" t="str">
        <f>IFERROR(_xlfn.XLOOKUP(B239,Cuentas!$C$1:$C$521,Cuentas!$A$1:$A$521),"")</f>
        <v>Nicolas</v>
      </c>
      <c r="B239" t="s">
        <v>277</v>
      </c>
      <c r="C239" t="s">
        <v>278</v>
      </c>
      <c r="D239" t="s">
        <v>16</v>
      </c>
      <c r="E239" t="s">
        <v>3139</v>
      </c>
      <c r="F239" t="s">
        <v>292</v>
      </c>
      <c r="G239" t="s">
        <v>292</v>
      </c>
      <c r="I239" s="2">
        <v>45560</v>
      </c>
      <c r="J239" t="s">
        <v>20</v>
      </c>
      <c r="K239" s="21">
        <v>-739.2</v>
      </c>
      <c r="L239" s="21" t="s">
        <v>86</v>
      </c>
      <c r="M239">
        <v>0</v>
      </c>
      <c r="N239" s="21" t="s">
        <v>86</v>
      </c>
    </row>
    <row r="240" spans="1:14">
      <c r="A240" t="str">
        <f>IFERROR(_xlfn.XLOOKUP(B240,Cuentas!$C$1:$C$521,Cuentas!$A$1:$A$521),"")</f>
        <v>Nicolas</v>
      </c>
      <c r="B240" t="s">
        <v>277</v>
      </c>
      <c r="C240" t="s">
        <v>278</v>
      </c>
      <c r="D240" t="s">
        <v>16</v>
      </c>
      <c r="E240" t="s">
        <v>7</v>
      </c>
      <c r="F240" t="s">
        <v>293</v>
      </c>
      <c r="G240" t="s">
        <v>293</v>
      </c>
      <c r="H240" s="2">
        <v>45526</v>
      </c>
      <c r="I240" s="2">
        <v>45556</v>
      </c>
      <c r="J240" t="s">
        <v>20</v>
      </c>
      <c r="K240" s="21">
        <v>632.79999999999995</v>
      </c>
      <c r="L240" s="21">
        <v>72.8</v>
      </c>
      <c r="M240">
        <v>0</v>
      </c>
      <c r="N240" s="21">
        <v>72.8</v>
      </c>
    </row>
    <row r="241" spans="1:14">
      <c r="A241" t="str">
        <f>IFERROR(_xlfn.XLOOKUP(B241,Cuentas!$C$1:$C$521,Cuentas!$A$1:$A$521),"")</f>
        <v>Nicolas</v>
      </c>
      <c r="B241" t="s">
        <v>277</v>
      </c>
      <c r="C241" t="s">
        <v>278</v>
      </c>
      <c r="D241" t="s">
        <v>16</v>
      </c>
      <c r="E241" t="s">
        <v>3139</v>
      </c>
      <c r="F241" t="s">
        <v>293</v>
      </c>
      <c r="G241" t="s">
        <v>293</v>
      </c>
      <c r="I241" s="2">
        <v>45560</v>
      </c>
      <c r="J241" t="s">
        <v>20</v>
      </c>
      <c r="K241" s="21">
        <v>-560</v>
      </c>
      <c r="L241" s="21" t="s">
        <v>86</v>
      </c>
      <c r="M241">
        <v>0</v>
      </c>
      <c r="N241" s="21" t="s">
        <v>86</v>
      </c>
    </row>
    <row r="242" spans="1:14">
      <c r="A242" t="str">
        <f>IFERROR(_xlfn.XLOOKUP(B242,Cuentas!$C$1:$C$521,Cuentas!$A$1:$A$521),"")</f>
        <v>Nicolas</v>
      </c>
      <c r="B242" t="s">
        <v>277</v>
      </c>
      <c r="C242" t="s">
        <v>278</v>
      </c>
      <c r="D242" t="s">
        <v>16</v>
      </c>
      <c r="E242" t="s">
        <v>7</v>
      </c>
      <c r="F242" t="s">
        <v>294</v>
      </c>
      <c r="G242" t="s">
        <v>294</v>
      </c>
      <c r="H242" s="2">
        <v>45527</v>
      </c>
      <c r="I242" s="2">
        <v>45557</v>
      </c>
      <c r="J242" t="s">
        <v>20</v>
      </c>
      <c r="K242" s="21">
        <v>835.3</v>
      </c>
      <c r="L242" s="21">
        <v>96.1</v>
      </c>
      <c r="M242">
        <v>0</v>
      </c>
      <c r="N242" s="21">
        <v>96.1</v>
      </c>
    </row>
    <row r="243" spans="1:14">
      <c r="A243" t="str">
        <f>IFERROR(_xlfn.XLOOKUP(B243,Cuentas!$C$1:$C$521,Cuentas!$A$1:$A$521),"")</f>
        <v>Nicolas</v>
      </c>
      <c r="B243" t="s">
        <v>277</v>
      </c>
      <c r="C243" t="s">
        <v>278</v>
      </c>
      <c r="D243" t="s">
        <v>16</v>
      </c>
      <c r="E243" t="s">
        <v>3139</v>
      </c>
      <c r="F243" t="s">
        <v>294</v>
      </c>
      <c r="G243" t="s">
        <v>294</v>
      </c>
      <c r="I243" s="2">
        <v>45560</v>
      </c>
      <c r="J243" t="s">
        <v>20</v>
      </c>
      <c r="K243" s="21">
        <v>-739.2</v>
      </c>
      <c r="L243" s="21" t="s">
        <v>86</v>
      </c>
      <c r="M243">
        <v>0</v>
      </c>
      <c r="N243" s="21" t="s">
        <v>86</v>
      </c>
    </row>
    <row r="244" spans="1:14">
      <c r="A244" t="str">
        <f>IFERROR(_xlfn.XLOOKUP(B244,Cuentas!$C$1:$C$521,Cuentas!$A$1:$A$521),"")</f>
        <v>Nicolas</v>
      </c>
      <c r="B244" t="s">
        <v>277</v>
      </c>
      <c r="C244" t="s">
        <v>278</v>
      </c>
      <c r="D244" t="s">
        <v>16</v>
      </c>
      <c r="E244" t="s">
        <v>7</v>
      </c>
      <c r="F244" t="s">
        <v>295</v>
      </c>
      <c r="G244" t="s">
        <v>295</v>
      </c>
      <c r="H244" s="2">
        <v>45532</v>
      </c>
      <c r="I244" s="2">
        <v>45562</v>
      </c>
      <c r="J244" t="s">
        <v>20</v>
      </c>
      <c r="K244" s="21">
        <v>452</v>
      </c>
      <c r="L244" s="21">
        <v>52</v>
      </c>
      <c r="M244">
        <v>0</v>
      </c>
      <c r="N244" s="21">
        <v>52</v>
      </c>
    </row>
    <row r="245" spans="1:14">
      <c r="A245" t="str">
        <f>IFERROR(_xlfn.XLOOKUP(B245,Cuentas!$C$1:$C$521,Cuentas!$A$1:$A$521),"")</f>
        <v>Nicolas</v>
      </c>
      <c r="B245" t="s">
        <v>277</v>
      </c>
      <c r="C245" t="s">
        <v>278</v>
      </c>
      <c r="D245" t="s">
        <v>16</v>
      </c>
      <c r="E245" t="s">
        <v>3139</v>
      </c>
      <c r="F245" t="s">
        <v>295</v>
      </c>
      <c r="G245" t="s">
        <v>295</v>
      </c>
      <c r="I245" s="2">
        <v>45560</v>
      </c>
      <c r="J245" t="s">
        <v>20</v>
      </c>
      <c r="K245" s="21">
        <v>-400</v>
      </c>
      <c r="L245" s="21" t="s">
        <v>86</v>
      </c>
      <c r="M245">
        <v>0</v>
      </c>
      <c r="N245" s="21" t="s">
        <v>86</v>
      </c>
    </row>
    <row r="246" spans="1:14">
      <c r="A246" t="str">
        <f>IFERROR(_xlfn.XLOOKUP(B246,Cuentas!$C$1:$C$521,Cuentas!$A$1:$A$521),"")</f>
        <v>Nicolas</v>
      </c>
      <c r="B246" t="s">
        <v>277</v>
      </c>
      <c r="C246" t="s">
        <v>278</v>
      </c>
      <c r="D246" t="s">
        <v>16</v>
      </c>
      <c r="E246" t="s">
        <v>7</v>
      </c>
      <c r="F246" t="s">
        <v>296</v>
      </c>
      <c r="G246" t="s">
        <v>296</v>
      </c>
      <c r="H246" s="2">
        <v>45560</v>
      </c>
      <c r="I246" s="2">
        <v>45590</v>
      </c>
      <c r="J246" t="s">
        <v>20</v>
      </c>
      <c r="K246" s="21">
        <v>5132.42</v>
      </c>
      <c r="L246" s="21">
        <v>590.46</v>
      </c>
      <c r="M246">
        <v>0</v>
      </c>
      <c r="N246" s="21">
        <v>590.46</v>
      </c>
    </row>
    <row r="247" spans="1:14">
      <c r="A247" t="str">
        <f>IFERROR(_xlfn.XLOOKUP(B247,Cuentas!$C$1:$C$521,Cuentas!$A$1:$A$521),"")</f>
        <v>Nicolas</v>
      </c>
      <c r="B247" t="s">
        <v>277</v>
      </c>
      <c r="C247" t="s">
        <v>278</v>
      </c>
      <c r="D247" t="s">
        <v>16</v>
      </c>
      <c r="E247" t="s">
        <v>3139</v>
      </c>
      <c r="F247" t="s">
        <v>296</v>
      </c>
      <c r="G247" t="s">
        <v>296</v>
      </c>
      <c r="I247" s="2">
        <v>45594</v>
      </c>
      <c r="J247" t="s">
        <v>20</v>
      </c>
      <c r="K247" s="21">
        <v>-4541.96</v>
      </c>
      <c r="L247" s="21" t="s">
        <v>86</v>
      </c>
      <c r="M247">
        <v>0</v>
      </c>
      <c r="N247" s="21" t="s">
        <v>86</v>
      </c>
    </row>
    <row r="248" spans="1:14">
      <c r="A248" t="str">
        <f>IFERROR(_xlfn.XLOOKUP(B248,Cuentas!$C$1:$C$521,Cuentas!$A$1:$A$521),"")</f>
        <v>Nicolas</v>
      </c>
      <c r="B248" t="s">
        <v>277</v>
      </c>
      <c r="C248" t="s">
        <v>278</v>
      </c>
      <c r="D248" t="s">
        <v>16</v>
      </c>
      <c r="E248" t="s">
        <v>7</v>
      </c>
      <c r="F248" t="s">
        <v>297</v>
      </c>
      <c r="G248" t="s">
        <v>297</v>
      </c>
      <c r="H248" s="2">
        <v>45560</v>
      </c>
      <c r="I248" s="2">
        <v>45590</v>
      </c>
      <c r="J248" t="s">
        <v>20</v>
      </c>
      <c r="K248" s="21">
        <v>146.9</v>
      </c>
      <c r="L248" s="21">
        <v>16.899999999999999</v>
      </c>
      <c r="M248">
        <v>0</v>
      </c>
      <c r="N248" s="21">
        <v>16.899999999999999</v>
      </c>
    </row>
    <row r="249" spans="1:14">
      <c r="A249" t="str">
        <f>IFERROR(_xlfn.XLOOKUP(B249,Cuentas!$C$1:$C$521,Cuentas!$A$1:$A$521),"")</f>
        <v>Nicolas</v>
      </c>
      <c r="B249" t="s">
        <v>277</v>
      </c>
      <c r="C249" t="s">
        <v>278</v>
      </c>
      <c r="D249" t="s">
        <v>16</v>
      </c>
      <c r="E249" t="s">
        <v>3139</v>
      </c>
      <c r="F249" t="s">
        <v>297</v>
      </c>
      <c r="G249" t="s">
        <v>297</v>
      </c>
      <c r="I249" s="2">
        <v>45594</v>
      </c>
      <c r="J249" t="s">
        <v>20</v>
      </c>
      <c r="K249" s="21">
        <v>-130</v>
      </c>
      <c r="L249" s="21" t="s">
        <v>86</v>
      </c>
      <c r="M249">
        <v>0</v>
      </c>
      <c r="N249" s="21" t="s">
        <v>86</v>
      </c>
    </row>
    <row r="250" spans="1:14">
      <c r="A250" t="str">
        <f>IFERROR(_xlfn.XLOOKUP(B250,Cuentas!$C$1:$C$521,Cuentas!$A$1:$A$521),"")</f>
        <v>Nicolas</v>
      </c>
      <c r="B250" t="s">
        <v>277</v>
      </c>
      <c r="C250" t="s">
        <v>278</v>
      </c>
      <c r="D250" t="s">
        <v>16</v>
      </c>
      <c r="E250" t="s">
        <v>7</v>
      </c>
      <c r="F250" t="s">
        <v>298</v>
      </c>
      <c r="G250" t="s">
        <v>298</v>
      </c>
      <c r="H250" s="2">
        <v>45560</v>
      </c>
      <c r="I250" s="2">
        <v>45590</v>
      </c>
      <c r="J250" t="s">
        <v>20</v>
      </c>
      <c r="K250" s="21">
        <v>366.12</v>
      </c>
      <c r="L250" s="21">
        <v>42.12</v>
      </c>
      <c r="M250">
        <v>0</v>
      </c>
      <c r="N250" s="21">
        <v>42.12</v>
      </c>
    </row>
    <row r="251" spans="1:14">
      <c r="A251" t="str">
        <f>IFERROR(_xlfn.XLOOKUP(B251,Cuentas!$C$1:$C$521,Cuentas!$A$1:$A$521),"")</f>
        <v>Nicolas</v>
      </c>
      <c r="B251" t="s">
        <v>277</v>
      </c>
      <c r="C251" t="s">
        <v>278</v>
      </c>
      <c r="D251" t="s">
        <v>16</v>
      </c>
      <c r="E251" t="s">
        <v>3139</v>
      </c>
      <c r="F251" t="s">
        <v>298</v>
      </c>
      <c r="G251" t="s">
        <v>298</v>
      </c>
      <c r="I251" s="2">
        <v>45594</v>
      </c>
      <c r="J251" t="s">
        <v>20</v>
      </c>
      <c r="K251" s="21">
        <v>-324</v>
      </c>
      <c r="L251" s="21" t="s">
        <v>86</v>
      </c>
      <c r="M251">
        <v>0</v>
      </c>
      <c r="N251" s="21" t="s">
        <v>86</v>
      </c>
    </row>
    <row r="252" spans="1:14">
      <c r="A252" t="str">
        <f>IFERROR(_xlfn.XLOOKUP(B252,Cuentas!$C$1:$C$521,Cuentas!$A$1:$A$521),"")</f>
        <v>Nicolas</v>
      </c>
      <c r="B252" t="s">
        <v>277</v>
      </c>
      <c r="C252" t="s">
        <v>278</v>
      </c>
      <c r="D252" t="s">
        <v>16</v>
      </c>
      <c r="E252" t="s">
        <v>7</v>
      </c>
      <c r="F252" t="s">
        <v>299</v>
      </c>
      <c r="G252" t="s">
        <v>299</v>
      </c>
      <c r="H252" s="2">
        <v>45560</v>
      </c>
      <c r="I252" s="2">
        <v>45590</v>
      </c>
      <c r="J252" t="s">
        <v>20</v>
      </c>
      <c r="K252" s="21">
        <v>2194.5</v>
      </c>
      <c r="L252" s="21">
        <v>252.46</v>
      </c>
      <c r="M252">
        <v>0</v>
      </c>
      <c r="N252" s="21">
        <v>252.46</v>
      </c>
    </row>
    <row r="253" spans="1:14">
      <c r="A253" t="str">
        <f>IFERROR(_xlfn.XLOOKUP(B253,Cuentas!$C$1:$C$521,Cuentas!$A$1:$A$521),"")</f>
        <v>Nicolas</v>
      </c>
      <c r="B253" t="s">
        <v>277</v>
      </c>
      <c r="C253" t="s">
        <v>278</v>
      </c>
      <c r="D253" t="s">
        <v>16</v>
      </c>
      <c r="E253" t="s">
        <v>3139</v>
      </c>
      <c r="F253" t="s">
        <v>299</v>
      </c>
      <c r="G253" t="s">
        <v>299</v>
      </c>
      <c r="I253" s="2">
        <v>45594</v>
      </c>
      <c r="J253" t="s">
        <v>20</v>
      </c>
      <c r="K253" s="21">
        <v>-1942.04</v>
      </c>
      <c r="L253" s="21" t="s">
        <v>86</v>
      </c>
      <c r="M253">
        <v>0</v>
      </c>
      <c r="N253" s="21" t="s">
        <v>86</v>
      </c>
    </row>
    <row r="254" spans="1:14">
      <c r="A254" t="str">
        <f>IFERROR(_xlfn.XLOOKUP(B254,Cuentas!$C$1:$C$521,Cuentas!$A$1:$A$521),"")</f>
        <v>Nicolas</v>
      </c>
      <c r="B254" t="s">
        <v>277</v>
      </c>
      <c r="C254" t="s">
        <v>278</v>
      </c>
      <c r="D254" t="s">
        <v>16</v>
      </c>
      <c r="E254" t="s">
        <v>7</v>
      </c>
      <c r="F254" t="s">
        <v>300</v>
      </c>
      <c r="G254" t="s">
        <v>300</v>
      </c>
      <c r="H254" s="2">
        <v>45560</v>
      </c>
      <c r="I254" s="2">
        <v>45590</v>
      </c>
      <c r="J254" t="s">
        <v>20</v>
      </c>
      <c r="K254" s="21">
        <v>327.7</v>
      </c>
      <c r="L254" s="21">
        <v>37.700000000000003</v>
      </c>
      <c r="M254">
        <v>0</v>
      </c>
      <c r="N254" s="21">
        <v>37.700000000000003</v>
      </c>
    </row>
    <row r="255" spans="1:14">
      <c r="A255" t="str">
        <f>IFERROR(_xlfn.XLOOKUP(B255,Cuentas!$C$1:$C$521,Cuentas!$A$1:$A$521),"")</f>
        <v>Nicolas</v>
      </c>
      <c r="B255" t="s">
        <v>277</v>
      </c>
      <c r="C255" t="s">
        <v>278</v>
      </c>
      <c r="D255" t="s">
        <v>16</v>
      </c>
      <c r="E255" t="s">
        <v>3139</v>
      </c>
      <c r="F255" t="s">
        <v>300</v>
      </c>
      <c r="G255" t="s">
        <v>300</v>
      </c>
      <c r="I255" s="2">
        <v>45594</v>
      </c>
      <c r="J255" t="s">
        <v>20</v>
      </c>
      <c r="K255" s="21">
        <v>-290</v>
      </c>
      <c r="L255" s="21" t="s">
        <v>86</v>
      </c>
      <c r="M255">
        <v>0</v>
      </c>
      <c r="N255" s="21" t="s">
        <v>86</v>
      </c>
    </row>
    <row r="256" spans="1:14">
      <c r="A256" t="str">
        <f>IFERROR(_xlfn.XLOOKUP(B256,Cuentas!$C$1:$C$521,Cuentas!$A$1:$A$521),"")</f>
        <v>Nicolas</v>
      </c>
      <c r="B256" t="s">
        <v>277</v>
      </c>
      <c r="C256" t="s">
        <v>278</v>
      </c>
      <c r="D256" t="s">
        <v>16</v>
      </c>
      <c r="E256" t="s">
        <v>3139</v>
      </c>
      <c r="F256" t="s">
        <v>19</v>
      </c>
      <c r="G256" t="s">
        <v>19</v>
      </c>
      <c r="I256" s="2">
        <v>45616</v>
      </c>
      <c r="J256" t="s">
        <v>20</v>
      </c>
      <c r="K256" s="21">
        <v>777.12</v>
      </c>
      <c r="L256" s="21">
        <v>777.12</v>
      </c>
      <c r="M256">
        <v>0</v>
      </c>
      <c r="N256" s="21">
        <v>777.12</v>
      </c>
    </row>
    <row r="257" spans="1:14">
      <c r="A257" t="str">
        <f>IFERROR(_xlfn.XLOOKUP(B257,Cuentas!$C$1:$C$521,Cuentas!$A$1:$A$521),"")</f>
        <v>Nicolas</v>
      </c>
      <c r="B257" t="s">
        <v>277</v>
      </c>
      <c r="C257" t="s">
        <v>278</v>
      </c>
      <c r="D257" t="s">
        <v>16</v>
      </c>
      <c r="E257" t="s">
        <v>7</v>
      </c>
      <c r="F257" t="s">
        <v>301</v>
      </c>
      <c r="G257" t="s">
        <v>301</v>
      </c>
      <c r="H257" s="2">
        <v>45588</v>
      </c>
      <c r="I257" s="2">
        <v>45618</v>
      </c>
      <c r="J257" t="s">
        <v>20</v>
      </c>
      <c r="K257" s="21">
        <v>1830.6</v>
      </c>
      <c r="L257" s="21">
        <v>210.6</v>
      </c>
      <c r="M257">
        <v>0</v>
      </c>
      <c r="N257" s="21">
        <v>210.6</v>
      </c>
    </row>
    <row r="258" spans="1:14">
      <c r="A258" t="str">
        <f>IFERROR(_xlfn.XLOOKUP(B258,Cuentas!$C$1:$C$521,Cuentas!$A$1:$A$521),"")</f>
        <v>Nicolas</v>
      </c>
      <c r="B258" t="s">
        <v>277</v>
      </c>
      <c r="C258" t="s">
        <v>278</v>
      </c>
      <c r="D258" t="s">
        <v>16</v>
      </c>
      <c r="E258" t="s">
        <v>3139</v>
      </c>
      <c r="F258" t="s">
        <v>301</v>
      </c>
      <c r="G258" t="s">
        <v>301</v>
      </c>
      <c r="I258" s="2">
        <v>45653</v>
      </c>
      <c r="J258" t="s">
        <v>20</v>
      </c>
      <c r="K258" s="21">
        <v>-1620</v>
      </c>
      <c r="L258" s="21" t="s">
        <v>86</v>
      </c>
      <c r="M258">
        <v>0</v>
      </c>
      <c r="N258" s="21" t="s">
        <v>86</v>
      </c>
    </row>
    <row r="259" spans="1:14">
      <c r="A259" t="str">
        <f>IFERROR(_xlfn.XLOOKUP(B259,Cuentas!$C$1:$C$521,Cuentas!$A$1:$A$521),"")</f>
        <v>Nicolas</v>
      </c>
      <c r="B259" t="s">
        <v>277</v>
      </c>
      <c r="C259" t="s">
        <v>278</v>
      </c>
      <c r="D259" t="s">
        <v>16</v>
      </c>
      <c r="E259" t="s">
        <v>7</v>
      </c>
      <c r="F259" t="s">
        <v>302</v>
      </c>
      <c r="G259" t="s">
        <v>302</v>
      </c>
      <c r="H259" s="2">
        <v>45588</v>
      </c>
      <c r="I259" s="2">
        <v>45618</v>
      </c>
      <c r="J259" t="s">
        <v>20</v>
      </c>
      <c r="K259" s="21">
        <v>886.51</v>
      </c>
      <c r="L259" s="21">
        <v>101.99</v>
      </c>
      <c r="M259">
        <v>0</v>
      </c>
      <c r="N259" s="21">
        <v>101.99</v>
      </c>
    </row>
    <row r="260" spans="1:14">
      <c r="A260" t="str">
        <f>IFERROR(_xlfn.XLOOKUP(B260,Cuentas!$C$1:$C$521,Cuentas!$A$1:$A$521),"")</f>
        <v>Nicolas</v>
      </c>
      <c r="B260" t="s">
        <v>277</v>
      </c>
      <c r="C260" t="s">
        <v>278</v>
      </c>
      <c r="D260" t="s">
        <v>16</v>
      </c>
      <c r="E260" t="s">
        <v>3139</v>
      </c>
      <c r="F260" t="s">
        <v>302</v>
      </c>
      <c r="G260" t="s">
        <v>302</v>
      </c>
      <c r="I260" s="2">
        <v>45653</v>
      </c>
      <c r="J260" t="s">
        <v>20</v>
      </c>
      <c r="K260" s="21">
        <v>-784.52</v>
      </c>
      <c r="L260" s="21" t="s">
        <v>86</v>
      </c>
      <c r="M260">
        <v>0</v>
      </c>
      <c r="N260" s="21" t="s">
        <v>86</v>
      </c>
    </row>
    <row r="261" spans="1:14">
      <c r="A261" t="str">
        <f>IFERROR(_xlfn.XLOOKUP(B261,Cuentas!$C$1:$C$521,Cuentas!$A$1:$A$521),"")</f>
        <v>Nicolas</v>
      </c>
      <c r="B261" t="s">
        <v>277</v>
      </c>
      <c r="C261" t="s">
        <v>278</v>
      </c>
      <c r="D261" t="s">
        <v>16</v>
      </c>
      <c r="E261" t="s">
        <v>7</v>
      </c>
      <c r="F261" t="s">
        <v>303</v>
      </c>
      <c r="G261" t="s">
        <v>303</v>
      </c>
      <c r="H261" s="2">
        <v>45713</v>
      </c>
      <c r="I261" s="2">
        <v>45743</v>
      </c>
      <c r="J261" t="s">
        <v>20</v>
      </c>
      <c r="K261" s="21">
        <v>248.6</v>
      </c>
      <c r="L261" s="21">
        <v>248.6</v>
      </c>
      <c r="M261">
        <v>13</v>
      </c>
      <c r="N261" s="21">
        <v>248.6</v>
      </c>
    </row>
    <row r="262" spans="1:14">
      <c r="A262" t="str">
        <f>IFERROR(_xlfn.XLOOKUP(B262,Cuentas!$C$1:$C$521,Cuentas!$A$1:$A$521),"")</f>
        <v>Nicolas</v>
      </c>
      <c r="B262" t="s">
        <v>277</v>
      </c>
      <c r="C262" t="s">
        <v>278</v>
      </c>
      <c r="D262" t="s">
        <v>16</v>
      </c>
      <c r="E262" t="s">
        <v>7</v>
      </c>
      <c r="F262" t="s">
        <v>304</v>
      </c>
      <c r="G262" t="s">
        <v>304</v>
      </c>
      <c r="H262" s="2">
        <v>45741</v>
      </c>
      <c r="I262" s="2">
        <v>45771</v>
      </c>
      <c r="J262" t="s">
        <v>20</v>
      </c>
      <c r="K262" s="21">
        <v>1107.4000000000001</v>
      </c>
      <c r="L262" s="21">
        <v>1107.4000000000001</v>
      </c>
      <c r="M262">
        <v>0</v>
      </c>
      <c r="N262" s="21">
        <v>0</v>
      </c>
    </row>
    <row r="263" spans="1:14">
      <c r="A263" t="str">
        <f>IFERROR(_xlfn.XLOOKUP(B263,Cuentas!$C$1:$C$521,Cuentas!$A$1:$A$521),"")</f>
        <v>Nicolas</v>
      </c>
      <c r="B263" t="s">
        <v>277</v>
      </c>
      <c r="C263" t="s">
        <v>278</v>
      </c>
      <c r="D263" t="s">
        <v>16</v>
      </c>
      <c r="E263" t="s">
        <v>7</v>
      </c>
      <c r="F263" t="s">
        <v>305</v>
      </c>
      <c r="G263" t="s">
        <v>305</v>
      </c>
      <c r="H263" s="2">
        <v>45741</v>
      </c>
      <c r="I263" s="2">
        <v>45771</v>
      </c>
      <c r="J263" t="s">
        <v>20</v>
      </c>
      <c r="K263" s="21">
        <v>2515.38</v>
      </c>
      <c r="L263" s="21">
        <v>2515.38</v>
      </c>
      <c r="M263">
        <v>0</v>
      </c>
      <c r="N263" s="21">
        <v>0</v>
      </c>
    </row>
    <row r="264" spans="1:14">
      <c r="A264" t="str">
        <f>IFERROR(_xlfn.XLOOKUP(B264,Cuentas!$C$1:$C$521,Cuentas!$A$1:$A$521),"")</f>
        <v>Nicolas</v>
      </c>
      <c r="B264" t="s">
        <v>277</v>
      </c>
      <c r="C264" t="s">
        <v>278</v>
      </c>
      <c r="D264" t="s">
        <v>16</v>
      </c>
      <c r="E264" t="s">
        <v>7</v>
      </c>
      <c r="F264" t="s">
        <v>306</v>
      </c>
      <c r="G264" t="s">
        <v>306</v>
      </c>
      <c r="H264" s="2">
        <v>45741</v>
      </c>
      <c r="I264" s="2">
        <v>45771</v>
      </c>
      <c r="J264" t="s">
        <v>20</v>
      </c>
      <c r="K264" s="21">
        <v>4000.2</v>
      </c>
      <c r="L264" s="21">
        <v>4000.2</v>
      </c>
      <c r="M264">
        <v>0</v>
      </c>
      <c r="N264" s="21">
        <v>0</v>
      </c>
    </row>
    <row r="265" spans="1:14">
      <c r="A265" t="str">
        <f>IFERROR(_xlfn.XLOOKUP(B265,Cuentas!$C$1:$C$521,Cuentas!$A$1:$A$521),"")</f>
        <v>Nicolas</v>
      </c>
      <c r="B265" t="s">
        <v>277</v>
      </c>
      <c r="C265" t="s">
        <v>278</v>
      </c>
      <c r="D265" t="s">
        <v>16</v>
      </c>
      <c r="E265" t="s">
        <v>7</v>
      </c>
      <c r="F265" t="s">
        <v>307</v>
      </c>
      <c r="G265" t="s">
        <v>307</v>
      </c>
      <c r="H265" s="2">
        <v>45741</v>
      </c>
      <c r="I265" s="2">
        <v>45771</v>
      </c>
      <c r="J265" t="s">
        <v>20</v>
      </c>
      <c r="K265" s="21">
        <v>326.57</v>
      </c>
      <c r="L265" s="21">
        <v>326.57</v>
      </c>
      <c r="M265">
        <v>0</v>
      </c>
      <c r="N265" s="21">
        <v>0</v>
      </c>
    </row>
    <row r="266" spans="1:14">
      <c r="A266" t="str">
        <f>IFERROR(_xlfn.XLOOKUP(B266,Cuentas!$C$1:$C$521,Cuentas!$A$1:$A$521),"")</f>
        <v>Nicolas</v>
      </c>
      <c r="B266" t="s">
        <v>308</v>
      </c>
      <c r="C266" t="s">
        <v>309</v>
      </c>
      <c r="D266" t="s">
        <v>213</v>
      </c>
      <c r="E266" t="s">
        <v>7</v>
      </c>
      <c r="F266" t="s">
        <v>310</v>
      </c>
      <c r="G266" t="s">
        <v>310</v>
      </c>
      <c r="H266" s="2">
        <v>45530</v>
      </c>
      <c r="I266" s="2">
        <v>45530</v>
      </c>
      <c r="J266" t="s">
        <v>20</v>
      </c>
      <c r="K266" s="21">
        <v>466.2</v>
      </c>
      <c r="L266" s="21">
        <v>233.1</v>
      </c>
      <c r="M266">
        <v>0</v>
      </c>
      <c r="N266" s="21">
        <v>233.1</v>
      </c>
    </row>
    <row r="267" spans="1:14">
      <c r="A267" t="str">
        <f>IFERROR(_xlfn.XLOOKUP(B267,Cuentas!$C$1:$C$521,Cuentas!$A$1:$A$521),"")</f>
        <v>Nicolas</v>
      </c>
      <c r="B267" t="s">
        <v>308</v>
      </c>
      <c r="C267" t="s">
        <v>309</v>
      </c>
      <c r="D267" t="s">
        <v>213</v>
      </c>
      <c r="E267" t="s">
        <v>5502</v>
      </c>
      <c r="F267" t="s">
        <v>311</v>
      </c>
      <c r="G267" t="s">
        <v>310</v>
      </c>
      <c r="I267" s="2">
        <v>45554</v>
      </c>
      <c r="J267" t="s">
        <v>20</v>
      </c>
      <c r="K267" s="21">
        <v>-233.1</v>
      </c>
      <c r="L267" s="21" t="s">
        <v>86</v>
      </c>
      <c r="M267">
        <v>0</v>
      </c>
      <c r="N267" s="21" t="s">
        <v>86</v>
      </c>
    </row>
    <row r="268" spans="1:14">
      <c r="A268" t="str">
        <f>IFERROR(_xlfn.XLOOKUP(B268,Cuentas!$C$1:$C$521,Cuentas!$A$1:$A$521),"")</f>
        <v>Nicolas</v>
      </c>
      <c r="B268" t="s">
        <v>308</v>
      </c>
      <c r="C268" t="s">
        <v>309</v>
      </c>
      <c r="D268" t="s">
        <v>213</v>
      </c>
      <c r="E268" t="s">
        <v>5502</v>
      </c>
      <c r="F268" t="s">
        <v>312</v>
      </c>
      <c r="G268" t="s">
        <v>19</v>
      </c>
      <c r="I268" s="2">
        <v>45546</v>
      </c>
      <c r="J268" t="s">
        <v>20</v>
      </c>
      <c r="K268" s="21">
        <v>-2515.36</v>
      </c>
      <c r="L268" s="21">
        <v>-2515.36</v>
      </c>
      <c r="M268">
        <v>0</v>
      </c>
      <c r="N268" s="21">
        <v>-2515.36</v>
      </c>
    </row>
    <row r="269" spans="1:14">
      <c r="A269" t="str">
        <f>IFERROR(_xlfn.XLOOKUP(B269,Cuentas!$C$1:$C$521,Cuentas!$A$1:$A$521),"")</f>
        <v>Nicolas</v>
      </c>
      <c r="B269" t="s">
        <v>308</v>
      </c>
      <c r="C269" t="s">
        <v>309</v>
      </c>
      <c r="D269" t="s">
        <v>213</v>
      </c>
      <c r="E269" t="s">
        <v>7</v>
      </c>
      <c r="F269" t="s">
        <v>313</v>
      </c>
      <c r="G269" t="s">
        <v>313</v>
      </c>
      <c r="H269" s="2">
        <v>45664</v>
      </c>
      <c r="I269" s="2">
        <v>45664</v>
      </c>
      <c r="J269" t="s">
        <v>20</v>
      </c>
      <c r="K269" s="21">
        <v>2790</v>
      </c>
      <c r="L269" s="21">
        <v>2790</v>
      </c>
      <c r="M269">
        <v>0</v>
      </c>
      <c r="N269" s="21">
        <v>2790</v>
      </c>
    </row>
    <row r="270" spans="1:14">
      <c r="A270" t="str">
        <f>IFERROR(_xlfn.XLOOKUP(B270,Cuentas!$C$1:$C$521,Cuentas!$A$1:$A$521),"")</f>
        <v>Nicolas</v>
      </c>
      <c r="B270" t="s">
        <v>314</v>
      </c>
      <c r="C270" t="s">
        <v>315</v>
      </c>
      <c r="D270" t="s">
        <v>16</v>
      </c>
      <c r="E270" t="s">
        <v>3139</v>
      </c>
      <c r="F270" t="s">
        <v>19</v>
      </c>
      <c r="G270" t="s">
        <v>19</v>
      </c>
      <c r="I270" s="2">
        <v>45394</v>
      </c>
      <c r="J270" t="s">
        <v>20</v>
      </c>
      <c r="K270" s="21">
        <v>-93.6</v>
      </c>
      <c r="L270" s="21">
        <v>-93.6</v>
      </c>
      <c r="M270">
        <v>0</v>
      </c>
      <c r="N270" s="21">
        <v>-93.6</v>
      </c>
    </row>
    <row r="271" spans="1:14">
      <c r="A271" t="str">
        <f>IFERROR(_xlfn.XLOOKUP(B271,Cuentas!$C$1:$C$521,Cuentas!$A$1:$A$521),"")</f>
        <v>Nicolas</v>
      </c>
      <c r="B271" t="s">
        <v>314</v>
      </c>
      <c r="C271" t="s">
        <v>315</v>
      </c>
      <c r="D271" t="s">
        <v>16</v>
      </c>
      <c r="E271" t="s">
        <v>7</v>
      </c>
      <c r="F271" t="s">
        <v>316</v>
      </c>
      <c r="G271" t="s">
        <v>316</v>
      </c>
      <c r="H271" s="2">
        <v>45615</v>
      </c>
      <c r="I271" s="2">
        <v>45645</v>
      </c>
      <c r="J271" t="s">
        <v>20</v>
      </c>
      <c r="K271" s="21">
        <v>250.86</v>
      </c>
      <c r="L271" s="21">
        <v>250.86</v>
      </c>
      <c r="M271">
        <v>0</v>
      </c>
      <c r="N271" s="21">
        <v>250.86</v>
      </c>
    </row>
    <row r="272" spans="1:14">
      <c r="A272" t="str">
        <f>IFERROR(_xlfn.XLOOKUP(B272,Cuentas!$C$1:$C$521,Cuentas!$A$1:$A$521),"")</f>
        <v>Nicolas</v>
      </c>
      <c r="B272" t="s">
        <v>314</v>
      </c>
      <c r="C272" t="s">
        <v>315</v>
      </c>
      <c r="D272" t="s">
        <v>16</v>
      </c>
      <c r="E272" t="s">
        <v>7</v>
      </c>
      <c r="F272" t="s">
        <v>317</v>
      </c>
      <c r="G272" t="s">
        <v>317</v>
      </c>
      <c r="H272" s="2">
        <v>45631</v>
      </c>
      <c r="I272" s="2">
        <v>45661</v>
      </c>
      <c r="J272" t="s">
        <v>20</v>
      </c>
      <c r="K272" s="21">
        <v>139.66999999999999</v>
      </c>
      <c r="L272" s="21">
        <v>139.66999999999999</v>
      </c>
      <c r="M272">
        <v>0</v>
      </c>
      <c r="N272" s="21">
        <v>139.66999999999999</v>
      </c>
    </row>
    <row r="273" spans="1:14">
      <c r="A273" t="str">
        <f>IFERROR(_xlfn.XLOOKUP(B273,Cuentas!$C$1:$C$521,Cuentas!$A$1:$A$521),"")</f>
        <v>Nicolas</v>
      </c>
      <c r="B273" t="s">
        <v>314</v>
      </c>
      <c r="C273" t="s">
        <v>315</v>
      </c>
      <c r="D273" t="s">
        <v>16</v>
      </c>
      <c r="E273" t="s">
        <v>7</v>
      </c>
      <c r="F273" t="s">
        <v>318</v>
      </c>
      <c r="G273" t="s">
        <v>318</v>
      </c>
      <c r="H273" s="2">
        <v>45645</v>
      </c>
      <c r="I273" s="2">
        <v>45675</v>
      </c>
      <c r="J273" t="s">
        <v>20</v>
      </c>
      <c r="K273" s="21">
        <v>2497.16</v>
      </c>
      <c r="L273" s="21">
        <v>2497.16</v>
      </c>
      <c r="M273">
        <v>0</v>
      </c>
      <c r="N273" s="21">
        <v>2497.16</v>
      </c>
    </row>
    <row r="274" spans="1:14">
      <c r="A274" t="str">
        <f>IFERROR(_xlfn.XLOOKUP(B274,Cuentas!$C$1:$C$521,Cuentas!$A$1:$A$521),"")</f>
        <v>Nicolas</v>
      </c>
      <c r="B274" t="s">
        <v>314</v>
      </c>
      <c r="C274" t="s">
        <v>315</v>
      </c>
      <c r="D274" t="s">
        <v>16</v>
      </c>
      <c r="E274" t="s">
        <v>7</v>
      </c>
      <c r="F274" t="s">
        <v>319</v>
      </c>
      <c r="G274" t="s">
        <v>319</v>
      </c>
      <c r="H274" s="2">
        <v>45649</v>
      </c>
      <c r="I274" s="2">
        <v>45679</v>
      </c>
      <c r="J274" t="s">
        <v>20</v>
      </c>
      <c r="K274" s="21">
        <v>3156.6</v>
      </c>
      <c r="L274" s="21">
        <v>3156.6</v>
      </c>
      <c r="M274">
        <v>0</v>
      </c>
      <c r="N274" s="21">
        <v>3156.6</v>
      </c>
    </row>
    <row r="275" spans="1:14">
      <c r="A275" t="str">
        <f>IFERROR(_xlfn.XLOOKUP(B275,Cuentas!$C$1:$C$521,Cuentas!$A$1:$A$521),"")</f>
        <v>Nicolas</v>
      </c>
      <c r="B275" t="s">
        <v>320</v>
      </c>
      <c r="C275" t="s">
        <v>321</v>
      </c>
      <c r="D275" t="s">
        <v>16</v>
      </c>
      <c r="E275" t="s">
        <v>3139</v>
      </c>
      <c r="F275" t="s">
        <v>19</v>
      </c>
      <c r="G275" t="s">
        <v>19</v>
      </c>
      <c r="I275" s="2">
        <v>45422</v>
      </c>
      <c r="J275" t="s">
        <v>20</v>
      </c>
      <c r="K275" s="21">
        <v>-585</v>
      </c>
      <c r="L275" s="21">
        <v>-585</v>
      </c>
      <c r="M275">
        <v>0</v>
      </c>
      <c r="N275" s="21">
        <v>-585</v>
      </c>
    </row>
    <row r="276" spans="1:14">
      <c r="A276" t="str">
        <f>IFERROR(_xlfn.XLOOKUP(B276,Cuentas!$C$1:$C$521,Cuentas!$A$1:$A$521),"")</f>
        <v>Nicolas</v>
      </c>
      <c r="B276" t="s">
        <v>320</v>
      </c>
      <c r="C276" t="s">
        <v>321</v>
      </c>
      <c r="D276" t="s">
        <v>16</v>
      </c>
      <c r="E276" t="s">
        <v>7</v>
      </c>
      <c r="F276" t="s">
        <v>322</v>
      </c>
      <c r="G276" t="s">
        <v>322</v>
      </c>
      <c r="H276" s="2">
        <v>45554</v>
      </c>
      <c r="I276" s="2">
        <v>45584</v>
      </c>
      <c r="J276" t="s">
        <v>20</v>
      </c>
      <c r="K276" s="21">
        <v>499.46</v>
      </c>
      <c r="L276" s="21">
        <v>57.46</v>
      </c>
      <c r="M276">
        <v>0</v>
      </c>
      <c r="N276" s="21">
        <v>57.46</v>
      </c>
    </row>
    <row r="277" spans="1:14">
      <c r="A277" t="str">
        <f>IFERROR(_xlfn.XLOOKUP(B277,Cuentas!$C$1:$C$521,Cuentas!$A$1:$A$521),"")</f>
        <v>Nicolas</v>
      </c>
      <c r="B277" t="s">
        <v>320</v>
      </c>
      <c r="C277" t="s">
        <v>321</v>
      </c>
      <c r="D277" t="s">
        <v>16</v>
      </c>
      <c r="E277" t="s">
        <v>3139</v>
      </c>
      <c r="F277" t="s">
        <v>322</v>
      </c>
      <c r="G277" t="s">
        <v>322</v>
      </c>
      <c r="I277" s="2">
        <v>45665</v>
      </c>
      <c r="J277" t="s">
        <v>20</v>
      </c>
      <c r="K277" s="21">
        <v>-442</v>
      </c>
      <c r="L277" s="21" t="s">
        <v>86</v>
      </c>
      <c r="M277">
        <v>0</v>
      </c>
      <c r="N277" s="21" t="s">
        <v>86</v>
      </c>
    </row>
    <row r="278" spans="1:14">
      <c r="A278" t="str">
        <f>IFERROR(_xlfn.XLOOKUP(B278,Cuentas!$C$1:$C$521,Cuentas!$A$1:$A$521),"")</f>
        <v>Nicolas</v>
      </c>
      <c r="B278" t="s">
        <v>320</v>
      </c>
      <c r="C278" t="s">
        <v>321</v>
      </c>
      <c r="D278" t="s">
        <v>16</v>
      </c>
      <c r="E278" t="s">
        <v>7</v>
      </c>
      <c r="F278" t="s">
        <v>323</v>
      </c>
      <c r="G278" t="s">
        <v>323</v>
      </c>
      <c r="H278" s="2">
        <v>45735</v>
      </c>
      <c r="I278" s="2">
        <v>45765</v>
      </c>
      <c r="J278" t="s">
        <v>20</v>
      </c>
      <c r="K278" s="21">
        <v>6032.57</v>
      </c>
      <c r="L278" s="21">
        <v>6032.57</v>
      </c>
      <c r="M278">
        <v>0</v>
      </c>
      <c r="N278" s="21">
        <v>0</v>
      </c>
    </row>
    <row r="279" spans="1:14">
      <c r="A279" t="str">
        <f>IFERROR(_xlfn.XLOOKUP(B279,Cuentas!$C$1:$C$521,Cuentas!$A$1:$A$521),"")</f>
        <v>Nicolas</v>
      </c>
      <c r="B279" t="s">
        <v>320</v>
      </c>
      <c r="C279" t="s">
        <v>321</v>
      </c>
      <c r="D279" t="s">
        <v>16</v>
      </c>
      <c r="E279" t="s">
        <v>7</v>
      </c>
      <c r="F279" t="s">
        <v>324</v>
      </c>
      <c r="G279" t="s">
        <v>324</v>
      </c>
      <c r="H279" s="2">
        <v>45737</v>
      </c>
      <c r="I279" s="2">
        <v>45767</v>
      </c>
      <c r="J279" t="s">
        <v>20</v>
      </c>
      <c r="K279" s="21">
        <v>45385.87</v>
      </c>
      <c r="L279" s="21">
        <v>45385.87</v>
      </c>
      <c r="M279">
        <v>0</v>
      </c>
      <c r="N279" s="21">
        <v>0</v>
      </c>
    </row>
    <row r="280" spans="1:14">
      <c r="A280" t="str">
        <f>IFERROR(_xlfn.XLOOKUP(B280,Cuentas!$C$1:$C$521,Cuentas!$A$1:$A$521),"")</f>
        <v>Nicolas</v>
      </c>
      <c r="B280" t="s">
        <v>325</v>
      </c>
      <c r="C280" t="s">
        <v>326</v>
      </c>
      <c r="D280" t="s">
        <v>16</v>
      </c>
      <c r="E280" t="s">
        <v>7</v>
      </c>
      <c r="F280" t="s">
        <v>327</v>
      </c>
      <c r="G280" t="s">
        <v>327</v>
      </c>
      <c r="H280" s="2">
        <v>45687</v>
      </c>
      <c r="I280" s="2">
        <v>45717</v>
      </c>
      <c r="J280" t="s">
        <v>20</v>
      </c>
      <c r="K280" s="21">
        <v>589.86</v>
      </c>
      <c r="L280" s="21">
        <v>589.86</v>
      </c>
      <c r="M280">
        <v>10</v>
      </c>
      <c r="N280" s="21">
        <v>589.86</v>
      </c>
    </row>
    <row r="281" spans="1:14">
      <c r="A281" t="str">
        <f>IFERROR(_xlfn.XLOOKUP(B281,Cuentas!$C$1:$C$521,Cuentas!$A$1:$A$521),"")</f>
        <v>Nicolas</v>
      </c>
      <c r="B281" t="s">
        <v>328</v>
      </c>
      <c r="C281" t="s">
        <v>329</v>
      </c>
      <c r="D281" t="s">
        <v>16</v>
      </c>
      <c r="E281" t="s">
        <v>7</v>
      </c>
      <c r="F281" t="s">
        <v>330</v>
      </c>
      <c r="G281" t="s">
        <v>330</v>
      </c>
      <c r="H281" s="2">
        <v>45723</v>
      </c>
      <c r="I281" s="2">
        <v>45753</v>
      </c>
      <c r="J281" t="s">
        <v>20</v>
      </c>
      <c r="K281" s="21">
        <v>1932.3</v>
      </c>
      <c r="L281" s="21">
        <v>1932.3</v>
      </c>
      <c r="M281">
        <v>0</v>
      </c>
      <c r="N281" s="21">
        <v>0</v>
      </c>
    </row>
    <row r="282" spans="1:14">
      <c r="A282" t="str">
        <f>IFERROR(_xlfn.XLOOKUP(B282,Cuentas!$C$1:$C$521,Cuentas!$A$1:$A$521),"")</f>
        <v>Nicolas</v>
      </c>
      <c r="B282" t="s">
        <v>331</v>
      </c>
      <c r="C282" t="s">
        <v>332</v>
      </c>
      <c r="D282" t="s">
        <v>16</v>
      </c>
      <c r="E282" t="s">
        <v>7</v>
      </c>
      <c r="F282" t="s">
        <v>333</v>
      </c>
      <c r="G282" t="s">
        <v>333</v>
      </c>
      <c r="H282" s="2">
        <v>45708</v>
      </c>
      <c r="I282" s="2">
        <v>45738</v>
      </c>
      <c r="J282" t="s">
        <v>20</v>
      </c>
      <c r="K282" s="21">
        <v>470.08</v>
      </c>
      <c r="L282" s="21">
        <v>470.08</v>
      </c>
      <c r="M282">
        <v>12</v>
      </c>
      <c r="N282" s="21">
        <v>470.08</v>
      </c>
    </row>
    <row r="283" spans="1:14">
      <c r="A283" t="str">
        <f>IFERROR(_xlfn.XLOOKUP(B283,Cuentas!$C$1:$C$521,Cuentas!$A$1:$A$521),"")</f>
        <v>Nicolas</v>
      </c>
      <c r="B283" t="s">
        <v>334</v>
      </c>
      <c r="C283" t="s">
        <v>335</v>
      </c>
      <c r="D283" t="s">
        <v>16</v>
      </c>
      <c r="E283" t="s">
        <v>7</v>
      </c>
      <c r="F283" t="s">
        <v>336</v>
      </c>
      <c r="G283" t="s">
        <v>336</v>
      </c>
      <c r="H283" s="2">
        <v>45392</v>
      </c>
      <c r="I283" s="2">
        <v>45422</v>
      </c>
      <c r="J283" t="s">
        <v>20</v>
      </c>
      <c r="K283" s="21">
        <v>36932.959999999999</v>
      </c>
      <c r="L283" s="21">
        <v>1090.1500000000001</v>
      </c>
      <c r="M283">
        <v>0</v>
      </c>
      <c r="N283" s="21">
        <v>1090.1500000000001</v>
      </c>
    </row>
    <row r="284" spans="1:14">
      <c r="A284" t="str">
        <f>IFERROR(_xlfn.XLOOKUP(B284,Cuentas!$C$1:$C$521,Cuentas!$A$1:$A$521),"")</f>
        <v>Nicolas</v>
      </c>
      <c r="B284" t="s">
        <v>334</v>
      </c>
      <c r="C284" t="s">
        <v>335</v>
      </c>
      <c r="D284" t="s">
        <v>16</v>
      </c>
      <c r="E284" t="s">
        <v>3139</v>
      </c>
      <c r="F284" t="s">
        <v>336</v>
      </c>
      <c r="G284" t="s">
        <v>336</v>
      </c>
      <c r="I284" s="2">
        <v>45569</v>
      </c>
      <c r="J284" t="s">
        <v>20</v>
      </c>
      <c r="K284" s="21">
        <v>-35842.81</v>
      </c>
      <c r="L284" s="21" t="s">
        <v>86</v>
      </c>
      <c r="M284">
        <v>0</v>
      </c>
      <c r="N284" s="21" t="s">
        <v>86</v>
      </c>
    </row>
    <row r="285" spans="1:14">
      <c r="A285" t="str">
        <f>IFERROR(_xlfn.XLOOKUP(B285,Cuentas!$C$1:$C$521,Cuentas!$A$1:$A$521),"")</f>
        <v>Nicolas</v>
      </c>
      <c r="B285" t="s">
        <v>334</v>
      </c>
      <c r="C285" t="s">
        <v>335</v>
      </c>
      <c r="D285" t="s">
        <v>16</v>
      </c>
      <c r="E285" t="s">
        <v>7</v>
      </c>
      <c r="F285" t="s">
        <v>337</v>
      </c>
      <c r="G285" t="s">
        <v>337</v>
      </c>
      <c r="H285" s="2">
        <v>45397</v>
      </c>
      <c r="I285" s="2">
        <v>45427</v>
      </c>
      <c r="J285" t="s">
        <v>20</v>
      </c>
      <c r="K285" s="21">
        <v>3220.5</v>
      </c>
      <c r="L285" s="21">
        <v>3220.5</v>
      </c>
      <c r="M285">
        <v>0</v>
      </c>
      <c r="N285" s="21">
        <v>3220.5</v>
      </c>
    </row>
    <row r="286" spans="1:14">
      <c r="A286" t="str">
        <f>IFERROR(_xlfn.XLOOKUP(B286,Cuentas!$C$1:$C$521,Cuentas!$A$1:$A$521),"")</f>
        <v>Nicolas</v>
      </c>
      <c r="B286" t="s">
        <v>334</v>
      </c>
      <c r="C286" t="s">
        <v>335</v>
      </c>
      <c r="D286" t="s">
        <v>16</v>
      </c>
      <c r="E286" t="s">
        <v>5502</v>
      </c>
      <c r="F286" t="s">
        <v>338</v>
      </c>
      <c r="G286" t="s">
        <v>19</v>
      </c>
      <c r="I286" s="2">
        <v>45443</v>
      </c>
      <c r="J286" t="s">
        <v>20</v>
      </c>
      <c r="K286" s="21">
        <v>-5471.54</v>
      </c>
      <c r="L286" s="21">
        <v>-5471.54</v>
      </c>
      <c r="M286">
        <v>0</v>
      </c>
      <c r="N286" s="21">
        <v>-5471.54</v>
      </c>
    </row>
    <row r="287" spans="1:14">
      <c r="A287" t="str">
        <f>IFERROR(_xlfn.XLOOKUP(B287,Cuentas!$C$1:$C$521,Cuentas!$A$1:$A$521),"")</f>
        <v>Nicolas</v>
      </c>
      <c r="B287" t="s">
        <v>334</v>
      </c>
      <c r="C287" t="s">
        <v>335</v>
      </c>
      <c r="D287" t="s">
        <v>16</v>
      </c>
      <c r="E287" t="s">
        <v>7</v>
      </c>
      <c r="F287" t="s">
        <v>339</v>
      </c>
      <c r="G287" t="s">
        <v>339</v>
      </c>
      <c r="H287" s="2">
        <v>45488</v>
      </c>
      <c r="I287" s="2">
        <v>45518</v>
      </c>
      <c r="J287" t="s">
        <v>20</v>
      </c>
      <c r="K287" s="21">
        <v>1305.1500000000001</v>
      </c>
      <c r="L287" s="21">
        <v>1305.1500000000001</v>
      </c>
      <c r="M287">
        <v>0</v>
      </c>
      <c r="N287" s="21">
        <v>1305.1500000000001</v>
      </c>
    </row>
    <row r="288" spans="1:14">
      <c r="A288" t="str">
        <f>IFERROR(_xlfn.XLOOKUP(B288,Cuentas!$C$1:$C$521,Cuentas!$A$1:$A$521),"")</f>
        <v>Nicolas</v>
      </c>
      <c r="B288" t="s">
        <v>334</v>
      </c>
      <c r="C288" t="s">
        <v>335</v>
      </c>
      <c r="D288" t="s">
        <v>16</v>
      </c>
      <c r="E288" t="s">
        <v>7</v>
      </c>
      <c r="F288" t="s">
        <v>340</v>
      </c>
      <c r="G288" t="s">
        <v>340</v>
      </c>
      <c r="H288" s="2">
        <v>45489</v>
      </c>
      <c r="I288" s="2">
        <v>45519</v>
      </c>
      <c r="J288" t="s">
        <v>20</v>
      </c>
      <c r="K288" s="21">
        <v>2178.64</v>
      </c>
      <c r="L288" s="21">
        <v>2178.64</v>
      </c>
      <c r="M288">
        <v>0</v>
      </c>
      <c r="N288" s="21">
        <v>2178.64</v>
      </c>
    </row>
    <row r="289" spans="1:14">
      <c r="A289" t="str">
        <f>IFERROR(_xlfn.XLOOKUP(B289,Cuentas!$C$1:$C$521,Cuentas!$A$1:$A$521),"")</f>
        <v>Nicolas</v>
      </c>
      <c r="B289" t="s">
        <v>341</v>
      </c>
      <c r="C289" t="s">
        <v>342</v>
      </c>
      <c r="D289" t="s">
        <v>16</v>
      </c>
      <c r="E289" t="s">
        <v>5502</v>
      </c>
      <c r="F289" t="s">
        <v>343</v>
      </c>
      <c r="G289" t="s">
        <v>19</v>
      </c>
      <c r="I289" s="2">
        <v>45322</v>
      </c>
      <c r="J289" t="s">
        <v>20</v>
      </c>
      <c r="K289" s="21">
        <v>-866.16</v>
      </c>
      <c r="L289" s="21">
        <v>-866.16</v>
      </c>
      <c r="M289">
        <v>0</v>
      </c>
      <c r="N289" s="21">
        <v>-866.16</v>
      </c>
    </row>
    <row r="290" spans="1:14">
      <c r="A290" t="str">
        <f>IFERROR(_xlfn.XLOOKUP(B290,Cuentas!$C$1:$C$521,Cuentas!$A$1:$A$521),"")</f>
        <v>Nicolas</v>
      </c>
      <c r="B290" t="s">
        <v>341</v>
      </c>
      <c r="C290" t="s">
        <v>342</v>
      </c>
      <c r="D290" t="s">
        <v>16</v>
      </c>
      <c r="E290" t="s">
        <v>5502</v>
      </c>
      <c r="F290" t="s">
        <v>344</v>
      </c>
      <c r="G290" t="s">
        <v>19</v>
      </c>
      <c r="I290" s="2">
        <v>45322</v>
      </c>
      <c r="J290" t="s">
        <v>20</v>
      </c>
      <c r="K290" s="21">
        <v>-24.84</v>
      </c>
      <c r="L290" s="21">
        <v>-24.84</v>
      </c>
      <c r="M290">
        <v>0</v>
      </c>
      <c r="N290" s="21">
        <v>-24.84</v>
      </c>
    </row>
    <row r="291" spans="1:14">
      <c r="A291" t="str">
        <f>IFERROR(_xlfn.XLOOKUP(B291,Cuentas!$C$1:$C$521,Cuentas!$A$1:$A$521),"")</f>
        <v>Nicolas</v>
      </c>
      <c r="B291" t="s">
        <v>345</v>
      </c>
      <c r="C291" t="s">
        <v>346</v>
      </c>
      <c r="D291" t="s">
        <v>347</v>
      </c>
      <c r="E291" t="s">
        <v>3139</v>
      </c>
      <c r="F291" t="s">
        <v>19</v>
      </c>
      <c r="G291" t="s">
        <v>19</v>
      </c>
      <c r="I291" s="2">
        <v>45646</v>
      </c>
      <c r="J291" t="s">
        <v>20</v>
      </c>
      <c r="K291" s="21">
        <v>-147.41999999999999</v>
      </c>
      <c r="L291" s="21">
        <v>-147.41999999999999</v>
      </c>
      <c r="M291">
        <v>0</v>
      </c>
      <c r="N291" s="21">
        <v>-147.41999999999999</v>
      </c>
    </row>
    <row r="292" spans="1:14">
      <c r="A292" t="str">
        <f>IFERROR(_xlfn.XLOOKUP(B292,Cuentas!$C$1:$C$521,Cuentas!$A$1:$A$521),"")</f>
        <v>Nicolas</v>
      </c>
      <c r="B292" t="s">
        <v>345</v>
      </c>
      <c r="C292" t="s">
        <v>346</v>
      </c>
      <c r="D292" t="s">
        <v>347</v>
      </c>
      <c r="E292" t="s">
        <v>3139</v>
      </c>
      <c r="F292" t="s">
        <v>19</v>
      </c>
      <c r="G292" t="s">
        <v>19</v>
      </c>
      <c r="I292" s="2">
        <v>45712</v>
      </c>
      <c r="J292" t="s">
        <v>20</v>
      </c>
      <c r="K292" s="21">
        <v>-92.4</v>
      </c>
      <c r="L292" s="21">
        <v>-92.4</v>
      </c>
      <c r="M292">
        <v>0</v>
      </c>
      <c r="N292" s="21">
        <v>-92.4</v>
      </c>
    </row>
    <row r="293" spans="1:14">
      <c r="A293" t="str">
        <f>IFERROR(_xlfn.XLOOKUP(B293,Cuentas!$C$1:$C$521,Cuentas!$A$1:$A$521),"")</f>
        <v>Nicolas</v>
      </c>
      <c r="B293" t="s">
        <v>348</v>
      </c>
      <c r="C293" t="s">
        <v>349</v>
      </c>
      <c r="D293" t="s">
        <v>213</v>
      </c>
      <c r="E293" t="s">
        <v>5502</v>
      </c>
      <c r="F293" t="s">
        <v>350</v>
      </c>
      <c r="G293" t="s">
        <v>19</v>
      </c>
      <c r="I293" s="2">
        <v>45471</v>
      </c>
      <c r="J293" t="s">
        <v>20</v>
      </c>
      <c r="K293" s="21">
        <v>-646.09</v>
      </c>
      <c r="L293" s="21">
        <v>-646.09</v>
      </c>
      <c r="M293">
        <v>0</v>
      </c>
      <c r="N293" s="21">
        <v>-646.09</v>
      </c>
    </row>
    <row r="294" spans="1:14">
      <c r="A294" t="str">
        <f>IFERROR(_xlfn.XLOOKUP(B294,Cuentas!$C$1:$C$521,Cuentas!$A$1:$A$521),"")</f>
        <v>Alexandra</v>
      </c>
      <c r="B294" t="s">
        <v>351</v>
      </c>
      <c r="C294" t="s">
        <v>352</v>
      </c>
      <c r="D294" t="s">
        <v>16</v>
      </c>
      <c r="E294" t="s">
        <v>5502</v>
      </c>
      <c r="F294" t="s">
        <v>353</v>
      </c>
      <c r="G294" t="s">
        <v>19</v>
      </c>
      <c r="I294" s="2">
        <v>45377</v>
      </c>
      <c r="J294" t="s">
        <v>20</v>
      </c>
      <c r="K294" s="21">
        <v>-42.12</v>
      </c>
      <c r="L294" s="21">
        <v>-42.12</v>
      </c>
      <c r="M294">
        <v>0</v>
      </c>
      <c r="N294" s="21">
        <v>-42.12</v>
      </c>
    </row>
    <row r="295" spans="1:14">
      <c r="A295" t="str">
        <f>IFERROR(_xlfn.XLOOKUP(B295,Cuentas!$C$1:$C$521,Cuentas!$A$1:$A$521),"")</f>
        <v>Alexandra</v>
      </c>
      <c r="B295" t="s">
        <v>351</v>
      </c>
      <c r="C295" t="s">
        <v>352</v>
      </c>
      <c r="D295" t="s">
        <v>16</v>
      </c>
      <c r="E295" t="s">
        <v>3139</v>
      </c>
      <c r="F295" t="s">
        <v>19</v>
      </c>
      <c r="G295" t="s">
        <v>19</v>
      </c>
      <c r="I295" s="2">
        <v>45504</v>
      </c>
      <c r="J295" t="s">
        <v>20</v>
      </c>
      <c r="K295" s="21">
        <v>-5.4</v>
      </c>
      <c r="L295" s="21">
        <v>-5.4</v>
      </c>
      <c r="M295">
        <v>0</v>
      </c>
      <c r="N295" s="21">
        <v>-5.4</v>
      </c>
    </row>
    <row r="296" spans="1:14">
      <c r="A296" t="str">
        <f>IFERROR(_xlfn.XLOOKUP(B296,Cuentas!$C$1:$C$521,Cuentas!$A$1:$A$521),"")</f>
        <v>Alexandra</v>
      </c>
      <c r="B296" t="s">
        <v>351</v>
      </c>
      <c r="C296" t="s">
        <v>352</v>
      </c>
      <c r="D296" t="s">
        <v>16</v>
      </c>
      <c r="E296" t="s">
        <v>5502</v>
      </c>
      <c r="F296" t="s">
        <v>354</v>
      </c>
      <c r="G296" t="s">
        <v>19</v>
      </c>
      <c r="I296" s="2">
        <v>45519</v>
      </c>
      <c r="J296" t="s">
        <v>20</v>
      </c>
      <c r="K296" s="21">
        <v>-1.0900000000000001</v>
      </c>
      <c r="L296" s="21">
        <v>-1.0900000000000001</v>
      </c>
      <c r="M296">
        <v>0</v>
      </c>
      <c r="N296" s="21">
        <v>-1.0900000000000001</v>
      </c>
    </row>
    <row r="297" spans="1:14">
      <c r="A297" t="str">
        <f>IFERROR(_xlfn.XLOOKUP(B297,Cuentas!$C$1:$C$521,Cuentas!$A$1:$A$521),"")</f>
        <v>Alexandra</v>
      </c>
      <c r="B297" t="s">
        <v>351</v>
      </c>
      <c r="C297" t="s">
        <v>352</v>
      </c>
      <c r="D297" t="s">
        <v>16</v>
      </c>
      <c r="E297" t="s">
        <v>5502</v>
      </c>
      <c r="F297" t="s">
        <v>355</v>
      </c>
      <c r="G297" t="s">
        <v>19</v>
      </c>
      <c r="I297" s="2">
        <v>45519</v>
      </c>
      <c r="J297" t="s">
        <v>20</v>
      </c>
      <c r="K297" s="21">
        <v>-1.6</v>
      </c>
      <c r="L297" s="21">
        <v>-1.6</v>
      </c>
      <c r="M297">
        <v>0</v>
      </c>
      <c r="N297" s="21">
        <v>-1.6</v>
      </c>
    </row>
    <row r="298" spans="1:14">
      <c r="A298" t="str">
        <f>IFERROR(_xlfn.XLOOKUP(B298,Cuentas!$C$1:$C$521,Cuentas!$A$1:$A$521),"")</f>
        <v>Alexandra</v>
      </c>
      <c r="B298" t="s">
        <v>351</v>
      </c>
      <c r="C298" t="s">
        <v>352</v>
      </c>
      <c r="D298" t="s">
        <v>16</v>
      </c>
      <c r="E298" t="s">
        <v>5502</v>
      </c>
      <c r="F298" t="s">
        <v>356</v>
      </c>
      <c r="G298" t="s">
        <v>19</v>
      </c>
      <c r="I298" s="2">
        <v>45519</v>
      </c>
      <c r="J298" t="s">
        <v>20</v>
      </c>
      <c r="K298" s="21">
        <v>-1.6</v>
      </c>
      <c r="L298" s="21">
        <v>-1.6</v>
      </c>
      <c r="M298">
        <v>0</v>
      </c>
      <c r="N298" s="21">
        <v>-1.6</v>
      </c>
    </row>
    <row r="299" spans="1:14">
      <c r="A299" t="str">
        <f>IFERROR(_xlfn.XLOOKUP(B299,Cuentas!$C$1:$C$521,Cuentas!$A$1:$A$521),"")</f>
        <v>Alexandra</v>
      </c>
      <c r="B299" t="s">
        <v>351</v>
      </c>
      <c r="C299" t="s">
        <v>352</v>
      </c>
      <c r="D299" t="s">
        <v>16</v>
      </c>
      <c r="E299" t="s">
        <v>5502</v>
      </c>
      <c r="F299" t="s">
        <v>357</v>
      </c>
      <c r="G299" t="s">
        <v>19</v>
      </c>
      <c r="I299" s="2">
        <v>45532</v>
      </c>
      <c r="J299" t="s">
        <v>20</v>
      </c>
      <c r="K299" s="21">
        <v>-1.97</v>
      </c>
      <c r="L299" s="21">
        <v>-1.97</v>
      </c>
      <c r="M299">
        <v>0</v>
      </c>
      <c r="N299" s="21">
        <v>-1.97</v>
      </c>
    </row>
    <row r="300" spans="1:14">
      <c r="A300" t="str">
        <f>IFERROR(_xlfn.XLOOKUP(B300,Cuentas!$C$1:$C$521,Cuentas!$A$1:$A$521),"")</f>
        <v>Alexandra</v>
      </c>
      <c r="B300" t="s">
        <v>351</v>
      </c>
      <c r="C300" t="s">
        <v>352</v>
      </c>
      <c r="D300" t="s">
        <v>16</v>
      </c>
      <c r="E300" t="s">
        <v>3139</v>
      </c>
      <c r="F300" t="s">
        <v>19</v>
      </c>
      <c r="G300" t="s">
        <v>19</v>
      </c>
      <c r="I300" s="2">
        <v>45534</v>
      </c>
      <c r="J300" t="s">
        <v>20</v>
      </c>
      <c r="K300" s="21">
        <v>-28.11</v>
      </c>
      <c r="L300" s="21">
        <v>-28.11</v>
      </c>
      <c r="M300">
        <v>0</v>
      </c>
      <c r="N300" s="21">
        <v>-28.11</v>
      </c>
    </row>
    <row r="301" spans="1:14">
      <c r="A301" t="str">
        <f>IFERROR(_xlfn.XLOOKUP(B301,Cuentas!$C$1:$C$521,Cuentas!$A$1:$A$521),"")</f>
        <v>Alexandra</v>
      </c>
      <c r="B301" t="s">
        <v>351</v>
      </c>
      <c r="C301" t="s">
        <v>352</v>
      </c>
      <c r="D301" t="s">
        <v>16</v>
      </c>
      <c r="E301" t="s">
        <v>3139</v>
      </c>
      <c r="F301" t="s">
        <v>19</v>
      </c>
      <c r="G301" t="s">
        <v>19</v>
      </c>
      <c r="I301" s="2">
        <v>45565</v>
      </c>
      <c r="J301" t="s">
        <v>20</v>
      </c>
      <c r="K301" s="21">
        <v>-11.31</v>
      </c>
      <c r="L301" s="21">
        <v>-11.31</v>
      </c>
      <c r="M301">
        <v>0</v>
      </c>
      <c r="N301" s="21">
        <v>-11.31</v>
      </c>
    </row>
    <row r="302" spans="1:14">
      <c r="A302" t="str">
        <f>IFERROR(_xlfn.XLOOKUP(B302,Cuentas!$C$1:$C$521,Cuentas!$A$1:$A$521),"")</f>
        <v>Alexandra</v>
      </c>
      <c r="B302" t="s">
        <v>351</v>
      </c>
      <c r="C302" t="s">
        <v>352</v>
      </c>
      <c r="D302" t="s">
        <v>16</v>
      </c>
      <c r="E302" t="s">
        <v>7</v>
      </c>
      <c r="F302" t="s">
        <v>358</v>
      </c>
      <c r="G302" t="s">
        <v>358</v>
      </c>
      <c r="H302" s="2">
        <v>45540</v>
      </c>
      <c r="I302" s="2">
        <v>45570</v>
      </c>
      <c r="J302" t="s">
        <v>20</v>
      </c>
      <c r="K302" s="21">
        <v>42.48</v>
      </c>
      <c r="L302" s="21">
        <v>3.86</v>
      </c>
      <c r="M302">
        <v>0</v>
      </c>
      <c r="N302" s="21">
        <v>3.86</v>
      </c>
    </row>
    <row r="303" spans="1:14">
      <c r="A303" t="str">
        <f>IFERROR(_xlfn.XLOOKUP(B303,Cuentas!$C$1:$C$521,Cuentas!$A$1:$A$521),"")</f>
        <v>Alexandra</v>
      </c>
      <c r="B303" t="s">
        <v>351</v>
      </c>
      <c r="C303" t="s">
        <v>352</v>
      </c>
      <c r="D303" t="s">
        <v>16</v>
      </c>
      <c r="E303" t="s">
        <v>3139</v>
      </c>
      <c r="F303" t="s">
        <v>358</v>
      </c>
      <c r="G303" t="s">
        <v>358</v>
      </c>
      <c r="I303" s="2">
        <v>45596</v>
      </c>
      <c r="J303" t="s">
        <v>20</v>
      </c>
      <c r="K303" s="21">
        <v>-38.619999999999997</v>
      </c>
      <c r="L303" s="21" t="s">
        <v>86</v>
      </c>
      <c r="M303">
        <v>0</v>
      </c>
      <c r="N303" s="21" t="s">
        <v>86</v>
      </c>
    </row>
    <row r="304" spans="1:14">
      <c r="A304" t="str">
        <f>IFERROR(_xlfn.XLOOKUP(B304,Cuentas!$C$1:$C$521,Cuentas!$A$1:$A$521),"")</f>
        <v>Alexandra</v>
      </c>
      <c r="B304" t="s">
        <v>351</v>
      </c>
      <c r="C304" t="s">
        <v>352</v>
      </c>
      <c r="D304" t="s">
        <v>16</v>
      </c>
      <c r="E304" t="s">
        <v>7</v>
      </c>
      <c r="F304" t="s">
        <v>359</v>
      </c>
      <c r="G304" t="s">
        <v>359</v>
      </c>
      <c r="H304" s="2">
        <v>45541</v>
      </c>
      <c r="I304" s="2">
        <v>45571</v>
      </c>
      <c r="J304" t="s">
        <v>20</v>
      </c>
      <c r="K304" s="21">
        <v>126.01</v>
      </c>
      <c r="L304" s="21">
        <v>10.01</v>
      </c>
      <c r="M304">
        <v>0</v>
      </c>
      <c r="N304" s="21">
        <v>10.01</v>
      </c>
    </row>
    <row r="305" spans="1:14">
      <c r="A305" t="str">
        <f>IFERROR(_xlfn.XLOOKUP(B305,Cuentas!$C$1:$C$521,Cuentas!$A$1:$A$521),"")</f>
        <v>Alexandra</v>
      </c>
      <c r="B305" t="s">
        <v>351</v>
      </c>
      <c r="C305" t="s">
        <v>352</v>
      </c>
      <c r="D305" t="s">
        <v>16</v>
      </c>
      <c r="E305" t="s">
        <v>3139</v>
      </c>
      <c r="F305" t="s">
        <v>359</v>
      </c>
      <c r="G305" t="s">
        <v>359</v>
      </c>
      <c r="I305" s="2">
        <v>45596</v>
      </c>
      <c r="J305" t="s">
        <v>20</v>
      </c>
      <c r="K305" s="21">
        <v>-116</v>
      </c>
      <c r="L305" s="21" t="s">
        <v>86</v>
      </c>
      <c r="M305">
        <v>0</v>
      </c>
      <c r="N305" s="21" t="s">
        <v>86</v>
      </c>
    </row>
    <row r="306" spans="1:14">
      <c r="A306" t="str">
        <f>IFERROR(_xlfn.XLOOKUP(B306,Cuentas!$C$1:$C$521,Cuentas!$A$1:$A$521),"")</f>
        <v>Alexandra</v>
      </c>
      <c r="B306" t="s">
        <v>351</v>
      </c>
      <c r="C306" t="s">
        <v>352</v>
      </c>
      <c r="D306" t="s">
        <v>16</v>
      </c>
      <c r="E306" t="s">
        <v>7</v>
      </c>
      <c r="F306" t="s">
        <v>360</v>
      </c>
      <c r="G306" t="s">
        <v>360</v>
      </c>
      <c r="H306" s="2">
        <v>45541</v>
      </c>
      <c r="I306" s="2">
        <v>45571</v>
      </c>
      <c r="J306" t="s">
        <v>20</v>
      </c>
      <c r="K306" s="21">
        <v>123.69</v>
      </c>
      <c r="L306" s="21">
        <v>7.69</v>
      </c>
      <c r="M306">
        <v>0</v>
      </c>
      <c r="N306" s="21">
        <v>7.69</v>
      </c>
    </row>
    <row r="307" spans="1:14">
      <c r="A307" t="str">
        <f>IFERROR(_xlfn.XLOOKUP(B307,Cuentas!$C$1:$C$521,Cuentas!$A$1:$A$521),"")</f>
        <v>Alexandra</v>
      </c>
      <c r="B307" t="s">
        <v>351</v>
      </c>
      <c r="C307" t="s">
        <v>352</v>
      </c>
      <c r="D307" t="s">
        <v>16</v>
      </c>
      <c r="E307" t="s">
        <v>3139</v>
      </c>
      <c r="F307" t="s">
        <v>360</v>
      </c>
      <c r="G307" t="s">
        <v>360</v>
      </c>
      <c r="I307" s="2">
        <v>45596</v>
      </c>
      <c r="J307" t="s">
        <v>20</v>
      </c>
      <c r="K307" s="21">
        <v>-116</v>
      </c>
      <c r="L307" s="21" t="s">
        <v>86</v>
      </c>
      <c r="M307">
        <v>0</v>
      </c>
      <c r="N307" s="21" t="s">
        <v>86</v>
      </c>
    </row>
    <row r="308" spans="1:14">
      <c r="A308" t="str">
        <f>IFERROR(_xlfn.XLOOKUP(B308,Cuentas!$C$1:$C$521,Cuentas!$A$1:$A$521),"")</f>
        <v>Alexandra</v>
      </c>
      <c r="B308" t="s">
        <v>351</v>
      </c>
      <c r="C308" t="s">
        <v>352</v>
      </c>
      <c r="D308" t="s">
        <v>16</v>
      </c>
      <c r="E308" t="s">
        <v>7</v>
      </c>
      <c r="F308" t="s">
        <v>361</v>
      </c>
      <c r="G308" t="s">
        <v>361</v>
      </c>
      <c r="H308" s="2">
        <v>45548</v>
      </c>
      <c r="I308" s="2">
        <v>45578</v>
      </c>
      <c r="J308" t="s">
        <v>20</v>
      </c>
      <c r="K308" s="21">
        <v>31.35</v>
      </c>
      <c r="L308" s="21">
        <v>2.85</v>
      </c>
      <c r="M308">
        <v>0</v>
      </c>
      <c r="N308" s="21">
        <v>2.85</v>
      </c>
    </row>
    <row r="309" spans="1:14">
      <c r="A309" t="str">
        <f>IFERROR(_xlfn.XLOOKUP(B309,Cuentas!$C$1:$C$521,Cuentas!$A$1:$A$521),"")</f>
        <v>Alexandra</v>
      </c>
      <c r="B309" t="s">
        <v>351</v>
      </c>
      <c r="C309" t="s">
        <v>352</v>
      </c>
      <c r="D309" t="s">
        <v>16</v>
      </c>
      <c r="E309" t="s">
        <v>3139</v>
      </c>
      <c r="F309" t="s">
        <v>361</v>
      </c>
      <c r="G309" t="s">
        <v>361</v>
      </c>
      <c r="I309" s="2">
        <v>45596</v>
      </c>
      <c r="J309" t="s">
        <v>20</v>
      </c>
      <c r="K309" s="21">
        <v>-28.5</v>
      </c>
      <c r="L309" s="21" t="s">
        <v>86</v>
      </c>
      <c r="M309">
        <v>0</v>
      </c>
      <c r="N309" s="21" t="s">
        <v>86</v>
      </c>
    </row>
    <row r="310" spans="1:14">
      <c r="A310" t="str">
        <f>IFERROR(_xlfn.XLOOKUP(B310,Cuentas!$C$1:$C$521,Cuentas!$A$1:$A$521),"")</f>
        <v>Alexandra</v>
      </c>
      <c r="B310" t="s">
        <v>351</v>
      </c>
      <c r="C310" t="s">
        <v>352</v>
      </c>
      <c r="D310" t="s">
        <v>16</v>
      </c>
      <c r="E310" t="s">
        <v>7</v>
      </c>
      <c r="F310" t="s">
        <v>362</v>
      </c>
      <c r="G310" t="s">
        <v>362</v>
      </c>
      <c r="H310" s="2">
        <v>45548</v>
      </c>
      <c r="I310" s="2">
        <v>45578</v>
      </c>
      <c r="J310" t="s">
        <v>20</v>
      </c>
      <c r="K310" s="21">
        <v>98.06</v>
      </c>
      <c r="L310" s="21">
        <v>7.79</v>
      </c>
      <c r="M310">
        <v>0</v>
      </c>
      <c r="N310" s="21">
        <v>7.79</v>
      </c>
    </row>
    <row r="311" spans="1:14">
      <c r="A311" t="str">
        <f>IFERROR(_xlfn.XLOOKUP(B311,Cuentas!$C$1:$C$521,Cuentas!$A$1:$A$521),"")</f>
        <v>Alexandra</v>
      </c>
      <c r="B311" t="s">
        <v>351</v>
      </c>
      <c r="C311" t="s">
        <v>352</v>
      </c>
      <c r="D311" t="s">
        <v>16</v>
      </c>
      <c r="E311" t="s">
        <v>3139</v>
      </c>
      <c r="F311" t="s">
        <v>362</v>
      </c>
      <c r="G311" t="s">
        <v>362</v>
      </c>
      <c r="I311" s="2">
        <v>45596</v>
      </c>
      <c r="J311" t="s">
        <v>20</v>
      </c>
      <c r="K311" s="21">
        <v>-90.27</v>
      </c>
      <c r="L311" s="21" t="s">
        <v>86</v>
      </c>
      <c r="M311">
        <v>0</v>
      </c>
      <c r="N311" s="21" t="s">
        <v>86</v>
      </c>
    </row>
    <row r="312" spans="1:14">
      <c r="A312" t="str">
        <f>IFERROR(_xlfn.XLOOKUP(B312,Cuentas!$C$1:$C$521,Cuentas!$A$1:$A$521),"")</f>
        <v>Alexandra</v>
      </c>
      <c r="B312" t="s">
        <v>351</v>
      </c>
      <c r="C312" t="s">
        <v>352</v>
      </c>
      <c r="D312" t="s">
        <v>16</v>
      </c>
      <c r="E312" t="s">
        <v>3139</v>
      </c>
      <c r="F312" t="s">
        <v>19</v>
      </c>
      <c r="G312" t="s">
        <v>19</v>
      </c>
      <c r="I312" s="2">
        <v>45596</v>
      </c>
      <c r="J312" t="s">
        <v>20</v>
      </c>
      <c r="K312" s="21">
        <v>-6.64</v>
      </c>
      <c r="L312" s="21">
        <v>-6.64</v>
      </c>
      <c r="M312">
        <v>0</v>
      </c>
      <c r="N312" s="21">
        <v>-6.64</v>
      </c>
    </row>
    <row r="313" spans="1:14">
      <c r="A313" t="str">
        <f>IFERROR(_xlfn.XLOOKUP(B313,Cuentas!$C$1:$C$521,Cuentas!$A$1:$A$521),"")</f>
        <v>Alexandra</v>
      </c>
      <c r="B313" t="s">
        <v>351</v>
      </c>
      <c r="C313" t="s">
        <v>352</v>
      </c>
      <c r="D313" t="s">
        <v>16</v>
      </c>
      <c r="E313" t="s">
        <v>7</v>
      </c>
      <c r="F313" t="s">
        <v>363</v>
      </c>
      <c r="G313" t="s">
        <v>363</v>
      </c>
      <c r="H313" s="2">
        <v>45594</v>
      </c>
      <c r="I313" s="2">
        <v>45624</v>
      </c>
      <c r="J313" t="s">
        <v>20</v>
      </c>
      <c r="K313" s="21">
        <v>42.48</v>
      </c>
      <c r="L313" s="21">
        <v>3.86</v>
      </c>
      <c r="M313">
        <v>0</v>
      </c>
      <c r="N313" s="21">
        <v>3.86</v>
      </c>
    </row>
    <row r="314" spans="1:14">
      <c r="A314" t="str">
        <f>IFERROR(_xlfn.XLOOKUP(B314,Cuentas!$C$1:$C$521,Cuentas!$A$1:$A$521),"")</f>
        <v>Alexandra</v>
      </c>
      <c r="B314" t="s">
        <v>351</v>
      </c>
      <c r="C314" t="s">
        <v>352</v>
      </c>
      <c r="D314" t="s">
        <v>16</v>
      </c>
      <c r="E314" t="s">
        <v>3139</v>
      </c>
      <c r="F314" t="s">
        <v>363</v>
      </c>
      <c r="G314" t="s">
        <v>363</v>
      </c>
      <c r="I314" s="2">
        <v>45625</v>
      </c>
      <c r="J314" t="s">
        <v>20</v>
      </c>
      <c r="K314" s="21">
        <v>-38.619999999999997</v>
      </c>
      <c r="L314" s="21" t="s">
        <v>86</v>
      </c>
      <c r="M314">
        <v>0</v>
      </c>
      <c r="N314" s="21" t="s">
        <v>86</v>
      </c>
    </row>
    <row r="315" spans="1:14">
      <c r="A315" t="str">
        <f>IFERROR(_xlfn.XLOOKUP(B315,Cuentas!$C$1:$C$521,Cuentas!$A$1:$A$521),"")</f>
        <v>Alexandra</v>
      </c>
      <c r="B315" t="s">
        <v>351</v>
      </c>
      <c r="C315" t="s">
        <v>352</v>
      </c>
      <c r="D315" t="s">
        <v>16</v>
      </c>
      <c r="E315" t="s">
        <v>3139</v>
      </c>
      <c r="F315" t="s">
        <v>19</v>
      </c>
      <c r="G315" t="s">
        <v>19</v>
      </c>
      <c r="I315" s="2">
        <v>45688</v>
      </c>
      <c r="J315" t="s">
        <v>20</v>
      </c>
      <c r="K315" s="21">
        <v>-6.64</v>
      </c>
      <c r="L315" s="21">
        <v>-6.64</v>
      </c>
      <c r="M315">
        <v>0</v>
      </c>
      <c r="N315" s="21">
        <v>-6.64</v>
      </c>
    </row>
    <row r="316" spans="1:14">
      <c r="A316" t="str">
        <f>IFERROR(_xlfn.XLOOKUP(B316,Cuentas!$C$1:$C$521,Cuentas!$A$1:$A$521),"")</f>
        <v>Alexandra</v>
      </c>
      <c r="B316" t="s">
        <v>351</v>
      </c>
      <c r="C316" t="s">
        <v>352</v>
      </c>
      <c r="D316" t="s">
        <v>16</v>
      </c>
      <c r="E316" t="s">
        <v>3139</v>
      </c>
      <c r="F316" t="s">
        <v>19</v>
      </c>
      <c r="G316" t="s">
        <v>19</v>
      </c>
      <c r="I316" s="2">
        <v>45716</v>
      </c>
      <c r="J316" t="s">
        <v>20</v>
      </c>
      <c r="K316" s="21">
        <v>-18.68</v>
      </c>
      <c r="L316" s="21">
        <v>-18.68</v>
      </c>
      <c r="M316">
        <v>0</v>
      </c>
      <c r="N316" s="21">
        <v>-18.68</v>
      </c>
    </row>
    <row r="317" spans="1:14">
      <c r="A317" t="str">
        <f>IFERROR(_xlfn.XLOOKUP(B317,Cuentas!$C$1:$C$521,Cuentas!$A$1:$A$521),"")</f>
        <v>Alexandra</v>
      </c>
      <c r="B317" t="s">
        <v>351</v>
      </c>
      <c r="C317" t="s">
        <v>352</v>
      </c>
      <c r="D317" t="s">
        <v>16</v>
      </c>
      <c r="E317" t="s">
        <v>7</v>
      </c>
      <c r="F317" t="s">
        <v>364</v>
      </c>
      <c r="G317" t="s">
        <v>364</v>
      </c>
      <c r="H317" s="2">
        <v>45698</v>
      </c>
      <c r="I317" s="2">
        <v>45728</v>
      </c>
      <c r="J317" t="s">
        <v>20</v>
      </c>
      <c r="K317" s="21">
        <v>53</v>
      </c>
      <c r="L317" s="21">
        <v>53</v>
      </c>
      <c r="M317">
        <v>11</v>
      </c>
      <c r="N317" s="21">
        <v>53</v>
      </c>
    </row>
    <row r="318" spans="1:14">
      <c r="A318" t="str">
        <f>IFERROR(_xlfn.XLOOKUP(B318,Cuentas!$C$1:$C$521,Cuentas!$A$1:$A$521),"")</f>
        <v>Alexandra</v>
      </c>
      <c r="B318" t="s">
        <v>351</v>
      </c>
      <c r="C318" t="s">
        <v>352</v>
      </c>
      <c r="D318" t="s">
        <v>16</v>
      </c>
      <c r="E318" t="s">
        <v>7</v>
      </c>
      <c r="F318" t="s">
        <v>365</v>
      </c>
      <c r="G318" t="s">
        <v>365</v>
      </c>
      <c r="H318" s="2">
        <v>45700</v>
      </c>
      <c r="I318" s="2">
        <v>45730</v>
      </c>
      <c r="J318" t="s">
        <v>20</v>
      </c>
      <c r="K318" s="21">
        <v>105.5</v>
      </c>
      <c r="L318" s="21">
        <v>105.5</v>
      </c>
      <c r="M318">
        <v>11</v>
      </c>
      <c r="N318" s="21">
        <v>105.5</v>
      </c>
    </row>
    <row r="319" spans="1:14">
      <c r="A319" t="str">
        <f>IFERROR(_xlfn.XLOOKUP(B319,Cuentas!$C$1:$C$521,Cuentas!$A$1:$A$521),"")</f>
        <v>Alexandra</v>
      </c>
      <c r="B319" t="s">
        <v>351</v>
      </c>
      <c r="C319" t="s">
        <v>352</v>
      </c>
      <c r="D319" t="s">
        <v>16</v>
      </c>
      <c r="E319" t="s">
        <v>7</v>
      </c>
      <c r="F319" t="s">
        <v>366</v>
      </c>
      <c r="G319" t="s">
        <v>366</v>
      </c>
      <c r="H319" s="2">
        <v>45700</v>
      </c>
      <c r="I319" s="2">
        <v>45730</v>
      </c>
      <c r="J319" t="s">
        <v>20</v>
      </c>
      <c r="K319" s="21">
        <v>32.9</v>
      </c>
      <c r="L319" s="21">
        <v>32.9</v>
      </c>
      <c r="M319">
        <v>11</v>
      </c>
      <c r="N319" s="21">
        <v>32.9</v>
      </c>
    </row>
    <row r="320" spans="1:14">
      <c r="A320" t="str">
        <f>IFERROR(_xlfn.XLOOKUP(B320,Cuentas!$C$1:$C$521,Cuentas!$A$1:$A$521),"")</f>
        <v>Alexandra</v>
      </c>
      <c r="B320" t="s">
        <v>351</v>
      </c>
      <c r="C320" t="s">
        <v>352</v>
      </c>
      <c r="D320" t="s">
        <v>16</v>
      </c>
      <c r="E320" t="s">
        <v>7</v>
      </c>
      <c r="F320" t="s">
        <v>367</v>
      </c>
      <c r="G320" t="s">
        <v>367</v>
      </c>
      <c r="H320" s="2">
        <v>45721</v>
      </c>
      <c r="I320" s="2">
        <v>45751</v>
      </c>
      <c r="J320" t="s">
        <v>20</v>
      </c>
      <c r="K320" s="21">
        <v>42.12</v>
      </c>
      <c r="L320" s="21">
        <v>42.12</v>
      </c>
      <c r="M320">
        <v>0</v>
      </c>
      <c r="N320" s="21">
        <v>0</v>
      </c>
    </row>
    <row r="321" spans="1:14">
      <c r="A321" t="str">
        <f>IFERROR(_xlfn.XLOOKUP(B321,Cuentas!$C$1:$C$521,Cuentas!$A$1:$A$521),"")</f>
        <v>Alexandra</v>
      </c>
      <c r="B321" t="s">
        <v>351</v>
      </c>
      <c r="C321" t="s">
        <v>352</v>
      </c>
      <c r="D321" t="s">
        <v>16</v>
      </c>
      <c r="E321" t="s">
        <v>7</v>
      </c>
      <c r="F321" t="s">
        <v>368</v>
      </c>
      <c r="G321" t="s">
        <v>368</v>
      </c>
      <c r="H321" s="2">
        <v>45721</v>
      </c>
      <c r="I321" s="2">
        <v>45751</v>
      </c>
      <c r="J321" t="s">
        <v>20</v>
      </c>
      <c r="K321" s="21">
        <v>53</v>
      </c>
      <c r="L321" s="21">
        <v>53</v>
      </c>
      <c r="M321">
        <v>0</v>
      </c>
      <c r="N321" s="21">
        <v>0</v>
      </c>
    </row>
    <row r="322" spans="1:14">
      <c r="A322" t="str">
        <f>IFERROR(_xlfn.XLOOKUP(B322,Cuentas!$C$1:$C$521,Cuentas!$A$1:$A$521),"")</f>
        <v>Alexandra</v>
      </c>
      <c r="B322" t="s">
        <v>351</v>
      </c>
      <c r="C322" t="s">
        <v>352</v>
      </c>
      <c r="D322" t="s">
        <v>16</v>
      </c>
      <c r="E322" t="s">
        <v>7</v>
      </c>
      <c r="F322" t="s">
        <v>369</v>
      </c>
      <c r="G322" t="s">
        <v>369</v>
      </c>
      <c r="H322" s="2">
        <v>45721</v>
      </c>
      <c r="I322" s="2">
        <v>45751</v>
      </c>
      <c r="J322" t="s">
        <v>20</v>
      </c>
      <c r="K322" s="21">
        <v>90.27</v>
      </c>
      <c r="L322" s="21">
        <v>90.27</v>
      </c>
      <c r="M322">
        <v>0</v>
      </c>
      <c r="N322" s="21">
        <v>0</v>
      </c>
    </row>
    <row r="323" spans="1:14">
      <c r="A323" t="str">
        <f>IFERROR(_xlfn.XLOOKUP(B323,Cuentas!$C$1:$C$521,Cuentas!$A$1:$A$521),"")</f>
        <v>Alexandra</v>
      </c>
      <c r="B323" t="s">
        <v>351</v>
      </c>
      <c r="C323" t="s">
        <v>352</v>
      </c>
      <c r="D323" t="s">
        <v>16</v>
      </c>
      <c r="E323" t="s">
        <v>7</v>
      </c>
      <c r="F323" t="s">
        <v>370</v>
      </c>
      <c r="G323" t="s">
        <v>370</v>
      </c>
      <c r="H323" s="2">
        <v>45730</v>
      </c>
      <c r="I323" s="2">
        <v>45760</v>
      </c>
      <c r="J323" t="s">
        <v>20</v>
      </c>
      <c r="K323" s="21">
        <v>116</v>
      </c>
      <c r="L323" s="21">
        <v>116</v>
      </c>
      <c r="M323">
        <v>0</v>
      </c>
      <c r="N323" s="21">
        <v>0</v>
      </c>
    </row>
    <row r="324" spans="1:14">
      <c r="A324" t="str">
        <f>IFERROR(_xlfn.XLOOKUP(B324,Cuentas!$C$1:$C$521,Cuentas!$A$1:$A$521),"")</f>
        <v>Alexandra</v>
      </c>
      <c r="B324" t="s">
        <v>351</v>
      </c>
      <c r="C324" t="s">
        <v>352</v>
      </c>
      <c r="D324" t="s">
        <v>16</v>
      </c>
      <c r="E324" t="s">
        <v>7</v>
      </c>
      <c r="F324" t="s">
        <v>371</v>
      </c>
      <c r="G324" t="s">
        <v>371</v>
      </c>
      <c r="H324" s="2">
        <v>45734</v>
      </c>
      <c r="I324" s="2">
        <v>45764</v>
      </c>
      <c r="J324" t="s">
        <v>20</v>
      </c>
      <c r="K324" s="21">
        <v>53</v>
      </c>
      <c r="L324" s="21">
        <v>53</v>
      </c>
      <c r="M324">
        <v>0</v>
      </c>
      <c r="N324" s="21">
        <v>0</v>
      </c>
    </row>
    <row r="325" spans="1:14">
      <c r="A325" t="str">
        <f>IFERROR(_xlfn.XLOOKUP(B325,Cuentas!$C$1:$C$521,Cuentas!$A$1:$A$521),"")</f>
        <v>Alexandra</v>
      </c>
      <c r="B325" t="s">
        <v>351</v>
      </c>
      <c r="C325" t="s">
        <v>352</v>
      </c>
      <c r="D325" t="s">
        <v>16</v>
      </c>
      <c r="E325" t="s">
        <v>7</v>
      </c>
      <c r="F325" t="s">
        <v>372</v>
      </c>
      <c r="G325" t="s">
        <v>372</v>
      </c>
      <c r="H325" s="2">
        <v>45734</v>
      </c>
      <c r="I325" s="2">
        <v>45764</v>
      </c>
      <c r="J325" t="s">
        <v>20</v>
      </c>
      <c r="K325" s="21">
        <v>11.5</v>
      </c>
      <c r="L325" s="21">
        <v>11.5</v>
      </c>
      <c r="M325">
        <v>0</v>
      </c>
      <c r="N325" s="21">
        <v>0</v>
      </c>
    </row>
    <row r="326" spans="1:14">
      <c r="A326" t="str">
        <f>IFERROR(_xlfn.XLOOKUP(B326,Cuentas!$C$1:$C$521,Cuentas!$A$1:$A$521),"")</f>
        <v>Alexandra</v>
      </c>
      <c r="B326" t="s">
        <v>351</v>
      </c>
      <c r="C326" t="s">
        <v>352</v>
      </c>
      <c r="D326" t="s">
        <v>16</v>
      </c>
      <c r="E326" t="s">
        <v>7</v>
      </c>
      <c r="F326" t="s">
        <v>373</v>
      </c>
      <c r="G326" t="s">
        <v>373</v>
      </c>
      <c r="H326" s="2">
        <v>45740</v>
      </c>
      <c r="I326" s="2">
        <v>45770</v>
      </c>
      <c r="J326" t="s">
        <v>20</v>
      </c>
      <c r="K326" s="21">
        <v>56.71</v>
      </c>
      <c r="L326" s="21">
        <v>56.71</v>
      </c>
      <c r="M326">
        <v>0</v>
      </c>
      <c r="N326" s="21">
        <v>0</v>
      </c>
    </row>
    <row r="327" spans="1:14">
      <c r="A327" t="str">
        <f>IFERROR(_xlfn.XLOOKUP(B327,Cuentas!$C$1:$C$521,Cuentas!$A$1:$A$521),"")</f>
        <v>Nicolas</v>
      </c>
      <c r="B327" t="s">
        <v>374</v>
      </c>
      <c r="C327" t="s">
        <v>375</v>
      </c>
      <c r="D327" t="s">
        <v>16</v>
      </c>
      <c r="E327" t="s">
        <v>3139</v>
      </c>
      <c r="F327" t="s">
        <v>19</v>
      </c>
      <c r="G327" t="s">
        <v>19</v>
      </c>
      <c r="I327" s="2">
        <v>45547</v>
      </c>
      <c r="J327" t="s">
        <v>20</v>
      </c>
      <c r="K327" s="21">
        <v>-3</v>
      </c>
      <c r="L327" s="21">
        <v>-3</v>
      </c>
      <c r="M327">
        <v>0</v>
      </c>
      <c r="N327" s="21">
        <v>-3</v>
      </c>
    </row>
    <row r="328" spans="1:14">
      <c r="A328" t="str">
        <f>IFERROR(_xlfn.XLOOKUP(B328,Cuentas!$C$1:$C$521,Cuentas!$A$1:$A$521),"")</f>
        <v>Yuldor</v>
      </c>
      <c r="B328" t="s">
        <v>376</v>
      </c>
      <c r="C328" t="s">
        <v>377</v>
      </c>
      <c r="D328" t="s">
        <v>16</v>
      </c>
      <c r="E328" t="s">
        <v>7</v>
      </c>
      <c r="F328" t="s">
        <v>378</v>
      </c>
      <c r="G328" t="s">
        <v>378</v>
      </c>
      <c r="H328" s="2">
        <v>45715</v>
      </c>
      <c r="I328" s="2">
        <v>45745</v>
      </c>
      <c r="J328" t="s">
        <v>20</v>
      </c>
      <c r="K328" s="21">
        <v>844</v>
      </c>
      <c r="L328" s="21">
        <v>844</v>
      </c>
      <c r="M328">
        <v>13</v>
      </c>
      <c r="N328" s="21">
        <v>844</v>
      </c>
    </row>
    <row r="329" spans="1:14">
      <c r="A329" t="str">
        <f>IFERROR(_xlfn.XLOOKUP(B329,Cuentas!$C$1:$C$521,Cuentas!$A$1:$A$521),"")</f>
        <v>Yuldor</v>
      </c>
      <c r="B329" t="s">
        <v>376</v>
      </c>
      <c r="C329" t="s">
        <v>377</v>
      </c>
      <c r="D329" t="s">
        <v>16</v>
      </c>
      <c r="E329" t="s">
        <v>7</v>
      </c>
      <c r="F329" t="s">
        <v>379</v>
      </c>
      <c r="G329" t="s">
        <v>379</v>
      </c>
      <c r="H329" s="2">
        <v>45736</v>
      </c>
      <c r="I329" s="2">
        <v>45766</v>
      </c>
      <c r="J329" t="s">
        <v>20</v>
      </c>
      <c r="K329" s="21">
        <v>1396.32</v>
      </c>
      <c r="L329" s="21">
        <v>1396.32</v>
      </c>
      <c r="M329">
        <v>0</v>
      </c>
      <c r="N329" s="21">
        <v>0</v>
      </c>
    </row>
    <row r="330" spans="1:14">
      <c r="A330" t="str">
        <f>IFERROR(_xlfn.XLOOKUP(B330,Cuentas!$C$1:$C$521,Cuentas!$A$1:$A$521),"")</f>
        <v>Yuldor</v>
      </c>
      <c r="B330" t="s">
        <v>380</v>
      </c>
      <c r="C330" t="s">
        <v>381</v>
      </c>
      <c r="D330" t="s">
        <v>382</v>
      </c>
      <c r="E330" t="s">
        <v>5502</v>
      </c>
      <c r="F330" t="s">
        <v>383</v>
      </c>
      <c r="G330" t="s">
        <v>19</v>
      </c>
      <c r="I330" s="2">
        <v>45247</v>
      </c>
      <c r="J330" t="s">
        <v>20</v>
      </c>
      <c r="K330" s="21">
        <v>-345.39</v>
      </c>
      <c r="L330" s="21">
        <v>-345.39</v>
      </c>
      <c r="M330">
        <v>0</v>
      </c>
      <c r="N330" s="21">
        <v>-345.39</v>
      </c>
    </row>
    <row r="331" spans="1:14">
      <c r="A331" t="str">
        <f>IFERROR(_xlfn.XLOOKUP(B331,Cuentas!$C$1:$C$521,Cuentas!$A$1:$A$521),"")</f>
        <v>Yuldor</v>
      </c>
      <c r="B331" t="s">
        <v>380</v>
      </c>
      <c r="C331" t="s">
        <v>381</v>
      </c>
      <c r="D331" t="s">
        <v>382</v>
      </c>
      <c r="E331" t="s">
        <v>7</v>
      </c>
      <c r="F331" t="s">
        <v>384</v>
      </c>
      <c r="G331" t="s">
        <v>384</v>
      </c>
      <c r="H331" s="2">
        <v>45296</v>
      </c>
      <c r="I331" s="2">
        <v>45356</v>
      </c>
      <c r="J331" t="s">
        <v>20</v>
      </c>
      <c r="K331" s="21">
        <v>7537.2</v>
      </c>
      <c r="L331" s="21">
        <v>7537.2</v>
      </c>
      <c r="M331">
        <v>0</v>
      </c>
      <c r="N331" s="21">
        <v>7537.2</v>
      </c>
    </row>
    <row r="332" spans="1:14">
      <c r="A332" t="str">
        <f>IFERROR(_xlfn.XLOOKUP(B332,Cuentas!$C$1:$C$521,Cuentas!$A$1:$A$521),"")</f>
        <v>Yuldor</v>
      </c>
      <c r="B332" t="s">
        <v>380</v>
      </c>
      <c r="C332" t="s">
        <v>381</v>
      </c>
      <c r="D332" t="s">
        <v>382</v>
      </c>
      <c r="E332" t="s">
        <v>7</v>
      </c>
      <c r="F332" t="s">
        <v>385</v>
      </c>
      <c r="G332" t="s">
        <v>385</v>
      </c>
      <c r="H332" s="2">
        <v>45296</v>
      </c>
      <c r="I332" s="2">
        <v>45356</v>
      </c>
      <c r="J332" t="s">
        <v>20</v>
      </c>
      <c r="K332" s="21">
        <v>3390.48</v>
      </c>
      <c r="L332" s="21">
        <v>3390.48</v>
      </c>
      <c r="M332">
        <v>0</v>
      </c>
      <c r="N332" s="21">
        <v>3390.48</v>
      </c>
    </row>
    <row r="333" spans="1:14">
      <c r="A333" t="str">
        <f>IFERROR(_xlfn.XLOOKUP(B333,Cuentas!$C$1:$C$521,Cuentas!$A$1:$A$521),"")</f>
        <v>Yuldor</v>
      </c>
      <c r="B333" t="s">
        <v>380</v>
      </c>
      <c r="C333" t="s">
        <v>381</v>
      </c>
      <c r="D333" t="s">
        <v>382</v>
      </c>
      <c r="E333" t="s">
        <v>7</v>
      </c>
      <c r="F333" t="s">
        <v>386</v>
      </c>
      <c r="G333" t="s">
        <v>386</v>
      </c>
      <c r="H333" s="2">
        <v>45311</v>
      </c>
      <c r="I333" s="2">
        <v>45371</v>
      </c>
      <c r="J333" t="s">
        <v>20</v>
      </c>
      <c r="K333" s="21">
        <v>450</v>
      </c>
      <c r="L333" s="21">
        <v>450</v>
      </c>
      <c r="M333">
        <v>0</v>
      </c>
      <c r="N333" s="21">
        <v>450</v>
      </c>
    </row>
    <row r="334" spans="1:14">
      <c r="A334" t="str">
        <f>IFERROR(_xlfn.XLOOKUP(B334,Cuentas!$C$1:$C$521,Cuentas!$A$1:$A$521),"")</f>
        <v>Yuldor</v>
      </c>
      <c r="B334" t="s">
        <v>380</v>
      </c>
      <c r="C334" t="s">
        <v>381</v>
      </c>
      <c r="D334" t="s">
        <v>382</v>
      </c>
      <c r="E334" t="s">
        <v>3139</v>
      </c>
      <c r="F334" t="s">
        <v>19</v>
      </c>
      <c r="G334" t="s">
        <v>19</v>
      </c>
      <c r="I334" s="2">
        <v>45373</v>
      </c>
      <c r="J334" t="s">
        <v>20</v>
      </c>
      <c r="K334" s="21">
        <v>-9127.68</v>
      </c>
      <c r="L334" s="21">
        <v>-9127.68</v>
      </c>
      <c r="M334">
        <v>0</v>
      </c>
      <c r="N334" s="21">
        <v>-9127.68</v>
      </c>
    </row>
    <row r="335" spans="1:14">
      <c r="A335" t="str">
        <f>IFERROR(_xlfn.XLOOKUP(B335,Cuentas!$C$1:$C$521,Cuentas!$A$1:$A$521),"")</f>
        <v>Yuldor</v>
      </c>
      <c r="B335" t="s">
        <v>380</v>
      </c>
      <c r="C335" t="s">
        <v>381</v>
      </c>
      <c r="D335" t="s">
        <v>382</v>
      </c>
      <c r="E335" t="s">
        <v>7</v>
      </c>
      <c r="F335" t="s">
        <v>387</v>
      </c>
      <c r="G335" t="s">
        <v>387</v>
      </c>
      <c r="H335" s="2">
        <v>45345</v>
      </c>
      <c r="I335" s="2">
        <v>45405</v>
      </c>
      <c r="J335" t="s">
        <v>20</v>
      </c>
      <c r="K335" s="21">
        <v>450</v>
      </c>
      <c r="L335" s="21">
        <v>450</v>
      </c>
      <c r="M335">
        <v>0</v>
      </c>
      <c r="N335" s="21">
        <v>450</v>
      </c>
    </row>
    <row r="336" spans="1:14">
      <c r="A336" t="str">
        <f>IFERROR(_xlfn.XLOOKUP(B336,Cuentas!$C$1:$C$521,Cuentas!$A$1:$A$521),"")</f>
        <v>Yuldor</v>
      </c>
      <c r="B336" t="s">
        <v>380</v>
      </c>
      <c r="C336" t="s">
        <v>381</v>
      </c>
      <c r="D336" t="s">
        <v>382</v>
      </c>
      <c r="E336" t="s">
        <v>7</v>
      </c>
      <c r="F336" t="s">
        <v>388</v>
      </c>
      <c r="G336" t="s">
        <v>388</v>
      </c>
      <c r="H336" s="2">
        <v>45408</v>
      </c>
      <c r="I336" s="2">
        <v>45468</v>
      </c>
      <c r="J336" t="s">
        <v>20</v>
      </c>
      <c r="K336" s="21">
        <v>324.08</v>
      </c>
      <c r="L336" s="21">
        <v>324.08</v>
      </c>
      <c r="M336">
        <v>0</v>
      </c>
      <c r="N336" s="21">
        <v>324.08</v>
      </c>
    </row>
    <row r="337" spans="1:14">
      <c r="A337" t="str">
        <f>IFERROR(_xlfn.XLOOKUP(B337,Cuentas!$C$1:$C$521,Cuentas!$A$1:$A$521),"")</f>
        <v>Yuldor</v>
      </c>
      <c r="B337" t="s">
        <v>380</v>
      </c>
      <c r="C337" t="s">
        <v>381</v>
      </c>
      <c r="D337" t="s">
        <v>382</v>
      </c>
      <c r="E337" t="s">
        <v>7</v>
      </c>
      <c r="F337" t="s">
        <v>389</v>
      </c>
      <c r="G337" t="s">
        <v>389</v>
      </c>
      <c r="H337" s="2">
        <v>45492</v>
      </c>
      <c r="I337" s="2">
        <v>45552</v>
      </c>
      <c r="J337" t="s">
        <v>20</v>
      </c>
      <c r="K337" s="21">
        <v>277.66000000000003</v>
      </c>
      <c r="L337" s="21">
        <v>49.81</v>
      </c>
      <c r="M337">
        <v>0</v>
      </c>
      <c r="N337" s="21">
        <v>49.81</v>
      </c>
    </row>
    <row r="338" spans="1:14">
      <c r="A338" t="str">
        <f>IFERROR(_xlfn.XLOOKUP(B338,Cuentas!$C$1:$C$521,Cuentas!$A$1:$A$521),"")</f>
        <v>Yuldor</v>
      </c>
      <c r="B338" t="s">
        <v>380</v>
      </c>
      <c r="C338" t="s">
        <v>381</v>
      </c>
      <c r="D338" t="s">
        <v>382</v>
      </c>
      <c r="E338" t="s">
        <v>3139</v>
      </c>
      <c r="F338" t="s">
        <v>389</v>
      </c>
      <c r="G338" t="s">
        <v>389</v>
      </c>
      <c r="I338" s="2">
        <v>45573</v>
      </c>
      <c r="J338" t="s">
        <v>20</v>
      </c>
      <c r="K338" s="21">
        <v>-227.85</v>
      </c>
      <c r="L338" s="21" t="s">
        <v>86</v>
      </c>
      <c r="M338">
        <v>0</v>
      </c>
      <c r="N338" s="21" t="s">
        <v>86</v>
      </c>
    </row>
    <row r="339" spans="1:14">
      <c r="A339" t="str">
        <f>IFERROR(_xlfn.XLOOKUP(B339,Cuentas!$C$1:$C$521,Cuentas!$A$1:$A$521),"")</f>
        <v>Yuldor</v>
      </c>
      <c r="B339" t="s">
        <v>380</v>
      </c>
      <c r="C339" t="s">
        <v>381</v>
      </c>
      <c r="D339" t="s">
        <v>382</v>
      </c>
      <c r="E339" t="s">
        <v>7</v>
      </c>
      <c r="F339" t="s">
        <v>390</v>
      </c>
      <c r="G339" t="s">
        <v>390</v>
      </c>
      <c r="H339" s="2">
        <v>45517</v>
      </c>
      <c r="I339" s="2">
        <v>45577</v>
      </c>
      <c r="J339" t="s">
        <v>20</v>
      </c>
      <c r="K339" s="21">
        <v>1595.88</v>
      </c>
      <c r="L339" s="21">
        <v>31.92</v>
      </c>
      <c r="M339">
        <v>0</v>
      </c>
      <c r="N339" s="21">
        <v>31.92</v>
      </c>
    </row>
    <row r="340" spans="1:14">
      <c r="A340" t="str">
        <f>IFERROR(_xlfn.XLOOKUP(B340,Cuentas!$C$1:$C$521,Cuentas!$A$1:$A$521),"")</f>
        <v>Yuldor</v>
      </c>
      <c r="B340" t="s">
        <v>380</v>
      </c>
      <c r="C340" t="s">
        <v>381</v>
      </c>
      <c r="D340" t="s">
        <v>382</v>
      </c>
      <c r="E340" t="s">
        <v>3139</v>
      </c>
      <c r="F340" t="s">
        <v>390</v>
      </c>
      <c r="G340" t="s">
        <v>390</v>
      </c>
      <c r="I340" s="2">
        <v>45587</v>
      </c>
      <c r="J340" t="s">
        <v>20</v>
      </c>
      <c r="K340" s="21">
        <v>-1563.96</v>
      </c>
      <c r="L340" s="21" t="s">
        <v>86</v>
      </c>
      <c r="M340">
        <v>0</v>
      </c>
      <c r="N340" s="21" t="s">
        <v>86</v>
      </c>
    </row>
    <row r="341" spans="1:14">
      <c r="A341" t="str">
        <f>IFERROR(_xlfn.XLOOKUP(B341,Cuentas!$C$1:$C$521,Cuentas!$A$1:$A$521),"")</f>
        <v>Yuldor</v>
      </c>
      <c r="B341" t="s">
        <v>380</v>
      </c>
      <c r="C341" t="s">
        <v>381</v>
      </c>
      <c r="D341" t="s">
        <v>382</v>
      </c>
      <c r="E341" t="s">
        <v>7</v>
      </c>
      <c r="F341" t="s">
        <v>391</v>
      </c>
      <c r="G341" t="s">
        <v>391</v>
      </c>
      <c r="H341" s="2">
        <v>45525</v>
      </c>
      <c r="I341" s="2">
        <v>45585</v>
      </c>
      <c r="J341" t="s">
        <v>20</v>
      </c>
      <c r="K341" s="21">
        <v>5668.8</v>
      </c>
      <c r="L341" s="21">
        <v>200</v>
      </c>
      <c r="M341">
        <v>0</v>
      </c>
      <c r="N341" s="21">
        <v>200</v>
      </c>
    </row>
    <row r="342" spans="1:14">
      <c r="A342" t="str">
        <f>IFERROR(_xlfn.XLOOKUP(B342,Cuentas!$C$1:$C$521,Cuentas!$A$1:$A$521),"")</f>
        <v>Yuldor</v>
      </c>
      <c r="B342" t="s">
        <v>380</v>
      </c>
      <c r="C342" t="s">
        <v>381</v>
      </c>
      <c r="D342" t="s">
        <v>382</v>
      </c>
      <c r="E342" t="s">
        <v>3139</v>
      </c>
      <c r="F342" t="s">
        <v>391</v>
      </c>
      <c r="G342" t="s">
        <v>391</v>
      </c>
      <c r="I342" s="2">
        <v>45594</v>
      </c>
      <c r="J342" t="s">
        <v>20</v>
      </c>
      <c r="K342" s="21">
        <v>-5468.8</v>
      </c>
      <c r="L342" s="21" t="s">
        <v>86</v>
      </c>
      <c r="M342">
        <v>0</v>
      </c>
      <c r="N342" s="21" t="s">
        <v>86</v>
      </c>
    </row>
    <row r="343" spans="1:14">
      <c r="A343" t="str">
        <f>IFERROR(_xlfn.XLOOKUP(B343,Cuentas!$C$1:$C$521,Cuentas!$A$1:$A$521),"")</f>
        <v>Yuldor</v>
      </c>
      <c r="B343" t="s">
        <v>380</v>
      </c>
      <c r="C343" t="s">
        <v>381</v>
      </c>
      <c r="D343" t="s">
        <v>382</v>
      </c>
      <c r="E343" t="s">
        <v>7</v>
      </c>
      <c r="F343" t="s">
        <v>392</v>
      </c>
      <c r="G343" t="s">
        <v>392</v>
      </c>
      <c r="H343" s="2">
        <v>45553</v>
      </c>
      <c r="I343" s="2">
        <v>45613</v>
      </c>
      <c r="J343" t="s">
        <v>20</v>
      </c>
      <c r="K343" s="21">
        <v>2975.6</v>
      </c>
      <c r="L343" s="21">
        <v>55.36</v>
      </c>
      <c r="M343">
        <v>0</v>
      </c>
      <c r="N343" s="21">
        <v>55.36</v>
      </c>
    </row>
    <row r="344" spans="1:14">
      <c r="A344" t="str">
        <f>IFERROR(_xlfn.XLOOKUP(B344,Cuentas!$C$1:$C$521,Cuentas!$A$1:$A$521),"")</f>
        <v>Yuldor</v>
      </c>
      <c r="B344" t="s">
        <v>380</v>
      </c>
      <c r="C344" t="s">
        <v>381</v>
      </c>
      <c r="D344" t="s">
        <v>382</v>
      </c>
      <c r="E344" t="s">
        <v>5502</v>
      </c>
      <c r="F344" t="s">
        <v>393</v>
      </c>
      <c r="G344" t="s">
        <v>392</v>
      </c>
      <c r="I344" s="2">
        <v>45667</v>
      </c>
      <c r="J344" t="s">
        <v>20</v>
      </c>
      <c r="K344" s="21">
        <v>-207.6</v>
      </c>
      <c r="L344" s="21" t="s">
        <v>86</v>
      </c>
      <c r="M344">
        <v>0</v>
      </c>
      <c r="N344" s="21" t="s">
        <v>86</v>
      </c>
    </row>
    <row r="345" spans="1:14">
      <c r="A345" t="str">
        <f>IFERROR(_xlfn.XLOOKUP(B345,Cuentas!$C$1:$C$521,Cuentas!$A$1:$A$521),"")</f>
        <v>Yuldor</v>
      </c>
      <c r="B345" t="s">
        <v>380</v>
      </c>
      <c r="C345" t="s">
        <v>381</v>
      </c>
      <c r="D345" t="s">
        <v>382</v>
      </c>
      <c r="E345" t="s">
        <v>3139</v>
      </c>
      <c r="F345" t="s">
        <v>392</v>
      </c>
      <c r="G345" t="s">
        <v>392</v>
      </c>
      <c r="I345" s="2">
        <v>45587</v>
      </c>
      <c r="J345" t="s">
        <v>20</v>
      </c>
      <c r="K345" s="21">
        <v>-2712.64</v>
      </c>
      <c r="L345" s="21" t="s">
        <v>86</v>
      </c>
      <c r="M345">
        <v>0</v>
      </c>
      <c r="N345" s="21" t="s">
        <v>86</v>
      </c>
    </row>
    <row r="346" spans="1:14">
      <c r="A346" t="str">
        <f>IFERROR(_xlfn.XLOOKUP(B346,Cuentas!$C$1:$C$521,Cuentas!$A$1:$A$521),"")</f>
        <v>Yuldor</v>
      </c>
      <c r="B346" t="s">
        <v>380</v>
      </c>
      <c r="C346" t="s">
        <v>381</v>
      </c>
      <c r="D346" t="s">
        <v>382</v>
      </c>
      <c r="E346" t="s">
        <v>7</v>
      </c>
      <c r="F346" t="s">
        <v>394</v>
      </c>
      <c r="G346" t="s">
        <v>394</v>
      </c>
      <c r="H346" s="2">
        <v>45565</v>
      </c>
      <c r="I346" s="2">
        <v>45625</v>
      </c>
      <c r="J346" t="s">
        <v>20</v>
      </c>
      <c r="K346" s="21">
        <v>1912.19</v>
      </c>
      <c r="L346" s="21">
        <v>241.29</v>
      </c>
      <c r="M346">
        <v>0</v>
      </c>
      <c r="N346" s="21">
        <v>241.29</v>
      </c>
    </row>
    <row r="347" spans="1:14">
      <c r="A347" t="str">
        <f>IFERROR(_xlfn.XLOOKUP(B347,Cuentas!$C$1:$C$521,Cuentas!$A$1:$A$521),"")</f>
        <v>Yuldor</v>
      </c>
      <c r="B347" t="s">
        <v>380</v>
      </c>
      <c r="C347" t="s">
        <v>381</v>
      </c>
      <c r="D347" t="s">
        <v>382</v>
      </c>
      <c r="E347" t="s">
        <v>3139</v>
      </c>
      <c r="F347" t="s">
        <v>394</v>
      </c>
      <c r="G347" t="s">
        <v>394</v>
      </c>
      <c r="I347" s="2">
        <v>45629</v>
      </c>
      <c r="J347" t="s">
        <v>20</v>
      </c>
      <c r="K347" s="21">
        <v>-1670.9</v>
      </c>
      <c r="L347" s="21" t="s">
        <v>86</v>
      </c>
      <c r="M347">
        <v>0</v>
      </c>
      <c r="N347" s="21" t="s">
        <v>86</v>
      </c>
    </row>
    <row r="348" spans="1:14">
      <c r="A348" t="str">
        <f>IFERROR(_xlfn.XLOOKUP(B348,Cuentas!$C$1:$C$521,Cuentas!$A$1:$A$521),"")</f>
        <v>Yuldor</v>
      </c>
      <c r="B348" t="s">
        <v>380</v>
      </c>
      <c r="C348" t="s">
        <v>381</v>
      </c>
      <c r="D348" t="s">
        <v>382</v>
      </c>
      <c r="E348" t="s">
        <v>7</v>
      </c>
      <c r="F348" t="s">
        <v>395</v>
      </c>
      <c r="G348" t="s">
        <v>395</v>
      </c>
      <c r="H348" s="2">
        <v>45582</v>
      </c>
      <c r="I348" s="2">
        <v>45642</v>
      </c>
      <c r="J348" t="s">
        <v>20</v>
      </c>
      <c r="K348" s="21">
        <v>4225</v>
      </c>
      <c r="L348" s="21">
        <v>600</v>
      </c>
      <c r="M348">
        <v>0</v>
      </c>
      <c r="N348" s="21">
        <v>600</v>
      </c>
    </row>
    <row r="349" spans="1:14">
      <c r="A349" t="str">
        <f>IFERROR(_xlfn.XLOOKUP(B349,Cuentas!$C$1:$C$521,Cuentas!$A$1:$A$521),"")</f>
        <v>Yuldor</v>
      </c>
      <c r="B349" t="s">
        <v>380</v>
      </c>
      <c r="C349" t="s">
        <v>381</v>
      </c>
      <c r="D349" t="s">
        <v>382</v>
      </c>
      <c r="E349" t="s">
        <v>3139</v>
      </c>
      <c r="F349" t="s">
        <v>395</v>
      </c>
      <c r="G349" t="s">
        <v>395</v>
      </c>
      <c r="I349" s="2">
        <v>45660</v>
      </c>
      <c r="J349" t="s">
        <v>20</v>
      </c>
      <c r="K349" s="21">
        <v>-3625</v>
      </c>
      <c r="L349" s="21" t="s">
        <v>86</v>
      </c>
      <c r="M349">
        <v>0</v>
      </c>
      <c r="N349" s="21" t="s">
        <v>86</v>
      </c>
    </row>
    <row r="350" spans="1:14">
      <c r="A350" t="str">
        <f>IFERROR(_xlfn.XLOOKUP(B350,Cuentas!$C$1:$C$521,Cuentas!$A$1:$A$521),"")</f>
        <v>Yuldor</v>
      </c>
      <c r="B350" t="s">
        <v>380</v>
      </c>
      <c r="C350" t="s">
        <v>381</v>
      </c>
      <c r="D350" t="s">
        <v>382</v>
      </c>
      <c r="E350" t="s">
        <v>7</v>
      </c>
      <c r="F350" t="s">
        <v>396</v>
      </c>
      <c r="G350" t="s">
        <v>396</v>
      </c>
      <c r="H350" s="2">
        <v>45583</v>
      </c>
      <c r="I350" s="2">
        <v>45643</v>
      </c>
      <c r="J350" t="s">
        <v>20</v>
      </c>
      <c r="K350" s="21">
        <v>2975.6</v>
      </c>
      <c r="L350" s="21">
        <v>55.36</v>
      </c>
      <c r="M350">
        <v>0</v>
      </c>
      <c r="N350" s="21">
        <v>55.36</v>
      </c>
    </row>
    <row r="351" spans="1:14">
      <c r="A351" t="str">
        <f>IFERROR(_xlfn.XLOOKUP(B351,Cuentas!$C$1:$C$521,Cuentas!$A$1:$A$521),"")</f>
        <v>Yuldor</v>
      </c>
      <c r="B351" t="s">
        <v>380</v>
      </c>
      <c r="C351" t="s">
        <v>381</v>
      </c>
      <c r="D351" t="s">
        <v>382</v>
      </c>
      <c r="E351" t="s">
        <v>5502</v>
      </c>
      <c r="F351" t="s">
        <v>397</v>
      </c>
      <c r="G351" t="s">
        <v>396</v>
      </c>
      <c r="I351" s="2">
        <v>45716</v>
      </c>
      <c r="J351" t="s">
        <v>20</v>
      </c>
      <c r="K351" s="21">
        <v>-207.6</v>
      </c>
      <c r="L351" s="21" t="s">
        <v>86</v>
      </c>
      <c r="M351">
        <v>0</v>
      </c>
      <c r="N351" s="21" t="s">
        <v>86</v>
      </c>
    </row>
    <row r="352" spans="1:14">
      <c r="A352" t="str">
        <f>IFERROR(_xlfn.XLOOKUP(B352,Cuentas!$C$1:$C$521,Cuentas!$A$1:$A$521),"")</f>
        <v>Yuldor</v>
      </c>
      <c r="B352" t="s">
        <v>380</v>
      </c>
      <c r="C352" t="s">
        <v>381</v>
      </c>
      <c r="D352" t="s">
        <v>382</v>
      </c>
      <c r="E352" t="s">
        <v>3139</v>
      </c>
      <c r="F352" t="s">
        <v>396</v>
      </c>
      <c r="G352" t="s">
        <v>396</v>
      </c>
      <c r="I352" s="2">
        <v>45630</v>
      </c>
      <c r="J352" t="s">
        <v>20</v>
      </c>
      <c r="K352" s="21">
        <v>-2712.64</v>
      </c>
      <c r="L352" s="21" t="s">
        <v>86</v>
      </c>
      <c r="M352">
        <v>0</v>
      </c>
      <c r="N352" s="21" t="s">
        <v>86</v>
      </c>
    </row>
    <row r="353" spans="1:14">
      <c r="A353" t="str">
        <f>IFERROR(_xlfn.XLOOKUP(B353,Cuentas!$C$1:$C$521,Cuentas!$A$1:$A$521),"")</f>
        <v>Yuldor</v>
      </c>
      <c r="B353" t="s">
        <v>380</v>
      </c>
      <c r="C353" t="s">
        <v>381</v>
      </c>
      <c r="D353" t="s">
        <v>382</v>
      </c>
      <c r="E353" t="s">
        <v>7</v>
      </c>
      <c r="F353" t="s">
        <v>398</v>
      </c>
      <c r="G353" t="s">
        <v>398</v>
      </c>
      <c r="H353" s="2">
        <v>45594</v>
      </c>
      <c r="I353" s="2">
        <v>45654</v>
      </c>
      <c r="J353" t="s">
        <v>20</v>
      </c>
      <c r="K353" s="21">
        <v>3243.14</v>
      </c>
      <c r="L353" s="21">
        <v>55.36</v>
      </c>
      <c r="M353">
        <v>0</v>
      </c>
      <c r="N353" s="21">
        <v>55.36</v>
      </c>
    </row>
    <row r="354" spans="1:14">
      <c r="A354" t="str">
        <f>IFERROR(_xlfn.XLOOKUP(B354,Cuentas!$C$1:$C$521,Cuentas!$A$1:$A$521),"")</f>
        <v>Yuldor</v>
      </c>
      <c r="B354" t="s">
        <v>380</v>
      </c>
      <c r="C354" t="s">
        <v>381</v>
      </c>
      <c r="D354" t="s">
        <v>382</v>
      </c>
      <c r="E354" t="s">
        <v>5502</v>
      </c>
      <c r="F354" t="s">
        <v>399</v>
      </c>
      <c r="G354" t="s">
        <v>398</v>
      </c>
      <c r="I354" s="2">
        <v>45667</v>
      </c>
      <c r="J354" t="s">
        <v>20</v>
      </c>
      <c r="K354" s="21">
        <v>-226.26</v>
      </c>
      <c r="L354" s="21" t="s">
        <v>86</v>
      </c>
      <c r="M354">
        <v>0</v>
      </c>
      <c r="N354" s="21" t="s">
        <v>86</v>
      </c>
    </row>
    <row r="355" spans="1:14">
      <c r="A355" t="str">
        <f>IFERROR(_xlfn.XLOOKUP(B355,Cuentas!$C$1:$C$521,Cuentas!$A$1:$A$521),"")</f>
        <v>Yuldor</v>
      </c>
      <c r="B355" t="s">
        <v>380</v>
      </c>
      <c r="C355" t="s">
        <v>381</v>
      </c>
      <c r="D355" t="s">
        <v>382</v>
      </c>
      <c r="E355" t="s">
        <v>3139</v>
      </c>
      <c r="F355" t="s">
        <v>398</v>
      </c>
      <c r="G355" t="s">
        <v>398</v>
      </c>
      <c r="I355" s="2">
        <v>45644</v>
      </c>
      <c r="J355" t="s">
        <v>20</v>
      </c>
      <c r="K355" s="21">
        <v>-248.88</v>
      </c>
      <c r="L355" s="21" t="s">
        <v>86</v>
      </c>
      <c r="M355">
        <v>0</v>
      </c>
      <c r="N355" s="21" t="s">
        <v>86</v>
      </c>
    </row>
    <row r="356" spans="1:14">
      <c r="A356" t="str">
        <f>IFERROR(_xlfn.XLOOKUP(B356,Cuentas!$C$1:$C$521,Cuentas!$A$1:$A$521),"")</f>
        <v>Yuldor</v>
      </c>
      <c r="B356" t="s">
        <v>380</v>
      </c>
      <c r="C356" t="s">
        <v>381</v>
      </c>
      <c r="D356" t="s">
        <v>382</v>
      </c>
      <c r="E356" t="s">
        <v>3139</v>
      </c>
      <c r="F356" t="s">
        <v>398</v>
      </c>
      <c r="G356" t="s">
        <v>398</v>
      </c>
      <c r="I356" s="2">
        <v>45622</v>
      </c>
      <c r="J356" t="s">
        <v>20</v>
      </c>
      <c r="K356" s="21">
        <v>-2712.64</v>
      </c>
      <c r="L356" s="21" t="s">
        <v>86</v>
      </c>
      <c r="M356">
        <v>0</v>
      </c>
      <c r="N356" s="21" t="s">
        <v>86</v>
      </c>
    </row>
    <row r="357" spans="1:14">
      <c r="A357" t="str">
        <f>IFERROR(_xlfn.XLOOKUP(B357,Cuentas!$C$1:$C$521,Cuentas!$A$1:$A$521),"")</f>
        <v>Yuldor</v>
      </c>
      <c r="B357" t="s">
        <v>380</v>
      </c>
      <c r="C357" t="s">
        <v>381</v>
      </c>
      <c r="D357" t="s">
        <v>382</v>
      </c>
      <c r="E357" t="s">
        <v>7</v>
      </c>
      <c r="F357" t="s">
        <v>400</v>
      </c>
      <c r="G357" t="s">
        <v>400</v>
      </c>
      <c r="H357" s="2">
        <v>45596</v>
      </c>
      <c r="I357" s="2">
        <v>45656</v>
      </c>
      <c r="J357" t="s">
        <v>20</v>
      </c>
      <c r="K357" s="21">
        <v>6895</v>
      </c>
      <c r="L357" s="21">
        <v>600</v>
      </c>
      <c r="M357">
        <v>0</v>
      </c>
      <c r="N357" s="21">
        <v>600</v>
      </c>
    </row>
    <row r="358" spans="1:14">
      <c r="A358" t="str">
        <f>IFERROR(_xlfn.XLOOKUP(B358,Cuentas!$C$1:$C$521,Cuentas!$A$1:$A$521),"")</f>
        <v>Yuldor</v>
      </c>
      <c r="B358" t="s">
        <v>380</v>
      </c>
      <c r="C358" t="s">
        <v>381</v>
      </c>
      <c r="D358" t="s">
        <v>382</v>
      </c>
      <c r="E358" t="s">
        <v>3139</v>
      </c>
      <c r="F358" t="s">
        <v>400</v>
      </c>
      <c r="G358" t="s">
        <v>400</v>
      </c>
      <c r="I358" s="2">
        <v>45660</v>
      </c>
      <c r="J358" t="s">
        <v>20</v>
      </c>
      <c r="K358" s="21">
        <v>-6295</v>
      </c>
      <c r="L358" s="21" t="s">
        <v>86</v>
      </c>
      <c r="M358">
        <v>0</v>
      </c>
      <c r="N358" s="21" t="s">
        <v>86</v>
      </c>
    </row>
    <row r="359" spans="1:14">
      <c r="A359" t="str">
        <f>IFERROR(_xlfn.XLOOKUP(B359,Cuentas!$C$1:$C$521,Cuentas!$A$1:$A$521),"")</f>
        <v>Yuldor</v>
      </c>
      <c r="B359" t="s">
        <v>380</v>
      </c>
      <c r="C359" t="s">
        <v>381</v>
      </c>
      <c r="D359" t="s">
        <v>382</v>
      </c>
      <c r="E359" t="s">
        <v>7</v>
      </c>
      <c r="F359" t="s">
        <v>401</v>
      </c>
      <c r="G359" t="s">
        <v>401</v>
      </c>
      <c r="H359" s="2">
        <v>45597</v>
      </c>
      <c r="I359" s="2">
        <v>45657</v>
      </c>
      <c r="J359" t="s">
        <v>20</v>
      </c>
      <c r="K359" s="21">
        <v>267.02999999999997</v>
      </c>
      <c r="L359" s="21">
        <v>267.02999999999997</v>
      </c>
      <c r="M359">
        <v>0</v>
      </c>
      <c r="N359" s="21">
        <v>267.02999999999997</v>
      </c>
    </row>
    <row r="360" spans="1:14">
      <c r="A360" t="str">
        <f>IFERROR(_xlfn.XLOOKUP(B360,Cuentas!$C$1:$C$521,Cuentas!$A$1:$A$521),"")</f>
        <v>Yuldor</v>
      </c>
      <c r="B360" t="s">
        <v>380</v>
      </c>
      <c r="C360" t="s">
        <v>381</v>
      </c>
      <c r="D360" t="s">
        <v>382</v>
      </c>
      <c r="E360" t="s">
        <v>3139</v>
      </c>
      <c r="F360" t="s">
        <v>19</v>
      </c>
      <c r="G360" t="s">
        <v>19</v>
      </c>
      <c r="I360" s="2">
        <v>45660</v>
      </c>
      <c r="J360" t="s">
        <v>20</v>
      </c>
      <c r="K360" s="21">
        <v>-1200</v>
      </c>
      <c r="L360" s="21">
        <v>-1200</v>
      </c>
      <c r="M360">
        <v>0</v>
      </c>
      <c r="N360" s="21">
        <v>-1200</v>
      </c>
    </row>
    <row r="361" spans="1:14">
      <c r="A361" t="str">
        <f>IFERROR(_xlfn.XLOOKUP(B361,Cuentas!$C$1:$C$521,Cuentas!$A$1:$A$521),"")</f>
        <v>Yuldor</v>
      </c>
      <c r="B361" t="s">
        <v>380</v>
      </c>
      <c r="C361" t="s">
        <v>381</v>
      </c>
      <c r="D361" t="s">
        <v>382</v>
      </c>
      <c r="E361" t="s">
        <v>7</v>
      </c>
      <c r="F361" t="s">
        <v>402</v>
      </c>
      <c r="G361" t="s">
        <v>402</v>
      </c>
      <c r="H361" s="2">
        <v>45610</v>
      </c>
      <c r="I361" s="2">
        <v>45670</v>
      </c>
      <c r="J361" t="s">
        <v>20</v>
      </c>
      <c r="K361" s="21">
        <v>724.75</v>
      </c>
      <c r="L361" s="21">
        <v>117.15</v>
      </c>
      <c r="M361">
        <v>0</v>
      </c>
      <c r="N361" s="21">
        <v>117.15</v>
      </c>
    </row>
    <row r="362" spans="1:14">
      <c r="A362" t="str">
        <f>IFERROR(_xlfn.XLOOKUP(B362,Cuentas!$C$1:$C$521,Cuentas!$A$1:$A$521),"")</f>
        <v>Yuldor</v>
      </c>
      <c r="B362" t="s">
        <v>380</v>
      </c>
      <c r="C362" t="s">
        <v>381</v>
      </c>
      <c r="D362" t="s">
        <v>382</v>
      </c>
      <c r="E362" t="s">
        <v>5502</v>
      </c>
      <c r="F362" t="s">
        <v>403</v>
      </c>
      <c r="G362" t="s">
        <v>402</v>
      </c>
      <c r="I362" s="2">
        <v>45630</v>
      </c>
      <c r="J362" t="s">
        <v>20</v>
      </c>
      <c r="K362" s="21">
        <v>-120</v>
      </c>
      <c r="L362" s="21" t="s">
        <v>86</v>
      </c>
      <c r="M362">
        <v>0</v>
      </c>
      <c r="N362" s="21" t="s">
        <v>86</v>
      </c>
    </row>
    <row r="363" spans="1:14">
      <c r="A363" t="str">
        <f>IFERROR(_xlfn.XLOOKUP(B363,Cuentas!$C$1:$C$521,Cuentas!$A$1:$A$521),"")</f>
        <v>Yuldor</v>
      </c>
      <c r="B363" t="s">
        <v>380</v>
      </c>
      <c r="C363" t="s">
        <v>381</v>
      </c>
      <c r="D363" t="s">
        <v>382</v>
      </c>
      <c r="E363" t="s">
        <v>3139</v>
      </c>
      <c r="F363" t="s">
        <v>402</v>
      </c>
      <c r="G363" t="s">
        <v>402</v>
      </c>
      <c r="I363" s="2">
        <v>45692</v>
      </c>
      <c r="J363" t="s">
        <v>20</v>
      </c>
      <c r="K363" s="21">
        <v>-487.6</v>
      </c>
      <c r="L363" s="21" t="s">
        <v>86</v>
      </c>
      <c r="M363">
        <v>0</v>
      </c>
      <c r="N363" s="21" t="s">
        <v>86</v>
      </c>
    </row>
    <row r="364" spans="1:14">
      <c r="A364" t="str">
        <f>IFERROR(_xlfn.XLOOKUP(B364,Cuentas!$C$1:$C$521,Cuentas!$A$1:$A$521),"")</f>
        <v>Yuldor</v>
      </c>
      <c r="B364" t="s">
        <v>380</v>
      </c>
      <c r="C364" t="s">
        <v>381</v>
      </c>
      <c r="D364" t="s">
        <v>382</v>
      </c>
      <c r="E364" t="s">
        <v>7</v>
      </c>
      <c r="F364" t="s">
        <v>404</v>
      </c>
      <c r="G364" t="s">
        <v>404</v>
      </c>
      <c r="H364" s="2">
        <v>45628</v>
      </c>
      <c r="I364" s="2">
        <v>45688</v>
      </c>
      <c r="J364" t="s">
        <v>20</v>
      </c>
      <c r="K364" s="21">
        <v>7439</v>
      </c>
      <c r="L364" s="21">
        <v>138.4</v>
      </c>
      <c r="M364">
        <v>0</v>
      </c>
      <c r="N364" s="21">
        <v>138.4</v>
      </c>
    </row>
    <row r="365" spans="1:14">
      <c r="A365" t="str">
        <f>IFERROR(_xlfn.XLOOKUP(B365,Cuentas!$C$1:$C$521,Cuentas!$A$1:$A$521),"")</f>
        <v>Yuldor</v>
      </c>
      <c r="B365" t="s">
        <v>380</v>
      </c>
      <c r="C365" t="s">
        <v>381</v>
      </c>
      <c r="D365" t="s">
        <v>382</v>
      </c>
      <c r="E365" t="s">
        <v>5502</v>
      </c>
      <c r="F365" t="s">
        <v>405</v>
      </c>
      <c r="G365" t="s">
        <v>404</v>
      </c>
      <c r="I365" s="2">
        <v>45667</v>
      </c>
      <c r="J365" t="s">
        <v>20</v>
      </c>
      <c r="K365" s="21">
        <v>-519</v>
      </c>
      <c r="L365" s="21" t="s">
        <v>86</v>
      </c>
      <c r="M365">
        <v>0</v>
      </c>
      <c r="N365" s="21" t="s">
        <v>86</v>
      </c>
    </row>
    <row r="366" spans="1:14">
      <c r="A366" t="str">
        <f>IFERROR(_xlfn.XLOOKUP(B366,Cuentas!$C$1:$C$521,Cuentas!$A$1:$A$521),"")</f>
        <v>Yuldor</v>
      </c>
      <c r="B366" t="s">
        <v>380</v>
      </c>
      <c r="C366" t="s">
        <v>381</v>
      </c>
      <c r="D366" t="s">
        <v>382</v>
      </c>
      <c r="E366" t="s">
        <v>3139</v>
      </c>
      <c r="F366" t="s">
        <v>404</v>
      </c>
      <c r="G366" t="s">
        <v>404</v>
      </c>
      <c r="I366" s="2">
        <v>45671</v>
      </c>
      <c r="J366" t="s">
        <v>20</v>
      </c>
      <c r="K366" s="21">
        <v>-6781.6</v>
      </c>
      <c r="L366" s="21" t="s">
        <v>86</v>
      </c>
      <c r="M366">
        <v>0</v>
      </c>
      <c r="N366" s="21" t="s">
        <v>86</v>
      </c>
    </row>
    <row r="367" spans="1:14">
      <c r="A367" t="str">
        <f>IFERROR(_xlfn.XLOOKUP(B367,Cuentas!$C$1:$C$521,Cuentas!$A$1:$A$521),"")</f>
        <v>Yuldor</v>
      </c>
      <c r="B367" t="s">
        <v>380</v>
      </c>
      <c r="C367" t="s">
        <v>381</v>
      </c>
      <c r="D367" t="s">
        <v>382</v>
      </c>
      <c r="E367" t="s">
        <v>7</v>
      </c>
      <c r="F367" t="s">
        <v>406</v>
      </c>
      <c r="G367" t="s">
        <v>406</v>
      </c>
      <c r="H367" s="2">
        <v>45636</v>
      </c>
      <c r="I367" s="2">
        <v>45696</v>
      </c>
      <c r="J367" t="s">
        <v>20</v>
      </c>
      <c r="K367" s="21">
        <v>9497.06</v>
      </c>
      <c r="L367" s="21">
        <v>696.56</v>
      </c>
      <c r="M367">
        <v>0</v>
      </c>
      <c r="N367" s="21">
        <v>696.56</v>
      </c>
    </row>
    <row r="368" spans="1:14">
      <c r="A368" t="str">
        <f>IFERROR(_xlfn.XLOOKUP(B368,Cuentas!$C$1:$C$521,Cuentas!$A$1:$A$521),"")</f>
        <v>Yuldor</v>
      </c>
      <c r="B368" t="s">
        <v>380</v>
      </c>
      <c r="C368" t="s">
        <v>381</v>
      </c>
      <c r="D368" t="s">
        <v>382</v>
      </c>
      <c r="E368" t="s">
        <v>5502</v>
      </c>
      <c r="F368" t="s">
        <v>407</v>
      </c>
      <c r="G368" t="s">
        <v>406</v>
      </c>
      <c r="I368" s="2">
        <v>45667</v>
      </c>
      <c r="J368" t="s">
        <v>20</v>
      </c>
      <c r="K368" s="21">
        <v>-662.58</v>
      </c>
      <c r="L368" s="21" t="s">
        <v>86</v>
      </c>
      <c r="M368">
        <v>0</v>
      </c>
      <c r="N368" s="21" t="s">
        <v>86</v>
      </c>
    </row>
    <row r="369" spans="1:14">
      <c r="A369" t="str">
        <f>IFERROR(_xlfn.XLOOKUP(B369,Cuentas!$C$1:$C$521,Cuentas!$A$1:$A$521),"")</f>
        <v>Yuldor</v>
      </c>
      <c r="B369" t="s">
        <v>380</v>
      </c>
      <c r="C369" t="s">
        <v>381</v>
      </c>
      <c r="D369" t="s">
        <v>382</v>
      </c>
      <c r="E369" t="s">
        <v>3139</v>
      </c>
      <c r="F369" t="s">
        <v>406</v>
      </c>
      <c r="G369" t="s">
        <v>406</v>
      </c>
      <c r="I369" s="2">
        <v>45687</v>
      </c>
      <c r="J369" t="s">
        <v>20</v>
      </c>
      <c r="K369" s="21">
        <v>-8137.92</v>
      </c>
      <c r="L369" s="21" t="s">
        <v>86</v>
      </c>
      <c r="M369">
        <v>0</v>
      </c>
      <c r="N369" s="21" t="s">
        <v>86</v>
      </c>
    </row>
    <row r="370" spans="1:14">
      <c r="A370" t="str">
        <f>IFERROR(_xlfn.XLOOKUP(B370,Cuentas!$C$1:$C$521,Cuentas!$A$1:$A$521),"")</f>
        <v>Yuldor</v>
      </c>
      <c r="B370" t="s">
        <v>380</v>
      </c>
      <c r="C370" t="s">
        <v>381</v>
      </c>
      <c r="D370" t="s">
        <v>382</v>
      </c>
      <c r="E370" t="s">
        <v>7</v>
      </c>
      <c r="F370" t="s">
        <v>408</v>
      </c>
      <c r="G370" t="s">
        <v>408</v>
      </c>
      <c r="H370" s="2">
        <v>45637</v>
      </c>
      <c r="I370" s="2">
        <v>45697</v>
      </c>
      <c r="J370" t="s">
        <v>20</v>
      </c>
      <c r="K370" s="21">
        <v>2640.96</v>
      </c>
      <c r="L370" s="21">
        <v>650</v>
      </c>
      <c r="M370">
        <v>0</v>
      </c>
      <c r="N370" s="21">
        <v>650</v>
      </c>
    </row>
    <row r="371" spans="1:14">
      <c r="A371" t="str">
        <f>IFERROR(_xlfn.XLOOKUP(B371,Cuentas!$C$1:$C$521,Cuentas!$A$1:$A$521),"")</f>
        <v>Yuldor</v>
      </c>
      <c r="B371" t="s">
        <v>380</v>
      </c>
      <c r="C371" t="s">
        <v>381</v>
      </c>
      <c r="D371" t="s">
        <v>382</v>
      </c>
      <c r="E371" t="s">
        <v>3139</v>
      </c>
      <c r="F371" t="s">
        <v>408</v>
      </c>
      <c r="G371" t="s">
        <v>408</v>
      </c>
      <c r="I371" s="2">
        <v>45706</v>
      </c>
      <c r="J371" t="s">
        <v>20</v>
      </c>
      <c r="K371" s="21">
        <v>-1990.96</v>
      </c>
      <c r="L371" s="21" t="s">
        <v>86</v>
      </c>
      <c r="M371">
        <v>0</v>
      </c>
      <c r="N371" s="21" t="s">
        <v>86</v>
      </c>
    </row>
    <row r="372" spans="1:14">
      <c r="A372" t="str">
        <f>IFERROR(_xlfn.XLOOKUP(B372,Cuentas!$C$1:$C$521,Cuentas!$A$1:$A$521),"")</f>
        <v>Yuldor</v>
      </c>
      <c r="B372" t="s">
        <v>380</v>
      </c>
      <c r="C372" t="s">
        <v>381</v>
      </c>
      <c r="D372" t="s">
        <v>382</v>
      </c>
      <c r="E372" t="s">
        <v>7</v>
      </c>
      <c r="F372" t="s">
        <v>409</v>
      </c>
      <c r="G372" t="s">
        <v>409</v>
      </c>
      <c r="H372" s="2">
        <v>45642</v>
      </c>
      <c r="I372" s="2">
        <v>45702</v>
      </c>
      <c r="J372" t="s">
        <v>20</v>
      </c>
      <c r="K372" s="21">
        <v>1380.16</v>
      </c>
      <c r="L372" s="21">
        <v>240.91</v>
      </c>
      <c r="M372">
        <v>0</v>
      </c>
      <c r="N372" s="21">
        <v>240.91</v>
      </c>
    </row>
    <row r="373" spans="1:14">
      <c r="A373" t="str">
        <f>IFERROR(_xlfn.XLOOKUP(B373,Cuentas!$C$1:$C$521,Cuentas!$A$1:$A$521),"")</f>
        <v>Yuldor</v>
      </c>
      <c r="B373" t="s">
        <v>380</v>
      </c>
      <c r="C373" t="s">
        <v>381</v>
      </c>
      <c r="D373" t="s">
        <v>382</v>
      </c>
      <c r="E373" t="s">
        <v>3139</v>
      </c>
      <c r="F373" t="s">
        <v>409</v>
      </c>
      <c r="G373" t="s">
        <v>409</v>
      </c>
      <c r="I373" s="2">
        <v>45720</v>
      </c>
      <c r="J373" t="s">
        <v>20</v>
      </c>
      <c r="K373" s="21">
        <v>-1139.25</v>
      </c>
      <c r="L373" s="21" t="s">
        <v>86</v>
      </c>
      <c r="M373">
        <v>10</v>
      </c>
      <c r="N373" s="21" t="s">
        <v>86</v>
      </c>
    </row>
    <row r="374" spans="1:14">
      <c r="A374" t="str">
        <f>IFERROR(_xlfn.XLOOKUP(B374,Cuentas!$C$1:$C$521,Cuentas!$A$1:$A$521),"")</f>
        <v>Yuldor</v>
      </c>
      <c r="B374" t="s">
        <v>380</v>
      </c>
      <c r="C374" t="s">
        <v>381</v>
      </c>
      <c r="D374" t="s">
        <v>382</v>
      </c>
      <c r="E374" t="s">
        <v>7</v>
      </c>
      <c r="F374" t="s">
        <v>410</v>
      </c>
      <c r="G374" t="s">
        <v>410</v>
      </c>
      <c r="H374" s="2">
        <v>45644</v>
      </c>
      <c r="I374" s="2">
        <v>45704</v>
      </c>
      <c r="J374" t="s">
        <v>20</v>
      </c>
      <c r="K374" s="21">
        <v>1602</v>
      </c>
      <c r="L374" s="21">
        <v>1602</v>
      </c>
      <c r="M374">
        <v>0</v>
      </c>
      <c r="N374" s="21">
        <v>1602</v>
      </c>
    </row>
    <row r="375" spans="1:14">
      <c r="A375" t="str">
        <f>IFERROR(_xlfn.XLOOKUP(B375,Cuentas!$C$1:$C$521,Cuentas!$A$1:$A$521),"")</f>
        <v>Yuldor</v>
      </c>
      <c r="B375" t="s">
        <v>380</v>
      </c>
      <c r="C375" t="s">
        <v>381</v>
      </c>
      <c r="D375" t="s">
        <v>382</v>
      </c>
      <c r="E375" t="s">
        <v>7</v>
      </c>
      <c r="F375" t="s">
        <v>411</v>
      </c>
      <c r="G375" t="s">
        <v>411</v>
      </c>
      <c r="H375" s="2">
        <v>45649</v>
      </c>
      <c r="I375" s="2">
        <v>45709</v>
      </c>
      <c r="J375" t="s">
        <v>20</v>
      </c>
      <c r="K375" s="21">
        <v>73060</v>
      </c>
      <c r="L375" s="21">
        <v>4715</v>
      </c>
      <c r="M375">
        <v>0</v>
      </c>
      <c r="N375" s="21">
        <v>4715</v>
      </c>
    </row>
    <row r="376" spans="1:14">
      <c r="A376" t="str">
        <f>IFERROR(_xlfn.XLOOKUP(B376,Cuentas!$C$1:$C$521,Cuentas!$A$1:$A$521),"")</f>
        <v>Yuldor</v>
      </c>
      <c r="B376" t="s">
        <v>380</v>
      </c>
      <c r="C376" t="s">
        <v>381</v>
      </c>
      <c r="D376" t="s">
        <v>382</v>
      </c>
      <c r="E376" t="s">
        <v>3139</v>
      </c>
      <c r="F376" t="s">
        <v>411</v>
      </c>
      <c r="G376" t="s">
        <v>411</v>
      </c>
      <c r="I376" s="2">
        <v>45720</v>
      </c>
      <c r="J376" t="s">
        <v>20</v>
      </c>
      <c r="K376" s="21">
        <v>-68345</v>
      </c>
      <c r="L376" s="21" t="s">
        <v>86</v>
      </c>
      <c r="M376">
        <v>10</v>
      </c>
      <c r="N376" s="21" t="s">
        <v>86</v>
      </c>
    </row>
    <row r="377" spans="1:14">
      <c r="A377" t="str">
        <f>IFERROR(_xlfn.XLOOKUP(B377,Cuentas!$C$1:$C$521,Cuentas!$A$1:$A$521),"")</f>
        <v>Yuldor</v>
      </c>
      <c r="B377" t="s">
        <v>380</v>
      </c>
      <c r="C377" t="s">
        <v>381</v>
      </c>
      <c r="D377" t="s">
        <v>382</v>
      </c>
      <c r="E377" t="s">
        <v>7</v>
      </c>
      <c r="F377" t="s">
        <v>412</v>
      </c>
      <c r="G377" t="s">
        <v>412</v>
      </c>
      <c r="H377" s="2">
        <v>45650</v>
      </c>
      <c r="I377" s="2">
        <v>45710</v>
      </c>
      <c r="J377" t="s">
        <v>20</v>
      </c>
      <c r="K377" s="21">
        <v>418</v>
      </c>
      <c r="L377" s="21">
        <v>418</v>
      </c>
      <c r="M377">
        <v>0</v>
      </c>
      <c r="N377" s="21">
        <v>418</v>
      </c>
    </row>
    <row r="378" spans="1:14">
      <c r="A378" t="str">
        <f>IFERROR(_xlfn.XLOOKUP(B378,Cuentas!$C$1:$C$521,Cuentas!$A$1:$A$521),"")</f>
        <v>Yuldor</v>
      </c>
      <c r="B378" t="s">
        <v>380</v>
      </c>
      <c r="C378" t="s">
        <v>381</v>
      </c>
      <c r="D378" t="s">
        <v>382</v>
      </c>
      <c r="E378" t="s">
        <v>3139</v>
      </c>
      <c r="F378" t="s">
        <v>19</v>
      </c>
      <c r="G378" t="s">
        <v>19</v>
      </c>
      <c r="I378" s="2">
        <v>45720</v>
      </c>
      <c r="J378" t="s">
        <v>20</v>
      </c>
      <c r="K378" s="21">
        <v>-1386</v>
      </c>
      <c r="L378" s="21">
        <v>-1386</v>
      </c>
      <c r="M378">
        <v>10</v>
      </c>
      <c r="N378" s="21">
        <v>-1386</v>
      </c>
    </row>
    <row r="379" spans="1:14">
      <c r="A379" t="str">
        <f>IFERROR(_xlfn.XLOOKUP(B379,Cuentas!$C$1:$C$521,Cuentas!$A$1:$A$521),"")</f>
        <v>Yuldor</v>
      </c>
      <c r="B379" t="s">
        <v>380</v>
      </c>
      <c r="C379" t="s">
        <v>381</v>
      </c>
      <c r="D379" t="s">
        <v>382</v>
      </c>
      <c r="E379" t="s">
        <v>7</v>
      </c>
      <c r="F379" t="s">
        <v>413</v>
      </c>
      <c r="G379" t="s">
        <v>413</v>
      </c>
      <c r="H379" s="2">
        <v>45664</v>
      </c>
      <c r="I379" s="2">
        <v>45724</v>
      </c>
      <c r="J379" t="s">
        <v>20</v>
      </c>
      <c r="K379" s="21">
        <v>5541.4</v>
      </c>
      <c r="L379" s="21">
        <v>5541.4</v>
      </c>
      <c r="M379">
        <v>10</v>
      </c>
      <c r="N379" s="21">
        <v>5541.4</v>
      </c>
    </row>
    <row r="380" spans="1:14">
      <c r="A380" t="str">
        <f>IFERROR(_xlfn.XLOOKUP(B380,Cuentas!$C$1:$C$521,Cuentas!$A$1:$A$521),"")</f>
        <v>Yuldor</v>
      </c>
      <c r="B380" t="s">
        <v>380</v>
      </c>
      <c r="C380" t="s">
        <v>381</v>
      </c>
      <c r="D380" t="s">
        <v>382</v>
      </c>
      <c r="E380" t="s">
        <v>7</v>
      </c>
      <c r="F380" t="s">
        <v>414</v>
      </c>
      <c r="G380" t="s">
        <v>414</v>
      </c>
      <c r="H380" s="2">
        <v>45664</v>
      </c>
      <c r="I380" s="2">
        <v>45724</v>
      </c>
      <c r="J380" t="s">
        <v>20</v>
      </c>
      <c r="K380" s="21">
        <v>5340</v>
      </c>
      <c r="L380" s="21">
        <v>5340</v>
      </c>
      <c r="M380">
        <v>10</v>
      </c>
      <c r="N380" s="21">
        <v>5340</v>
      </c>
    </row>
    <row r="381" spans="1:14">
      <c r="A381" t="str">
        <f>IFERROR(_xlfn.XLOOKUP(B381,Cuentas!$C$1:$C$521,Cuentas!$A$1:$A$521),"")</f>
        <v>Yuldor</v>
      </c>
      <c r="B381" t="s">
        <v>380</v>
      </c>
      <c r="C381" t="s">
        <v>381</v>
      </c>
      <c r="D381" t="s">
        <v>382</v>
      </c>
      <c r="E381" t="s">
        <v>7</v>
      </c>
      <c r="F381" t="s">
        <v>415</v>
      </c>
      <c r="G381" t="s">
        <v>415</v>
      </c>
      <c r="H381" s="2">
        <v>45670</v>
      </c>
      <c r="I381" s="2">
        <v>45730</v>
      </c>
      <c r="J381" t="s">
        <v>20</v>
      </c>
      <c r="K381" s="21">
        <v>33717.480000000003</v>
      </c>
      <c r="L381" s="21">
        <v>33717.480000000003</v>
      </c>
      <c r="M381">
        <v>11</v>
      </c>
      <c r="N381" s="21">
        <v>33717.480000000003</v>
      </c>
    </row>
    <row r="382" spans="1:14">
      <c r="A382" t="str">
        <f>IFERROR(_xlfn.XLOOKUP(B382,Cuentas!$C$1:$C$521,Cuentas!$A$1:$A$521),"")</f>
        <v>Yuldor</v>
      </c>
      <c r="B382" t="s">
        <v>380</v>
      </c>
      <c r="C382" t="s">
        <v>381</v>
      </c>
      <c r="D382" t="s">
        <v>382</v>
      </c>
      <c r="E382" t="s">
        <v>7</v>
      </c>
      <c r="F382" t="s">
        <v>416</v>
      </c>
      <c r="G382" t="s">
        <v>416</v>
      </c>
      <c r="H382" s="2">
        <v>45670</v>
      </c>
      <c r="I382" s="2">
        <v>45730</v>
      </c>
      <c r="J382" t="s">
        <v>20</v>
      </c>
      <c r="K382" s="21">
        <v>8107.5</v>
      </c>
      <c r="L382" s="21">
        <v>8107.5</v>
      </c>
      <c r="M382">
        <v>11</v>
      </c>
      <c r="N382" s="21">
        <v>8107.5</v>
      </c>
    </row>
    <row r="383" spans="1:14">
      <c r="A383" t="str">
        <f>IFERROR(_xlfn.XLOOKUP(B383,Cuentas!$C$1:$C$521,Cuentas!$A$1:$A$521),"")</f>
        <v>Yuldor</v>
      </c>
      <c r="B383" t="s">
        <v>380</v>
      </c>
      <c r="C383" t="s">
        <v>381</v>
      </c>
      <c r="D383" t="s">
        <v>382</v>
      </c>
      <c r="E383" t="s">
        <v>7</v>
      </c>
      <c r="F383" t="s">
        <v>417</v>
      </c>
      <c r="G383" t="s">
        <v>417</v>
      </c>
      <c r="H383" s="2">
        <v>45672</v>
      </c>
      <c r="I383" s="2">
        <v>45732</v>
      </c>
      <c r="J383" t="s">
        <v>20</v>
      </c>
      <c r="K383" s="21">
        <v>4128.8999999999996</v>
      </c>
      <c r="L383" s="21">
        <v>4128.8999999999996</v>
      </c>
      <c r="M383">
        <v>12</v>
      </c>
      <c r="N383" s="21">
        <v>4128.8999999999996</v>
      </c>
    </row>
    <row r="384" spans="1:14">
      <c r="A384" t="str">
        <f>IFERROR(_xlfn.XLOOKUP(B384,Cuentas!$C$1:$C$521,Cuentas!$A$1:$A$521),"")</f>
        <v>Yuldor</v>
      </c>
      <c r="B384" t="s">
        <v>380</v>
      </c>
      <c r="C384" t="s">
        <v>381</v>
      </c>
      <c r="D384" t="s">
        <v>382</v>
      </c>
      <c r="E384" t="s">
        <v>7</v>
      </c>
      <c r="F384" t="s">
        <v>418</v>
      </c>
      <c r="G384" t="s">
        <v>418</v>
      </c>
      <c r="H384" s="2">
        <v>45672</v>
      </c>
      <c r="I384" s="2">
        <v>45732</v>
      </c>
      <c r="J384" t="s">
        <v>20</v>
      </c>
      <c r="K384" s="21">
        <v>3625</v>
      </c>
      <c r="L384" s="21">
        <v>3625</v>
      </c>
      <c r="M384">
        <v>12</v>
      </c>
      <c r="N384" s="21">
        <v>3625</v>
      </c>
    </row>
    <row r="385" spans="1:14">
      <c r="A385" t="str">
        <f>IFERROR(_xlfn.XLOOKUP(B385,Cuentas!$C$1:$C$521,Cuentas!$A$1:$A$521),"")</f>
        <v>Yuldor</v>
      </c>
      <c r="B385" t="s">
        <v>380</v>
      </c>
      <c r="C385" t="s">
        <v>381</v>
      </c>
      <c r="D385" t="s">
        <v>382</v>
      </c>
      <c r="E385" t="s">
        <v>7</v>
      </c>
      <c r="F385" t="s">
        <v>419</v>
      </c>
      <c r="G385" t="s">
        <v>419</v>
      </c>
      <c r="H385" s="2">
        <v>45674</v>
      </c>
      <c r="I385" s="2">
        <v>45734</v>
      </c>
      <c r="J385" t="s">
        <v>20</v>
      </c>
      <c r="K385" s="21">
        <v>9732</v>
      </c>
      <c r="L385" s="21">
        <v>9732</v>
      </c>
      <c r="M385">
        <v>12</v>
      </c>
      <c r="N385" s="21">
        <v>9732</v>
      </c>
    </row>
    <row r="386" spans="1:14">
      <c r="A386" t="str">
        <f>IFERROR(_xlfn.XLOOKUP(B386,Cuentas!$C$1:$C$521,Cuentas!$A$1:$A$521),"")</f>
        <v>Yuldor</v>
      </c>
      <c r="B386" t="s">
        <v>380</v>
      </c>
      <c r="C386" t="s">
        <v>381</v>
      </c>
      <c r="D386" t="s">
        <v>382</v>
      </c>
      <c r="E386" t="s">
        <v>7</v>
      </c>
      <c r="F386" t="s">
        <v>420</v>
      </c>
      <c r="G386" t="s">
        <v>420</v>
      </c>
      <c r="H386" s="2">
        <v>45674</v>
      </c>
      <c r="I386" s="2">
        <v>45734</v>
      </c>
      <c r="J386" t="s">
        <v>20</v>
      </c>
      <c r="K386" s="21">
        <v>5754.25</v>
      </c>
      <c r="L386" s="21">
        <v>5754.25</v>
      </c>
      <c r="M386">
        <v>12</v>
      </c>
      <c r="N386" s="21">
        <v>5754.25</v>
      </c>
    </row>
    <row r="387" spans="1:14">
      <c r="A387" t="str">
        <f>IFERROR(_xlfn.XLOOKUP(B387,Cuentas!$C$1:$C$521,Cuentas!$A$1:$A$521),"")</f>
        <v>Yuldor</v>
      </c>
      <c r="B387" t="s">
        <v>380</v>
      </c>
      <c r="C387" t="s">
        <v>381</v>
      </c>
      <c r="D387" t="s">
        <v>382</v>
      </c>
      <c r="E387" t="s">
        <v>7</v>
      </c>
      <c r="F387" t="s">
        <v>421</v>
      </c>
      <c r="G387" t="s">
        <v>421</v>
      </c>
      <c r="H387" s="2">
        <v>45674</v>
      </c>
      <c r="I387" s="2">
        <v>45734</v>
      </c>
      <c r="J387" t="s">
        <v>20</v>
      </c>
      <c r="K387" s="21">
        <v>6213</v>
      </c>
      <c r="L387" s="21">
        <v>6213</v>
      </c>
      <c r="M387">
        <v>12</v>
      </c>
      <c r="N387" s="21">
        <v>6213</v>
      </c>
    </row>
    <row r="388" spans="1:14">
      <c r="A388" t="str">
        <f>IFERROR(_xlfn.XLOOKUP(B388,Cuentas!$C$1:$C$521,Cuentas!$A$1:$A$521),"")</f>
        <v>Yuldor</v>
      </c>
      <c r="B388" t="s">
        <v>380</v>
      </c>
      <c r="C388" t="s">
        <v>381</v>
      </c>
      <c r="D388" t="s">
        <v>382</v>
      </c>
      <c r="E388" t="s">
        <v>7</v>
      </c>
      <c r="F388" t="s">
        <v>422</v>
      </c>
      <c r="G388" t="s">
        <v>422</v>
      </c>
      <c r="H388" s="2">
        <v>45674</v>
      </c>
      <c r="I388" s="2">
        <v>45734</v>
      </c>
      <c r="J388" t="s">
        <v>20</v>
      </c>
      <c r="K388" s="21">
        <v>1812.5</v>
      </c>
      <c r="L388" s="21">
        <v>1812.5</v>
      </c>
      <c r="M388">
        <v>12</v>
      </c>
      <c r="N388" s="21">
        <v>1812.5</v>
      </c>
    </row>
    <row r="389" spans="1:14">
      <c r="A389" t="str">
        <f>IFERROR(_xlfn.XLOOKUP(B389,Cuentas!$C$1:$C$521,Cuentas!$A$1:$A$521),"")</f>
        <v>Yuldor</v>
      </c>
      <c r="B389" t="s">
        <v>380</v>
      </c>
      <c r="C389" t="s">
        <v>381</v>
      </c>
      <c r="D389" t="s">
        <v>382</v>
      </c>
      <c r="E389" t="s">
        <v>7</v>
      </c>
      <c r="F389" t="s">
        <v>423</v>
      </c>
      <c r="G389" t="s">
        <v>423</v>
      </c>
      <c r="H389" s="2">
        <v>45678</v>
      </c>
      <c r="I389" s="2">
        <v>45738</v>
      </c>
      <c r="J389" t="s">
        <v>20</v>
      </c>
      <c r="K389" s="21">
        <v>4370.5</v>
      </c>
      <c r="L389" s="21">
        <v>4370.5</v>
      </c>
      <c r="M389">
        <v>12</v>
      </c>
      <c r="N389" s="21">
        <v>4370.5</v>
      </c>
    </row>
    <row r="390" spans="1:14">
      <c r="A390" t="str">
        <f>IFERROR(_xlfn.XLOOKUP(B390,Cuentas!$C$1:$C$521,Cuentas!$A$1:$A$521),"")</f>
        <v>Yuldor</v>
      </c>
      <c r="B390" t="s">
        <v>380</v>
      </c>
      <c r="C390" t="s">
        <v>381</v>
      </c>
      <c r="D390" t="s">
        <v>382</v>
      </c>
      <c r="E390" t="s">
        <v>7</v>
      </c>
      <c r="F390" t="s">
        <v>424</v>
      </c>
      <c r="G390" t="s">
        <v>424</v>
      </c>
      <c r="H390" s="2">
        <v>45678</v>
      </c>
      <c r="I390" s="2">
        <v>45738</v>
      </c>
      <c r="J390" t="s">
        <v>20</v>
      </c>
      <c r="K390" s="21">
        <v>507.5</v>
      </c>
      <c r="L390" s="21">
        <v>507.5</v>
      </c>
      <c r="M390">
        <v>12</v>
      </c>
      <c r="N390" s="21">
        <v>507.5</v>
      </c>
    </row>
    <row r="391" spans="1:14">
      <c r="A391" t="str">
        <f>IFERROR(_xlfn.XLOOKUP(B391,Cuentas!$C$1:$C$521,Cuentas!$A$1:$A$521),"")</f>
        <v>Yuldor</v>
      </c>
      <c r="B391" t="s">
        <v>380</v>
      </c>
      <c r="C391" t="s">
        <v>381</v>
      </c>
      <c r="D391" t="s">
        <v>382</v>
      </c>
      <c r="E391" t="s">
        <v>7</v>
      </c>
      <c r="F391" t="s">
        <v>425</v>
      </c>
      <c r="G391" t="s">
        <v>425</v>
      </c>
      <c r="H391" s="2">
        <v>45678</v>
      </c>
      <c r="I391" s="2">
        <v>45738</v>
      </c>
      <c r="J391" t="s">
        <v>20</v>
      </c>
      <c r="K391" s="21">
        <v>3625</v>
      </c>
      <c r="L391" s="21">
        <v>3625</v>
      </c>
      <c r="M391">
        <v>12</v>
      </c>
      <c r="N391" s="21">
        <v>3625</v>
      </c>
    </row>
    <row r="392" spans="1:14">
      <c r="A392" t="str">
        <f>IFERROR(_xlfn.XLOOKUP(B392,Cuentas!$C$1:$C$521,Cuentas!$A$1:$A$521),"")</f>
        <v>Yuldor</v>
      </c>
      <c r="B392" t="s">
        <v>380</v>
      </c>
      <c r="C392" t="s">
        <v>381</v>
      </c>
      <c r="D392" t="s">
        <v>382</v>
      </c>
      <c r="E392" t="s">
        <v>7</v>
      </c>
      <c r="F392" t="s">
        <v>426</v>
      </c>
      <c r="G392" t="s">
        <v>426</v>
      </c>
      <c r="H392" s="2">
        <v>45678</v>
      </c>
      <c r="I392" s="2">
        <v>45738</v>
      </c>
      <c r="J392" t="s">
        <v>20</v>
      </c>
      <c r="K392" s="21">
        <v>1785.88</v>
      </c>
      <c r="L392" s="21">
        <v>1785.88</v>
      </c>
      <c r="M392">
        <v>12</v>
      </c>
      <c r="N392" s="21">
        <v>1785.88</v>
      </c>
    </row>
    <row r="393" spans="1:14">
      <c r="A393" t="str">
        <f>IFERROR(_xlfn.XLOOKUP(B393,Cuentas!$C$1:$C$521,Cuentas!$A$1:$A$521),"")</f>
        <v>Yuldor</v>
      </c>
      <c r="B393" t="s">
        <v>380</v>
      </c>
      <c r="C393" t="s">
        <v>381</v>
      </c>
      <c r="D393" t="s">
        <v>382</v>
      </c>
      <c r="E393" t="s">
        <v>7</v>
      </c>
      <c r="F393" t="s">
        <v>427</v>
      </c>
      <c r="G393" t="s">
        <v>427</v>
      </c>
      <c r="H393" s="2">
        <v>45679</v>
      </c>
      <c r="I393" s="2">
        <v>45739</v>
      </c>
      <c r="J393" t="s">
        <v>20</v>
      </c>
      <c r="K393" s="21">
        <v>634.15</v>
      </c>
      <c r="L393" s="21">
        <v>634.15</v>
      </c>
      <c r="M393">
        <v>13</v>
      </c>
      <c r="N393" s="21">
        <v>634.15</v>
      </c>
    </row>
    <row r="394" spans="1:14">
      <c r="A394" t="str">
        <f>IFERROR(_xlfn.XLOOKUP(B394,Cuentas!$C$1:$C$521,Cuentas!$A$1:$A$521),"")</f>
        <v>Yuldor</v>
      </c>
      <c r="B394" t="s">
        <v>380</v>
      </c>
      <c r="C394" t="s">
        <v>381</v>
      </c>
      <c r="D394" t="s">
        <v>382</v>
      </c>
      <c r="E394" t="s">
        <v>7</v>
      </c>
      <c r="F394" t="s">
        <v>428</v>
      </c>
      <c r="G394" t="s">
        <v>428</v>
      </c>
      <c r="H394" s="2">
        <v>45680</v>
      </c>
      <c r="I394" s="2">
        <v>45740</v>
      </c>
      <c r="J394" t="s">
        <v>20</v>
      </c>
      <c r="K394" s="21">
        <v>28647.24</v>
      </c>
      <c r="L394" s="21">
        <v>28647.24</v>
      </c>
      <c r="M394">
        <v>13</v>
      </c>
      <c r="N394" s="21">
        <v>28647.24</v>
      </c>
    </row>
    <row r="395" spans="1:14">
      <c r="A395" t="str">
        <f>IFERROR(_xlfn.XLOOKUP(B395,Cuentas!$C$1:$C$521,Cuentas!$A$1:$A$521),"")</f>
        <v>Yuldor</v>
      </c>
      <c r="B395" t="s">
        <v>380</v>
      </c>
      <c r="C395" t="s">
        <v>381</v>
      </c>
      <c r="D395" t="s">
        <v>382</v>
      </c>
      <c r="E395" t="s">
        <v>7</v>
      </c>
      <c r="F395" t="s">
        <v>429</v>
      </c>
      <c r="G395" t="s">
        <v>429</v>
      </c>
      <c r="H395" s="2">
        <v>45680</v>
      </c>
      <c r="I395" s="2">
        <v>45740</v>
      </c>
      <c r="J395" t="s">
        <v>20</v>
      </c>
      <c r="K395" s="21">
        <v>18538.32</v>
      </c>
      <c r="L395" s="21">
        <v>18538.32</v>
      </c>
      <c r="M395">
        <v>13</v>
      </c>
      <c r="N395" s="21">
        <v>18538.32</v>
      </c>
    </row>
    <row r="396" spans="1:14">
      <c r="A396" t="str">
        <f>IFERROR(_xlfn.XLOOKUP(B396,Cuentas!$C$1:$C$521,Cuentas!$A$1:$A$521),"")</f>
        <v>Yuldor</v>
      </c>
      <c r="B396" t="s">
        <v>380</v>
      </c>
      <c r="C396" t="s">
        <v>381</v>
      </c>
      <c r="D396" t="s">
        <v>382</v>
      </c>
      <c r="E396" t="s">
        <v>7</v>
      </c>
      <c r="F396" t="s">
        <v>430</v>
      </c>
      <c r="G396" t="s">
        <v>430</v>
      </c>
      <c r="H396" s="2">
        <v>45685</v>
      </c>
      <c r="I396" s="2">
        <v>45745</v>
      </c>
      <c r="J396" t="s">
        <v>20</v>
      </c>
      <c r="K396" s="21">
        <v>3262.5</v>
      </c>
      <c r="L396" s="21">
        <v>3262.5</v>
      </c>
      <c r="M396">
        <v>13</v>
      </c>
      <c r="N396" s="21">
        <v>3262.5</v>
      </c>
    </row>
    <row r="397" spans="1:14">
      <c r="A397" t="str">
        <f>IFERROR(_xlfn.XLOOKUP(B397,Cuentas!$C$1:$C$521,Cuentas!$A$1:$A$521),"")</f>
        <v>Yuldor</v>
      </c>
      <c r="B397" t="s">
        <v>380</v>
      </c>
      <c r="C397" t="s">
        <v>381</v>
      </c>
      <c r="D397" t="s">
        <v>382</v>
      </c>
      <c r="E397" t="s">
        <v>7</v>
      </c>
      <c r="F397" t="s">
        <v>431</v>
      </c>
      <c r="G397" t="s">
        <v>431</v>
      </c>
      <c r="H397" s="2">
        <v>45687</v>
      </c>
      <c r="I397" s="2">
        <v>45747</v>
      </c>
      <c r="J397" t="s">
        <v>20</v>
      </c>
      <c r="K397" s="21">
        <v>3036.54</v>
      </c>
      <c r="L397" s="21">
        <v>3036.54</v>
      </c>
      <c r="M397">
        <v>13</v>
      </c>
      <c r="N397" s="21">
        <v>3036.54</v>
      </c>
    </row>
    <row r="398" spans="1:14">
      <c r="A398" t="str">
        <f>IFERROR(_xlfn.XLOOKUP(B398,Cuentas!$C$1:$C$521,Cuentas!$A$1:$A$521),"")</f>
        <v>Yuldor</v>
      </c>
      <c r="B398" t="s">
        <v>380</v>
      </c>
      <c r="C398" t="s">
        <v>381</v>
      </c>
      <c r="D398" t="s">
        <v>382</v>
      </c>
      <c r="E398" t="s">
        <v>7</v>
      </c>
      <c r="F398" t="s">
        <v>432</v>
      </c>
      <c r="G398" t="s">
        <v>432</v>
      </c>
      <c r="H398" s="2">
        <v>45688</v>
      </c>
      <c r="I398" s="2">
        <v>45748</v>
      </c>
      <c r="J398" t="s">
        <v>20</v>
      </c>
      <c r="K398" s="21">
        <v>902.44</v>
      </c>
      <c r="L398" s="21">
        <v>902.44</v>
      </c>
      <c r="M398">
        <v>0</v>
      </c>
      <c r="N398" s="21">
        <v>0</v>
      </c>
    </row>
    <row r="399" spans="1:14">
      <c r="A399" t="str">
        <f>IFERROR(_xlfn.XLOOKUP(B399,Cuentas!$C$1:$C$521,Cuentas!$A$1:$A$521),"")</f>
        <v>Yuldor</v>
      </c>
      <c r="B399" t="s">
        <v>380</v>
      </c>
      <c r="C399" t="s">
        <v>381</v>
      </c>
      <c r="D399" t="s">
        <v>382</v>
      </c>
      <c r="E399" t="s">
        <v>7</v>
      </c>
      <c r="F399" t="s">
        <v>433</v>
      </c>
      <c r="G399" t="s">
        <v>433</v>
      </c>
      <c r="H399" s="2">
        <v>45691</v>
      </c>
      <c r="I399" s="2">
        <v>45751</v>
      </c>
      <c r="J399" t="s">
        <v>20</v>
      </c>
      <c r="K399" s="21">
        <v>6525</v>
      </c>
      <c r="L399" s="21">
        <v>6525</v>
      </c>
      <c r="M399">
        <v>0</v>
      </c>
      <c r="N399" s="21">
        <v>0</v>
      </c>
    </row>
    <row r="400" spans="1:14">
      <c r="A400" t="str">
        <f>IFERROR(_xlfn.XLOOKUP(B400,Cuentas!$C$1:$C$521,Cuentas!$A$1:$A$521),"")</f>
        <v>Yuldor</v>
      </c>
      <c r="B400" t="s">
        <v>380</v>
      </c>
      <c r="C400" t="s">
        <v>381</v>
      </c>
      <c r="D400" t="s">
        <v>382</v>
      </c>
      <c r="E400" t="s">
        <v>7</v>
      </c>
      <c r="F400" t="s">
        <v>434</v>
      </c>
      <c r="G400" t="s">
        <v>434</v>
      </c>
      <c r="H400" s="2">
        <v>45693</v>
      </c>
      <c r="I400" s="2">
        <v>45753</v>
      </c>
      <c r="J400" t="s">
        <v>20</v>
      </c>
      <c r="K400" s="21">
        <v>1240.31</v>
      </c>
      <c r="L400" s="21">
        <v>1240.31</v>
      </c>
      <c r="M400">
        <v>0</v>
      </c>
      <c r="N400" s="21">
        <v>0</v>
      </c>
    </row>
    <row r="401" spans="1:14">
      <c r="A401" t="str">
        <f>IFERROR(_xlfn.XLOOKUP(B401,Cuentas!$C$1:$C$521,Cuentas!$A$1:$A$521),"")</f>
        <v>Yuldor</v>
      </c>
      <c r="B401" t="s">
        <v>380</v>
      </c>
      <c r="C401" t="s">
        <v>381</v>
      </c>
      <c r="D401" t="s">
        <v>382</v>
      </c>
      <c r="E401" t="s">
        <v>7</v>
      </c>
      <c r="F401" t="s">
        <v>435</v>
      </c>
      <c r="G401" t="s">
        <v>435</v>
      </c>
      <c r="H401" s="2">
        <v>45699</v>
      </c>
      <c r="I401" s="2">
        <v>45759</v>
      </c>
      <c r="J401" t="s">
        <v>20</v>
      </c>
      <c r="K401" s="21">
        <v>4482.5</v>
      </c>
      <c r="L401" s="21">
        <v>4482.5</v>
      </c>
      <c r="M401">
        <v>0</v>
      </c>
      <c r="N401" s="21">
        <v>0</v>
      </c>
    </row>
    <row r="402" spans="1:14">
      <c r="A402" t="str">
        <f>IFERROR(_xlfn.XLOOKUP(B402,Cuentas!$C$1:$C$521,Cuentas!$A$1:$A$521),"")</f>
        <v>Yuldor</v>
      </c>
      <c r="B402" t="s">
        <v>380</v>
      </c>
      <c r="C402" t="s">
        <v>381</v>
      </c>
      <c r="D402" t="s">
        <v>382</v>
      </c>
      <c r="E402" t="s">
        <v>7</v>
      </c>
      <c r="F402" t="s">
        <v>436</v>
      </c>
      <c r="G402" t="s">
        <v>436</v>
      </c>
      <c r="H402" s="2">
        <v>45699</v>
      </c>
      <c r="I402" s="2">
        <v>45759</v>
      </c>
      <c r="J402" t="s">
        <v>20</v>
      </c>
      <c r="K402" s="21">
        <v>5518</v>
      </c>
      <c r="L402" s="21">
        <v>5518</v>
      </c>
      <c r="M402">
        <v>0</v>
      </c>
      <c r="N402" s="21">
        <v>0</v>
      </c>
    </row>
    <row r="403" spans="1:14">
      <c r="A403" t="str">
        <f>IFERROR(_xlfn.XLOOKUP(B403,Cuentas!$C$1:$C$521,Cuentas!$A$1:$A$521),"")</f>
        <v>Yuldor</v>
      </c>
      <c r="B403" t="s">
        <v>380</v>
      </c>
      <c r="C403" t="s">
        <v>381</v>
      </c>
      <c r="D403" t="s">
        <v>382</v>
      </c>
      <c r="E403" t="s">
        <v>7</v>
      </c>
      <c r="F403" t="s">
        <v>437</v>
      </c>
      <c r="G403" t="s">
        <v>437</v>
      </c>
      <c r="H403" s="2">
        <v>45699</v>
      </c>
      <c r="I403" s="2">
        <v>45759</v>
      </c>
      <c r="J403" t="s">
        <v>20</v>
      </c>
      <c r="K403" s="21">
        <v>5340</v>
      </c>
      <c r="L403" s="21">
        <v>5340</v>
      </c>
      <c r="M403">
        <v>0</v>
      </c>
      <c r="N403" s="21">
        <v>0</v>
      </c>
    </row>
    <row r="404" spans="1:14">
      <c r="A404" t="str">
        <f>IFERROR(_xlfn.XLOOKUP(B404,Cuentas!$C$1:$C$521,Cuentas!$A$1:$A$521),"")</f>
        <v>Yuldor</v>
      </c>
      <c r="B404" t="s">
        <v>380</v>
      </c>
      <c r="C404" t="s">
        <v>381</v>
      </c>
      <c r="D404" t="s">
        <v>382</v>
      </c>
      <c r="E404" t="s">
        <v>7</v>
      </c>
      <c r="F404" t="s">
        <v>438</v>
      </c>
      <c r="G404" t="s">
        <v>438</v>
      </c>
      <c r="H404" s="2">
        <v>45699</v>
      </c>
      <c r="I404" s="2">
        <v>45759</v>
      </c>
      <c r="J404" t="s">
        <v>20</v>
      </c>
      <c r="K404" s="21">
        <v>8928</v>
      </c>
      <c r="L404" s="21">
        <v>8928</v>
      </c>
      <c r="M404">
        <v>0</v>
      </c>
      <c r="N404" s="21">
        <v>0</v>
      </c>
    </row>
    <row r="405" spans="1:14">
      <c r="A405" t="str">
        <f>IFERROR(_xlfn.XLOOKUP(B405,Cuentas!$C$1:$C$521,Cuentas!$A$1:$A$521),"")</f>
        <v>Yuldor</v>
      </c>
      <c r="B405" t="s">
        <v>380</v>
      </c>
      <c r="C405" t="s">
        <v>381</v>
      </c>
      <c r="D405" t="s">
        <v>382</v>
      </c>
      <c r="E405" t="s">
        <v>7</v>
      </c>
      <c r="F405" t="s">
        <v>439</v>
      </c>
      <c r="G405" t="s">
        <v>439</v>
      </c>
      <c r="H405" s="2">
        <v>45699</v>
      </c>
      <c r="I405" s="2">
        <v>45759</v>
      </c>
      <c r="J405" t="s">
        <v>20</v>
      </c>
      <c r="K405" s="21">
        <v>5340</v>
      </c>
      <c r="L405" s="21">
        <v>5340</v>
      </c>
      <c r="M405">
        <v>0</v>
      </c>
      <c r="N405" s="21">
        <v>0</v>
      </c>
    </row>
    <row r="406" spans="1:14">
      <c r="A406" t="str">
        <f>IFERROR(_xlfn.XLOOKUP(B406,Cuentas!$C$1:$C$521,Cuentas!$A$1:$A$521),"")</f>
        <v>Yuldor</v>
      </c>
      <c r="B406" t="s">
        <v>380</v>
      </c>
      <c r="C406" t="s">
        <v>381</v>
      </c>
      <c r="D406" t="s">
        <v>382</v>
      </c>
      <c r="E406" t="s">
        <v>7</v>
      </c>
      <c r="F406" t="s">
        <v>440</v>
      </c>
      <c r="G406" t="s">
        <v>440</v>
      </c>
      <c r="H406" s="2">
        <v>45701</v>
      </c>
      <c r="I406" s="2">
        <v>45761</v>
      </c>
      <c r="J406" t="s">
        <v>20</v>
      </c>
      <c r="K406" s="21">
        <v>9167</v>
      </c>
      <c r="L406" s="21">
        <v>9167</v>
      </c>
      <c r="M406">
        <v>0</v>
      </c>
      <c r="N406" s="21">
        <v>0</v>
      </c>
    </row>
    <row r="407" spans="1:14">
      <c r="A407" t="str">
        <f>IFERROR(_xlfn.XLOOKUP(B407,Cuentas!$C$1:$C$521,Cuentas!$A$1:$A$521),"")</f>
        <v>Yuldor</v>
      </c>
      <c r="B407" t="s">
        <v>380</v>
      </c>
      <c r="C407" t="s">
        <v>381</v>
      </c>
      <c r="D407" t="s">
        <v>382</v>
      </c>
      <c r="E407" t="s">
        <v>7</v>
      </c>
      <c r="F407" t="s">
        <v>441</v>
      </c>
      <c r="G407" t="s">
        <v>441</v>
      </c>
      <c r="H407" s="2">
        <v>45706</v>
      </c>
      <c r="I407" s="2">
        <v>45766</v>
      </c>
      <c r="J407" t="s">
        <v>20</v>
      </c>
      <c r="K407" s="21">
        <v>981.4</v>
      </c>
      <c r="L407" s="21">
        <v>981.4</v>
      </c>
      <c r="M407">
        <v>0</v>
      </c>
      <c r="N407" s="21">
        <v>0</v>
      </c>
    </row>
    <row r="408" spans="1:14">
      <c r="A408" t="str">
        <f>IFERROR(_xlfn.XLOOKUP(B408,Cuentas!$C$1:$C$521,Cuentas!$A$1:$A$521),"")</f>
        <v>Yuldor</v>
      </c>
      <c r="B408" t="s">
        <v>380</v>
      </c>
      <c r="C408" t="s">
        <v>381</v>
      </c>
      <c r="D408" t="s">
        <v>382</v>
      </c>
      <c r="E408" t="s">
        <v>7</v>
      </c>
      <c r="F408" t="s">
        <v>442</v>
      </c>
      <c r="G408" t="s">
        <v>442</v>
      </c>
      <c r="H408" s="2">
        <v>45708</v>
      </c>
      <c r="I408" s="2">
        <v>45768</v>
      </c>
      <c r="J408" t="s">
        <v>20</v>
      </c>
      <c r="K408" s="21">
        <v>5622.5</v>
      </c>
      <c r="L408" s="21">
        <v>5622.5</v>
      </c>
      <c r="M408">
        <v>0</v>
      </c>
      <c r="N408" s="21">
        <v>0</v>
      </c>
    </row>
    <row r="409" spans="1:14">
      <c r="A409" t="str">
        <f>IFERROR(_xlfn.XLOOKUP(B409,Cuentas!$C$1:$C$521,Cuentas!$A$1:$A$521),"")</f>
        <v>Yuldor</v>
      </c>
      <c r="B409" t="s">
        <v>380</v>
      </c>
      <c r="C409" t="s">
        <v>381</v>
      </c>
      <c r="D409" t="s">
        <v>382</v>
      </c>
      <c r="E409" t="s">
        <v>7</v>
      </c>
      <c r="F409" t="s">
        <v>443</v>
      </c>
      <c r="G409" t="s">
        <v>443</v>
      </c>
      <c r="H409" s="2">
        <v>45716</v>
      </c>
      <c r="I409" s="2">
        <v>45776</v>
      </c>
      <c r="J409" t="s">
        <v>20</v>
      </c>
      <c r="K409" s="21">
        <v>2670</v>
      </c>
      <c r="L409" s="21">
        <v>2670</v>
      </c>
      <c r="M409">
        <v>0</v>
      </c>
      <c r="N409" s="21">
        <v>0</v>
      </c>
    </row>
    <row r="410" spans="1:14">
      <c r="A410" t="str">
        <f>IFERROR(_xlfn.XLOOKUP(B410,Cuentas!$C$1:$C$521,Cuentas!$A$1:$A$521),"")</f>
        <v>Yuldor</v>
      </c>
      <c r="B410" t="s">
        <v>380</v>
      </c>
      <c r="C410" t="s">
        <v>381</v>
      </c>
      <c r="D410" t="s">
        <v>382</v>
      </c>
      <c r="E410" t="s">
        <v>7</v>
      </c>
      <c r="F410" t="s">
        <v>444</v>
      </c>
      <c r="G410" t="s">
        <v>444</v>
      </c>
      <c r="H410" s="2">
        <v>45716</v>
      </c>
      <c r="I410" s="2">
        <v>45776</v>
      </c>
      <c r="J410" t="s">
        <v>20</v>
      </c>
      <c r="K410" s="21">
        <v>4482.5</v>
      </c>
      <c r="L410" s="21">
        <v>4482.5</v>
      </c>
      <c r="M410">
        <v>0</v>
      </c>
      <c r="N410" s="21">
        <v>0</v>
      </c>
    </row>
    <row r="411" spans="1:14">
      <c r="A411" t="str">
        <f>IFERROR(_xlfn.XLOOKUP(B411,Cuentas!$C$1:$C$521,Cuentas!$A$1:$A$521),"")</f>
        <v>Yuldor</v>
      </c>
      <c r="B411" t="s">
        <v>380</v>
      </c>
      <c r="C411" t="s">
        <v>381</v>
      </c>
      <c r="D411" t="s">
        <v>382</v>
      </c>
      <c r="E411" t="s">
        <v>7</v>
      </c>
      <c r="F411" t="s">
        <v>445</v>
      </c>
      <c r="G411" t="s">
        <v>445</v>
      </c>
      <c r="H411" s="2">
        <v>45734</v>
      </c>
      <c r="I411" s="2">
        <v>45794</v>
      </c>
      <c r="J411" t="s">
        <v>20</v>
      </c>
      <c r="K411" s="21">
        <v>10413</v>
      </c>
      <c r="L411" s="21">
        <v>10413</v>
      </c>
      <c r="M411">
        <v>0</v>
      </c>
      <c r="N411" s="21">
        <v>0</v>
      </c>
    </row>
    <row r="412" spans="1:14">
      <c r="A412" t="str">
        <f>IFERROR(_xlfn.XLOOKUP(B412,Cuentas!$C$1:$C$521,Cuentas!$A$1:$A$521),"")</f>
        <v>Yuldor</v>
      </c>
      <c r="B412" t="s">
        <v>380</v>
      </c>
      <c r="C412" t="s">
        <v>381</v>
      </c>
      <c r="D412" t="s">
        <v>382</v>
      </c>
      <c r="E412" t="s">
        <v>7</v>
      </c>
      <c r="F412" t="s">
        <v>446</v>
      </c>
      <c r="G412" t="s">
        <v>446</v>
      </c>
      <c r="H412" s="2">
        <v>45740</v>
      </c>
      <c r="I412" s="2">
        <v>45800</v>
      </c>
      <c r="J412" t="s">
        <v>20</v>
      </c>
      <c r="K412" s="21">
        <v>7065.36</v>
      </c>
      <c r="L412" s="21">
        <v>7065.36</v>
      </c>
      <c r="M412">
        <v>0</v>
      </c>
      <c r="N412" s="21">
        <v>0</v>
      </c>
    </row>
    <row r="413" spans="1:14">
      <c r="A413" t="str">
        <f>IFERROR(_xlfn.XLOOKUP(B413,Cuentas!$C$1:$C$521,Cuentas!$A$1:$A$521),"")</f>
        <v>Yuldor</v>
      </c>
      <c r="B413" t="s">
        <v>380</v>
      </c>
      <c r="C413" t="s">
        <v>381</v>
      </c>
      <c r="D413" t="s">
        <v>382</v>
      </c>
      <c r="E413" t="s">
        <v>7</v>
      </c>
      <c r="F413" t="s">
        <v>447</v>
      </c>
      <c r="G413" t="s">
        <v>447</v>
      </c>
      <c r="H413" s="2">
        <v>45742</v>
      </c>
      <c r="I413" s="2">
        <v>45802</v>
      </c>
      <c r="J413" t="s">
        <v>20</v>
      </c>
      <c r="K413" s="21">
        <v>0</v>
      </c>
      <c r="L413" s="21" t="s">
        <v>86</v>
      </c>
      <c r="M413">
        <v>0</v>
      </c>
      <c r="N413" s="21">
        <v>0</v>
      </c>
    </row>
    <row r="414" spans="1:14">
      <c r="A414" t="str">
        <f>IFERROR(_xlfn.XLOOKUP(B414,Cuentas!$C$1:$C$521,Cuentas!$A$1:$A$521),"")</f>
        <v>Nicolas</v>
      </c>
      <c r="B414" t="s">
        <v>448</v>
      </c>
      <c r="C414" t="s">
        <v>449</v>
      </c>
      <c r="D414" t="s">
        <v>16</v>
      </c>
      <c r="E414" t="s">
        <v>7</v>
      </c>
      <c r="F414" t="s">
        <v>450</v>
      </c>
      <c r="G414" t="s">
        <v>450</v>
      </c>
      <c r="H414" s="2">
        <v>44943</v>
      </c>
      <c r="I414" s="2">
        <v>44973</v>
      </c>
      <c r="J414" t="s">
        <v>20</v>
      </c>
      <c r="K414" s="21">
        <v>474.11</v>
      </c>
      <c r="L414" s="21">
        <v>474.11</v>
      </c>
      <c r="M414">
        <v>0</v>
      </c>
      <c r="N414" s="21">
        <v>474.11</v>
      </c>
    </row>
    <row r="415" spans="1:14">
      <c r="A415" t="str">
        <f>IFERROR(_xlfn.XLOOKUP(B415,Cuentas!$C$1:$C$521,Cuentas!$A$1:$A$521),"")</f>
        <v>Nicolas</v>
      </c>
      <c r="B415" t="s">
        <v>448</v>
      </c>
      <c r="C415" t="s">
        <v>449</v>
      </c>
      <c r="D415" t="s">
        <v>16</v>
      </c>
      <c r="E415" t="s">
        <v>5502</v>
      </c>
      <c r="F415" t="s">
        <v>451</v>
      </c>
      <c r="G415" t="s">
        <v>19</v>
      </c>
      <c r="I415" s="2">
        <v>45519</v>
      </c>
      <c r="J415" t="s">
        <v>20</v>
      </c>
      <c r="K415" s="21">
        <v>-50.06</v>
      </c>
      <c r="L415" s="21">
        <v>-50.06</v>
      </c>
      <c r="M415">
        <v>0</v>
      </c>
      <c r="N415" s="21">
        <v>-50.06</v>
      </c>
    </row>
    <row r="416" spans="1:14">
      <c r="A416" t="str">
        <f>IFERROR(_xlfn.XLOOKUP(B416,Cuentas!$C$1:$C$521,Cuentas!$A$1:$A$521),"")</f>
        <v>Nicolas</v>
      </c>
      <c r="B416" t="s">
        <v>448</v>
      </c>
      <c r="C416" t="s">
        <v>449</v>
      </c>
      <c r="D416" t="s">
        <v>16</v>
      </c>
      <c r="E416" t="s">
        <v>3139</v>
      </c>
      <c r="F416" t="s">
        <v>19</v>
      </c>
      <c r="G416" t="s">
        <v>19</v>
      </c>
      <c r="I416" s="2">
        <v>45558</v>
      </c>
      <c r="J416" t="s">
        <v>20</v>
      </c>
      <c r="K416" s="21">
        <v>-96.77</v>
      </c>
      <c r="L416" s="21">
        <v>-96.77</v>
      </c>
      <c r="M416">
        <v>0</v>
      </c>
      <c r="N416" s="21">
        <v>-96.77</v>
      </c>
    </row>
    <row r="417" spans="1:14">
      <c r="A417" t="str">
        <f>IFERROR(_xlfn.XLOOKUP(B417,Cuentas!$C$1:$C$521,Cuentas!$A$1:$A$521),"")</f>
        <v>Yuldor</v>
      </c>
      <c r="B417" t="s">
        <v>452</v>
      </c>
      <c r="C417" t="s">
        <v>453</v>
      </c>
      <c r="D417" t="s">
        <v>213</v>
      </c>
      <c r="E417" t="s">
        <v>3139</v>
      </c>
      <c r="F417" t="s">
        <v>19</v>
      </c>
      <c r="G417" t="s">
        <v>19</v>
      </c>
      <c r="I417" s="2">
        <v>45349</v>
      </c>
      <c r="J417" t="s">
        <v>20</v>
      </c>
      <c r="K417" s="21">
        <v>-220.24</v>
      </c>
      <c r="L417" s="21">
        <v>-220.24</v>
      </c>
      <c r="M417">
        <v>0</v>
      </c>
      <c r="N417" s="21">
        <v>-220.24</v>
      </c>
    </row>
    <row r="418" spans="1:14">
      <c r="A418" t="str">
        <f>IFERROR(_xlfn.XLOOKUP(B418,Cuentas!$C$1:$C$521,Cuentas!$A$1:$A$521),"")</f>
        <v>Nicolas</v>
      </c>
      <c r="B418" t="s">
        <v>454</v>
      </c>
      <c r="C418" t="s">
        <v>455</v>
      </c>
      <c r="D418" t="s">
        <v>213</v>
      </c>
      <c r="E418" t="s">
        <v>7</v>
      </c>
      <c r="F418" t="s">
        <v>456</v>
      </c>
      <c r="G418" t="s">
        <v>456</v>
      </c>
      <c r="H418" s="2">
        <v>45672</v>
      </c>
      <c r="I418" s="2">
        <v>45672</v>
      </c>
      <c r="J418" t="s">
        <v>20</v>
      </c>
      <c r="K418" s="21">
        <v>212.68</v>
      </c>
      <c r="L418" s="21">
        <v>212.68</v>
      </c>
      <c r="M418">
        <v>0</v>
      </c>
      <c r="N418" s="21">
        <v>212.68</v>
      </c>
    </row>
    <row r="419" spans="1:14">
      <c r="A419" t="str">
        <f>IFERROR(_xlfn.XLOOKUP(B419,Cuentas!$C$1:$C$521,Cuentas!$A$1:$A$521),"")</f>
        <v>Nicolas</v>
      </c>
      <c r="B419" t="s">
        <v>457</v>
      </c>
      <c r="C419" t="s">
        <v>458</v>
      </c>
      <c r="D419" t="s">
        <v>16</v>
      </c>
      <c r="E419" t="s">
        <v>5502</v>
      </c>
      <c r="F419" t="s">
        <v>459</v>
      </c>
      <c r="G419" t="s">
        <v>19</v>
      </c>
      <c r="I419" s="2">
        <v>45217</v>
      </c>
      <c r="J419" t="s">
        <v>20</v>
      </c>
      <c r="K419" s="21">
        <v>-94.93</v>
      </c>
      <c r="L419" s="21">
        <v>-94.93</v>
      </c>
      <c r="M419">
        <v>0</v>
      </c>
      <c r="N419" s="21">
        <v>-94.93</v>
      </c>
    </row>
    <row r="420" spans="1:14">
      <c r="A420" t="str">
        <f>IFERROR(_xlfn.XLOOKUP(B420,Cuentas!$C$1:$C$521,Cuentas!$A$1:$A$521),"")</f>
        <v>Nicolas</v>
      </c>
      <c r="B420" t="s">
        <v>457</v>
      </c>
      <c r="C420" t="s">
        <v>458</v>
      </c>
      <c r="D420" t="s">
        <v>16</v>
      </c>
      <c r="E420" t="s">
        <v>5502</v>
      </c>
      <c r="F420" t="s">
        <v>460</v>
      </c>
      <c r="G420" t="s">
        <v>19</v>
      </c>
      <c r="I420" s="2">
        <v>45226</v>
      </c>
      <c r="J420" t="s">
        <v>20</v>
      </c>
      <c r="K420" s="21">
        <v>-312</v>
      </c>
      <c r="L420" s="21">
        <v>-312</v>
      </c>
      <c r="M420">
        <v>0</v>
      </c>
      <c r="N420" s="21">
        <v>-312</v>
      </c>
    </row>
    <row r="421" spans="1:14">
      <c r="A421" t="str">
        <f>IFERROR(_xlfn.XLOOKUP(B421,Cuentas!$C$1:$C$521,Cuentas!$A$1:$A$521),"")</f>
        <v>Nicolas</v>
      </c>
      <c r="B421" t="s">
        <v>457</v>
      </c>
      <c r="C421" t="s">
        <v>458</v>
      </c>
      <c r="D421" t="s">
        <v>16</v>
      </c>
      <c r="E421" t="s">
        <v>3139</v>
      </c>
      <c r="F421" t="s">
        <v>19</v>
      </c>
      <c r="G421" t="s">
        <v>19</v>
      </c>
      <c r="I421" s="2">
        <v>45615</v>
      </c>
      <c r="J421" t="s">
        <v>20</v>
      </c>
      <c r="K421" s="21">
        <v>-333</v>
      </c>
      <c r="L421" s="21">
        <v>-333</v>
      </c>
      <c r="M421">
        <v>0</v>
      </c>
      <c r="N421" s="21">
        <v>-333</v>
      </c>
    </row>
    <row r="422" spans="1:14">
      <c r="A422" t="str">
        <f>IFERROR(_xlfn.XLOOKUP(B422,Cuentas!$C$1:$C$521,Cuentas!$A$1:$A$521),"")</f>
        <v>Nicolas</v>
      </c>
      <c r="B422" t="s">
        <v>457</v>
      </c>
      <c r="C422" t="s">
        <v>458</v>
      </c>
      <c r="D422" t="s">
        <v>16</v>
      </c>
      <c r="E422" t="s">
        <v>7</v>
      </c>
      <c r="F422" t="s">
        <v>461</v>
      </c>
      <c r="G422" t="s">
        <v>461</v>
      </c>
      <c r="H422" s="2">
        <v>45664</v>
      </c>
      <c r="I422" s="2">
        <v>45694</v>
      </c>
      <c r="J422" t="s">
        <v>20</v>
      </c>
      <c r="K422" s="21">
        <v>6415</v>
      </c>
      <c r="L422" s="21">
        <v>6415</v>
      </c>
      <c r="M422">
        <v>0</v>
      </c>
      <c r="N422" s="21">
        <v>6415</v>
      </c>
    </row>
    <row r="423" spans="1:14">
      <c r="A423" t="str">
        <f>IFERROR(_xlfn.XLOOKUP(B423,Cuentas!$C$1:$C$521,Cuentas!$A$1:$A$521),"")</f>
        <v>Nicolas</v>
      </c>
      <c r="B423" t="s">
        <v>457</v>
      </c>
      <c r="C423" t="s">
        <v>458</v>
      </c>
      <c r="D423" t="s">
        <v>16</v>
      </c>
      <c r="E423" t="s">
        <v>7</v>
      </c>
      <c r="F423" t="s">
        <v>462</v>
      </c>
      <c r="G423" t="s">
        <v>462</v>
      </c>
      <c r="H423" s="2">
        <v>45679</v>
      </c>
      <c r="I423" s="2">
        <v>45709</v>
      </c>
      <c r="J423" t="s">
        <v>20</v>
      </c>
      <c r="K423" s="21">
        <v>2720</v>
      </c>
      <c r="L423" s="21">
        <v>2720</v>
      </c>
      <c r="M423">
        <v>0</v>
      </c>
      <c r="N423" s="21">
        <v>2720</v>
      </c>
    </row>
    <row r="424" spans="1:14">
      <c r="A424" t="str">
        <f>IFERROR(_xlfn.XLOOKUP(B424,Cuentas!$C$1:$C$521,Cuentas!$A$1:$A$521),"")</f>
        <v>Nicolas</v>
      </c>
      <c r="B424" t="s">
        <v>457</v>
      </c>
      <c r="C424" t="s">
        <v>458</v>
      </c>
      <c r="D424" t="s">
        <v>16</v>
      </c>
      <c r="E424" t="s">
        <v>7</v>
      </c>
      <c r="F424" t="s">
        <v>463</v>
      </c>
      <c r="G424" t="s">
        <v>463</v>
      </c>
      <c r="H424" s="2">
        <v>45679</v>
      </c>
      <c r="I424" s="2">
        <v>45709</v>
      </c>
      <c r="J424" t="s">
        <v>20</v>
      </c>
      <c r="K424" s="21">
        <v>408</v>
      </c>
      <c r="L424" s="21">
        <v>408</v>
      </c>
      <c r="M424">
        <v>0</v>
      </c>
      <c r="N424" s="21">
        <v>408</v>
      </c>
    </row>
    <row r="425" spans="1:14">
      <c r="A425" t="str">
        <f>IFERROR(_xlfn.XLOOKUP(B425,Cuentas!$C$1:$C$521,Cuentas!$A$1:$A$521),"")</f>
        <v>Nicolas</v>
      </c>
      <c r="B425" t="s">
        <v>457</v>
      </c>
      <c r="C425" t="s">
        <v>458</v>
      </c>
      <c r="D425" t="s">
        <v>16</v>
      </c>
      <c r="E425" t="s">
        <v>7</v>
      </c>
      <c r="F425" t="s">
        <v>464</v>
      </c>
      <c r="G425" t="s">
        <v>464</v>
      </c>
      <c r="H425" s="2">
        <v>45681</v>
      </c>
      <c r="I425" s="2">
        <v>45711</v>
      </c>
      <c r="J425" t="s">
        <v>20</v>
      </c>
      <c r="K425" s="21">
        <v>612</v>
      </c>
      <c r="L425" s="21">
        <v>612</v>
      </c>
      <c r="M425">
        <v>0</v>
      </c>
      <c r="N425" s="21">
        <v>612</v>
      </c>
    </row>
    <row r="426" spans="1:14">
      <c r="A426" t="str">
        <f>IFERROR(_xlfn.XLOOKUP(B426,Cuentas!$C$1:$C$521,Cuentas!$A$1:$A$521),"")</f>
        <v>Nicolas</v>
      </c>
      <c r="B426" t="s">
        <v>457</v>
      </c>
      <c r="C426" t="s">
        <v>458</v>
      </c>
      <c r="D426" t="s">
        <v>16</v>
      </c>
      <c r="E426" t="s">
        <v>7</v>
      </c>
      <c r="F426" t="s">
        <v>465</v>
      </c>
      <c r="G426" t="s">
        <v>465</v>
      </c>
      <c r="H426" s="2">
        <v>45687</v>
      </c>
      <c r="I426" s="2">
        <v>45717</v>
      </c>
      <c r="J426" t="s">
        <v>20</v>
      </c>
      <c r="K426" s="21">
        <v>5375</v>
      </c>
      <c r="L426" s="21">
        <v>5375</v>
      </c>
      <c r="M426">
        <v>10</v>
      </c>
      <c r="N426" s="21">
        <v>5375</v>
      </c>
    </row>
    <row r="427" spans="1:14">
      <c r="A427" t="str">
        <f>IFERROR(_xlfn.XLOOKUP(B427,Cuentas!$C$1:$C$521,Cuentas!$A$1:$A$521),"")</f>
        <v>Nicolas</v>
      </c>
      <c r="B427" t="s">
        <v>457</v>
      </c>
      <c r="C427" t="s">
        <v>458</v>
      </c>
      <c r="D427" t="s">
        <v>16</v>
      </c>
      <c r="E427" t="s">
        <v>7</v>
      </c>
      <c r="F427" t="s">
        <v>466</v>
      </c>
      <c r="G427" t="s">
        <v>466</v>
      </c>
      <c r="H427" s="2">
        <v>45688</v>
      </c>
      <c r="I427" s="2">
        <v>45718</v>
      </c>
      <c r="J427" t="s">
        <v>20</v>
      </c>
      <c r="K427" s="21">
        <v>3377.05</v>
      </c>
      <c r="L427" s="21">
        <v>3377.05</v>
      </c>
      <c r="M427">
        <v>10</v>
      </c>
      <c r="N427" s="21">
        <v>3377.05</v>
      </c>
    </row>
    <row r="428" spans="1:14">
      <c r="A428" t="str">
        <f>IFERROR(_xlfn.XLOOKUP(B428,Cuentas!$C$1:$C$521,Cuentas!$A$1:$A$521),"")</f>
        <v>Nicolas</v>
      </c>
      <c r="B428" t="s">
        <v>457</v>
      </c>
      <c r="C428" t="s">
        <v>458</v>
      </c>
      <c r="D428" t="s">
        <v>16</v>
      </c>
      <c r="E428" t="s">
        <v>7</v>
      </c>
      <c r="F428" t="s">
        <v>467</v>
      </c>
      <c r="G428" t="s">
        <v>467</v>
      </c>
      <c r="H428" s="2">
        <v>45688</v>
      </c>
      <c r="I428" s="2">
        <v>45718</v>
      </c>
      <c r="J428" t="s">
        <v>20</v>
      </c>
      <c r="K428" s="21">
        <v>8928</v>
      </c>
      <c r="L428" s="21">
        <v>8928</v>
      </c>
      <c r="M428">
        <v>10</v>
      </c>
      <c r="N428" s="21">
        <v>8928</v>
      </c>
    </row>
    <row r="429" spans="1:14">
      <c r="A429" t="str">
        <f>IFERROR(_xlfn.XLOOKUP(B429,Cuentas!$C$1:$C$521,Cuentas!$A$1:$A$521),"")</f>
        <v>Nicolas</v>
      </c>
      <c r="B429" t="s">
        <v>457</v>
      </c>
      <c r="C429" t="s">
        <v>458</v>
      </c>
      <c r="D429" t="s">
        <v>16</v>
      </c>
      <c r="E429" t="s">
        <v>7</v>
      </c>
      <c r="F429" t="s">
        <v>468</v>
      </c>
      <c r="G429" t="s">
        <v>468</v>
      </c>
      <c r="H429" s="2">
        <v>45691</v>
      </c>
      <c r="I429" s="2">
        <v>45721</v>
      </c>
      <c r="J429" t="s">
        <v>20</v>
      </c>
      <c r="K429" s="21">
        <v>4590</v>
      </c>
      <c r="L429" s="21">
        <v>4590</v>
      </c>
      <c r="M429">
        <v>10</v>
      </c>
      <c r="N429" s="21">
        <v>4590</v>
      </c>
    </row>
    <row r="430" spans="1:14">
      <c r="A430" t="str">
        <f>IFERROR(_xlfn.XLOOKUP(B430,Cuentas!$C$1:$C$521,Cuentas!$A$1:$A$521),"")</f>
        <v>Nicolas</v>
      </c>
      <c r="B430" t="s">
        <v>457</v>
      </c>
      <c r="C430" t="s">
        <v>458</v>
      </c>
      <c r="D430" t="s">
        <v>16</v>
      </c>
      <c r="E430" t="s">
        <v>7</v>
      </c>
      <c r="F430" t="s">
        <v>469</v>
      </c>
      <c r="G430" t="s">
        <v>469</v>
      </c>
      <c r="H430" s="2">
        <v>45691</v>
      </c>
      <c r="I430" s="2">
        <v>45721</v>
      </c>
      <c r="J430" t="s">
        <v>20</v>
      </c>
      <c r="K430" s="21">
        <v>1040</v>
      </c>
      <c r="L430" s="21">
        <v>1040</v>
      </c>
      <c r="M430">
        <v>10</v>
      </c>
      <c r="N430" s="21">
        <v>1040</v>
      </c>
    </row>
    <row r="431" spans="1:14">
      <c r="A431" t="str">
        <f>IFERROR(_xlfn.XLOOKUP(B431,Cuentas!$C$1:$C$521,Cuentas!$A$1:$A$521),"")</f>
        <v>Nicolas</v>
      </c>
      <c r="B431" t="s">
        <v>457</v>
      </c>
      <c r="C431" t="s">
        <v>458</v>
      </c>
      <c r="D431" t="s">
        <v>16</v>
      </c>
      <c r="E431" t="s">
        <v>3139</v>
      </c>
      <c r="F431" t="s">
        <v>19</v>
      </c>
      <c r="G431" t="s">
        <v>19</v>
      </c>
      <c r="I431" s="2">
        <v>45726</v>
      </c>
      <c r="J431" t="s">
        <v>20</v>
      </c>
      <c r="K431" s="21">
        <v>-9721.06</v>
      </c>
      <c r="L431" s="21">
        <v>-9721.06</v>
      </c>
      <c r="M431">
        <v>11</v>
      </c>
      <c r="N431" s="21">
        <v>-9721.06</v>
      </c>
    </row>
    <row r="432" spans="1:14">
      <c r="A432" t="str">
        <f>IFERROR(_xlfn.XLOOKUP(B432,Cuentas!$C$1:$C$521,Cuentas!$A$1:$A$521),"")</f>
        <v>Nicolas</v>
      </c>
      <c r="B432" t="s">
        <v>457</v>
      </c>
      <c r="C432" t="s">
        <v>458</v>
      </c>
      <c r="D432" t="s">
        <v>16</v>
      </c>
      <c r="E432" t="s">
        <v>7</v>
      </c>
      <c r="F432" t="s">
        <v>470</v>
      </c>
      <c r="G432" t="s">
        <v>470</v>
      </c>
      <c r="H432" s="2">
        <v>45714</v>
      </c>
      <c r="I432" s="2">
        <v>45744</v>
      </c>
      <c r="J432" t="s">
        <v>20</v>
      </c>
      <c r="K432" s="21">
        <v>2040</v>
      </c>
      <c r="L432" s="21">
        <v>2040</v>
      </c>
      <c r="M432">
        <v>13</v>
      </c>
      <c r="N432" s="21">
        <v>2040</v>
      </c>
    </row>
    <row r="433" spans="1:14">
      <c r="A433" t="str">
        <f>IFERROR(_xlfn.XLOOKUP(B433,Cuentas!$C$1:$C$521,Cuentas!$A$1:$A$521),"")</f>
        <v>Nicolas</v>
      </c>
      <c r="B433" t="s">
        <v>457</v>
      </c>
      <c r="C433" t="s">
        <v>458</v>
      </c>
      <c r="D433" t="s">
        <v>16</v>
      </c>
      <c r="E433" t="s">
        <v>7</v>
      </c>
      <c r="F433" t="s">
        <v>471</v>
      </c>
      <c r="G433" t="s">
        <v>471</v>
      </c>
      <c r="H433" s="2">
        <v>45714</v>
      </c>
      <c r="I433" s="2">
        <v>45744</v>
      </c>
      <c r="J433" t="s">
        <v>20</v>
      </c>
      <c r="K433" s="21">
        <v>2040</v>
      </c>
      <c r="L433" s="21">
        <v>2040</v>
      </c>
      <c r="M433">
        <v>13</v>
      </c>
      <c r="N433" s="21">
        <v>2040</v>
      </c>
    </row>
    <row r="434" spans="1:14">
      <c r="A434" t="str">
        <f>IFERROR(_xlfn.XLOOKUP(B434,Cuentas!$C$1:$C$521,Cuentas!$A$1:$A$521),"")</f>
        <v>Nicolas</v>
      </c>
      <c r="B434" t="s">
        <v>457</v>
      </c>
      <c r="C434" t="s">
        <v>458</v>
      </c>
      <c r="D434" t="s">
        <v>16</v>
      </c>
      <c r="E434" t="s">
        <v>7</v>
      </c>
      <c r="F434" t="s">
        <v>472</v>
      </c>
      <c r="G434" t="s">
        <v>472</v>
      </c>
      <c r="H434" s="2">
        <v>45719</v>
      </c>
      <c r="I434" s="2">
        <v>45749</v>
      </c>
      <c r="J434" t="s">
        <v>20</v>
      </c>
      <c r="K434" s="21">
        <v>1020</v>
      </c>
      <c r="L434" s="21">
        <v>1020</v>
      </c>
      <c r="M434">
        <v>0</v>
      </c>
      <c r="N434" s="21">
        <v>0</v>
      </c>
    </row>
    <row r="435" spans="1:14">
      <c r="A435" t="str">
        <f>IFERROR(_xlfn.XLOOKUP(B435,Cuentas!$C$1:$C$521,Cuentas!$A$1:$A$521),"")</f>
        <v>Nicolas</v>
      </c>
      <c r="B435" t="s">
        <v>457</v>
      </c>
      <c r="C435" t="s">
        <v>458</v>
      </c>
      <c r="D435" t="s">
        <v>16</v>
      </c>
      <c r="E435" t="s">
        <v>7</v>
      </c>
      <c r="F435" t="s">
        <v>473</v>
      </c>
      <c r="G435" t="s">
        <v>473</v>
      </c>
      <c r="H435" s="2">
        <v>45721</v>
      </c>
      <c r="I435" s="2">
        <v>45751</v>
      </c>
      <c r="J435" t="s">
        <v>20</v>
      </c>
      <c r="K435" s="21">
        <v>522</v>
      </c>
      <c r="L435" s="21">
        <v>522</v>
      </c>
      <c r="M435">
        <v>0</v>
      </c>
      <c r="N435" s="21">
        <v>0</v>
      </c>
    </row>
    <row r="436" spans="1:14">
      <c r="A436" t="str">
        <f>IFERROR(_xlfn.XLOOKUP(B436,Cuentas!$C$1:$C$521,Cuentas!$A$1:$A$521),"")</f>
        <v>Nicolas</v>
      </c>
      <c r="B436" t="s">
        <v>457</v>
      </c>
      <c r="C436" t="s">
        <v>458</v>
      </c>
      <c r="D436" t="s">
        <v>16</v>
      </c>
      <c r="E436" t="s">
        <v>7</v>
      </c>
      <c r="F436" t="s">
        <v>474</v>
      </c>
      <c r="G436" t="s">
        <v>474</v>
      </c>
      <c r="H436" s="2">
        <v>45723</v>
      </c>
      <c r="I436" s="2">
        <v>45753</v>
      </c>
      <c r="J436" t="s">
        <v>20</v>
      </c>
      <c r="K436" s="21">
        <v>4440</v>
      </c>
      <c r="L436" s="21">
        <v>4440</v>
      </c>
      <c r="M436">
        <v>0</v>
      </c>
      <c r="N436" s="21">
        <v>0</v>
      </c>
    </row>
    <row r="437" spans="1:14">
      <c r="A437" t="str">
        <f>IFERROR(_xlfn.XLOOKUP(B437,Cuentas!$C$1:$C$521,Cuentas!$A$1:$A$521),"")</f>
        <v>Nicolas</v>
      </c>
      <c r="B437" t="s">
        <v>457</v>
      </c>
      <c r="C437" t="s">
        <v>458</v>
      </c>
      <c r="D437" t="s">
        <v>16</v>
      </c>
      <c r="E437" t="s">
        <v>7</v>
      </c>
      <c r="F437" t="s">
        <v>475</v>
      </c>
      <c r="G437" t="s">
        <v>475</v>
      </c>
      <c r="H437" s="2">
        <v>45726</v>
      </c>
      <c r="I437" s="2">
        <v>45756</v>
      </c>
      <c r="J437" t="s">
        <v>20</v>
      </c>
      <c r="K437" s="21">
        <v>950</v>
      </c>
      <c r="L437" s="21">
        <v>950</v>
      </c>
      <c r="M437">
        <v>0</v>
      </c>
      <c r="N437" s="21">
        <v>0</v>
      </c>
    </row>
    <row r="438" spans="1:14">
      <c r="A438" t="str">
        <f>IFERROR(_xlfn.XLOOKUP(B438,Cuentas!$C$1:$C$521,Cuentas!$A$1:$A$521),"")</f>
        <v>Nicolas</v>
      </c>
      <c r="B438" t="s">
        <v>457</v>
      </c>
      <c r="C438" t="s">
        <v>458</v>
      </c>
      <c r="D438" t="s">
        <v>16</v>
      </c>
      <c r="E438" t="s">
        <v>7</v>
      </c>
      <c r="F438" t="s">
        <v>476</v>
      </c>
      <c r="G438" t="s">
        <v>476</v>
      </c>
      <c r="H438" s="2">
        <v>45728</v>
      </c>
      <c r="I438" s="2">
        <v>45758</v>
      </c>
      <c r="J438" t="s">
        <v>20</v>
      </c>
      <c r="K438" s="21">
        <v>1064</v>
      </c>
      <c r="L438" s="21">
        <v>1064</v>
      </c>
      <c r="M438">
        <v>0</v>
      </c>
      <c r="N438" s="21">
        <v>0</v>
      </c>
    </row>
    <row r="439" spans="1:14">
      <c r="A439" t="str">
        <f>IFERROR(_xlfn.XLOOKUP(B439,Cuentas!$C$1:$C$521,Cuentas!$A$1:$A$521),"")</f>
        <v>Nicolas</v>
      </c>
      <c r="B439" t="s">
        <v>457</v>
      </c>
      <c r="C439" t="s">
        <v>458</v>
      </c>
      <c r="D439" t="s">
        <v>16</v>
      </c>
      <c r="E439" t="s">
        <v>7</v>
      </c>
      <c r="F439" t="s">
        <v>477</v>
      </c>
      <c r="G439" t="s">
        <v>477</v>
      </c>
      <c r="H439" s="2">
        <v>45735</v>
      </c>
      <c r="I439" s="2">
        <v>45765</v>
      </c>
      <c r="J439" t="s">
        <v>20</v>
      </c>
      <c r="K439" s="21">
        <v>5246</v>
      </c>
      <c r="L439" s="21">
        <v>5246</v>
      </c>
      <c r="M439">
        <v>0</v>
      </c>
      <c r="N439" s="21">
        <v>0</v>
      </c>
    </row>
    <row r="440" spans="1:14">
      <c r="A440" t="str">
        <f>IFERROR(_xlfn.XLOOKUP(B440,Cuentas!$C$1:$C$521,Cuentas!$A$1:$A$521),"")</f>
        <v>Nicolas</v>
      </c>
      <c r="B440" t="s">
        <v>457</v>
      </c>
      <c r="C440" t="s">
        <v>458</v>
      </c>
      <c r="D440" t="s">
        <v>16</v>
      </c>
      <c r="E440" t="s">
        <v>7</v>
      </c>
      <c r="F440" t="s">
        <v>478</v>
      </c>
      <c r="G440" t="s">
        <v>478</v>
      </c>
      <c r="H440" s="2">
        <v>45740</v>
      </c>
      <c r="I440" s="2">
        <v>45770</v>
      </c>
      <c r="J440" t="s">
        <v>20</v>
      </c>
      <c r="K440" s="21">
        <v>3740</v>
      </c>
      <c r="L440" s="21">
        <v>3740</v>
      </c>
      <c r="M440">
        <v>0</v>
      </c>
      <c r="N440" s="21">
        <v>0</v>
      </c>
    </row>
    <row r="441" spans="1:14">
      <c r="A441" t="str">
        <f>IFERROR(_xlfn.XLOOKUP(B441,Cuentas!$C$1:$C$521,Cuentas!$A$1:$A$521),"")</f>
        <v>Nicolas</v>
      </c>
      <c r="B441" t="s">
        <v>479</v>
      </c>
      <c r="C441" t="s">
        <v>480</v>
      </c>
      <c r="D441" t="s">
        <v>16</v>
      </c>
      <c r="E441" t="s">
        <v>7</v>
      </c>
      <c r="F441" t="s">
        <v>481</v>
      </c>
      <c r="G441" t="s">
        <v>481</v>
      </c>
      <c r="H441" s="2">
        <v>45656</v>
      </c>
      <c r="I441" s="2">
        <v>45686</v>
      </c>
      <c r="J441" t="s">
        <v>20</v>
      </c>
      <c r="K441" s="21">
        <v>999.25</v>
      </c>
      <c r="L441" s="21">
        <v>98</v>
      </c>
      <c r="M441">
        <v>0</v>
      </c>
      <c r="N441" s="21">
        <v>98</v>
      </c>
    </row>
    <row r="442" spans="1:14">
      <c r="A442" t="str">
        <f>IFERROR(_xlfn.XLOOKUP(B442,Cuentas!$C$1:$C$521,Cuentas!$A$1:$A$521),"")</f>
        <v>Nicolas</v>
      </c>
      <c r="B442" t="s">
        <v>479</v>
      </c>
      <c r="C442" t="s">
        <v>480</v>
      </c>
      <c r="D442" t="s">
        <v>16</v>
      </c>
      <c r="E442" t="s">
        <v>3139</v>
      </c>
      <c r="F442" t="s">
        <v>481</v>
      </c>
      <c r="G442" t="s">
        <v>481</v>
      </c>
      <c r="I442" s="2">
        <v>45679</v>
      </c>
      <c r="J442" t="s">
        <v>20</v>
      </c>
      <c r="K442" s="21">
        <v>-901.25</v>
      </c>
      <c r="L442" s="21" t="s">
        <v>86</v>
      </c>
      <c r="M442">
        <v>0</v>
      </c>
      <c r="N442" s="21" t="s">
        <v>86</v>
      </c>
    </row>
    <row r="443" spans="1:14">
      <c r="A443" t="str">
        <f>IFERROR(_xlfn.XLOOKUP(B443,Cuentas!$C$1:$C$521,Cuentas!$A$1:$A$521),"")</f>
        <v>Nicolas</v>
      </c>
      <c r="B443" t="s">
        <v>479</v>
      </c>
      <c r="C443" t="s">
        <v>480</v>
      </c>
      <c r="D443" t="s">
        <v>16</v>
      </c>
      <c r="E443" t="s">
        <v>7</v>
      </c>
      <c r="F443" t="s">
        <v>482</v>
      </c>
      <c r="G443" t="s">
        <v>482</v>
      </c>
      <c r="H443" s="2">
        <v>45659</v>
      </c>
      <c r="I443" s="2">
        <v>45689</v>
      </c>
      <c r="J443" t="s">
        <v>20</v>
      </c>
      <c r="K443" s="21">
        <v>2965</v>
      </c>
      <c r="L443" s="21">
        <v>2965</v>
      </c>
      <c r="M443">
        <v>0</v>
      </c>
      <c r="N443" s="21">
        <v>2965</v>
      </c>
    </row>
    <row r="444" spans="1:14">
      <c r="A444" t="str">
        <f>IFERROR(_xlfn.XLOOKUP(B444,Cuentas!$C$1:$C$521,Cuentas!$A$1:$A$521),"")</f>
        <v>Nicolas</v>
      </c>
      <c r="B444" t="s">
        <v>479</v>
      </c>
      <c r="C444" t="s">
        <v>480</v>
      </c>
      <c r="D444" t="s">
        <v>16</v>
      </c>
      <c r="E444" t="s">
        <v>7</v>
      </c>
      <c r="F444" t="s">
        <v>483</v>
      </c>
      <c r="G444" t="s">
        <v>483</v>
      </c>
      <c r="H444" s="2">
        <v>45670</v>
      </c>
      <c r="I444" s="2">
        <v>45700</v>
      </c>
      <c r="J444" t="s">
        <v>20</v>
      </c>
      <c r="K444" s="21">
        <v>9650.91</v>
      </c>
      <c r="L444" s="21">
        <v>180.91</v>
      </c>
      <c r="M444">
        <v>0</v>
      </c>
      <c r="N444" s="21">
        <v>180.91</v>
      </c>
    </row>
    <row r="445" spans="1:14">
      <c r="A445" t="str">
        <f>IFERROR(_xlfn.XLOOKUP(B445,Cuentas!$C$1:$C$521,Cuentas!$A$1:$A$521),"")</f>
        <v>Nicolas</v>
      </c>
      <c r="B445" t="s">
        <v>479</v>
      </c>
      <c r="C445" t="s">
        <v>480</v>
      </c>
      <c r="D445" t="s">
        <v>16</v>
      </c>
      <c r="E445" t="s">
        <v>3139</v>
      </c>
      <c r="F445" t="s">
        <v>483</v>
      </c>
      <c r="G445" t="s">
        <v>483</v>
      </c>
      <c r="I445" s="2">
        <v>45695</v>
      </c>
      <c r="J445" t="s">
        <v>20</v>
      </c>
      <c r="K445" s="21">
        <v>-9470</v>
      </c>
      <c r="L445" s="21" t="s">
        <v>86</v>
      </c>
      <c r="M445">
        <v>0</v>
      </c>
      <c r="N445" s="21" t="s">
        <v>86</v>
      </c>
    </row>
    <row r="446" spans="1:14">
      <c r="A446" t="str">
        <f>IFERROR(_xlfn.XLOOKUP(B446,Cuentas!$C$1:$C$521,Cuentas!$A$1:$A$521),"")</f>
        <v>Nicolas</v>
      </c>
      <c r="B446" t="s">
        <v>479</v>
      </c>
      <c r="C446" t="s">
        <v>480</v>
      </c>
      <c r="D446" t="s">
        <v>16</v>
      </c>
      <c r="E446" t="s">
        <v>7</v>
      </c>
      <c r="F446" t="s">
        <v>484</v>
      </c>
      <c r="G446" t="s">
        <v>484</v>
      </c>
      <c r="H446" s="2">
        <v>45681</v>
      </c>
      <c r="I446" s="2">
        <v>45711</v>
      </c>
      <c r="J446" t="s">
        <v>20</v>
      </c>
      <c r="K446" s="21">
        <v>1800</v>
      </c>
      <c r="L446" s="21">
        <v>400</v>
      </c>
      <c r="M446">
        <v>0</v>
      </c>
      <c r="N446" s="21">
        <v>400</v>
      </c>
    </row>
    <row r="447" spans="1:14">
      <c r="A447" t="str">
        <f>IFERROR(_xlfn.XLOOKUP(B447,Cuentas!$C$1:$C$521,Cuentas!$A$1:$A$521),"")</f>
        <v>Nicolas</v>
      </c>
      <c r="B447" t="s">
        <v>479</v>
      </c>
      <c r="C447" t="s">
        <v>480</v>
      </c>
      <c r="D447" t="s">
        <v>16</v>
      </c>
      <c r="E447" t="s">
        <v>3139</v>
      </c>
      <c r="F447" t="s">
        <v>484</v>
      </c>
      <c r="G447" t="s">
        <v>484</v>
      </c>
      <c r="I447" s="2">
        <v>45712</v>
      </c>
      <c r="J447" t="s">
        <v>20</v>
      </c>
      <c r="K447" s="21">
        <v>-1400</v>
      </c>
      <c r="L447" s="21" t="s">
        <v>86</v>
      </c>
      <c r="M447">
        <v>0</v>
      </c>
      <c r="N447" s="21" t="s">
        <v>86</v>
      </c>
    </row>
    <row r="448" spans="1:14">
      <c r="A448" t="str">
        <f>IFERROR(_xlfn.XLOOKUP(B448,Cuentas!$C$1:$C$521,Cuentas!$A$1:$A$521),"")</f>
        <v>Nicolas</v>
      </c>
      <c r="B448" t="s">
        <v>479</v>
      </c>
      <c r="C448" t="s">
        <v>480</v>
      </c>
      <c r="D448" t="s">
        <v>16</v>
      </c>
      <c r="E448" t="s">
        <v>7</v>
      </c>
      <c r="F448" t="s">
        <v>485</v>
      </c>
      <c r="G448" t="s">
        <v>485</v>
      </c>
      <c r="H448" s="2">
        <v>45712</v>
      </c>
      <c r="I448" s="2">
        <v>45742</v>
      </c>
      <c r="J448" t="s">
        <v>20</v>
      </c>
      <c r="K448" s="21">
        <v>4721.45</v>
      </c>
      <c r="L448" s="21">
        <v>4721.45</v>
      </c>
      <c r="M448">
        <v>13</v>
      </c>
      <c r="N448" s="21">
        <v>4721.45</v>
      </c>
    </row>
    <row r="449" spans="1:14">
      <c r="A449" t="str">
        <f>IFERROR(_xlfn.XLOOKUP(B449,Cuentas!$C$1:$C$521,Cuentas!$A$1:$A$521),"")</f>
        <v>Nicolas</v>
      </c>
      <c r="B449" t="s">
        <v>479</v>
      </c>
      <c r="C449" t="s">
        <v>480</v>
      </c>
      <c r="D449" t="s">
        <v>16</v>
      </c>
      <c r="E449" t="s">
        <v>7</v>
      </c>
      <c r="F449" t="s">
        <v>486</v>
      </c>
      <c r="G449" t="s">
        <v>486</v>
      </c>
      <c r="H449" s="2">
        <v>45720</v>
      </c>
      <c r="I449" s="2">
        <v>45750</v>
      </c>
      <c r="J449" t="s">
        <v>20</v>
      </c>
      <c r="K449" s="21">
        <v>3698.34</v>
      </c>
      <c r="L449" s="21">
        <v>3698.34</v>
      </c>
      <c r="M449">
        <v>0</v>
      </c>
      <c r="N449" s="21">
        <v>0</v>
      </c>
    </row>
    <row r="450" spans="1:14">
      <c r="A450" t="str">
        <f>IFERROR(_xlfn.XLOOKUP(B450,Cuentas!$C$1:$C$521,Cuentas!$A$1:$A$521),"")</f>
        <v>Nicolas</v>
      </c>
      <c r="B450" t="s">
        <v>479</v>
      </c>
      <c r="C450" t="s">
        <v>480</v>
      </c>
      <c r="D450" t="s">
        <v>16</v>
      </c>
      <c r="E450" t="s">
        <v>7</v>
      </c>
      <c r="F450" t="s">
        <v>487</v>
      </c>
      <c r="G450" t="s">
        <v>487</v>
      </c>
      <c r="H450" s="2">
        <v>45733</v>
      </c>
      <c r="I450" s="2">
        <v>45763</v>
      </c>
      <c r="J450" t="s">
        <v>20</v>
      </c>
      <c r="K450" s="21">
        <v>7008</v>
      </c>
      <c r="L450" s="21">
        <v>7008</v>
      </c>
      <c r="M450">
        <v>0</v>
      </c>
      <c r="N450" s="21">
        <v>0</v>
      </c>
    </row>
    <row r="451" spans="1:14">
      <c r="A451" t="str">
        <f>IFERROR(_xlfn.XLOOKUP(B451,Cuentas!$C$1:$C$521,Cuentas!$A$1:$A$521),"")</f>
        <v>Nicolas</v>
      </c>
      <c r="B451" t="s">
        <v>479</v>
      </c>
      <c r="C451" t="s">
        <v>480</v>
      </c>
      <c r="D451" t="s">
        <v>16</v>
      </c>
      <c r="E451" t="s">
        <v>7</v>
      </c>
      <c r="F451" t="s">
        <v>488</v>
      </c>
      <c r="G451" t="s">
        <v>488</v>
      </c>
      <c r="H451" s="2">
        <v>45733</v>
      </c>
      <c r="I451" s="2">
        <v>45763</v>
      </c>
      <c r="J451" t="s">
        <v>20</v>
      </c>
      <c r="K451" s="21">
        <v>6553.75</v>
      </c>
      <c r="L451" s="21">
        <v>6553.75</v>
      </c>
      <c r="M451">
        <v>0</v>
      </c>
      <c r="N451" s="21">
        <v>0</v>
      </c>
    </row>
    <row r="452" spans="1:14">
      <c r="A452" t="str">
        <f>IFERROR(_xlfn.XLOOKUP(B452,Cuentas!$C$1:$C$521,Cuentas!$A$1:$A$521),"")</f>
        <v>Nicolas</v>
      </c>
      <c r="B452" t="s">
        <v>489</v>
      </c>
      <c r="C452" t="s">
        <v>490</v>
      </c>
      <c r="D452" t="s">
        <v>16</v>
      </c>
      <c r="E452" t="s">
        <v>7</v>
      </c>
      <c r="F452" t="s">
        <v>491</v>
      </c>
      <c r="G452" t="s">
        <v>491</v>
      </c>
      <c r="H452" s="2">
        <v>45701</v>
      </c>
      <c r="I452" s="2">
        <v>45731</v>
      </c>
      <c r="J452" t="s">
        <v>20</v>
      </c>
      <c r="K452" s="21">
        <v>6645</v>
      </c>
      <c r="L452" s="21">
        <v>6645</v>
      </c>
      <c r="M452">
        <v>11</v>
      </c>
      <c r="N452" s="21">
        <v>6645</v>
      </c>
    </row>
    <row r="453" spans="1:14">
      <c r="A453" t="str">
        <f>IFERROR(_xlfn.XLOOKUP(B453,Cuentas!$C$1:$C$521,Cuentas!$A$1:$A$521),"")</f>
        <v>Nicolas</v>
      </c>
      <c r="B453" t="s">
        <v>489</v>
      </c>
      <c r="C453" t="s">
        <v>490</v>
      </c>
      <c r="D453" t="s">
        <v>16</v>
      </c>
      <c r="E453" t="s">
        <v>7</v>
      </c>
      <c r="F453" t="s">
        <v>492</v>
      </c>
      <c r="G453" t="s">
        <v>492</v>
      </c>
      <c r="H453" s="2">
        <v>45706</v>
      </c>
      <c r="I453" s="2">
        <v>45736</v>
      </c>
      <c r="J453" t="s">
        <v>20</v>
      </c>
      <c r="K453" s="21">
        <v>517</v>
      </c>
      <c r="L453" s="21">
        <v>517</v>
      </c>
      <c r="M453">
        <v>12</v>
      </c>
      <c r="N453" s="21">
        <v>517</v>
      </c>
    </row>
    <row r="454" spans="1:14">
      <c r="A454" t="str">
        <f>IFERROR(_xlfn.XLOOKUP(B454,Cuentas!$C$1:$C$521,Cuentas!$A$1:$A$521),"")</f>
        <v>Nicolas</v>
      </c>
      <c r="B454" t="s">
        <v>489</v>
      </c>
      <c r="C454" t="s">
        <v>490</v>
      </c>
      <c r="D454" t="s">
        <v>16</v>
      </c>
      <c r="E454" t="s">
        <v>7</v>
      </c>
      <c r="F454" t="s">
        <v>493</v>
      </c>
      <c r="G454" t="s">
        <v>493</v>
      </c>
      <c r="H454" s="2">
        <v>45706</v>
      </c>
      <c r="I454" s="2">
        <v>45736</v>
      </c>
      <c r="J454" t="s">
        <v>20</v>
      </c>
      <c r="K454" s="21">
        <v>3943</v>
      </c>
      <c r="L454" s="21">
        <v>3943</v>
      </c>
      <c r="M454">
        <v>12</v>
      </c>
      <c r="N454" s="21">
        <v>3943</v>
      </c>
    </row>
    <row r="455" spans="1:14">
      <c r="A455" t="str">
        <f>IFERROR(_xlfn.XLOOKUP(B455,Cuentas!$C$1:$C$521,Cuentas!$A$1:$A$521),"")</f>
        <v>Nicolas</v>
      </c>
      <c r="B455" t="s">
        <v>489</v>
      </c>
      <c r="C455" t="s">
        <v>490</v>
      </c>
      <c r="D455" t="s">
        <v>16</v>
      </c>
      <c r="E455" t="s">
        <v>7</v>
      </c>
      <c r="F455" t="s">
        <v>494</v>
      </c>
      <c r="G455" t="s">
        <v>494</v>
      </c>
      <c r="H455" s="2">
        <v>45707</v>
      </c>
      <c r="I455" s="2">
        <v>45737</v>
      </c>
      <c r="J455" t="s">
        <v>20</v>
      </c>
      <c r="K455" s="21">
        <v>1482</v>
      </c>
      <c r="L455" s="21">
        <v>1482</v>
      </c>
      <c r="M455">
        <v>12</v>
      </c>
      <c r="N455" s="21">
        <v>1482</v>
      </c>
    </row>
    <row r="456" spans="1:14">
      <c r="A456" t="str">
        <f>IFERROR(_xlfn.XLOOKUP(B456,Cuentas!$C$1:$C$521,Cuentas!$A$1:$A$521),"")</f>
        <v>Nicolas</v>
      </c>
      <c r="B456" t="s">
        <v>489</v>
      </c>
      <c r="C456" t="s">
        <v>490</v>
      </c>
      <c r="D456" t="s">
        <v>16</v>
      </c>
      <c r="E456" t="s">
        <v>7</v>
      </c>
      <c r="F456" t="s">
        <v>495</v>
      </c>
      <c r="G456" t="s">
        <v>495</v>
      </c>
      <c r="H456" s="2">
        <v>45712</v>
      </c>
      <c r="I456" s="2">
        <v>45742</v>
      </c>
      <c r="J456" t="s">
        <v>20</v>
      </c>
      <c r="K456" s="21">
        <v>2746.25</v>
      </c>
      <c r="L456" s="21">
        <v>2746.25</v>
      </c>
      <c r="M456">
        <v>13</v>
      </c>
      <c r="N456" s="21">
        <v>2746.25</v>
      </c>
    </row>
    <row r="457" spans="1:14">
      <c r="A457" t="str">
        <f>IFERROR(_xlfn.XLOOKUP(B457,Cuentas!$C$1:$C$521,Cuentas!$A$1:$A$521),"")</f>
        <v>Nicolas</v>
      </c>
      <c r="B457" t="s">
        <v>489</v>
      </c>
      <c r="C457" t="s">
        <v>490</v>
      </c>
      <c r="D457" t="s">
        <v>16</v>
      </c>
      <c r="E457" t="s">
        <v>7</v>
      </c>
      <c r="F457" t="s">
        <v>496</v>
      </c>
      <c r="G457" t="s">
        <v>496</v>
      </c>
      <c r="H457" s="2">
        <v>45712</v>
      </c>
      <c r="I457" s="2">
        <v>45742</v>
      </c>
      <c r="J457" t="s">
        <v>20</v>
      </c>
      <c r="K457" s="21">
        <v>34374.9</v>
      </c>
      <c r="L457" s="21">
        <v>34374.9</v>
      </c>
      <c r="M457">
        <v>13</v>
      </c>
      <c r="N457" s="21">
        <v>34374.9</v>
      </c>
    </row>
    <row r="458" spans="1:14">
      <c r="A458" t="str">
        <f>IFERROR(_xlfn.XLOOKUP(B458,Cuentas!$C$1:$C$521,Cuentas!$A$1:$A$521),"")</f>
        <v>Nicolas</v>
      </c>
      <c r="B458" t="s">
        <v>489</v>
      </c>
      <c r="C458" t="s">
        <v>490</v>
      </c>
      <c r="D458" t="s">
        <v>16</v>
      </c>
      <c r="E458" t="s">
        <v>7</v>
      </c>
      <c r="F458" t="s">
        <v>497</v>
      </c>
      <c r="G458" t="s">
        <v>497</v>
      </c>
      <c r="H458" s="2">
        <v>45713</v>
      </c>
      <c r="I458" s="2">
        <v>45743</v>
      </c>
      <c r="J458" t="s">
        <v>20</v>
      </c>
      <c r="K458" s="21">
        <v>1395</v>
      </c>
      <c r="L458" s="21">
        <v>1395</v>
      </c>
      <c r="M458">
        <v>13</v>
      </c>
      <c r="N458" s="21">
        <v>1395</v>
      </c>
    </row>
    <row r="459" spans="1:14">
      <c r="A459" t="str">
        <f>IFERROR(_xlfn.XLOOKUP(B459,Cuentas!$C$1:$C$521,Cuentas!$A$1:$A$521),"")</f>
        <v>Nicolas</v>
      </c>
      <c r="B459" t="s">
        <v>489</v>
      </c>
      <c r="C459" t="s">
        <v>490</v>
      </c>
      <c r="D459" t="s">
        <v>16</v>
      </c>
      <c r="E459" t="s">
        <v>7</v>
      </c>
      <c r="F459" t="s">
        <v>498</v>
      </c>
      <c r="G459" t="s">
        <v>498</v>
      </c>
      <c r="H459" s="2">
        <v>45716</v>
      </c>
      <c r="I459" s="2">
        <v>45746</v>
      </c>
      <c r="J459" t="s">
        <v>20</v>
      </c>
      <c r="K459" s="21">
        <v>2767.83</v>
      </c>
      <c r="L459" s="21">
        <v>2767.83</v>
      </c>
      <c r="M459">
        <v>13</v>
      </c>
      <c r="N459" s="21">
        <v>2767.83</v>
      </c>
    </row>
    <row r="460" spans="1:14">
      <c r="A460" t="str">
        <f>IFERROR(_xlfn.XLOOKUP(B460,Cuentas!$C$1:$C$521,Cuentas!$A$1:$A$521),"")</f>
        <v>Nicolas</v>
      </c>
      <c r="B460" t="s">
        <v>489</v>
      </c>
      <c r="C460" t="s">
        <v>490</v>
      </c>
      <c r="D460" t="s">
        <v>16</v>
      </c>
      <c r="E460" t="s">
        <v>7</v>
      </c>
      <c r="F460" t="s">
        <v>499</v>
      </c>
      <c r="G460" t="s">
        <v>499</v>
      </c>
      <c r="H460" s="2">
        <v>45716</v>
      </c>
      <c r="I460" s="2">
        <v>45746</v>
      </c>
      <c r="J460" t="s">
        <v>20</v>
      </c>
      <c r="K460" s="21">
        <v>2100</v>
      </c>
      <c r="L460" s="21">
        <v>2100</v>
      </c>
      <c r="M460">
        <v>13</v>
      </c>
      <c r="N460" s="21">
        <v>2100</v>
      </c>
    </row>
    <row r="461" spans="1:14">
      <c r="A461" t="str">
        <f>IFERROR(_xlfn.XLOOKUP(B461,Cuentas!$C$1:$C$521,Cuentas!$A$1:$A$521),"")</f>
        <v>Nicolas</v>
      </c>
      <c r="B461" t="s">
        <v>489</v>
      </c>
      <c r="C461" t="s">
        <v>490</v>
      </c>
      <c r="D461" t="s">
        <v>16</v>
      </c>
      <c r="E461" t="s">
        <v>7</v>
      </c>
      <c r="F461" t="s">
        <v>500</v>
      </c>
      <c r="G461" t="s">
        <v>500</v>
      </c>
      <c r="H461" s="2">
        <v>45716</v>
      </c>
      <c r="I461" s="2">
        <v>45746</v>
      </c>
      <c r="J461" t="s">
        <v>20</v>
      </c>
      <c r="K461" s="21">
        <v>1680</v>
      </c>
      <c r="L461" s="21">
        <v>1680</v>
      </c>
      <c r="M461">
        <v>13</v>
      </c>
      <c r="N461" s="21">
        <v>1680</v>
      </c>
    </row>
    <row r="462" spans="1:14">
      <c r="A462" t="str">
        <f>IFERROR(_xlfn.XLOOKUP(B462,Cuentas!$C$1:$C$521,Cuentas!$A$1:$A$521),"")</f>
        <v>Nicolas</v>
      </c>
      <c r="B462" t="s">
        <v>489</v>
      </c>
      <c r="C462" t="s">
        <v>490</v>
      </c>
      <c r="D462" t="s">
        <v>16</v>
      </c>
      <c r="E462" t="s">
        <v>7</v>
      </c>
      <c r="F462" t="s">
        <v>501</v>
      </c>
      <c r="G462" t="s">
        <v>501</v>
      </c>
      <c r="H462" s="2">
        <v>45719</v>
      </c>
      <c r="I462" s="2">
        <v>45749</v>
      </c>
      <c r="J462" t="s">
        <v>20</v>
      </c>
      <c r="K462" s="21">
        <v>3192.5</v>
      </c>
      <c r="L462" s="21">
        <v>3192.5</v>
      </c>
      <c r="M462">
        <v>0</v>
      </c>
      <c r="N462" s="21">
        <v>0</v>
      </c>
    </row>
    <row r="463" spans="1:14">
      <c r="A463" t="str">
        <f>IFERROR(_xlfn.XLOOKUP(B463,Cuentas!$C$1:$C$521,Cuentas!$A$1:$A$521),"")</f>
        <v>Nicolas</v>
      </c>
      <c r="B463" t="s">
        <v>489</v>
      </c>
      <c r="C463" t="s">
        <v>490</v>
      </c>
      <c r="D463" t="s">
        <v>16</v>
      </c>
      <c r="E463" t="s">
        <v>7</v>
      </c>
      <c r="F463" t="s">
        <v>502</v>
      </c>
      <c r="G463" t="s">
        <v>502</v>
      </c>
      <c r="H463" s="2">
        <v>45728</v>
      </c>
      <c r="I463" s="2">
        <v>45758</v>
      </c>
      <c r="J463" t="s">
        <v>20</v>
      </c>
      <c r="K463" s="21">
        <v>25591</v>
      </c>
      <c r="L463" s="21">
        <v>25591</v>
      </c>
      <c r="M463">
        <v>0</v>
      </c>
      <c r="N463" s="21">
        <v>0</v>
      </c>
    </row>
    <row r="464" spans="1:14">
      <c r="A464" t="str">
        <f>IFERROR(_xlfn.XLOOKUP(B464,Cuentas!$C$1:$C$521,Cuentas!$A$1:$A$521),"")</f>
        <v>Nicolas</v>
      </c>
      <c r="B464" t="s">
        <v>489</v>
      </c>
      <c r="C464" t="s">
        <v>490</v>
      </c>
      <c r="D464" t="s">
        <v>16</v>
      </c>
      <c r="E464" t="s">
        <v>7</v>
      </c>
      <c r="F464" t="s">
        <v>503</v>
      </c>
      <c r="G464" t="s">
        <v>503</v>
      </c>
      <c r="H464" s="2">
        <v>45733</v>
      </c>
      <c r="I464" s="2">
        <v>45763</v>
      </c>
      <c r="J464" t="s">
        <v>20</v>
      </c>
      <c r="K464" s="21">
        <v>2255</v>
      </c>
      <c r="L464" s="21">
        <v>2255</v>
      </c>
      <c r="M464">
        <v>0</v>
      </c>
      <c r="N464" s="21">
        <v>0</v>
      </c>
    </row>
    <row r="465" spans="1:14">
      <c r="A465" t="str">
        <f>IFERROR(_xlfn.XLOOKUP(B465,Cuentas!$C$1:$C$521,Cuentas!$A$1:$A$521),"")</f>
        <v>Nicolas</v>
      </c>
      <c r="B465" t="s">
        <v>489</v>
      </c>
      <c r="C465" t="s">
        <v>490</v>
      </c>
      <c r="D465" t="s">
        <v>16</v>
      </c>
      <c r="E465" t="s">
        <v>7</v>
      </c>
      <c r="F465" t="s">
        <v>504</v>
      </c>
      <c r="G465" t="s">
        <v>504</v>
      </c>
      <c r="H465" s="2">
        <v>45737</v>
      </c>
      <c r="I465" s="2">
        <v>45767</v>
      </c>
      <c r="J465" t="s">
        <v>20</v>
      </c>
      <c r="K465" s="21">
        <v>5490</v>
      </c>
      <c r="L465" s="21">
        <v>5490</v>
      </c>
      <c r="M465">
        <v>0</v>
      </c>
      <c r="N465" s="21">
        <v>0</v>
      </c>
    </row>
    <row r="466" spans="1:14">
      <c r="A466" t="str">
        <f>IFERROR(_xlfn.XLOOKUP(B466,Cuentas!$C$1:$C$521,Cuentas!$A$1:$A$521),"")</f>
        <v>Nicolas</v>
      </c>
      <c r="B466" t="s">
        <v>489</v>
      </c>
      <c r="C466" t="s">
        <v>490</v>
      </c>
      <c r="D466" t="s">
        <v>16</v>
      </c>
      <c r="E466" t="s">
        <v>7</v>
      </c>
      <c r="F466" t="s">
        <v>505</v>
      </c>
      <c r="G466" t="s">
        <v>505</v>
      </c>
      <c r="H466" s="2">
        <v>45742</v>
      </c>
      <c r="I466" s="2">
        <v>45772</v>
      </c>
      <c r="J466" t="s">
        <v>20</v>
      </c>
      <c r="K466" s="21">
        <v>27984</v>
      </c>
      <c r="L466" s="21">
        <v>27984</v>
      </c>
      <c r="M466">
        <v>0</v>
      </c>
      <c r="N466" s="21">
        <v>0</v>
      </c>
    </row>
    <row r="467" spans="1:14">
      <c r="A467" t="str">
        <f>IFERROR(_xlfn.XLOOKUP(B467,Cuentas!$C$1:$C$521,Cuentas!$A$1:$A$521),"")</f>
        <v>Yuldor</v>
      </c>
      <c r="B467" t="s">
        <v>506</v>
      </c>
      <c r="C467" t="s">
        <v>507</v>
      </c>
      <c r="D467" t="s">
        <v>213</v>
      </c>
      <c r="E467" t="s">
        <v>5502</v>
      </c>
      <c r="F467" t="s">
        <v>508</v>
      </c>
      <c r="G467" t="s">
        <v>19</v>
      </c>
      <c r="I467" s="2">
        <v>45519</v>
      </c>
      <c r="J467" t="s">
        <v>20</v>
      </c>
      <c r="K467" s="21">
        <v>-92.32</v>
      </c>
      <c r="L467" s="21">
        <v>-92.32</v>
      </c>
      <c r="M467">
        <v>0</v>
      </c>
      <c r="N467" s="21">
        <v>-92.32</v>
      </c>
    </row>
    <row r="468" spans="1:14">
      <c r="A468" t="str">
        <f>IFERROR(_xlfn.XLOOKUP(B468,Cuentas!$C$1:$C$521,Cuentas!$A$1:$A$521),"")</f>
        <v>Yuldor</v>
      </c>
      <c r="B468" t="s">
        <v>506</v>
      </c>
      <c r="C468" t="s">
        <v>507</v>
      </c>
      <c r="D468" t="s">
        <v>213</v>
      </c>
      <c r="E468" t="s">
        <v>7</v>
      </c>
      <c r="F468" t="s">
        <v>509</v>
      </c>
      <c r="G468" t="s">
        <v>509</v>
      </c>
      <c r="H468" s="2">
        <v>45656</v>
      </c>
      <c r="I468" s="2">
        <v>45656</v>
      </c>
      <c r="J468" t="s">
        <v>20</v>
      </c>
      <c r="K468" s="21">
        <v>663.05</v>
      </c>
      <c r="L468" s="21">
        <v>663.05</v>
      </c>
      <c r="M468">
        <v>0</v>
      </c>
      <c r="N468" s="21">
        <v>663.05</v>
      </c>
    </row>
    <row r="469" spans="1:14">
      <c r="A469" t="str">
        <f>IFERROR(_xlfn.XLOOKUP(B469,Cuentas!$C$1:$C$521,Cuentas!$A$1:$A$521),"")</f>
        <v>Nicolas</v>
      </c>
      <c r="B469" t="s">
        <v>510</v>
      </c>
      <c r="C469" t="s">
        <v>511</v>
      </c>
      <c r="D469" t="s">
        <v>16</v>
      </c>
      <c r="E469" t="s">
        <v>7</v>
      </c>
      <c r="F469" t="s">
        <v>512</v>
      </c>
      <c r="G469" t="s">
        <v>512</v>
      </c>
      <c r="H469" s="2">
        <v>45733</v>
      </c>
      <c r="I469" s="2">
        <v>45763</v>
      </c>
      <c r="J469" t="s">
        <v>20</v>
      </c>
      <c r="K469" s="21">
        <v>2023</v>
      </c>
      <c r="L469" s="21">
        <v>2023</v>
      </c>
      <c r="M469">
        <v>0</v>
      </c>
      <c r="N469" s="21">
        <v>0</v>
      </c>
    </row>
    <row r="470" spans="1:14">
      <c r="A470" t="str">
        <f>IFERROR(_xlfn.XLOOKUP(B470,Cuentas!$C$1:$C$521,Cuentas!$A$1:$A$521),"")</f>
        <v>Yuldor</v>
      </c>
      <c r="B470" t="s">
        <v>513</v>
      </c>
      <c r="C470" t="s">
        <v>514</v>
      </c>
      <c r="D470" t="s">
        <v>16</v>
      </c>
      <c r="E470" t="s">
        <v>7</v>
      </c>
      <c r="F470" t="s">
        <v>515</v>
      </c>
      <c r="G470" t="s">
        <v>515</v>
      </c>
      <c r="H470" s="2">
        <v>45666</v>
      </c>
      <c r="I470" s="2">
        <v>45696</v>
      </c>
      <c r="J470" t="s">
        <v>20</v>
      </c>
      <c r="K470" s="21">
        <v>762.92</v>
      </c>
      <c r="L470" s="21">
        <v>716.35</v>
      </c>
      <c r="M470">
        <v>0</v>
      </c>
      <c r="N470" s="21">
        <v>716.35</v>
      </c>
    </row>
    <row r="471" spans="1:14">
      <c r="A471" t="str">
        <f>IFERROR(_xlfn.XLOOKUP(B471,Cuentas!$C$1:$C$521,Cuentas!$A$1:$A$521),"")</f>
        <v>Yuldor</v>
      </c>
      <c r="B471" t="s">
        <v>513</v>
      </c>
      <c r="C471" t="s">
        <v>514</v>
      </c>
      <c r="D471" t="s">
        <v>16</v>
      </c>
      <c r="E471" t="s">
        <v>5502</v>
      </c>
      <c r="F471" t="s">
        <v>516</v>
      </c>
      <c r="G471" t="s">
        <v>515</v>
      </c>
      <c r="I471" s="2">
        <v>45688</v>
      </c>
      <c r="J471" t="s">
        <v>20</v>
      </c>
      <c r="K471" s="21">
        <v>-46.57</v>
      </c>
      <c r="L471" s="21" t="s">
        <v>86</v>
      </c>
      <c r="M471">
        <v>0</v>
      </c>
      <c r="N471" s="21" t="s">
        <v>86</v>
      </c>
    </row>
    <row r="472" spans="1:14">
      <c r="A472" t="str">
        <f>IFERROR(_xlfn.XLOOKUP(B472,Cuentas!$C$1:$C$521,Cuentas!$A$1:$A$521),"")</f>
        <v>Yuldor</v>
      </c>
      <c r="B472" t="s">
        <v>513</v>
      </c>
      <c r="C472" t="s">
        <v>514</v>
      </c>
      <c r="D472" t="s">
        <v>16</v>
      </c>
      <c r="E472" t="s">
        <v>7</v>
      </c>
      <c r="F472" t="s">
        <v>517</v>
      </c>
      <c r="G472" t="s">
        <v>517</v>
      </c>
      <c r="H472" s="2">
        <v>45684</v>
      </c>
      <c r="I472" s="2">
        <v>45714</v>
      </c>
      <c r="J472" t="s">
        <v>20</v>
      </c>
      <c r="K472" s="21">
        <v>952.11</v>
      </c>
      <c r="L472" s="21">
        <v>894</v>
      </c>
      <c r="M472">
        <v>0</v>
      </c>
      <c r="N472" s="21">
        <v>894</v>
      </c>
    </row>
    <row r="473" spans="1:14">
      <c r="A473" t="str">
        <f>IFERROR(_xlfn.XLOOKUP(B473,Cuentas!$C$1:$C$521,Cuentas!$A$1:$A$521),"")</f>
        <v>Yuldor</v>
      </c>
      <c r="B473" t="s">
        <v>513</v>
      </c>
      <c r="C473" t="s">
        <v>514</v>
      </c>
      <c r="D473" t="s">
        <v>16</v>
      </c>
      <c r="E473" t="s">
        <v>5502</v>
      </c>
      <c r="F473" t="s">
        <v>518</v>
      </c>
      <c r="G473" t="s">
        <v>517</v>
      </c>
      <c r="I473" s="2">
        <v>45688</v>
      </c>
      <c r="J473" t="s">
        <v>20</v>
      </c>
      <c r="K473" s="21">
        <v>-58.11</v>
      </c>
      <c r="L473" s="21" t="s">
        <v>86</v>
      </c>
      <c r="M473">
        <v>0</v>
      </c>
      <c r="N473" s="21" t="s">
        <v>86</v>
      </c>
    </row>
    <row r="474" spans="1:14">
      <c r="A474" t="str">
        <f>IFERROR(_xlfn.XLOOKUP(B474,Cuentas!$C$1:$C$521,Cuentas!$A$1:$A$521),"")</f>
        <v>Yuldor</v>
      </c>
      <c r="B474" t="s">
        <v>513</v>
      </c>
      <c r="C474" t="s">
        <v>514</v>
      </c>
      <c r="D474" t="s">
        <v>16</v>
      </c>
      <c r="E474" t="s">
        <v>7</v>
      </c>
      <c r="F474" t="s">
        <v>519</v>
      </c>
      <c r="G474" t="s">
        <v>519</v>
      </c>
      <c r="H474" s="2">
        <v>45687</v>
      </c>
      <c r="I474" s="2">
        <v>45717</v>
      </c>
      <c r="J474" t="s">
        <v>20</v>
      </c>
      <c r="K474" s="21">
        <v>10646.89</v>
      </c>
      <c r="L474" s="21">
        <v>9997.08</v>
      </c>
      <c r="M474">
        <v>10</v>
      </c>
      <c r="N474" s="21">
        <v>9997.08</v>
      </c>
    </row>
    <row r="475" spans="1:14">
      <c r="A475" t="str">
        <f>IFERROR(_xlfn.XLOOKUP(B475,Cuentas!$C$1:$C$521,Cuentas!$A$1:$A$521),"")</f>
        <v>Yuldor</v>
      </c>
      <c r="B475" t="s">
        <v>513</v>
      </c>
      <c r="C475" t="s">
        <v>514</v>
      </c>
      <c r="D475" t="s">
        <v>16</v>
      </c>
      <c r="E475" t="s">
        <v>5502</v>
      </c>
      <c r="F475" t="s">
        <v>520</v>
      </c>
      <c r="G475" t="s">
        <v>519</v>
      </c>
      <c r="I475" s="2">
        <v>45688</v>
      </c>
      <c r="J475" t="s">
        <v>20</v>
      </c>
      <c r="K475" s="21">
        <v>-649.80999999999995</v>
      </c>
      <c r="L475" s="21" t="s">
        <v>86</v>
      </c>
      <c r="M475">
        <v>0</v>
      </c>
      <c r="N475" s="21" t="s">
        <v>86</v>
      </c>
    </row>
    <row r="476" spans="1:14">
      <c r="A476" t="str">
        <f>IFERROR(_xlfn.XLOOKUP(B476,Cuentas!$C$1:$C$521,Cuentas!$A$1:$A$521),"")</f>
        <v>Yuldor</v>
      </c>
      <c r="B476" t="s">
        <v>513</v>
      </c>
      <c r="C476" t="s">
        <v>514</v>
      </c>
      <c r="D476" t="s">
        <v>16</v>
      </c>
      <c r="E476" t="s">
        <v>7</v>
      </c>
      <c r="F476" t="s">
        <v>521</v>
      </c>
      <c r="G476" t="s">
        <v>521</v>
      </c>
      <c r="H476" s="2">
        <v>45716</v>
      </c>
      <c r="I476" s="2">
        <v>45746</v>
      </c>
      <c r="J476" t="s">
        <v>20</v>
      </c>
      <c r="K476" s="21">
        <v>2190</v>
      </c>
      <c r="L476" s="21">
        <v>2190</v>
      </c>
      <c r="M476">
        <v>13</v>
      </c>
      <c r="N476" s="21">
        <v>2190</v>
      </c>
    </row>
    <row r="477" spans="1:14">
      <c r="A477" t="str">
        <f>IFERROR(_xlfn.XLOOKUP(B477,Cuentas!$C$1:$C$521,Cuentas!$A$1:$A$521),"")</f>
        <v>Nicolas</v>
      </c>
      <c r="B477" t="s">
        <v>522</v>
      </c>
      <c r="C477" t="s">
        <v>523</v>
      </c>
      <c r="D477" t="s">
        <v>16</v>
      </c>
      <c r="E477" t="s">
        <v>7</v>
      </c>
      <c r="F477" t="s">
        <v>524</v>
      </c>
      <c r="G477" t="s">
        <v>524</v>
      </c>
      <c r="H477" s="2">
        <v>45684</v>
      </c>
      <c r="I477" s="2">
        <v>45714</v>
      </c>
      <c r="J477" t="s">
        <v>20</v>
      </c>
      <c r="K477" s="21">
        <v>41361.9</v>
      </c>
      <c r="L477" s="21">
        <v>41361.9</v>
      </c>
      <c r="M477">
        <v>0</v>
      </c>
      <c r="N477" s="21">
        <v>41361.9</v>
      </c>
    </row>
    <row r="478" spans="1:14">
      <c r="A478" t="str">
        <f>IFERROR(_xlfn.XLOOKUP(B478,Cuentas!$C$1:$C$521,Cuentas!$A$1:$A$521),"")</f>
        <v>Nicolas</v>
      </c>
      <c r="B478" t="s">
        <v>522</v>
      </c>
      <c r="C478" t="s">
        <v>523</v>
      </c>
      <c r="D478" t="s">
        <v>16</v>
      </c>
      <c r="E478" t="s">
        <v>7</v>
      </c>
      <c r="F478" t="s">
        <v>525</v>
      </c>
      <c r="G478" t="s">
        <v>525</v>
      </c>
      <c r="H478" s="2">
        <v>45686</v>
      </c>
      <c r="I478" s="2">
        <v>45716</v>
      </c>
      <c r="J478" t="s">
        <v>20</v>
      </c>
      <c r="K478" s="21">
        <v>360.32</v>
      </c>
      <c r="L478" s="21">
        <v>360.32</v>
      </c>
      <c r="M478">
        <v>0</v>
      </c>
      <c r="N478" s="21">
        <v>360.32</v>
      </c>
    </row>
    <row r="479" spans="1:14">
      <c r="A479" t="str">
        <f>IFERROR(_xlfn.XLOOKUP(B479,Cuentas!$C$1:$C$521,Cuentas!$A$1:$A$521),"")</f>
        <v>Nicolas</v>
      </c>
      <c r="B479" t="s">
        <v>526</v>
      </c>
      <c r="C479" t="s">
        <v>527</v>
      </c>
      <c r="D479" t="s">
        <v>16</v>
      </c>
      <c r="E479" t="s">
        <v>7</v>
      </c>
      <c r="F479" t="s">
        <v>528</v>
      </c>
      <c r="G479" t="s">
        <v>528</v>
      </c>
      <c r="H479" s="2">
        <v>45672</v>
      </c>
      <c r="I479" s="2">
        <v>45702</v>
      </c>
      <c r="J479" t="s">
        <v>20</v>
      </c>
      <c r="K479" s="21">
        <v>565.91999999999996</v>
      </c>
      <c r="L479" s="21">
        <v>565.91999999999996</v>
      </c>
      <c r="M479">
        <v>0</v>
      </c>
      <c r="N479" s="21">
        <v>565.91999999999996</v>
      </c>
    </row>
    <row r="480" spans="1:14">
      <c r="A480" t="str">
        <f>IFERROR(_xlfn.XLOOKUP(B480,Cuentas!$C$1:$C$521,Cuentas!$A$1:$A$521),"")</f>
        <v>Nicolas</v>
      </c>
      <c r="B480" t="s">
        <v>526</v>
      </c>
      <c r="C480" t="s">
        <v>527</v>
      </c>
      <c r="D480" t="s">
        <v>16</v>
      </c>
      <c r="E480" t="s">
        <v>3139</v>
      </c>
      <c r="F480" t="s">
        <v>19</v>
      </c>
      <c r="G480" t="s">
        <v>19</v>
      </c>
      <c r="I480" s="2">
        <v>45714</v>
      </c>
      <c r="J480" t="s">
        <v>20</v>
      </c>
      <c r="K480" s="21">
        <v>-584.30999999999995</v>
      </c>
      <c r="L480" s="21">
        <v>-584.30999999999995</v>
      </c>
      <c r="M480">
        <v>0</v>
      </c>
      <c r="N480" s="21">
        <v>-584.30999999999995</v>
      </c>
    </row>
    <row r="481" spans="1:14">
      <c r="A481" t="str">
        <f>IFERROR(_xlfn.XLOOKUP(B481,Cuentas!$C$1:$C$521,Cuentas!$A$1:$A$521),"")</f>
        <v>Nicolas</v>
      </c>
      <c r="B481" t="s">
        <v>529</v>
      </c>
      <c r="C481" t="s">
        <v>530</v>
      </c>
      <c r="D481" t="s">
        <v>16</v>
      </c>
      <c r="E481" t="s">
        <v>7</v>
      </c>
      <c r="F481" t="s">
        <v>531</v>
      </c>
      <c r="G481" t="s">
        <v>531</v>
      </c>
      <c r="H481" s="2">
        <v>45687</v>
      </c>
      <c r="I481" s="2">
        <v>45717</v>
      </c>
      <c r="J481" t="s">
        <v>20</v>
      </c>
      <c r="K481" s="21">
        <v>5027.6899999999996</v>
      </c>
      <c r="L481" s="21">
        <v>4259.6899999999996</v>
      </c>
      <c r="M481">
        <v>10</v>
      </c>
      <c r="N481" s="21">
        <v>4259.6899999999996</v>
      </c>
    </row>
    <row r="482" spans="1:14">
      <c r="A482" t="str">
        <f>IFERROR(_xlfn.XLOOKUP(B482,Cuentas!$C$1:$C$521,Cuentas!$A$1:$A$521),"")</f>
        <v>Nicolas</v>
      </c>
      <c r="B482" t="s">
        <v>529</v>
      </c>
      <c r="C482" t="s">
        <v>530</v>
      </c>
      <c r="D482" t="s">
        <v>16</v>
      </c>
      <c r="E482" t="s">
        <v>5502</v>
      </c>
      <c r="F482" t="s">
        <v>532</v>
      </c>
      <c r="G482" t="s">
        <v>531</v>
      </c>
      <c r="I482" s="2">
        <v>45688</v>
      </c>
      <c r="J482" t="s">
        <v>20</v>
      </c>
      <c r="K482" s="21">
        <v>-768</v>
      </c>
      <c r="L482" s="21" t="s">
        <v>86</v>
      </c>
      <c r="M482">
        <v>0</v>
      </c>
      <c r="N482" s="21" t="s">
        <v>86</v>
      </c>
    </row>
    <row r="483" spans="1:14">
      <c r="A483" t="str">
        <f>IFERROR(_xlfn.XLOOKUP(B483,Cuentas!$C$1:$C$521,Cuentas!$A$1:$A$521),"")</f>
        <v>Nicolas</v>
      </c>
      <c r="B483" t="s">
        <v>533</v>
      </c>
      <c r="C483" t="s">
        <v>534</v>
      </c>
      <c r="D483" t="s">
        <v>16</v>
      </c>
      <c r="E483" t="s">
        <v>7</v>
      </c>
      <c r="F483" t="s">
        <v>535</v>
      </c>
      <c r="G483" t="s">
        <v>535</v>
      </c>
      <c r="H483" s="2">
        <v>45618</v>
      </c>
      <c r="I483" s="2">
        <v>45648</v>
      </c>
      <c r="J483" t="s">
        <v>20</v>
      </c>
      <c r="K483" s="21">
        <v>145</v>
      </c>
      <c r="L483" s="21">
        <v>80</v>
      </c>
      <c r="M483">
        <v>0</v>
      </c>
      <c r="N483" s="21">
        <v>80</v>
      </c>
    </row>
    <row r="484" spans="1:14">
      <c r="A484" t="str">
        <f>IFERROR(_xlfn.XLOOKUP(B484,Cuentas!$C$1:$C$521,Cuentas!$A$1:$A$521),"")</f>
        <v>Nicolas</v>
      </c>
      <c r="B484" t="s">
        <v>533</v>
      </c>
      <c r="C484" t="s">
        <v>534</v>
      </c>
      <c r="D484" t="s">
        <v>16</v>
      </c>
      <c r="E484" t="s">
        <v>3139</v>
      </c>
      <c r="F484" t="s">
        <v>535</v>
      </c>
      <c r="G484" t="s">
        <v>535</v>
      </c>
      <c r="I484" s="2">
        <v>45646</v>
      </c>
      <c r="J484" t="s">
        <v>20</v>
      </c>
      <c r="K484" s="21">
        <v>-65</v>
      </c>
      <c r="L484" s="21" t="s">
        <v>86</v>
      </c>
      <c r="M484">
        <v>0</v>
      </c>
      <c r="N484" s="21" t="s">
        <v>86</v>
      </c>
    </row>
    <row r="485" spans="1:14">
      <c r="A485" t="str">
        <f>IFERROR(_xlfn.XLOOKUP(B485,Cuentas!$C$1:$C$521,Cuentas!$A$1:$A$521),"")</f>
        <v>Nicolas</v>
      </c>
      <c r="B485" t="s">
        <v>533</v>
      </c>
      <c r="C485" t="s">
        <v>534</v>
      </c>
      <c r="D485" t="s">
        <v>16</v>
      </c>
      <c r="E485" t="s">
        <v>7</v>
      </c>
      <c r="F485" t="s">
        <v>536</v>
      </c>
      <c r="G485" t="s">
        <v>536</v>
      </c>
      <c r="H485" s="2">
        <v>45742</v>
      </c>
      <c r="I485" s="2">
        <v>45772</v>
      </c>
      <c r="J485" t="s">
        <v>20</v>
      </c>
      <c r="K485" s="21">
        <v>315</v>
      </c>
      <c r="L485" s="21">
        <v>315</v>
      </c>
      <c r="M485">
        <v>0</v>
      </c>
      <c r="N485" s="21">
        <v>0</v>
      </c>
    </row>
    <row r="486" spans="1:14">
      <c r="A486" t="str">
        <f>IFERROR(_xlfn.XLOOKUP(B486,Cuentas!$C$1:$C$521,Cuentas!$A$1:$A$521),"")</f>
        <v>Nicolas</v>
      </c>
      <c r="B486" t="s">
        <v>537</v>
      </c>
      <c r="C486" t="s">
        <v>538</v>
      </c>
      <c r="D486" t="s">
        <v>16</v>
      </c>
      <c r="E486" t="s">
        <v>7</v>
      </c>
      <c r="F486" t="s">
        <v>539</v>
      </c>
      <c r="G486" t="s">
        <v>539</v>
      </c>
      <c r="H486" s="2">
        <v>45687</v>
      </c>
      <c r="I486" s="2">
        <v>45717</v>
      </c>
      <c r="J486" t="s">
        <v>20</v>
      </c>
      <c r="K486" s="21">
        <v>1994.8</v>
      </c>
      <c r="L486" s="21">
        <v>1994.8</v>
      </c>
      <c r="M486">
        <v>10</v>
      </c>
      <c r="N486" s="21">
        <v>1994.8</v>
      </c>
    </row>
    <row r="487" spans="1:14">
      <c r="A487" t="str">
        <f>IFERROR(_xlfn.XLOOKUP(B487,Cuentas!$C$1:$C$521,Cuentas!$A$1:$A$521),"")</f>
        <v>Nicolas</v>
      </c>
      <c r="B487" t="s">
        <v>537</v>
      </c>
      <c r="C487" t="s">
        <v>538</v>
      </c>
      <c r="D487" t="s">
        <v>16</v>
      </c>
      <c r="E487" t="s">
        <v>7</v>
      </c>
      <c r="F487" t="s">
        <v>540</v>
      </c>
      <c r="G487" t="s">
        <v>540</v>
      </c>
      <c r="H487" s="2">
        <v>45726</v>
      </c>
      <c r="I487" s="2">
        <v>45756</v>
      </c>
      <c r="J487" t="s">
        <v>20</v>
      </c>
      <c r="K487" s="21">
        <v>1648</v>
      </c>
      <c r="L487" s="21">
        <v>1648</v>
      </c>
      <c r="M487">
        <v>0</v>
      </c>
      <c r="N487" s="21">
        <v>0</v>
      </c>
    </row>
    <row r="488" spans="1:14">
      <c r="A488" t="str">
        <f>IFERROR(_xlfn.XLOOKUP(B488,Cuentas!$C$1:$C$521,Cuentas!$A$1:$A$521),"")</f>
        <v>Nicolas</v>
      </c>
      <c r="B488" t="s">
        <v>541</v>
      </c>
      <c r="C488" t="s">
        <v>542</v>
      </c>
      <c r="D488" t="s">
        <v>16</v>
      </c>
      <c r="E488" t="s">
        <v>7</v>
      </c>
      <c r="F488" t="s">
        <v>543</v>
      </c>
      <c r="G488" t="s">
        <v>543</v>
      </c>
      <c r="H488" s="2">
        <v>45719</v>
      </c>
      <c r="I488" s="2">
        <v>45749</v>
      </c>
      <c r="J488" t="s">
        <v>20</v>
      </c>
      <c r="K488" s="21">
        <v>112773.46</v>
      </c>
      <c r="L488" s="21">
        <v>112773.46</v>
      </c>
      <c r="M488">
        <v>0</v>
      </c>
      <c r="N488" s="21">
        <v>0</v>
      </c>
    </row>
    <row r="489" spans="1:14">
      <c r="A489" t="str">
        <f>IFERROR(_xlfn.XLOOKUP(B489,Cuentas!$C$1:$C$521,Cuentas!$A$1:$A$521),"")</f>
        <v>Yuldor</v>
      </c>
      <c r="B489" t="s">
        <v>544</v>
      </c>
      <c r="C489" t="s">
        <v>545</v>
      </c>
      <c r="D489" t="s">
        <v>16</v>
      </c>
      <c r="E489" t="s">
        <v>7</v>
      </c>
      <c r="F489" t="s">
        <v>546</v>
      </c>
      <c r="G489" t="s">
        <v>546</v>
      </c>
      <c r="H489" s="2">
        <v>45716</v>
      </c>
      <c r="I489" s="2">
        <v>45746</v>
      </c>
      <c r="J489" t="s">
        <v>20</v>
      </c>
      <c r="K489" s="21">
        <v>4716</v>
      </c>
      <c r="L489" s="21">
        <v>4716</v>
      </c>
      <c r="M489">
        <v>13</v>
      </c>
      <c r="N489" s="21">
        <v>4716</v>
      </c>
    </row>
    <row r="490" spans="1:14">
      <c r="A490" t="str">
        <f>IFERROR(_xlfn.XLOOKUP(B490,Cuentas!$C$1:$C$521,Cuentas!$A$1:$A$521),"")</f>
        <v>Nicolas</v>
      </c>
      <c r="B490" t="s">
        <v>547</v>
      </c>
      <c r="C490" t="s">
        <v>548</v>
      </c>
      <c r="D490" t="s">
        <v>16</v>
      </c>
      <c r="E490" t="s">
        <v>7</v>
      </c>
      <c r="F490" t="s">
        <v>549</v>
      </c>
      <c r="G490" t="s">
        <v>549</v>
      </c>
      <c r="H490" s="2">
        <v>45504</v>
      </c>
      <c r="I490" s="2">
        <v>45534</v>
      </c>
      <c r="J490" t="s">
        <v>20</v>
      </c>
      <c r="K490" s="21">
        <v>15120</v>
      </c>
      <c r="L490" s="21">
        <v>-226.8</v>
      </c>
      <c r="M490">
        <v>0</v>
      </c>
      <c r="N490" s="21">
        <v>-226.8</v>
      </c>
    </row>
    <row r="491" spans="1:14">
      <c r="A491" t="str">
        <f>IFERROR(_xlfn.XLOOKUP(B491,Cuentas!$C$1:$C$521,Cuentas!$A$1:$A$521),"")</f>
        <v>Nicolas</v>
      </c>
      <c r="B491" t="s">
        <v>547</v>
      </c>
      <c r="C491" t="s">
        <v>548</v>
      </c>
      <c r="D491" t="s">
        <v>16</v>
      </c>
      <c r="E491" t="s">
        <v>5502</v>
      </c>
      <c r="F491" t="s">
        <v>550</v>
      </c>
      <c r="G491" t="s">
        <v>549</v>
      </c>
      <c r="I491" s="2">
        <v>45715</v>
      </c>
      <c r="J491" t="s">
        <v>20</v>
      </c>
      <c r="K491" s="21">
        <v>-226.8</v>
      </c>
      <c r="L491" s="21" t="s">
        <v>86</v>
      </c>
      <c r="M491">
        <v>0</v>
      </c>
      <c r="N491" s="21" t="s">
        <v>86</v>
      </c>
    </row>
    <row r="492" spans="1:14">
      <c r="A492" t="str">
        <f>IFERROR(_xlfn.XLOOKUP(B492,Cuentas!$C$1:$C$521,Cuentas!$A$1:$A$521),"")</f>
        <v>Nicolas</v>
      </c>
      <c r="B492" t="s">
        <v>547</v>
      </c>
      <c r="C492" t="s">
        <v>548</v>
      </c>
      <c r="D492" t="s">
        <v>16</v>
      </c>
      <c r="E492" t="s">
        <v>3139</v>
      </c>
      <c r="F492" t="s">
        <v>549</v>
      </c>
      <c r="G492" t="s">
        <v>549</v>
      </c>
      <c r="I492" s="2">
        <v>45617</v>
      </c>
      <c r="J492" t="s">
        <v>20</v>
      </c>
      <c r="K492" s="21">
        <v>3265.6</v>
      </c>
      <c r="L492" s="21" t="s">
        <v>86</v>
      </c>
      <c r="M492">
        <v>0</v>
      </c>
      <c r="N492" s="21" t="s">
        <v>86</v>
      </c>
    </row>
    <row r="493" spans="1:14">
      <c r="A493" t="str">
        <f>IFERROR(_xlfn.XLOOKUP(B493,Cuentas!$C$1:$C$521,Cuentas!$A$1:$A$521),"")</f>
        <v>Nicolas</v>
      </c>
      <c r="B493" t="s">
        <v>547</v>
      </c>
      <c r="C493" t="s">
        <v>548</v>
      </c>
      <c r="D493" t="s">
        <v>16</v>
      </c>
      <c r="E493" t="s">
        <v>3139</v>
      </c>
      <c r="F493" t="s">
        <v>549</v>
      </c>
      <c r="G493" t="s">
        <v>549</v>
      </c>
      <c r="I493" s="2">
        <v>45534</v>
      </c>
      <c r="J493" t="s">
        <v>20</v>
      </c>
      <c r="K493" s="21">
        <v>-15120</v>
      </c>
      <c r="L493" s="21" t="s">
        <v>86</v>
      </c>
      <c r="M493">
        <v>0</v>
      </c>
      <c r="N493" s="21" t="s">
        <v>86</v>
      </c>
    </row>
    <row r="494" spans="1:14">
      <c r="A494" t="str">
        <f>IFERROR(_xlfn.XLOOKUP(B494,Cuentas!$C$1:$C$521,Cuentas!$A$1:$A$521),"")</f>
        <v>Nicolas</v>
      </c>
      <c r="B494" t="s">
        <v>547</v>
      </c>
      <c r="C494" t="s">
        <v>548</v>
      </c>
      <c r="D494" t="s">
        <v>16</v>
      </c>
      <c r="E494" t="s">
        <v>3139</v>
      </c>
      <c r="F494" t="s">
        <v>549</v>
      </c>
      <c r="G494" t="s">
        <v>549</v>
      </c>
      <c r="I494" s="2">
        <v>45617</v>
      </c>
      <c r="J494" t="s">
        <v>20</v>
      </c>
      <c r="K494" s="21">
        <v>-3265.6</v>
      </c>
      <c r="L494" s="21" t="s">
        <v>86</v>
      </c>
      <c r="M494">
        <v>0</v>
      </c>
      <c r="N494" s="21" t="s">
        <v>86</v>
      </c>
    </row>
    <row r="495" spans="1:14">
      <c r="A495" t="str">
        <f>IFERROR(_xlfn.XLOOKUP(B495,Cuentas!$C$1:$C$521,Cuentas!$A$1:$A$521),"")</f>
        <v>Nicolas</v>
      </c>
      <c r="B495" t="s">
        <v>547</v>
      </c>
      <c r="C495" t="s">
        <v>548</v>
      </c>
      <c r="D495" t="s">
        <v>16</v>
      </c>
      <c r="E495" t="s">
        <v>3139</v>
      </c>
      <c r="F495" t="s">
        <v>19</v>
      </c>
      <c r="G495" t="s">
        <v>19</v>
      </c>
      <c r="I495" s="2">
        <v>45583</v>
      </c>
      <c r="J495" t="s">
        <v>20</v>
      </c>
      <c r="K495" s="21">
        <v>-346.47</v>
      </c>
      <c r="L495" s="21">
        <v>-346.47</v>
      </c>
      <c r="M495">
        <v>0</v>
      </c>
      <c r="N495" s="21">
        <v>-346.47</v>
      </c>
    </row>
    <row r="496" spans="1:14">
      <c r="A496" t="str">
        <f>IFERROR(_xlfn.XLOOKUP(B496,Cuentas!$C$1:$C$521,Cuentas!$A$1:$A$521),"")</f>
        <v>Nicolas</v>
      </c>
      <c r="B496" t="s">
        <v>547</v>
      </c>
      <c r="C496" t="s">
        <v>548</v>
      </c>
      <c r="D496" t="s">
        <v>16</v>
      </c>
      <c r="E496" t="s">
        <v>7</v>
      </c>
      <c r="F496" t="s">
        <v>551</v>
      </c>
      <c r="G496" t="s">
        <v>551</v>
      </c>
      <c r="H496" s="2">
        <v>45558</v>
      </c>
      <c r="I496" s="2">
        <v>45588</v>
      </c>
      <c r="J496" t="s">
        <v>20</v>
      </c>
      <c r="K496" s="21">
        <v>3085.6</v>
      </c>
      <c r="L496" s="21">
        <v>3085.6</v>
      </c>
      <c r="M496">
        <v>0</v>
      </c>
      <c r="N496" s="21">
        <v>3085.6</v>
      </c>
    </row>
    <row r="497" spans="1:14">
      <c r="A497" t="str">
        <f>IFERROR(_xlfn.XLOOKUP(B497,Cuentas!$C$1:$C$521,Cuentas!$A$1:$A$521),"")</f>
        <v>Nicolas</v>
      </c>
      <c r="B497" t="s">
        <v>547</v>
      </c>
      <c r="C497" t="s">
        <v>548</v>
      </c>
      <c r="D497" t="s">
        <v>16</v>
      </c>
      <c r="E497" t="s">
        <v>7</v>
      </c>
      <c r="F497" t="s">
        <v>552</v>
      </c>
      <c r="G497" t="s">
        <v>552</v>
      </c>
      <c r="H497" s="2">
        <v>45730</v>
      </c>
      <c r="I497" s="2">
        <v>45760</v>
      </c>
      <c r="J497" t="s">
        <v>20</v>
      </c>
      <c r="K497" s="21">
        <v>176</v>
      </c>
      <c r="L497" s="21">
        <v>176</v>
      </c>
      <c r="M497">
        <v>0</v>
      </c>
      <c r="N497" s="21">
        <v>0</v>
      </c>
    </row>
    <row r="498" spans="1:14">
      <c r="A498" t="str">
        <f>IFERROR(_xlfn.XLOOKUP(B498,Cuentas!$C$1:$C$521,Cuentas!$A$1:$A$521),"")</f>
        <v>Yuldor</v>
      </c>
      <c r="B498" t="s">
        <v>553</v>
      </c>
      <c r="C498" t="s">
        <v>554</v>
      </c>
      <c r="D498" t="s">
        <v>382</v>
      </c>
      <c r="E498" t="s">
        <v>7</v>
      </c>
      <c r="F498" t="s">
        <v>555</v>
      </c>
      <c r="G498" t="s">
        <v>555</v>
      </c>
      <c r="H498" s="2">
        <v>45734</v>
      </c>
      <c r="I498" s="2">
        <v>45794</v>
      </c>
      <c r="J498" t="s">
        <v>20</v>
      </c>
      <c r="K498" s="21">
        <v>8087.85</v>
      </c>
      <c r="L498" s="21">
        <v>8087.85</v>
      </c>
      <c r="M498">
        <v>0</v>
      </c>
      <c r="N498" s="21">
        <v>0</v>
      </c>
    </row>
    <row r="499" spans="1:14">
      <c r="A499" t="str">
        <f>IFERROR(_xlfn.XLOOKUP(B499,Cuentas!$C$1:$C$521,Cuentas!$A$1:$A$521),"")</f>
        <v>Yuldor</v>
      </c>
      <c r="B499" t="s">
        <v>553</v>
      </c>
      <c r="C499" t="s">
        <v>554</v>
      </c>
      <c r="D499" t="s">
        <v>382</v>
      </c>
      <c r="E499" t="s">
        <v>7</v>
      </c>
      <c r="F499" t="s">
        <v>556</v>
      </c>
      <c r="G499" t="s">
        <v>556</v>
      </c>
      <c r="H499" s="2">
        <v>45740</v>
      </c>
      <c r="I499" s="2">
        <v>45800</v>
      </c>
      <c r="J499" t="s">
        <v>20</v>
      </c>
      <c r="K499" s="21">
        <v>1645</v>
      </c>
      <c r="L499" s="21">
        <v>1645</v>
      </c>
      <c r="M499">
        <v>0</v>
      </c>
      <c r="N499" s="21">
        <v>0</v>
      </c>
    </row>
    <row r="500" spans="1:14">
      <c r="A500" t="str">
        <f>IFERROR(_xlfn.XLOOKUP(B500,Cuentas!$C$1:$C$521,Cuentas!$A$1:$A$521),"")</f>
        <v>Nicolas</v>
      </c>
      <c r="B500" t="s">
        <v>557</v>
      </c>
      <c r="C500" t="s">
        <v>558</v>
      </c>
      <c r="D500" t="s">
        <v>16</v>
      </c>
      <c r="E500" t="s">
        <v>7</v>
      </c>
      <c r="F500" t="s">
        <v>559</v>
      </c>
      <c r="G500" t="s">
        <v>559</v>
      </c>
      <c r="H500" s="2">
        <v>45673</v>
      </c>
      <c r="I500" s="2">
        <v>45703</v>
      </c>
      <c r="J500" t="s">
        <v>20</v>
      </c>
      <c r="K500" s="21">
        <v>257.69</v>
      </c>
      <c r="L500" s="21">
        <v>257.69</v>
      </c>
      <c r="M500">
        <v>0</v>
      </c>
      <c r="N500" s="21">
        <v>257.69</v>
      </c>
    </row>
    <row r="501" spans="1:14">
      <c r="A501" t="str">
        <f>IFERROR(_xlfn.XLOOKUP(B501,Cuentas!$C$1:$C$521,Cuentas!$A$1:$A$521),"")</f>
        <v>Nicolas</v>
      </c>
      <c r="B501" t="s">
        <v>557</v>
      </c>
      <c r="C501" t="s">
        <v>558</v>
      </c>
      <c r="D501" t="s">
        <v>16</v>
      </c>
      <c r="E501" t="s">
        <v>3139</v>
      </c>
      <c r="F501" t="s">
        <v>559</v>
      </c>
      <c r="G501" t="s">
        <v>559</v>
      </c>
      <c r="I501" s="2">
        <v>45691</v>
      </c>
      <c r="J501" t="s">
        <v>20</v>
      </c>
      <c r="K501" s="21">
        <v>-257.69</v>
      </c>
      <c r="L501" s="21" t="s">
        <v>86</v>
      </c>
      <c r="M501">
        <v>0</v>
      </c>
      <c r="N501" s="21" t="s">
        <v>86</v>
      </c>
    </row>
    <row r="502" spans="1:14">
      <c r="A502" t="str">
        <f>IFERROR(_xlfn.XLOOKUP(B502,Cuentas!$C$1:$C$521,Cuentas!$A$1:$A$521),"")</f>
        <v>Nicolas</v>
      </c>
      <c r="B502" t="s">
        <v>557</v>
      </c>
      <c r="C502" t="s">
        <v>558</v>
      </c>
      <c r="D502" t="s">
        <v>16</v>
      </c>
      <c r="E502" t="s">
        <v>3139</v>
      </c>
      <c r="F502" t="s">
        <v>559</v>
      </c>
      <c r="G502" t="s">
        <v>559</v>
      </c>
      <c r="I502" s="2">
        <v>45694</v>
      </c>
      <c r="J502" t="s">
        <v>20</v>
      </c>
      <c r="K502" s="21">
        <v>257.69</v>
      </c>
      <c r="L502" s="21" t="s">
        <v>86</v>
      </c>
      <c r="M502">
        <v>0</v>
      </c>
      <c r="N502" s="21" t="s">
        <v>86</v>
      </c>
    </row>
    <row r="503" spans="1:14">
      <c r="A503" t="str">
        <f>IFERROR(_xlfn.XLOOKUP(B503,Cuentas!$C$1:$C$521,Cuentas!$A$1:$A$521),"")</f>
        <v>Nicolas</v>
      </c>
      <c r="B503" t="s">
        <v>560</v>
      </c>
      <c r="C503" t="s">
        <v>561</v>
      </c>
      <c r="D503" t="s">
        <v>16</v>
      </c>
      <c r="E503" t="s">
        <v>3139</v>
      </c>
      <c r="F503" t="s">
        <v>19</v>
      </c>
      <c r="G503" t="s">
        <v>19</v>
      </c>
      <c r="I503" s="2">
        <v>45509</v>
      </c>
      <c r="J503" t="s">
        <v>20</v>
      </c>
      <c r="K503" s="21">
        <v>-608.84</v>
      </c>
      <c r="L503" s="21">
        <v>-608.84</v>
      </c>
      <c r="M503">
        <v>0</v>
      </c>
      <c r="N503" s="21">
        <v>-608.84</v>
      </c>
    </row>
    <row r="504" spans="1:14">
      <c r="A504" t="str">
        <f>IFERROR(_xlfn.XLOOKUP(B504,Cuentas!$C$1:$C$521,Cuentas!$A$1:$A$521),"")</f>
        <v>Nicolas</v>
      </c>
      <c r="B504" t="s">
        <v>562</v>
      </c>
      <c r="C504" t="s">
        <v>563</v>
      </c>
      <c r="D504" t="s">
        <v>16</v>
      </c>
      <c r="E504" t="s">
        <v>7</v>
      </c>
      <c r="F504" t="s">
        <v>564</v>
      </c>
      <c r="G504" t="s">
        <v>564</v>
      </c>
      <c r="H504" s="2">
        <v>45169</v>
      </c>
      <c r="I504" s="2">
        <v>45199</v>
      </c>
      <c r="J504" t="s">
        <v>20</v>
      </c>
      <c r="K504" s="21">
        <v>90</v>
      </c>
      <c r="L504" s="21">
        <v>90</v>
      </c>
      <c r="M504">
        <v>0</v>
      </c>
      <c r="N504" s="21">
        <v>90</v>
      </c>
    </row>
    <row r="505" spans="1:14">
      <c r="A505" t="str">
        <f>IFERROR(_xlfn.XLOOKUP(B505,Cuentas!$C$1:$C$521,Cuentas!$A$1:$A$521),"")</f>
        <v>Nicolas</v>
      </c>
      <c r="B505" t="s">
        <v>562</v>
      </c>
      <c r="C505" t="s">
        <v>563</v>
      </c>
      <c r="D505" t="s">
        <v>16</v>
      </c>
      <c r="E505" t="s">
        <v>3139</v>
      </c>
      <c r="F505" t="s">
        <v>564</v>
      </c>
      <c r="G505" t="s">
        <v>564</v>
      </c>
      <c r="I505" s="2">
        <v>45596</v>
      </c>
      <c r="J505" t="s">
        <v>20</v>
      </c>
      <c r="K505" s="21">
        <v>16145</v>
      </c>
      <c r="L505" s="21" t="s">
        <v>86</v>
      </c>
      <c r="M505">
        <v>0</v>
      </c>
      <c r="N505" s="21" t="s">
        <v>86</v>
      </c>
    </row>
    <row r="506" spans="1:14">
      <c r="A506" t="str">
        <f>IFERROR(_xlfn.XLOOKUP(B506,Cuentas!$C$1:$C$521,Cuentas!$A$1:$A$521),"")</f>
        <v>Nicolas</v>
      </c>
      <c r="B506" t="s">
        <v>562</v>
      </c>
      <c r="C506" t="s">
        <v>563</v>
      </c>
      <c r="D506" t="s">
        <v>16</v>
      </c>
      <c r="E506" t="s">
        <v>3139</v>
      </c>
      <c r="F506" t="s">
        <v>564</v>
      </c>
      <c r="G506" t="s">
        <v>564</v>
      </c>
      <c r="I506" s="2">
        <v>45559</v>
      </c>
      <c r="J506" t="s">
        <v>20</v>
      </c>
      <c r="K506" s="21">
        <v>-16145</v>
      </c>
      <c r="L506" s="21" t="s">
        <v>86</v>
      </c>
      <c r="M506">
        <v>0</v>
      </c>
      <c r="N506" s="21" t="s">
        <v>86</v>
      </c>
    </row>
    <row r="507" spans="1:14">
      <c r="A507" t="str">
        <f>IFERROR(_xlfn.XLOOKUP(B507,Cuentas!$C$1:$C$521,Cuentas!$A$1:$A$521),"")</f>
        <v>Nicolas</v>
      </c>
      <c r="B507" t="s">
        <v>562</v>
      </c>
      <c r="C507" t="s">
        <v>563</v>
      </c>
      <c r="D507" t="s">
        <v>16</v>
      </c>
      <c r="E507" t="s">
        <v>3139</v>
      </c>
      <c r="F507" t="s">
        <v>564</v>
      </c>
      <c r="G507" t="s">
        <v>564</v>
      </c>
      <c r="I507" s="2">
        <v>45622</v>
      </c>
      <c r="J507" t="s">
        <v>20</v>
      </c>
      <c r="K507" s="21">
        <v>-117.2</v>
      </c>
      <c r="L507" s="21" t="s">
        <v>86</v>
      </c>
      <c r="M507">
        <v>0</v>
      </c>
      <c r="N507" s="21" t="s">
        <v>86</v>
      </c>
    </row>
    <row r="508" spans="1:14">
      <c r="A508" t="str">
        <f>IFERROR(_xlfn.XLOOKUP(B508,Cuentas!$C$1:$C$521,Cuentas!$A$1:$A$521),"")</f>
        <v>Nicolas</v>
      </c>
      <c r="B508" t="s">
        <v>562</v>
      </c>
      <c r="C508" t="s">
        <v>563</v>
      </c>
      <c r="D508" t="s">
        <v>16</v>
      </c>
      <c r="E508" t="s">
        <v>3139</v>
      </c>
      <c r="F508" t="s">
        <v>564</v>
      </c>
      <c r="G508" t="s">
        <v>564</v>
      </c>
      <c r="I508" s="2">
        <v>45622</v>
      </c>
      <c r="J508" t="s">
        <v>20</v>
      </c>
      <c r="K508" s="21">
        <v>117.2</v>
      </c>
      <c r="L508" s="21" t="s">
        <v>86</v>
      </c>
      <c r="M508">
        <v>0</v>
      </c>
      <c r="N508" s="21" t="s">
        <v>86</v>
      </c>
    </row>
    <row r="509" spans="1:14">
      <c r="A509" t="str">
        <f>IFERROR(_xlfn.XLOOKUP(B509,Cuentas!$C$1:$C$521,Cuentas!$A$1:$A$521),"")</f>
        <v>Nicolas</v>
      </c>
      <c r="B509" t="s">
        <v>562</v>
      </c>
      <c r="C509" t="s">
        <v>563</v>
      </c>
      <c r="D509" t="s">
        <v>16</v>
      </c>
      <c r="E509" t="s">
        <v>7</v>
      </c>
      <c r="F509" t="s">
        <v>565</v>
      </c>
      <c r="G509" t="s">
        <v>565</v>
      </c>
      <c r="H509" s="2">
        <v>45194</v>
      </c>
      <c r="I509" s="2">
        <v>45224</v>
      </c>
      <c r="J509" t="s">
        <v>20</v>
      </c>
      <c r="K509" s="21">
        <v>193.5</v>
      </c>
      <c r="L509" s="21">
        <v>193.5</v>
      </c>
      <c r="M509">
        <v>0</v>
      </c>
      <c r="N509" s="21">
        <v>193.5</v>
      </c>
    </row>
    <row r="510" spans="1:14">
      <c r="A510" t="str">
        <f>IFERROR(_xlfn.XLOOKUP(B510,Cuentas!$C$1:$C$521,Cuentas!$A$1:$A$521),"")</f>
        <v>Nicolas</v>
      </c>
      <c r="B510" t="s">
        <v>562</v>
      </c>
      <c r="C510" t="s">
        <v>563</v>
      </c>
      <c r="D510" t="s">
        <v>16</v>
      </c>
      <c r="E510" t="s">
        <v>7</v>
      </c>
      <c r="F510" t="s">
        <v>566</v>
      </c>
      <c r="G510" t="s">
        <v>566</v>
      </c>
      <c r="H510" s="2">
        <v>45502</v>
      </c>
      <c r="I510" s="2">
        <v>45532</v>
      </c>
      <c r="J510" t="s">
        <v>20</v>
      </c>
      <c r="K510" s="21">
        <v>1429.1</v>
      </c>
      <c r="L510" s="21">
        <v>81.5</v>
      </c>
      <c r="M510">
        <v>0</v>
      </c>
      <c r="N510" s="21">
        <v>81.5</v>
      </c>
    </row>
    <row r="511" spans="1:14">
      <c r="A511" t="str">
        <f>IFERROR(_xlfn.XLOOKUP(B511,Cuentas!$C$1:$C$521,Cuentas!$A$1:$A$521),"")</f>
        <v>Nicolas</v>
      </c>
      <c r="B511" t="s">
        <v>562</v>
      </c>
      <c r="C511" t="s">
        <v>563</v>
      </c>
      <c r="D511" t="s">
        <v>16</v>
      </c>
      <c r="E511" t="s">
        <v>3139</v>
      </c>
      <c r="F511" t="s">
        <v>566</v>
      </c>
      <c r="G511" t="s">
        <v>566</v>
      </c>
      <c r="I511" s="2">
        <v>45587</v>
      </c>
      <c r="J511" t="s">
        <v>20</v>
      </c>
      <c r="K511" s="21">
        <v>-1347.6</v>
      </c>
      <c r="L511" s="21" t="s">
        <v>86</v>
      </c>
      <c r="M511">
        <v>0</v>
      </c>
      <c r="N511" s="21" t="s">
        <v>86</v>
      </c>
    </row>
    <row r="512" spans="1:14">
      <c r="A512" t="str">
        <f>IFERROR(_xlfn.XLOOKUP(B512,Cuentas!$C$1:$C$521,Cuentas!$A$1:$A$521),"")</f>
        <v>Nicolas</v>
      </c>
      <c r="B512" t="s">
        <v>562</v>
      </c>
      <c r="C512" t="s">
        <v>563</v>
      </c>
      <c r="D512" t="s">
        <v>16</v>
      </c>
      <c r="E512" t="s">
        <v>7</v>
      </c>
      <c r="F512" t="s">
        <v>567</v>
      </c>
      <c r="G512" t="s">
        <v>567</v>
      </c>
      <c r="H512" s="2">
        <v>45509</v>
      </c>
      <c r="I512" s="2">
        <v>45539</v>
      </c>
      <c r="J512" t="s">
        <v>20</v>
      </c>
      <c r="K512" s="21">
        <v>8149.5</v>
      </c>
      <c r="L512" s="21">
        <v>132</v>
      </c>
      <c r="M512">
        <v>0</v>
      </c>
      <c r="N512" s="21">
        <v>132</v>
      </c>
    </row>
    <row r="513" spans="1:14">
      <c r="A513" t="str">
        <f>IFERROR(_xlfn.XLOOKUP(B513,Cuentas!$C$1:$C$521,Cuentas!$A$1:$A$521),"")</f>
        <v>Nicolas</v>
      </c>
      <c r="B513" t="s">
        <v>562</v>
      </c>
      <c r="C513" t="s">
        <v>563</v>
      </c>
      <c r="D513" t="s">
        <v>16</v>
      </c>
      <c r="E513" t="s">
        <v>3139</v>
      </c>
      <c r="F513" t="s">
        <v>567</v>
      </c>
      <c r="G513" t="s">
        <v>567</v>
      </c>
      <c r="I513" s="2">
        <v>45566</v>
      </c>
      <c r="J513" t="s">
        <v>20</v>
      </c>
      <c r="K513" s="21">
        <v>-8017.5</v>
      </c>
      <c r="L513" s="21" t="s">
        <v>86</v>
      </c>
      <c r="M513">
        <v>0</v>
      </c>
      <c r="N513" s="21" t="s">
        <v>86</v>
      </c>
    </row>
    <row r="514" spans="1:14">
      <c r="A514" t="str">
        <f>IFERROR(_xlfn.XLOOKUP(B514,Cuentas!$C$1:$C$521,Cuentas!$A$1:$A$521),"")</f>
        <v>Nicolas</v>
      </c>
      <c r="B514" t="s">
        <v>562</v>
      </c>
      <c r="C514" t="s">
        <v>563</v>
      </c>
      <c r="D514" t="s">
        <v>16</v>
      </c>
      <c r="E514" t="s">
        <v>7</v>
      </c>
      <c r="F514" t="s">
        <v>568</v>
      </c>
      <c r="G514" t="s">
        <v>568</v>
      </c>
      <c r="H514" s="2">
        <v>45509</v>
      </c>
      <c r="I514" s="2">
        <v>45539</v>
      </c>
      <c r="J514" t="s">
        <v>20</v>
      </c>
      <c r="K514" s="21">
        <v>11653.5</v>
      </c>
      <c r="L514" s="21">
        <v>40.5</v>
      </c>
      <c r="M514">
        <v>0</v>
      </c>
      <c r="N514" s="21">
        <v>40.5</v>
      </c>
    </row>
    <row r="515" spans="1:14">
      <c r="A515" t="str">
        <f>IFERROR(_xlfn.XLOOKUP(B515,Cuentas!$C$1:$C$521,Cuentas!$A$1:$A$521),"")</f>
        <v>Nicolas</v>
      </c>
      <c r="B515" t="s">
        <v>562</v>
      </c>
      <c r="C515" t="s">
        <v>563</v>
      </c>
      <c r="D515" t="s">
        <v>16</v>
      </c>
      <c r="E515" t="s">
        <v>3139</v>
      </c>
      <c r="F515" t="s">
        <v>568</v>
      </c>
      <c r="G515" t="s">
        <v>568</v>
      </c>
      <c r="I515" s="2">
        <v>45566</v>
      </c>
      <c r="J515" t="s">
        <v>20</v>
      </c>
      <c r="K515" s="21">
        <v>-11613</v>
      </c>
      <c r="L515" s="21" t="s">
        <v>86</v>
      </c>
      <c r="M515">
        <v>0</v>
      </c>
      <c r="N515" s="21" t="s">
        <v>86</v>
      </c>
    </row>
    <row r="516" spans="1:14">
      <c r="A516" t="str">
        <f>IFERROR(_xlfn.XLOOKUP(B516,Cuentas!$C$1:$C$521,Cuentas!$A$1:$A$521),"")</f>
        <v>Nicolas</v>
      </c>
      <c r="B516" t="s">
        <v>562</v>
      </c>
      <c r="C516" t="s">
        <v>563</v>
      </c>
      <c r="D516" t="s">
        <v>16</v>
      </c>
      <c r="E516" t="s">
        <v>7</v>
      </c>
      <c r="F516" t="s">
        <v>569</v>
      </c>
      <c r="G516" t="s">
        <v>569</v>
      </c>
      <c r="H516" s="2">
        <v>45630</v>
      </c>
      <c r="I516" s="2">
        <v>45660</v>
      </c>
      <c r="J516" t="s">
        <v>20</v>
      </c>
      <c r="K516" s="21">
        <v>491.84</v>
      </c>
      <c r="L516" s="21">
        <v>36.42</v>
      </c>
      <c r="M516">
        <v>0</v>
      </c>
      <c r="N516" s="21">
        <v>36.42</v>
      </c>
    </row>
    <row r="517" spans="1:14">
      <c r="A517" t="str">
        <f>IFERROR(_xlfn.XLOOKUP(B517,Cuentas!$C$1:$C$521,Cuentas!$A$1:$A$521),"")</f>
        <v>Nicolas</v>
      </c>
      <c r="B517" t="s">
        <v>562</v>
      </c>
      <c r="C517" t="s">
        <v>563</v>
      </c>
      <c r="D517" t="s">
        <v>16</v>
      </c>
      <c r="E517" t="s">
        <v>3139</v>
      </c>
      <c r="F517" t="s">
        <v>569</v>
      </c>
      <c r="G517" t="s">
        <v>569</v>
      </c>
      <c r="I517" s="2">
        <v>45699</v>
      </c>
      <c r="J517" t="s">
        <v>20</v>
      </c>
      <c r="K517" s="21">
        <v>-455.42</v>
      </c>
      <c r="L517" s="21" t="s">
        <v>86</v>
      </c>
      <c r="M517">
        <v>0</v>
      </c>
      <c r="N517" s="21" t="s">
        <v>86</v>
      </c>
    </row>
    <row r="518" spans="1:14">
      <c r="A518" t="str">
        <f>IFERROR(_xlfn.XLOOKUP(B518,Cuentas!$C$1:$C$521,Cuentas!$A$1:$A$521),"")</f>
        <v>Nicolas</v>
      </c>
      <c r="B518" t="s">
        <v>562</v>
      </c>
      <c r="C518" t="s">
        <v>563</v>
      </c>
      <c r="D518" t="s">
        <v>16</v>
      </c>
      <c r="E518" t="s">
        <v>7</v>
      </c>
      <c r="F518" t="s">
        <v>570</v>
      </c>
      <c r="G518" t="s">
        <v>570</v>
      </c>
      <c r="H518" s="2">
        <v>45673</v>
      </c>
      <c r="I518" s="2">
        <v>45703</v>
      </c>
      <c r="J518" t="s">
        <v>20</v>
      </c>
      <c r="K518" s="21">
        <v>1239</v>
      </c>
      <c r="L518" s="21">
        <v>1239</v>
      </c>
      <c r="M518">
        <v>0</v>
      </c>
      <c r="N518" s="21">
        <v>1239</v>
      </c>
    </row>
    <row r="519" spans="1:14">
      <c r="A519" t="str">
        <f>IFERROR(_xlfn.XLOOKUP(B519,Cuentas!$C$1:$C$521,Cuentas!$A$1:$A$521),"")</f>
        <v>Nicolas</v>
      </c>
      <c r="B519" t="s">
        <v>562</v>
      </c>
      <c r="C519" t="s">
        <v>563</v>
      </c>
      <c r="D519" t="s">
        <v>16</v>
      </c>
      <c r="E519" t="s">
        <v>7</v>
      </c>
      <c r="F519" t="s">
        <v>571</v>
      </c>
      <c r="G519" t="s">
        <v>571</v>
      </c>
      <c r="H519" s="2">
        <v>45678</v>
      </c>
      <c r="I519" s="2">
        <v>45708</v>
      </c>
      <c r="J519" t="s">
        <v>20</v>
      </c>
      <c r="K519" s="21">
        <v>298.95999999999998</v>
      </c>
      <c r="L519" s="21">
        <v>298.95999999999998</v>
      </c>
      <c r="M519">
        <v>0</v>
      </c>
      <c r="N519" s="21">
        <v>298.95999999999998</v>
      </c>
    </row>
    <row r="520" spans="1:14">
      <c r="A520" t="str">
        <f>IFERROR(_xlfn.XLOOKUP(B520,Cuentas!$C$1:$C$521,Cuentas!$A$1:$A$521),"")</f>
        <v>Nicolas</v>
      </c>
      <c r="B520" t="s">
        <v>562</v>
      </c>
      <c r="C520" t="s">
        <v>563</v>
      </c>
      <c r="D520" t="s">
        <v>16</v>
      </c>
      <c r="E520" t="s">
        <v>7</v>
      </c>
      <c r="F520" t="s">
        <v>572</v>
      </c>
      <c r="G520" t="s">
        <v>572</v>
      </c>
      <c r="H520" s="2">
        <v>45679</v>
      </c>
      <c r="I520" s="2">
        <v>45709</v>
      </c>
      <c r="J520" t="s">
        <v>20</v>
      </c>
      <c r="K520" s="21">
        <v>432.41</v>
      </c>
      <c r="L520" s="21">
        <v>432.41</v>
      </c>
      <c r="M520">
        <v>0</v>
      </c>
      <c r="N520" s="21">
        <v>432.41</v>
      </c>
    </row>
    <row r="521" spans="1:14">
      <c r="A521" t="str">
        <f>IFERROR(_xlfn.XLOOKUP(B521,Cuentas!$C$1:$C$521,Cuentas!$A$1:$A$521),"")</f>
        <v>Nicolas</v>
      </c>
      <c r="B521" t="s">
        <v>562</v>
      </c>
      <c r="C521" t="s">
        <v>563</v>
      </c>
      <c r="D521" t="s">
        <v>16</v>
      </c>
      <c r="E521" t="s">
        <v>7</v>
      </c>
      <c r="F521" t="s">
        <v>573</v>
      </c>
      <c r="G521" t="s">
        <v>573</v>
      </c>
      <c r="H521" s="2">
        <v>45692</v>
      </c>
      <c r="I521" s="2">
        <v>45722</v>
      </c>
      <c r="J521" t="s">
        <v>20</v>
      </c>
      <c r="K521" s="21">
        <v>65</v>
      </c>
      <c r="L521" s="21">
        <v>65</v>
      </c>
      <c r="M521">
        <v>10</v>
      </c>
      <c r="N521" s="21">
        <v>65</v>
      </c>
    </row>
    <row r="522" spans="1:14">
      <c r="A522" t="str">
        <f>IFERROR(_xlfn.XLOOKUP(B522,Cuentas!$C$1:$C$521,Cuentas!$A$1:$A$521),"")</f>
        <v>Nicolas</v>
      </c>
      <c r="B522" t="s">
        <v>562</v>
      </c>
      <c r="C522" t="s">
        <v>563</v>
      </c>
      <c r="D522" t="s">
        <v>16</v>
      </c>
      <c r="E522" t="s">
        <v>7</v>
      </c>
      <c r="F522" t="s">
        <v>574</v>
      </c>
      <c r="G522" t="s">
        <v>574</v>
      </c>
      <c r="H522" s="2">
        <v>45701</v>
      </c>
      <c r="I522" s="2">
        <v>45731</v>
      </c>
      <c r="J522" t="s">
        <v>20</v>
      </c>
      <c r="K522" s="21">
        <v>114.12</v>
      </c>
      <c r="L522" s="21">
        <v>114.12</v>
      </c>
      <c r="M522">
        <v>11</v>
      </c>
      <c r="N522" s="21">
        <v>114.12</v>
      </c>
    </row>
    <row r="523" spans="1:14">
      <c r="A523" t="str">
        <f>IFERROR(_xlfn.XLOOKUP(B523,Cuentas!$C$1:$C$521,Cuentas!$A$1:$A$521),"")</f>
        <v>Nicolas</v>
      </c>
      <c r="B523" t="s">
        <v>562</v>
      </c>
      <c r="C523" t="s">
        <v>563</v>
      </c>
      <c r="D523" t="s">
        <v>16</v>
      </c>
      <c r="E523" t="s">
        <v>7</v>
      </c>
      <c r="F523" t="s">
        <v>575</v>
      </c>
      <c r="G523" t="s">
        <v>575</v>
      </c>
      <c r="H523" s="2">
        <v>45701</v>
      </c>
      <c r="I523" s="2">
        <v>45731</v>
      </c>
      <c r="J523" t="s">
        <v>20</v>
      </c>
      <c r="K523" s="21">
        <v>65.36</v>
      </c>
      <c r="L523" s="21">
        <v>65.36</v>
      </c>
      <c r="M523">
        <v>11</v>
      </c>
      <c r="N523" s="21">
        <v>65.36</v>
      </c>
    </row>
    <row r="524" spans="1:14">
      <c r="A524" t="str">
        <f>IFERROR(_xlfn.XLOOKUP(B524,Cuentas!$C$1:$C$521,Cuentas!$A$1:$A$521),"")</f>
        <v>Nicolas</v>
      </c>
      <c r="B524" t="s">
        <v>562</v>
      </c>
      <c r="C524" t="s">
        <v>563</v>
      </c>
      <c r="D524" t="s">
        <v>16</v>
      </c>
      <c r="E524" t="s">
        <v>7</v>
      </c>
      <c r="F524" t="s">
        <v>576</v>
      </c>
      <c r="G524" t="s">
        <v>576</v>
      </c>
      <c r="H524" s="2">
        <v>45708</v>
      </c>
      <c r="I524" s="2">
        <v>45738</v>
      </c>
      <c r="J524" t="s">
        <v>20</v>
      </c>
      <c r="K524" s="21">
        <v>33</v>
      </c>
      <c r="L524" s="21">
        <v>33</v>
      </c>
      <c r="M524">
        <v>12</v>
      </c>
      <c r="N524" s="21">
        <v>33</v>
      </c>
    </row>
    <row r="525" spans="1:14">
      <c r="A525" t="str">
        <f>IFERROR(_xlfn.XLOOKUP(B525,Cuentas!$C$1:$C$521,Cuentas!$A$1:$A$521),"")</f>
        <v>Nicolas</v>
      </c>
      <c r="B525" t="s">
        <v>562</v>
      </c>
      <c r="C525" t="s">
        <v>563</v>
      </c>
      <c r="D525" t="s">
        <v>16</v>
      </c>
      <c r="E525" t="s">
        <v>7</v>
      </c>
      <c r="F525" t="s">
        <v>577</v>
      </c>
      <c r="G525" t="s">
        <v>577</v>
      </c>
      <c r="H525" s="2">
        <v>45708</v>
      </c>
      <c r="I525" s="2">
        <v>45738</v>
      </c>
      <c r="J525" t="s">
        <v>20</v>
      </c>
      <c r="K525" s="21">
        <v>1800.82</v>
      </c>
      <c r="L525" s="21">
        <v>1800.82</v>
      </c>
      <c r="M525">
        <v>12</v>
      </c>
      <c r="N525" s="21">
        <v>1800.82</v>
      </c>
    </row>
    <row r="526" spans="1:14">
      <c r="A526" t="str">
        <f>IFERROR(_xlfn.XLOOKUP(B526,Cuentas!$C$1:$C$521,Cuentas!$A$1:$A$521),"")</f>
        <v>Nicolas</v>
      </c>
      <c r="B526" t="s">
        <v>562</v>
      </c>
      <c r="C526" t="s">
        <v>563</v>
      </c>
      <c r="D526" t="s">
        <v>16</v>
      </c>
      <c r="E526" t="s">
        <v>7</v>
      </c>
      <c r="F526" t="s">
        <v>578</v>
      </c>
      <c r="G526" t="s">
        <v>578</v>
      </c>
      <c r="H526" s="2">
        <v>45716</v>
      </c>
      <c r="I526" s="2">
        <v>45746</v>
      </c>
      <c r="J526" t="s">
        <v>20</v>
      </c>
      <c r="K526" s="21">
        <v>1131.8499999999999</v>
      </c>
      <c r="L526" s="21">
        <v>1131.8499999999999</v>
      </c>
      <c r="M526">
        <v>13</v>
      </c>
      <c r="N526" s="21">
        <v>1131.8499999999999</v>
      </c>
    </row>
    <row r="527" spans="1:14">
      <c r="A527" t="str">
        <f>IFERROR(_xlfn.XLOOKUP(B527,Cuentas!$C$1:$C$521,Cuentas!$A$1:$A$521),"")</f>
        <v>Nicolas</v>
      </c>
      <c r="B527" t="s">
        <v>562</v>
      </c>
      <c r="C527" t="s">
        <v>563</v>
      </c>
      <c r="D527" t="s">
        <v>16</v>
      </c>
      <c r="E527" t="s">
        <v>7</v>
      </c>
      <c r="F527" t="s">
        <v>579</v>
      </c>
      <c r="G527" t="s">
        <v>579</v>
      </c>
      <c r="H527" s="2">
        <v>45722</v>
      </c>
      <c r="I527" s="2">
        <v>45752</v>
      </c>
      <c r="J527" t="s">
        <v>20</v>
      </c>
      <c r="K527" s="21">
        <v>338.78</v>
      </c>
      <c r="L527" s="21">
        <v>338.78</v>
      </c>
      <c r="M527">
        <v>0</v>
      </c>
      <c r="N527" s="21">
        <v>0</v>
      </c>
    </row>
    <row r="528" spans="1:14">
      <c r="A528" t="str">
        <f>IFERROR(_xlfn.XLOOKUP(B528,Cuentas!$C$1:$C$521,Cuentas!$A$1:$A$521),"")</f>
        <v>Nicolas</v>
      </c>
      <c r="B528" t="s">
        <v>562</v>
      </c>
      <c r="C528" t="s">
        <v>563</v>
      </c>
      <c r="D528" t="s">
        <v>16</v>
      </c>
      <c r="E528" t="s">
        <v>7</v>
      </c>
      <c r="F528" t="s">
        <v>580</v>
      </c>
      <c r="G528" t="s">
        <v>580</v>
      </c>
      <c r="H528" s="2">
        <v>45728</v>
      </c>
      <c r="I528" s="2">
        <v>45758</v>
      </c>
      <c r="J528" t="s">
        <v>20</v>
      </c>
      <c r="K528" s="21">
        <v>184.61</v>
      </c>
      <c r="L528" s="21">
        <v>184.61</v>
      </c>
      <c r="M528">
        <v>0</v>
      </c>
      <c r="N528" s="21">
        <v>0</v>
      </c>
    </row>
    <row r="529" spans="1:14">
      <c r="A529" t="str">
        <f>IFERROR(_xlfn.XLOOKUP(B529,Cuentas!$C$1:$C$521,Cuentas!$A$1:$A$521),"")</f>
        <v>Nicolas</v>
      </c>
      <c r="B529" t="s">
        <v>562</v>
      </c>
      <c r="C529" t="s">
        <v>563</v>
      </c>
      <c r="D529" t="s">
        <v>16</v>
      </c>
      <c r="E529" t="s">
        <v>7</v>
      </c>
      <c r="F529" t="s">
        <v>581</v>
      </c>
      <c r="G529" t="s">
        <v>581</v>
      </c>
      <c r="H529" s="2">
        <v>45730</v>
      </c>
      <c r="I529" s="2">
        <v>45760</v>
      </c>
      <c r="J529" t="s">
        <v>20</v>
      </c>
      <c r="K529" s="21">
        <v>62.88</v>
      </c>
      <c r="L529" s="21">
        <v>62.88</v>
      </c>
      <c r="M529">
        <v>0</v>
      </c>
      <c r="N529" s="21">
        <v>0</v>
      </c>
    </row>
    <row r="530" spans="1:14">
      <c r="A530" t="str">
        <f>IFERROR(_xlfn.XLOOKUP(B530,Cuentas!$C$1:$C$521,Cuentas!$A$1:$A$521),"")</f>
        <v>Nicolas</v>
      </c>
      <c r="B530" t="s">
        <v>562</v>
      </c>
      <c r="C530" t="s">
        <v>563</v>
      </c>
      <c r="D530" t="s">
        <v>16</v>
      </c>
      <c r="E530" t="s">
        <v>7</v>
      </c>
      <c r="F530" t="s">
        <v>582</v>
      </c>
      <c r="G530" t="s">
        <v>582</v>
      </c>
      <c r="H530" s="2">
        <v>45736</v>
      </c>
      <c r="I530" s="2">
        <v>45766</v>
      </c>
      <c r="J530" t="s">
        <v>20</v>
      </c>
      <c r="K530" s="21">
        <v>3907.53</v>
      </c>
      <c r="L530" s="21">
        <v>3907.53</v>
      </c>
      <c r="M530">
        <v>0</v>
      </c>
      <c r="N530" s="21">
        <v>0</v>
      </c>
    </row>
    <row r="531" spans="1:14">
      <c r="A531" t="str">
        <f>IFERROR(_xlfn.XLOOKUP(B531,Cuentas!$C$1:$C$521,Cuentas!$A$1:$A$521),"")</f>
        <v>Yuldor</v>
      </c>
      <c r="B531" t="s">
        <v>583</v>
      </c>
      <c r="C531" t="s">
        <v>584</v>
      </c>
      <c r="D531" t="s">
        <v>213</v>
      </c>
      <c r="E531" t="s">
        <v>3139</v>
      </c>
      <c r="F531" t="s">
        <v>19</v>
      </c>
      <c r="G531" t="s">
        <v>19</v>
      </c>
      <c r="I531" s="2">
        <v>45589</v>
      </c>
      <c r="J531" t="s">
        <v>20</v>
      </c>
      <c r="K531" s="21">
        <v>-188.56</v>
      </c>
      <c r="L531" s="21">
        <v>-188.56</v>
      </c>
      <c r="M531">
        <v>0</v>
      </c>
      <c r="N531" s="21">
        <v>-188.56</v>
      </c>
    </row>
    <row r="532" spans="1:14">
      <c r="A532" t="str">
        <f>IFERROR(_xlfn.XLOOKUP(B532,Cuentas!$C$1:$C$521,Cuentas!$A$1:$A$521),"")</f>
        <v>Yuldor</v>
      </c>
      <c r="B532" t="s">
        <v>585</v>
      </c>
      <c r="C532" t="s">
        <v>586</v>
      </c>
      <c r="D532" t="s">
        <v>213</v>
      </c>
      <c r="E532" t="s">
        <v>7</v>
      </c>
      <c r="F532" t="s">
        <v>587</v>
      </c>
      <c r="G532" t="s">
        <v>587</v>
      </c>
      <c r="H532" s="2">
        <v>45671</v>
      </c>
      <c r="I532" s="2">
        <v>45671</v>
      </c>
      <c r="J532" t="s">
        <v>20</v>
      </c>
      <c r="K532" s="21">
        <v>4248</v>
      </c>
      <c r="L532" s="21">
        <v>3368</v>
      </c>
      <c r="M532">
        <v>0</v>
      </c>
      <c r="N532" s="21">
        <v>3368</v>
      </c>
    </row>
    <row r="533" spans="1:14">
      <c r="A533" t="str">
        <f>IFERROR(_xlfn.XLOOKUP(B533,Cuentas!$C$1:$C$521,Cuentas!$A$1:$A$521),"")</f>
        <v>Yuldor</v>
      </c>
      <c r="B533" t="s">
        <v>585</v>
      </c>
      <c r="C533" t="s">
        <v>586</v>
      </c>
      <c r="D533" t="s">
        <v>213</v>
      </c>
      <c r="E533" t="s">
        <v>5502</v>
      </c>
      <c r="F533" t="s">
        <v>588</v>
      </c>
      <c r="G533" t="s">
        <v>587</v>
      </c>
      <c r="I533" s="2">
        <v>45716</v>
      </c>
      <c r="J533" t="s">
        <v>20</v>
      </c>
      <c r="K533" s="21">
        <v>-270</v>
      </c>
      <c r="L533" s="21" t="s">
        <v>86</v>
      </c>
      <c r="M533">
        <v>0</v>
      </c>
      <c r="N533" s="21" t="s">
        <v>86</v>
      </c>
    </row>
    <row r="534" spans="1:14">
      <c r="A534" t="str">
        <f>IFERROR(_xlfn.XLOOKUP(B534,Cuentas!$C$1:$C$521,Cuentas!$A$1:$A$521),"")</f>
        <v>Yuldor</v>
      </c>
      <c r="B534" t="s">
        <v>585</v>
      </c>
      <c r="C534" t="s">
        <v>586</v>
      </c>
      <c r="D534" t="s">
        <v>213</v>
      </c>
      <c r="E534" t="s">
        <v>5502</v>
      </c>
      <c r="F534" t="s">
        <v>589</v>
      </c>
      <c r="G534" t="s">
        <v>587</v>
      </c>
      <c r="I534" s="2">
        <v>45728</v>
      </c>
      <c r="J534" t="s">
        <v>20</v>
      </c>
      <c r="K534" s="21">
        <v>-610</v>
      </c>
      <c r="L534" s="21" t="s">
        <v>86</v>
      </c>
      <c r="M534">
        <v>11</v>
      </c>
      <c r="N534" s="21" t="s">
        <v>86</v>
      </c>
    </row>
    <row r="535" spans="1:14">
      <c r="A535" t="str">
        <f>IFERROR(_xlfn.XLOOKUP(B535,Cuentas!$C$1:$C$521,Cuentas!$A$1:$A$521),"")</f>
        <v>Nicolas</v>
      </c>
      <c r="B535" t="s">
        <v>590</v>
      </c>
      <c r="C535" t="s">
        <v>591</v>
      </c>
      <c r="D535" t="s">
        <v>16</v>
      </c>
      <c r="E535" t="s">
        <v>7</v>
      </c>
      <c r="F535" t="s">
        <v>592</v>
      </c>
      <c r="G535" t="s">
        <v>592</v>
      </c>
      <c r="H535" s="2">
        <v>45716</v>
      </c>
      <c r="I535" s="2">
        <v>45746</v>
      </c>
      <c r="J535" t="s">
        <v>20</v>
      </c>
      <c r="K535" s="21">
        <v>197</v>
      </c>
      <c r="L535" s="21">
        <v>197</v>
      </c>
      <c r="M535">
        <v>13</v>
      </c>
      <c r="N535" s="21">
        <v>197</v>
      </c>
    </row>
    <row r="536" spans="1:14">
      <c r="A536" t="str">
        <f>IFERROR(_xlfn.XLOOKUP(B536,Cuentas!$C$1:$C$521,Cuentas!$A$1:$A$521),"")</f>
        <v>Nicolas</v>
      </c>
      <c r="B536" t="s">
        <v>590</v>
      </c>
      <c r="C536" t="s">
        <v>591</v>
      </c>
      <c r="D536" t="s">
        <v>16</v>
      </c>
      <c r="E536" t="s">
        <v>7</v>
      </c>
      <c r="F536" t="s">
        <v>593</v>
      </c>
      <c r="G536" t="s">
        <v>593</v>
      </c>
      <c r="H536" s="2">
        <v>45730</v>
      </c>
      <c r="I536" s="2">
        <v>45760</v>
      </c>
      <c r="J536" t="s">
        <v>20</v>
      </c>
      <c r="K536" s="21">
        <v>2212</v>
      </c>
      <c r="L536" s="21">
        <v>2212</v>
      </c>
      <c r="M536">
        <v>0</v>
      </c>
      <c r="N536" s="21">
        <v>0</v>
      </c>
    </row>
    <row r="537" spans="1:14">
      <c r="A537" t="str">
        <f>IFERROR(_xlfn.XLOOKUP(B537,Cuentas!$C$1:$C$521,Cuentas!$A$1:$A$521),"")</f>
        <v>Yuldor</v>
      </c>
      <c r="B537" t="s">
        <v>594</v>
      </c>
      <c r="C537" t="s">
        <v>595</v>
      </c>
      <c r="D537" t="s">
        <v>213</v>
      </c>
      <c r="E537" t="s">
        <v>7</v>
      </c>
      <c r="F537" t="s">
        <v>596</v>
      </c>
      <c r="G537" t="s">
        <v>596</v>
      </c>
      <c r="H537" s="2">
        <v>45670</v>
      </c>
      <c r="I537" s="2">
        <v>45670</v>
      </c>
      <c r="J537" t="s">
        <v>20</v>
      </c>
      <c r="K537" s="21">
        <v>580.66</v>
      </c>
      <c r="L537" s="21">
        <v>580.66</v>
      </c>
      <c r="M537">
        <v>0</v>
      </c>
      <c r="N537" s="21">
        <v>580.66</v>
      </c>
    </row>
    <row r="538" spans="1:14">
      <c r="A538" t="str">
        <f>IFERROR(_xlfn.XLOOKUP(B538,Cuentas!$C$1:$C$521,Cuentas!$A$1:$A$521),"")</f>
        <v>Yuldor</v>
      </c>
      <c r="B538" t="s">
        <v>597</v>
      </c>
      <c r="C538" t="s">
        <v>598</v>
      </c>
      <c r="D538" t="s">
        <v>16</v>
      </c>
      <c r="E538" t="s">
        <v>7</v>
      </c>
      <c r="F538" t="s">
        <v>599</v>
      </c>
      <c r="G538" t="s">
        <v>599</v>
      </c>
      <c r="H538" s="2">
        <v>45720</v>
      </c>
      <c r="I538" s="2">
        <v>45750</v>
      </c>
      <c r="J538" t="s">
        <v>20</v>
      </c>
      <c r="K538" s="21">
        <v>479</v>
      </c>
      <c r="L538" s="21">
        <v>479</v>
      </c>
      <c r="M538">
        <v>0</v>
      </c>
      <c r="N538" s="21">
        <v>0</v>
      </c>
    </row>
    <row r="539" spans="1:14">
      <c r="A539" t="str">
        <f>IFERROR(_xlfn.XLOOKUP(B539,Cuentas!$C$1:$C$521,Cuentas!$A$1:$A$521),"")</f>
        <v>Yuldor</v>
      </c>
      <c r="B539" t="s">
        <v>597</v>
      </c>
      <c r="C539" t="s">
        <v>598</v>
      </c>
      <c r="D539" t="s">
        <v>16</v>
      </c>
      <c r="E539" t="s">
        <v>7</v>
      </c>
      <c r="F539" t="s">
        <v>600</v>
      </c>
      <c r="G539" t="s">
        <v>600</v>
      </c>
      <c r="H539" s="2">
        <v>45721</v>
      </c>
      <c r="I539" s="2">
        <v>45751</v>
      </c>
      <c r="J539" t="s">
        <v>20</v>
      </c>
      <c r="K539" s="21">
        <v>251</v>
      </c>
      <c r="L539" s="21">
        <v>251</v>
      </c>
      <c r="M539">
        <v>0</v>
      </c>
      <c r="N539" s="21">
        <v>0</v>
      </c>
    </row>
    <row r="540" spans="1:14">
      <c r="A540" t="str">
        <f>IFERROR(_xlfn.XLOOKUP(B540,Cuentas!$C$1:$C$521,Cuentas!$A$1:$A$521),"")</f>
        <v>Yuldor</v>
      </c>
      <c r="B540" t="s">
        <v>597</v>
      </c>
      <c r="C540" t="s">
        <v>598</v>
      </c>
      <c r="D540" t="s">
        <v>16</v>
      </c>
      <c r="E540" t="s">
        <v>7</v>
      </c>
      <c r="F540" t="s">
        <v>601</v>
      </c>
      <c r="G540" t="s">
        <v>601</v>
      </c>
      <c r="H540" s="2">
        <v>45723</v>
      </c>
      <c r="I540" s="2">
        <v>45753</v>
      </c>
      <c r="J540" t="s">
        <v>20</v>
      </c>
      <c r="K540" s="21">
        <v>184</v>
      </c>
      <c r="L540" s="21">
        <v>184</v>
      </c>
      <c r="M540">
        <v>0</v>
      </c>
      <c r="N540" s="21">
        <v>0</v>
      </c>
    </row>
    <row r="541" spans="1:14">
      <c r="A541" t="str">
        <f>IFERROR(_xlfn.XLOOKUP(B541,Cuentas!$C$1:$C$521,Cuentas!$A$1:$A$521),"")</f>
        <v>Yuldor</v>
      </c>
      <c r="B541" t="s">
        <v>597</v>
      </c>
      <c r="C541" t="s">
        <v>598</v>
      </c>
      <c r="D541" t="s">
        <v>16</v>
      </c>
      <c r="E541" t="s">
        <v>7</v>
      </c>
      <c r="F541" t="s">
        <v>602</v>
      </c>
      <c r="G541" t="s">
        <v>602</v>
      </c>
      <c r="H541" s="2">
        <v>45726</v>
      </c>
      <c r="I541" s="2">
        <v>45756</v>
      </c>
      <c r="J541" t="s">
        <v>20</v>
      </c>
      <c r="K541" s="21">
        <v>1580</v>
      </c>
      <c r="L541" s="21">
        <v>1580</v>
      </c>
      <c r="M541">
        <v>0</v>
      </c>
      <c r="N541" s="21">
        <v>0</v>
      </c>
    </row>
    <row r="542" spans="1:14">
      <c r="A542" t="str">
        <f>IFERROR(_xlfn.XLOOKUP(B542,Cuentas!$C$1:$C$521,Cuentas!$A$1:$A$521),"")</f>
        <v>Yuldor</v>
      </c>
      <c r="B542" t="s">
        <v>597</v>
      </c>
      <c r="C542" t="s">
        <v>598</v>
      </c>
      <c r="D542" t="s">
        <v>16</v>
      </c>
      <c r="E542" t="s">
        <v>7</v>
      </c>
      <c r="F542" t="s">
        <v>603</v>
      </c>
      <c r="G542" t="s">
        <v>603</v>
      </c>
      <c r="H542" s="2">
        <v>45733</v>
      </c>
      <c r="I542" s="2">
        <v>45763</v>
      </c>
      <c r="J542" t="s">
        <v>20</v>
      </c>
      <c r="K542" s="21">
        <v>12953.28</v>
      </c>
      <c r="L542" s="21">
        <v>12953.28</v>
      </c>
      <c r="M542">
        <v>0</v>
      </c>
      <c r="N542" s="21">
        <v>0</v>
      </c>
    </row>
    <row r="543" spans="1:14">
      <c r="A543" t="str">
        <f>IFERROR(_xlfn.XLOOKUP(B543,Cuentas!$C$1:$C$521,Cuentas!$A$1:$A$521),"")</f>
        <v>Yuldor</v>
      </c>
      <c r="B543" t="s">
        <v>597</v>
      </c>
      <c r="C543" t="s">
        <v>598</v>
      </c>
      <c r="D543" t="s">
        <v>16</v>
      </c>
      <c r="E543" t="s">
        <v>7</v>
      </c>
      <c r="F543" t="s">
        <v>604</v>
      </c>
      <c r="G543" t="s">
        <v>604</v>
      </c>
      <c r="H543" s="2">
        <v>45733</v>
      </c>
      <c r="I543" s="2">
        <v>45763</v>
      </c>
      <c r="J543" t="s">
        <v>20</v>
      </c>
      <c r="K543" s="21">
        <v>926.1</v>
      </c>
      <c r="L543" s="21">
        <v>926.1</v>
      </c>
      <c r="M543">
        <v>0</v>
      </c>
      <c r="N543" s="21">
        <v>0</v>
      </c>
    </row>
    <row r="544" spans="1:14">
      <c r="A544" t="str">
        <f>IFERROR(_xlfn.XLOOKUP(B544,Cuentas!$C$1:$C$521,Cuentas!$A$1:$A$521),"")</f>
        <v>Yuldor</v>
      </c>
      <c r="B544" t="s">
        <v>597</v>
      </c>
      <c r="C544" t="s">
        <v>598</v>
      </c>
      <c r="D544" t="s">
        <v>16</v>
      </c>
      <c r="E544" t="s">
        <v>7</v>
      </c>
      <c r="F544" t="s">
        <v>605</v>
      </c>
      <c r="G544" t="s">
        <v>605</v>
      </c>
      <c r="H544" s="2">
        <v>45734</v>
      </c>
      <c r="I544" s="2">
        <v>45764</v>
      </c>
      <c r="J544" t="s">
        <v>20</v>
      </c>
      <c r="K544" s="21">
        <v>1580</v>
      </c>
      <c r="L544" s="21">
        <v>1580</v>
      </c>
      <c r="M544">
        <v>0</v>
      </c>
      <c r="N544" s="21">
        <v>0</v>
      </c>
    </row>
    <row r="545" spans="1:14">
      <c r="A545" t="str">
        <f>IFERROR(_xlfn.XLOOKUP(B545,Cuentas!$C$1:$C$521,Cuentas!$A$1:$A$521),"")</f>
        <v>Yuldor</v>
      </c>
      <c r="B545" t="s">
        <v>597</v>
      </c>
      <c r="C545" t="s">
        <v>598</v>
      </c>
      <c r="D545" t="s">
        <v>16</v>
      </c>
      <c r="E545" t="s">
        <v>7</v>
      </c>
      <c r="F545" t="s">
        <v>606</v>
      </c>
      <c r="G545" t="s">
        <v>606</v>
      </c>
      <c r="H545" s="2">
        <v>45735</v>
      </c>
      <c r="I545" s="2">
        <v>45765</v>
      </c>
      <c r="J545" t="s">
        <v>20</v>
      </c>
      <c r="K545" s="21">
        <v>392</v>
      </c>
      <c r="L545" s="21">
        <v>392</v>
      </c>
      <c r="M545">
        <v>0</v>
      </c>
      <c r="N545" s="21">
        <v>0</v>
      </c>
    </row>
    <row r="546" spans="1:14">
      <c r="A546" t="str">
        <f>IFERROR(_xlfn.XLOOKUP(B546,Cuentas!$C$1:$C$521,Cuentas!$A$1:$A$521),"")</f>
        <v>Yuldor</v>
      </c>
      <c r="B546" t="s">
        <v>597</v>
      </c>
      <c r="C546" t="s">
        <v>598</v>
      </c>
      <c r="D546" t="s">
        <v>16</v>
      </c>
      <c r="E546" t="s">
        <v>7</v>
      </c>
      <c r="F546" t="s">
        <v>607</v>
      </c>
      <c r="G546" t="s">
        <v>607</v>
      </c>
      <c r="H546" s="2">
        <v>45735</v>
      </c>
      <c r="I546" s="2">
        <v>45765</v>
      </c>
      <c r="J546" t="s">
        <v>20</v>
      </c>
      <c r="K546" s="21">
        <v>120584.2</v>
      </c>
      <c r="L546" s="21">
        <v>120584.2</v>
      </c>
      <c r="M546">
        <v>0</v>
      </c>
      <c r="N546" s="21">
        <v>0</v>
      </c>
    </row>
    <row r="547" spans="1:14">
      <c r="A547" t="str">
        <f>IFERROR(_xlfn.XLOOKUP(B547,Cuentas!$C$1:$C$521,Cuentas!$A$1:$A$521),"")</f>
        <v>Yuldor</v>
      </c>
      <c r="B547" t="s">
        <v>597</v>
      </c>
      <c r="C547" t="s">
        <v>598</v>
      </c>
      <c r="D547" t="s">
        <v>16</v>
      </c>
      <c r="E547" t="s">
        <v>7</v>
      </c>
      <c r="F547" t="s">
        <v>608</v>
      </c>
      <c r="G547" t="s">
        <v>608</v>
      </c>
      <c r="H547" s="2">
        <v>45735</v>
      </c>
      <c r="I547" s="2">
        <v>45765</v>
      </c>
      <c r="J547" t="s">
        <v>20</v>
      </c>
      <c r="K547" s="21">
        <v>256</v>
      </c>
      <c r="L547" s="21">
        <v>256</v>
      </c>
      <c r="M547">
        <v>0</v>
      </c>
      <c r="N547" s="21">
        <v>0</v>
      </c>
    </row>
    <row r="548" spans="1:14">
      <c r="A548" t="str">
        <f>IFERROR(_xlfn.XLOOKUP(B548,Cuentas!$C$1:$C$521,Cuentas!$A$1:$A$521),"")</f>
        <v>Yuldor</v>
      </c>
      <c r="B548" t="s">
        <v>597</v>
      </c>
      <c r="C548" t="s">
        <v>598</v>
      </c>
      <c r="D548" t="s">
        <v>16</v>
      </c>
      <c r="E548" t="s">
        <v>7</v>
      </c>
      <c r="F548" t="s">
        <v>609</v>
      </c>
      <c r="G548" t="s">
        <v>609</v>
      </c>
      <c r="H548" s="2">
        <v>45736</v>
      </c>
      <c r="I548" s="2">
        <v>45766</v>
      </c>
      <c r="J548" t="s">
        <v>20</v>
      </c>
      <c r="K548" s="21">
        <v>21999.599999999999</v>
      </c>
      <c r="L548" s="21">
        <v>21999.599999999999</v>
      </c>
      <c r="M548">
        <v>0</v>
      </c>
      <c r="N548" s="21">
        <v>0</v>
      </c>
    </row>
    <row r="549" spans="1:14">
      <c r="A549" t="str">
        <f>IFERROR(_xlfn.XLOOKUP(B549,Cuentas!$C$1:$C$521,Cuentas!$A$1:$A$521),"")</f>
        <v>Yuldor</v>
      </c>
      <c r="B549" t="s">
        <v>597</v>
      </c>
      <c r="C549" t="s">
        <v>598</v>
      </c>
      <c r="D549" t="s">
        <v>16</v>
      </c>
      <c r="E549" t="s">
        <v>7</v>
      </c>
      <c r="F549" t="s">
        <v>610</v>
      </c>
      <c r="G549" t="s">
        <v>610</v>
      </c>
      <c r="H549" s="2">
        <v>45740</v>
      </c>
      <c r="I549" s="2">
        <v>45770</v>
      </c>
      <c r="J549" t="s">
        <v>20</v>
      </c>
      <c r="K549" s="21">
        <v>39736.050000000003</v>
      </c>
      <c r="L549" s="21">
        <v>39736.050000000003</v>
      </c>
      <c r="M549">
        <v>0</v>
      </c>
      <c r="N549" s="21">
        <v>0</v>
      </c>
    </row>
    <row r="550" spans="1:14">
      <c r="A550" t="str">
        <f>IFERROR(_xlfn.XLOOKUP(B550,Cuentas!$C$1:$C$521,Cuentas!$A$1:$A$521),"")</f>
        <v>Nicolas</v>
      </c>
      <c r="B550" t="s">
        <v>611</v>
      </c>
      <c r="C550" t="s">
        <v>612</v>
      </c>
      <c r="D550" t="s">
        <v>16</v>
      </c>
      <c r="E550" t="s">
        <v>7</v>
      </c>
      <c r="F550" t="s">
        <v>613</v>
      </c>
      <c r="G550" t="s">
        <v>613</v>
      </c>
      <c r="H550" s="2">
        <v>45712</v>
      </c>
      <c r="I550" s="2">
        <v>45742</v>
      </c>
      <c r="J550" t="s">
        <v>20</v>
      </c>
      <c r="K550" s="21">
        <v>244.72</v>
      </c>
      <c r="L550" s="21">
        <v>244.72</v>
      </c>
      <c r="M550">
        <v>13</v>
      </c>
      <c r="N550" s="21">
        <v>244.72</v>
      </c>
    </row>
    <row r="551" spans="1:14">
      <c r="A551" t="str">
        <f>IFERROR(_xlfn.XLOOKUP(B551,Cuentas!$C$1:$C$521,Cuentas!$A$1:$A$521),"")</f>
        <v>Yuldor</v>
      </c>
      <c r="B551" t="s">
        <v>614</v>
      </c>
      <c r="C551" t="s">
        <v>615</v>
      </c>
      <c r="D551" t="s">
        <v>16</v>
      </c>
      <c r="E551" t="s">
        <v>7</v>
      </c>
      <c r="F551" t="s">
        <v>616</v>
      </c>
      <c r="G551" t="s">
        <v>616</v>
      </c>
      <c r="H551" s="2">
        <v>45720</v>
      </c>
      <c r="I551" s="2">
        <v>45750</v>
      </c>
      <c r="J551" t="s">
        <v>20</v>
      </c>
      <c r="K551" s="21">
        <v>1560</v>
      </c>
      <c r="L551" s="21">
        <v>1560</v>
      </c>
      <c r="M551">
        <v>0</v>
      </c>
      <c r="N551" s="21">
        <v>0</v>
      </c>
    </row>
    <row r="552" spans="1:14">
      <c r="A552" t="str">
        <f>IFERROR(_xlfn.XLOOKUP(B552,Cuentas!$C$1:$C$521,Cuentas!$A$1:$A$521),"")</f>
        <v>Yuldor</v>
      </c>
      <c r="B552" t="s">
        <v>614</v>
      </c>
      <c r="C552" t="s">
        <v>615</v>
      </c>
      <c r="D552" t="s">
        <v>16</v>
      </c>
      <c r="E552" t="s">
        <v>7</v>
      </c>
      <c r="F552" t="s">
        <v>617</v>
      </c>
      <c r="G552" t="s">
        <v>617</v>
      </c>
      <c r="H552" s="2">
        <v>45733</v>
      </c>
      <c r="I552" s="2">
        <v>45763</v>
      </c>
      <c r="J552" t="s">
        <v>20</v>
      </c>
      <c r="K552" s="21">
        <v>850</v>
      </c>
      <c r="L552" s="21">
        <v>850</v>
      </c>
      <c r="M552">
        <v>0</v>
      </c>
      <c r="N552" s="21">
        <v>0</v>
      </c>
    </row>
    <row r="553" spans="1:14">
      <c r="A553" t="str">
        <f>IFERROR(_xlfn.XLOOKUP(B553,Cuentas!$C$1:$C$521,Cuentas!$A$1:$A$521),"")</f>
        <v>Yuldor</v>
      </c>
      <c r="B553" t="s">
        <v>618</v>
      </c>
      <c r="C553" t="s">
        <v>619</v>
      </c>
      <c r="D553" t="s">
        <v>16</v>
      </c>
      <c r="E553" t="s">
        <v>3139</v>
      </c>
      <c r="F553" t="s">
        <v>19</v>
      </c>
      <c r="G553" t="s">
        <v>19</v>
      </c>
      <c r="I553" s="2">
        <v>45740</v>
      </c>
      <c r="J553" t="s">
        <v>20</v>
      </c>
      <c r="K553" s="21">
        <v>-149.30000000000001</v>
      </c>
      <c r="L553" s="21">
        <v>-149.30000000000001</v>
      </c>
      <c r="M553">
        <v>13</v>
      </c>
      <c r="N553" s="21">
        <v>-149.30000000000001</v>
      </c>
    </row>
    <row r="554" spans="1:14">
      <c r="A554" t="str">
        <f>IFERROR(_xlfn.XLOOKUP(B554,Cuentas!$C$1:$C$521,Cuentas!$A$1:$A$521),"")</f>
        <v>Yuldor</v>
      </c>
      <c r="B554" t="s">
        <v>620</v>
      </c>
      <c r="C554" t="s">
        <v>621</v>
      </c>
      <c r="D554" t="s">
        <v>382</v>
      </c>
      <c r="E554" t="s">
        <v>7</v>
      </c>
      <c r="F554" t="s">
        <v>622</v>
      </c>
      <c r="G554" t="s">
        <v>622</v>
      </c>
      <c r="H554" s="2">
        <v>45649</v>
      </c>
      <c r="I554" s="2">
        <v>45709</v>
      </c>
      <c r="J554" t="s">
        <v>20</v>
      </c>
      <c r="K554" s="21">
        <v>73012.5</v>
      </c>
      <c r="L554" s="21">
        <v>4667.5</v>
      </c>
      <c r="M554">
        <v>0</v>
      </c>
      <c r="N554" s="21">
        <v>4667.5</v>
      </c>
    </row>
    <row r="555" spans="1:14">
      <c r="A555" t="str">
        <f>IFERROR(_xlfn.XLOOKUP(B555,Cuentas!$C$1:$C$521,Cuentas!$A$1:$A$521),"")</f>
        <v>Yuldor</v>
      </c>
      <c r="B555" t="s">
        <v>620</v>
      </c>
      <c r="C555" t="s">
        <v>621</v>
      </c>
      <c r="D555" t="s">
        <v>382</v>
      </c>
      <c r="E555" t="s">
        <v>3139</v>
      </c>
      <c r="F555" t="s">
        <v>622</v>
      </c>
      <c r="G555" t="s">
        <v>622</v>
      </c>
      <c r="I555" s="2">
        <v>45720</v>
      </c>
      <c r="J555" t="s">
        <v>20</v>
      </c>
      <c r="K555" s="21">
        <v>-68345</v>
      </c>
      <c r="L555" s="21" t="s">
        <v>86</v>
      </c>
      <c r="M555">
        <v>10</v>
      </c>
      <c r="N555" s="21" t="s">
        <v>86</v>
      </c>
    </row>
    <row r="556" spans="1:14">
      <c r="A556" t="str">
        <f>IFERROR(_xlfn.XLOOKUP(B556,Cuentas!$C$1:$C$521,Cuentas!$A$1:$A$521),"")</f>
        <v>Yuldor</v>
      </c>
      <c r="B556" t="s">
        <v>620</v>
      </c>
      <c r="C556" t="s">
        <v>621</v>
      </c>
      <c r="D556" t="s">
        <v>382</v>
      </c>
      <c r="E556" t="s">
        <v>7</v>
      </c>
      <c r="F556" t="s">
        <v>623</v>
      </c>
      <c r="G556" t="s">
        <v>623</v>
      </c>
      <c r="H556" s="2">
        <v>45688</v>
      </c>
      <c r="I556" s="2">
        <v>45748</v>
      </c>
      <c r="J556" t="s">
        <v>20</v>
      </c>
      <c r="K556" s="21">
        <v>14880</v>
      </c>
      <c r="L556" s="21">
        <v>297.60000000000002</v>
      </c>
      <c r="M556">
        <v>0</v>
      </c>
      <c r="N556" s="21">
        <v>0</v>
      </c>
    </row>
    <row r="557" spans="1:14">
      <c r="A557" t="str">
        <f>IFERROR(_xlfn.XLOOKUP(B557,Cuentas!$C$1:$C$521,Cuentas!$A$1:$A$521),"")</f>
        <v>Yuldor</v>
      </c>
      <c r="B557" t="s">
        <v>620</v>
      </c>
      <c r="C557" t="s">
        <v>621</v>
      </c>
      <c r="D557" t="s">
        <v>382</v>
      </c>
      <c r="E557" t="s">
        <v>3139</v>
      </c>
      <c r="F557" t="s">
        <v>623</v>
      </c>
      <c r="G557" t="s">
        <v>623</v>
      </c>
      <c r="I557" s="2">
        <v>45712</v>
      </c>
      <c r="J557" t="s">
        <v>20</v>
      </c>
      <c r="K557" s="21">
        <v>-14582.4</v>
      </c>
      <c r="L557" s="21" t="s">
        <v>86</v>
      </c>
      <c r="M557">
        <v>0</v>
      </c>
      <c r="N557" s="21" t="s">
        <v>86</v>
      </c>
    </row>
    <row r="558" spans="1:14">
      <c r="A558" t="str">
        <f>IFERROR(_xlfn.XLOOKUP(B558,Cuentas!$C$1:$C$521,Cuentas!$A$1:$A$521),"")</f>
        <v>Yuldor</v>
      </c>
      <c r="B558" t="s">
        <v>620</v>
      </c>
      <c r="C558" t="s">
        <v>621</v>
      </c>
      <c r="D558" t="s">
        <v>382</v>
      </c>
      <c r="E558" t="s">
        <v>7</v>
      </c>
      <c r="F558" t="s">
        <v>624</v>
      </c>
      <c r="G558" t="s">
        <v>624</v>
      </c>
      <c r="H558" s="2">
        <v>45692</v>
      </c>
      <c r="I558" s="2">
        <v>45752</v>
      </c>
      <c r="J558" t="s">
        <v>20</v>
      </c>
      <c r="K558" s="21">
        <v>36960</v>
      </c>
      <c r="L558" s="21">
        <v>739.2</v>
      </c>
      <c r="M558">
        <v>0</v>
      </c>
      <c r="N558" s="21">
        <v>0</v>
      </c>
    </row>
    <row r="559" spans="1:14">
      <c r="A559" t="str">
        <f>IFERROR(_xlfn.XLOOKUP(B559,Cuentas!$C$1:$C$521,Cuentas!$A$1:$A$521),"")</f>
        <v>Yuldor</v>
      </c>
      <c r="B559" t="s">
        <v>620</v>
      </c>
      <c r="C559" t="s">
        <v>621</v>
      </c>
      <c r="D559" t="s">
        <v>382</v>
      </c>
      <c r="E559" t="s">
        <v>3139</v>
      </c>
      <c r="F559" t="s">
        <v>624</v>
      </c>
      <c r="G559" t="s">
        <v>624</v>
      </c>
      <c r="I559" s="2">
        <v>45712</v>
      </c>
      <c r="J559" t="s">
        <v>20</v>
      </c>
      <c r="K559" s="21">
        <v>-36220.800000000003</v>
      </c>
      <c r="L559" s="21" t="s">
        <v>86</v>
      </c>
      <c r="M559">
        <v>0</v>
      </c>
      <c r="N559" s="21" t="s">
        <v>86</v>
      </c>
    </row>
    <row r="560" spans="1:14">
      <c r="A560" t="str">
        <f>IFERROR(_xlfn.XLOOKUP(B560,Cuentas!$C$1:$C$521,Cuentas!$A$1:$A$521),"")</f>
        <v>Yuldor</v>
      </c>
      <c r="B560" t="s">
        <v>620</v>
      </c>
      <c r="C560" t="s">
        <v>621</v>
      </c>
      <c r="D560" t="s">
        <v>382</v>
      </c>
      <c r="E560" t="s">
        <v>7</v>
      </c>
      <c r="F560" t="s">
        <v>625</v>
      </c>
      <c r="G560" t="s">
        <v>625</v>
      </c>
      <c r="H560" s="2">
        <v>45692</v>
      </c>
      <c r="I560" s="2">
        <v>45752</v>
      </c>
      <c r="J560" t="s">
        <v>20</v>
      </c>
      <c r="K560" s="21">
        <v>13590</v>
      </c>
      <c r="L560" s="21">
        <v>13590</v>
      </c>
      <c r="M560">
        <v>0</v>
      </c>
      <c r="N560" s="21">
        <v>0</v>
      </c>
    </row>
    <row r="561" spans="1:14">
      <c r="A561" t="str">
        <f>IFERROR(_xlfn.XLOOKUP(B561,Cuentas!$C$1:$C$521,Cuentas!$A$1:$A$521),"")</f>
        <v>Yuldor</v>
      </c>
      <c r="B561" t="s">
        <v>626</v>
      </c>
      <c r="C561" t="s">
        <v>627</v>
      </c>
      <c r="D561" t="s">
        <v>16</v>
      </c>
      <c r="E561" t="s">
        <v>7</v>
      </c>
      <c r="F561" t="s">
        <v>628</v>
      </c>
      <c r="G561" t="s">
        <v>628</v>
      </c>
      <c r="H561" s="2">
        <v>45698</v>
      </c>
      <c r="I561" s="2">
        <v>45728</v>
      </c>
      <c r="J561" t="s">
        <v>20</v>
      </c>
      <c r="K561" s="21">
        <v>35925.919999999998</v>
      </c>
      <c r="L561" s="21">
        <v>29464.92</v>
      </c>
      <c r="M561">
        <v>11</v>
      </c>
      <c r="N561" s="21">
        <v>29464.92</v>
      </c>
    </row>
    <row r="562" spans="1:14">
      <c r="A562" t="str">
        <f>IFERROR(_xlfn.XLOOKUP(B562,Cuentas!$C$1:$C$521,Cuentas!$A$1:$A$521),"")</f>
        <v>Yuldor</v>
      </c>
      <c r="B562" t="s">
        <v>626</v>
      </c>
      <c r="C562" t="s">
        <v>627</v>
      </c>
      <c r="D562" t="s">
        <v>16</v>
      </c>
      <c r="E562" t="s">
        <v>5502</v>
      </c>
      <c r="F562" t="s">
        <v>629</v>
      </c>
      <c r="G562" t="s">
        <v>628</v>
      </c>
      <c r="I562" s="2">
        <v>45727</v>
      </c>
      <c r="J562" t="s">
        <v>20</v>
      </c>
      <c r="K562" s="21">
        <v>-6461</v>
      </c>
      <c r="L562" s="21" t="s">
        <v>86</v>
      </c>
      <c r="M562">
        <v>11</v>
      </c>
      <c r="N562" s="21" t="s">
        <v>86</v>
      </c>
    </row>
    <row r="563" spans="1:14">
      <c r="A563" t="str">
        <f>IFERROR(_xlfn.XLOOKUP(B563,Cuentas!$C$1:$C$521,Cuentas!$A$1:$A$521),"")</f>
        <v>Yuldor</v>
      </c>
      <c r="B563" t="s">
        <v>626</v>
      </c>
      <c r="C563" t="s">
        <v>627</v>
      </c>
      <c r="D563" t="s">
        <v>16</v>
      </c>
      <c r="E563" t="s">
        <v>7</v>
      </c>
      <c r="F563" t="s">
        <v>630</v>
      </c>
      <c r="G563" t="s">
        <v>630</v>
      </c>
      <c r="H563" s="2">
        <v>45720</v>
      </c>
      <c r="I563" s="2">
        <v>45750</v>
      </c>
      <c r="J563" t="s">
        <v>20</v>
      </c>
      <c r="K563" s="21">
        <v>3245.27</v>
      </c>
      <c r="L563" s="21">
        <v>3245.27</v>
      </c>
      <c r="M563">
        <v>0</v>
      </c>
      <c r="N563" s="21">
        <v>0</v>
      </c>
    </row>
    <row r="564" spans="1:14">
      <c r="A564" t="str">
        <f>IFERROR(_xlfn.XLOOKUP(B564,Cuentas!$C$1:$C$521,Cuentas!$A$1:$A$521),"")</f>
        <v>Yuldor</v>
      </c>
      <c r="B564" t="s">
        <v>626</v>
      </c>
      <c r="C564" t="s">
        <v>627</v>
      </c>
      <c r="D564" t="s">
        <v>16</v>
      </c>
      <c r="E564" t="s">
        <v>7</v>
      </c>
      <c r="F564" t="s">
        <v>631</v>
      </c>
      <c r="G564" t="s">
        <v>631</v>
      </c>
      <c r="H564" s="2">
        <v>45721</v>
      </c>
      <c r="I564" s="2">
        <v>45751</v>
      </c>
      <c r="J564" t="s">
        <v>20</v>
      </c>
      <c r="K564" s="21">
        <v>3821.13</v>
      </c>
      <c r="L564" s="21">
        <v>3821.13</v>
      </c>
      <c r="M564">
        <v>0</v>
      </c>
      <c r="N564" s="21">
        <v>0</v>
      </c>
    </row>
    <row r="565" spans="1:14">
      <c r="A565" t="str">
        <f>IFERROR(_xlfn.XLOOKUP(B565,Cuentas!$C$1:$C$521,Cuentas!$A$1:$A$521),"")</f>
        <v>Yuldor</v>
      </c>
      <c r="B565" t="s">
        <v>626</v>
      </c>
      <c r="C565" t="s">
        <v>627</v>
      </c>
      <c r="D565" t="s">
        <v>16</v>
      </c>
      <c r="E565" t="s">
        <v>7</v>
      </c>
      <c r="F565" t="s">
        <v>632</v>
      </c>
      <c r="G565" t="s">
        <v>632</v>
      </c>
      <c r="H565" s="2">
        <v>45721</v>
      </c>
      <c r="I565" s="2">
        <v>45751</v>
      </c>
      <c r="J565" t="s">
        <v>20</v>
      </c>
      <c r="K565" s="21">
        <v>38.200000000000003</v>
      </c>
      <c r="L565" s="21">
        <v>38.200000000000003</v>
      </c>
      <c r="M565">
        <v>0</v>
      </c>
      <c r="N565" s="21">
        <v>0</v>
      </c>
    </row>
    <row r="566" spans="1:14">
      <c r="A566" t="str">
        <f>IFERROR(_xlfn.XLOOKUP(B566,Cuentas!$C$1:$C$521,Cuentas!$A$1:$A$521),"")</f>
        <v>Yuldor</v>
      </c>
      <c r="B566" t="s">
        <v>633</v>
      </c>
      <c r="C566" t="s">
        <v>634</v>
      </c>
      <c r="D566" t="s">
        <v>16</v>
      </c>
      <c r="E566" t="s">
        <v>5502</v>
      </c>
      <c r="F566" t="s">
        <v>635</v>
      </c>
      <c r="G566" t="s">
        <v>19</v>
      </c>
      <c r="I566" s="2">
        <v>45289</v>
      </c>
      <c r="J566" t="s">
        <v>20</v>
      </c>
      <c r="K566" s="21">
        <v>-6.23</v>
      </c>
      <c r="L566" s="21">
        <v>-6.23</v>
      </c>
      <c r="M566">
        <v>0</v>
      </c>
      <c r="N566" s="21">
        <v>-6.23</v>
      </c>
    </row>
    <row r="567" spans="1:14">
      <c r="A567" t="str">
        <f>IFERROR(_xlfn.XLOOKUP(B567,Cuentas!$C$1:$C$521,Cuentas!$A$1:$A$521),"")</f>
        <v>Yuldor</v>
      </c>
      <c r="B567" t="s">
        <v>633</v>
      </c>
      <c r="C567" t="s">
        <v>634</v>
      </c>
      <c r="D567" t="s">
        <v>16</v>
      </c>
      <c r="E567" t="s">
        <v>5502</v>
      </c>
      <c r="F567" t="s">
        <v>636</v>
      </c>
      <c r="G567" t="s">
        <v>19</v>
      </c>
      <c r="I567" s="2">
        <v>45289</v>
      </c>
      <c r="J567" t="s">
        <v>20</v>
      </c>
      <c r="K567" s="21">
        <v>-14.02</v>
      </c>
      <c r="L567" s="21">
        <v>-14.02</v>
      </c>
      <c r="M567">
        <v>0</v>
      </c>
      <c r="N567" s="21">
        <v>-14.02</v>
      </c>
    </row>
    <row r="568" spans="1:14">
      <c r="A568" t="str">
        <f>IFERROR(_xlfn.XLOOKUP(B568,Cuentas!$C$1:$C$521,Cuentas!$A$1:$A$521),"")</f>
        <v>Yuldor</v>
      </c>
      <c r="B568" t="s">
        <v>633</v>
      </c>
      <c r="C568" t="s">
        <v>634</v>
      </c>
      <c r="D568" t="s">
        <v>16</v>
      </c>
      <c r="E568" t="s">
        <v>5502</v>
      </c>
      <c r="F568" t="s">
        <v>637</v>
      </c>
      <c r="G568" t="s">
        <v>19</v>
      </c>
      <c r="I568" s="2">
        <v>45289</v>
      </c>
      <c r="J568" t="s">
        <v>20</v>
      </c>
      <c r="K568" s="21">
        <v>-61.35</v>
      </c>
      <c r="L568" s="21">
        <v>-61.35</v>
      </c>
      <c r="M568">
        <v>0</v>
      </c>
      <c r="N568" s="21">
        <v>-61.35</v>
      </c>
    </row>
    <row r="569" spans="1:14">
      <c r="A569" t="str">
        <f>IFERROR(_xlfn.XLOOKUP(B569,Cuentas!$C$1:$C$521,Cuentas!$A$1:$A$521),"")</f>
        <v>Yuldor</v>
      </c>
      <c r="B569" t="s">
        <v>633</v>
      </c>
      <c r="C569" t="s">
        <v>634</v>
      </c>
      <c r="D569" t="s">
        <v>16</v>
      </c>
      <c r="E569" t="s">
        <v>7</v>
      </c>
      <c r="F569" t="s">
        <v>638</v>
      </c>
      <c r="G569" t="s">
        <v>638</v>
      </c>
      <c r="H569" s="2">
        <v>45572</v>
      </c>
      <c r="I569" s="2">
        <v>45602</v>
      </c>
      <c r="J569" t="s">
        <v>20</v>
      </c>
      <c r="K569" s="21">
        <v>1921.54</v>
      </c>
      <c r="L569" s="21">
        <v>871.47</v>
      </c>
      <c r="M569">
        <v>0</v>
      </c>
      <c r="N569" s="21">
        <v>871.47</v>
      </c>
    </row>
    <row r="570" spans="1:14">
      <c r="A570" t="str">
        <f>IFERROR(_xlfn.XLOOKUP(B570,Cuentas!$C$1:$C$521,Cuentas!$A$1:$A$521),"")</f>
        <v>Yuldor</v>
      </c>
      <c r="B570" t="s">
        <v>633</v>
      </c>
      <c r="C570" t="s">
        <v>634</v>
      </c>
      <c r="D570" t="s">
        <v>16</v>
      </c>
      <c r="E570" t="s">
        <v>3139</v>
      </c>
      <c r="F570" t="s">
        <v>638</v>
      </c>
      <c r="G570" t="s">
        <v>638</v>
      </c>
      <c r="I570" s="2">
        <v>45618</v>
      </c>
      <c r="J570" t="s">
        <v>20</v>
      </c>
      <c r="K570" s="21">
        <v>-1050.07</v>
      </c>
      <c r="L570" s="21" t="s">
        <v>86</v>
      </c>
      <c r="M570">
        <v>0</v>
      </c>
      <c r="N570" s="21" t="s">
        <v>86</v>
      </c>
    </row>
    <row r="571" spans="1:14">
      <c r="A571" t="str">
        <f>IFERROR(_xlfn.XLOOKUP(B571,Cuentas!$C$1:$C$521,Cuentas!$A$1:$A$521),"")</f>
        <v>Yuldor</v>
      </c>
      <c r="B571" t="s">
        <v>633</v>
      </c>
      <c r="C571" t="s">
        <v>634</v>
      </c>
      <c r="D571" t="s">
        <v>16</v>
      </c>
      <c r="E571" t="s">
        <v>7</v>
      </c>
      <c r="F571" t="s">
        <v>639</v>
      </c>
      <c r="G571" t="s">
        <v>639</v>
      </c>
      <c r="H571" s="2">
        <v>45581</v>
      </c>
      <c r="I571" s="2">
        <v>45611</v>
      </c>
      <c r="J571" t="s">
        <v>20</v>
      </c>
      <c r="K571" s="21">
        <v>1652.3</v>
      </c>
      <c r="L571" s="21">
        <v>146.80000000000001</v>
      </c>
      <c r="M571">
        <v>0</v>
      </c>
      <c r="N571" s="21">
        <v>146.80000000000001</v>
      </c>
    </row>
    <row r="572" spans="1:14">
      <c r="A572" t="str">
        <f>IFERROR(_xlfn.XLOOKUP(B572,Cuentas!$C$1:$C$521,Cuentas!$A$1:$A$521),"")</f>
        <v>Yuldor</v>
      </c>
      <c r="B572" t="s">
        <v>633</v>
      </c>
      <c r="C572" t="s">
        <v>634</v>
      </c>
      <c r="D572" t="s">
        <v>16</v>
      </c>
      <c r="E572" t="s">
        <v>3139</v>
      </c>
      <c r="F572" t="s">
        <v>639</v>
      </c>
      <c r="G572" t="s">
        <v>639</v>
      </c>
      <c r="I572" s="2">
        <v>45611</v>
      </c>
      <c r="J572" t="s">
        <v>20</v>
      </c>
      <c r="K572" s="21">
        <v>-1505.5</v>
      </c>
      <c r="L572" s="21" t="s">
        <v>86</v>
      </c>
      <c r="M572">
        <v>0</v>
      </c>
      <c r="N572" s="21" t="s">
        <v>86</v>
      </c>
    </row>
    <row r="573" spans="1:14">
      <c r="A573" t="str">
        <f>IFERROR(_xlfn.XLOOKUP(B573,Cuentas!$C$1:$C$521,Cuentas!$A$1:$A$521),"")</f>
        <v>Yuldor</v>
      </c>
      <c r="B573" t="s">
        <v>633</v>
      </c>
      <c r="C573" t="s">
        <v>634</v>
      </c>
      <c r="D573" t="s">
        <v>16</v>
      </c>
      <c r="E573" t="s">
        <v>7</v>
      </c>
      <c r="F573" t="s">
        <v>640</v>
      </c>
      <c r="G573" t="s">
        <v>640</v>
      </c>
      <c r="H573" s="2">
        <v>45587</v>
      </c>
      <c r="I573" s="2">
        <v>45617</v>
      </c>
      <c r="J573" t="s">
        <v>20</v>
      </c>
      <c r="K573" s="21">
        <v>4183.01</v>
      </c>
      <c r="L573" s="21">
        <v>282.79000000000002</v>
      </c>
      <c r="M573">
        <v>0</v>
      </c>
      <c r="N573" s="21">
        <v>282.79000000000002</v>
      </c>
    </row>
    <row r="574" spans="1:14">
      <c r="A574" t="str">
        <f>IFERROR(_xlfn.XLOOKUP(B574,Cuentas!$C$1:$C$521,Cuentas!$A$1:$A$521),"")</f>
        <v>Yuldor</v>
      </c>
      <c r="B574" t="s">
        <v>633</v>
      </c>
      <c r="C574" t="s">
        <v>634</v>
      </c>
      <c r="D574" t="s">
        <v>16</v>
      </c>
      <c r="E574" t="s">
        <v>3139</v>
      </c>
      <c r="F574" t="s">
        <v>640</v>
      </c>
      <c r="G574" t="s">
        <v>640</v>
      </c>
      <c r="I574" s="2">
        <v>45618</v>
      </c>
      <c r="J574" t="s">
        <v>20</v>
      </c>
      <c r="K574" s="21">
        <v>-3900.22</v>
      </c>
      <c r="L574" s="21" t="s">
        <v>86</v>
      </c>
      <c r="M574">
        <v>0</v>
      </c>
      <c r="N574" s="21" t="s">
        <v>86</v>
      </c>
    </row>
    <row r="575" spans="1:14">
      <c r="A575" t="str">
        <f>IFERROR(_xlfn.XLOOKUP(B575,Cuentas!$C$1:$C$521,Cuentas!$A$1:$A$521),"")</f>
        <v>Yuldor</v>
      </c>
      <c r="B575" t="s">
        <v>633</v>
      </c>
      <c r="C575" t="s">
        <v>634</v>
      </c>
      <c r="D575" t="s">
        <v>16</v>
      </c>
      <c r="E575" t="s">
        <v>7</v>
      </c>
      <c r="F575" t="s">
        <v>641</v>
      </c>
      <c r="G575" t="s">
        <v>641</v>
      </c>
      <c r="H575" s="2">
        <v>45596</v>
      </c>
      <c r="I575" s="2">
        <v>45626</v>
      </c>
      <c r="J575" t="s">
        <v>20</v>
      </c>
      <c r="K575" s="21">
        <v>54.89</v>
      </c>
      <c r="L575" s="21">
        <v>4.1900000000000004</v>
      </c>
      <c r="M575">
        <v>0</v>
      </c>
      <c r="N575" s="21">
        <v>4.1900000000000004</v>
      </c>
    </row>
    <row r="576" spans="1:14">
      <c r="A576" t="str">
        <f>IFERROR(_xlfn.XLOOKUP(B576,Cuentas!$C$1:$C$521,Cuentas!$A$1:$A$521),"")</f>
        <v>Yuldor</v>
      </c>
      <c r="B576" t="s">
        <v>633</v>
      </c>
      <c r="C576" t="s">
        <v>634</v>
      </c>
      <c r="D576" t="s">
        <v>16</v>
      </c>
      <c r="E576" t="s">
        <v>3139</v>
      </c>
      <c r="F576" t="s">
        <v>641</v>
      </c>
      <c r="G576" t="s">
        <v>641</v>
      </c>
      <c r="I576" s="2">
        <v>45625</v>
      </c>
      <c r="J576" t="s">
        <v>20</v>
      </c>
      <c r="K576" s="21">
        <v>-50.7</v>
      </c>
      <c r="L576" s="21" t="s">
        <v>86</v>
      </c>
      <c r="M576">
        <v>0</v>
      </c>
      <c r="N576" s="21" t="s">
        <v>86</v>
      </c>
    </row>
    <row r="577" spans="1:14">
      <c r="A577" t="str">
        <f>IFERROR(_xlfn.XLOOKUP(B577,Cuentas!$C$1:$C$521,Cuentas!$A$1:$A$521),"")</f>
        <v>Yuldor</v>
      </c>
      <c r="B577" t="s">
        <v>633</v>
      </c>
      <c r="C577" t="s">
        <v>634</v>
      </c>
      <c r="D577" t="s">
        <v>16</v>
      </c>
      <c r="E577" t="s">
        <v>7</v>
      </c>
      <c r="F577" t="s">
        <v>642</v>
      </c>
      <c r="G577" t="s">
        <v>642</v>
      </c>
      <c r="H577" s="2">
        <v>45609</v>
      </c>
      <c r="I577" s="2">
        <v>45639</v>
      </c>
      <c r="J577" t="s">
        <v>20</v>
      </c>
      <c r="K577" s="21">
        <v>1171.3699999999999</v>
      </c>
      <c r="L577" s="21">
        <v>38</v>
      </c>
      <c r="M577">
        <v>0</v>
      </c>
      <c r="N577" s="21">
        <v>38</v>
      </c>
    </row>
    <row r="578" spans="1:14">
      <c r="A578" t="str">
        <f>IFERROR(_xlfn.XLOOKUP(B578,Cuentas!$C$1:$C$521,Cuentas!$A$1:$A$521),"")</f>
        <v>Yuldor</v>
      </c>
      <c r="B578" t="s">
        <v>633</v>
      </c>
      <c r="C578" t="s">
        <v>634</v>
      </c>
      <c r="D578" t="s">
        <v>16</v>
      </c>
      <c r="E578" t="s">
        <v>3139</v>
      </c>
      <c r="F578" t="s">
        <v>642</v>
      </c>
      <c r="G578" t="s">
        <v>642</v>
      </c>
      <c r="I578" s="2">
        <v>45639</v>
      </c>
      <c r="J578" t="s">
        <v>20</v>
      </c>
      <c r="K578" s="21">
        <v>-1133.3699999999999</v>
      </c>
      <c r="L578" s="21" t="s">
        <v>86</v>
      </c>
      <c r="M578">
        <v>0</v>
      </c>
      <c r="N578" s="21" t="s">
        <v>86</v>
      </c>
    </row>
    <row r="579" spans="1:14">
      <c r="A579" t="str">
        <f>IFERROR(_xlfn.XLOOKUP(B579,Cuentas!$C$1:$C$521,Cuentas!$A$1:$A$521),"")</f>
        <v>Yuldor</v>
      </c>
      <c r="B579" t="s">
        <v>633</v>
      </c>
      <c r="C579" t="s">
        <v>634</v>
      </c>
      <c r="D579" t="s">
        <v>16</v>
      </c>
      <c r="E579" t="s">
        <v>7</v>
      </c>
      <c r="F579" t="s">
        <v>643</v>
      </c>
      <c r="G579" t="s">
        <v>643</v>
      </c>
      <c r="H579" s="2">
        <v>45609</v>
      </c>
      <c r="I579" s="2">
        <v>45639</v>
      </c>
      <c r="J579" t="s">
        <v>20</v>
      </c>
      <c r="K579" s="21">
        <v>2050.92</v>
      </c>
      <c r="L579" s="21">
        <v>-630</v>
      </c>
      <c r="M579">
        <v>0</v>
      </c>
      <c r="N579" s="21">
        <v>-630</v>
      </c>
    </row>
    <row r="580" spans="1:14">
      <c r="A580" t="str">
        <f>IFERROR(_xlfn.XLOOKUP(B580,Cuentas!$C$1:$C$521,Cuentas!$A$1:$A$521),"")</f>
        <v>Yuldor</v>
      </c>
      <c r="B580" t="s">
        <v>633</v>
      </c>
      <c r="C580" t="s">
        <v>634</v>
      </c>
      <c r="D580" t="s">
        <v>16</v>
      </c>
      <c r="E580" t="s">
        <v>5502</v>
      </c>
      <c r="F580" t="s">
        <v>644</v>
      </c>
      <c r="G580" t="s">
        <v>643</v>
      </c>
      <c r="I580" s="2">
        <v>45710</v>
      </c>
      <c r="J580" t="s">
        <v>20</v>
      </c>
      <c r="K580" s="21">
        <v>-630</v>
      </c>
      <c r="L580" s="21" t="s">
        <v>86</v>
      </c>
      <c r="M580">
        <v>0</v>
      </c>
      <c r="N580" s="21" t="s">
        <v>86</v>
      </c>
    </row>
    <row r="581" spans="1:14">
      <c r="A581" t="str">
        <f>IFERROR(_xlfn.XLOOKUP(B581,Cuentas!$C$1:$C$521,Cuentas!$A$1:$A$521),"")</f>
        <v>Yuldor</v>
      </c>
      <c r="B581" t="s">
        <v>633</v>
      </c>
      <c r="C581" t="s">
        <v>634</v>
      </c>
      <c r="D581" t="s">
        <v>16</v>
      </c>
      <c r="E581" t="s">
        <v>3139</v>
      </c>
      <c r="F581" t="s">
        <v>643</v>
      </c>
      <c r="G581" t="s">
        <v>643</v>
      </c>
      <c r="I581" s="2">
        <v>45639</v>
      </c>
      <c r="J581" t="s">
        <v>20</v>
      </c>
      <c r="K581" s="21">
        <v>-2050.92</v>
      </c>
      <c r="L581" s="21" t="s">
        <v>86</v>
      </c>
      <c r="M581">
        <v>0</v>
      </c>
      <c r="N581" s="21" t="s">
        <v>86</v>
      </c>
    </row>
    <row r="582" spans="1:14">
      <c r="A582" t="str">
        <f>IFERROR(_xlfn.XLOOKUP(B582,Cuentas!$C$1:$C$521,Cuentas!$A$1:$A$521),"")</f>
        <v>Yuldor</v>
      </c>
      <c r="B582" t="s">
        <v>633</v>
      </c>
      <c r="C582" t="s">
        <v>634</v>
      </c>
      <c r="D582" t="s">
        <v>16</v>
      </c>
      <c r="E582" t="s">
        <v>7</v>
      </c>
      <c r="F582" t="s">
        <v>645</v>
      </c>
      <c r="G582" t="s">
        <v>645</v>
      </c>
      <c r="H582" s="2">
        <v>45701</v>
      </c>
      <c r="I582" s="2">
        <v>45731</v>
      </c>
      <c r="J582" t="s">
        <v>20</v>
      </c>
      <c r="K582" s="21">
        <v>60.24</v>
      </c>
      <c r="L582" s="21">
        <v>60.24</v>
      </c>
      <c r="M582">
        <v>11</v>
      </c>
      <c r="N582" s="21">
        <v>60.24</v>
      </c>
    </row>
    <row r="583" spans="1:14">
      <c r="A583" t="str">
        <f>IFERROR(_xlfn.XLOOKUP(B583,Cuentas!$C$1:$C$521,Cuentas!$A$1:$A$521),"")</f>
        <v>Yuldor</v>
      </c>
      <c r="B583" t="s">
        <v>633</v>
      </c>
      <c r="C583" t="s">
        <v>634</v>
      </c>
      <c r="D583" t="s">
        <v>16</v>
      </c>
      <c r="E583" t="s">
        <v>7</v>
      </c>
      <c r="F583" t="s">
        <v>646</v>
      </c>
      <c r="G583" t="s">
        <v>646</v>
      </c>
      <c r="H583" s="2">
        <v>45702</v>
      </c>
      <c r="I583" s="2">
        <v>45732</v>
      </c>
      <c r="J583" t="s">
        <v>20</v>
      </c>
      <c r="K583" s="21">
        <v>55.9</v>
      </c>
      <c r="L583" s="21">
        <v>55.9</v>
      </c>
      <c r="M583">
        <v>12</v>
      </c>
      <c r="N583" s="21">
        <v>55.9</v>
      </c>
    </row>
    <row r="584" spans="1:14">
      <c r="A584" t="str">
        <f>IFERROR(_xlfn.XLOOKUP(B584,Cuentas!$C$1:$C$521,Cuentas!$A$1:$A$521),"")</f>
        <v>Yuldor</v>
      </c>
      <c r="B584" t="s">
        <v>633</v>
      </c>
      <c r="C584" t="s">
        <v>634</v>
      </c>
      <c r="D584" t="s">
        <v>16</v>
      </c>
      <c r="E584" t="s">
        <v>7</v>
      </c>
      <c r="F584" t="s">
        <v>647</v>
      </c>
      <c r="G584" t="s">
        <v>647</v>
      </c>
      <c r="H584" s="2">
        <v>45715</v>
      </c>
      <c r="I584" s="2">
        <v>45745</v>
      </c>
      <c r="J584" t="s">
        <v>20</v>
      </c>
      <c r="K584" s="21">
        <v>60.2</v>
      </c>
      <c r="L584" s="21">
        <v>60.2</v>
      </c>
      <c r="M584">
        <v>13</v>
      </c>
      <c r="N584" s="21">
        <v>60.2</v>
      </c>
    </row>
    <row r="585" spans="1:14">
      <c r="A585" t="str">
        <f>IFERROR(_xlfn.XLOOKUP(B585,Cuentas!$C$1:$C$521,Cuentas!$A$1:$A$521),"")</f>
        <v>Yuldor</v>
      </c>
      <c r="B585" t="s">
        <v>633</v>
      </c>
      <c r="C585" t="s">
        <v>634</v>
      </c>
      <c r="D585" t="s">
        <v>16</v>
      </c>
      <c r="E585" t="s">
        <v>7</v>
      </c>
      <c r="F585" t="s">
        <v>648</v>
      </c>
      <c r="G585" t="s">
        <v>648</v>
      </c>
      <c r="H585" s="2">
        <v>45716</v>
      </c>
      <c r="I585" s="2">
        <v>45746</v>
      </c>
      <c r="J585" t="s">
        <v>20</v>
      </c>
      <c r="K585" s="21">
        <v>491.6</v>
      </c>
      <c r="L585" s="21">
        <v>491.6</v>
      </c>
      <c r="M585">
        <v>13</v>
      </c>
      <c r="N585" s="21">
        <v>491.6</v>
      </c>
    </row>
    <row r="586" spans="1:14">
      <c r="A586" t="str">
        <f>IFERROR(_xlfn.XLOOKUP(B586,Cuentas!$C$1:$C$521,Cuentas!$A$1:$A$521),"")</f>
        <v>Yuldor</v>
      </c>
      <c r="B586" t="s">
        <v>649</v>
      </c>
      <c r="C586" t="s">
        <v>650</v>
      </c>
      <c r="D586" t="s">
        <v>16</v>
      </c>
      <c r="E586" t="s">
        <v>7</v>
      </c>
      <c r="F586" t="s">
        <v>651</v>
      </c>
      <c r="G586" t="s">
        <v>651</v>
      </c>
      <c r="H586" s="2">
        <v>45509</v>
      </c>
      <c r="I586" s="2">
        <v>45539</v>
      </c>
      <c r="J586" t="s">
        <v>20</v>
      </c>
      <c r="K586" s="21">
        <v>8020</v>
      </c>
      <c r="L586" s="21">
        <v>29.44</v>
      </c>
      <c r="M586">
        <v>0</v>
      </c>
      <c r="N586" s="21">
        <v>29.44</v>
      </c>
    </row>
    <row r="587" spans="1:14">
      <c r="A587" t="str">
        <f>IFERROR(_xlfn.XLOOKUP(B587,Cuentas!$C$1:$C$521,Cuentas!$A$1:$A$521),"")</f>
        <v>Yuldor</v>
      </c>
      <c r="B587" t="s">
        <v>649</v>
      </c>
      <c r="C587" t="s">
        <v>650</v>
      </c>
      <c r="D587" t="s">
        <v>16</v>
      </c>
      <c r="E587" t="s">
        <v>3139</v>
      </c>
      <c r="F587" t="s">
        <v>651</v>
      </c>
      <c r="G587" t="s">
        <v>651</v>
      </c>
      <c r="I587" s="2">
        <v>45574</v>
      </c>
      <c r="J587" t="s">
        <v>20</v>
      </c>
      <c r="K587" s="21">
        <v>-7990.56</v>
      </c>
      <c r="L587" s="21" t="s">
        <v>86</v>
      </c>
      <c r="M587">
        <v>0</v>
      </c>
      <c r="N587" s="21" t="s">
        <v>86</v>
      </c>
    </row>
    <row r="588" spans="1:14">
      <c r="A588" t="str">
        <f>IFERROR(_xlfn.XLOOKUP(B588,Cuentas!$C$1:$C$521,Cuentas!$A$1:$A$521),"")</f>
        <v>Yuldor</v>
      </c>
      <c r="B588" t="s">
        <v>649</v>
      </c>
      <c r="C588" t="s">
        <v>650</v>
      </c>
      <c r="D588" t="s">
        <v>16</v>
      </c>
      <c r="E588" t="s">
        <v>7</v>
      </c>
      <c r="F588" t="s">
        <v>652</v>
      </c>
      <c r="G588" t="s">
        <v>652</v>
      </c>
      <c r="H588" s="2">
        <v>45656</v>
      </c>
      <c r="I588" s="2">
        <v>45686</v>
      </c>
      <c r="J588" t="s">
        <v>20</v>
      </c>
      <c r="K588" s="21">
        <v>8621.5</v>
      </c>
      <c r="L588" s="21">
        <v>25.81</v>
      </c>
      <c r="M588">
        <v>0</v>
      </c>
      <c r="N588" s="21">
        <v>25.81</v>
      </c>
    </row>
    <row r="589" spans="1:14">
      <c r="A589" t="str">
        <f>IFERROR(_xlfn.XLOOKUP(B589,Cuentas!$C$1:$C$521,Cuentas!$A$1:$A$521),"")</f>
        <v>Yuldor</v>
      </c>
      <c r="B589" t="s">
        <v>649</v>
      </c>
      <c r="C589" t="s">
        <v>650</v>
      </c>
      <c r="D589" t="s">
        <v>16</v>
      </c>
      <c r="E589" t="s">
        <v>5502</v>
      </c>
      <c r="F589" t="s">
        <v>653</v>
      </c>
      <c r="G589" t="s">
        <v>652</v>
      </c>
      <c r="I589" s="2">
        <v>45667</v>
      </c>
      <c r="J589" t="s">
        <v>20</v>
      </c>
      <c r="K589" s="21">
        <v>-601.5</v>
      </c>
      <c r="L589" s="21" t="s">
        <v>86</v>
      </c>
      <c r="M589">
        <v>0</v>
      </c>
      <c r="N589" s="21" t="s">
        <v>86</v>
      </c>
    </row>
    <row r="590" spans="1:14">
      <c r="A590" t="str">
        <f>IFERROR(_xlfn.XLOOKUP(B590,Cuentas!$C$1:$C$521,Cuentas!$A$1:$A$521),"")</f>
        <v>Yuldor</v>
      </c>
      <c r="B590" t="s">
        <v>649</v>
      </c>
      <c r="C590" t="s">
        <v>650</v>
      </c>
      <c r="D590" t="s">
        <v>16</v>
      </c>
      <c r="E590" t="s">
        <v>3139</v>
      </c>
      <c r="F590" t="s">
        <v>652</v>
      </c>
      <c r="G590" t="s">
        <v>652</v>
      </c>
      <c r="I590" s="2">
        <v>45706</v>
      </c>
      <c r="J590" t="s">
        <v>20</v>
      </c>
      <c r="K590" s="21">
        <v>-7994.19</v>
      </c>
      <c r="L590" s="21" t="s">
        <v>86</v>
      </c>
      <c r="M590">
        <v>0</v>
      </c>
      <c r="N590" s="21" t="s">
        <v>86</v>
      </c>
    </row>
    <row r="591" spans="1:14">
      <c r="A591" t="str">
        <f>IFERROR(_xlfn.XLOOKUP(B591,Cuentas!$C$1:$C$521,Cuentas!$A$1:$A$521),"")</f>
        <v>Yuldor</v>
      </c>
      <c r="B591" t="s">
        <v>649</v>
      </c>
      <c r="C591" t="s">
        <v>650</v>
      </c>
      <c r="D591" t="s">
        <v>16</v>
      </c>
      <c r="E591" t="s">
        <v>7</v>
      </c>
      <c r="F591" t="s">
        <v>654</v>
      </c>
      <c r="G591" t="s">
        <v>654</v>
      </c>
      <c r="H591" s="2">
        <v>45712</v>
      </c>
      <c r="I591" s="2">
        <v>45742</v>
      </c>
      <c r="J591" t="s">
        <v>20</v>
      </c>
      <c r="K591" s="21">
        <v>8020</v>
      </c>
      <c r="L591" s="21">
        <v>8020</v>
      </c>
      <c r="M591">
        <v>13</v>
      </c>
      <c r="N591" s="21">
        <v>8020</v>
      </c>
    </row>
    <row r="592" spans="1:14">
      <c r="A592" t="str">
        <f>IFERROR(_xlfn.XLOOKUP(B592,Cuentas!$C$1:$C$521,Cuentas!$A$1:$A$521),"")</f>
        <v>Nicolas</v>
      </c>
      <c r="B592" t="s">
        <v>655</v>
      </c>
      <c r="C592" t="s">
        <v>656</v>
      </c>
      <c r="D592" t="s">
        <v>16</v>
      </c>
      <c r="E592" t="s">
        <v>5502</v>
      </c>
      <c r="F592" t="s">
        <v>657</v>
      </c>
      <c r="G592" t="s">
        <v>19</v>
      </c>
      <c r="I592" s="2">
        <v>45322</v>
      </c>
      <c r="J592" t="s">
        <v>20</v>
      </c>
      <c r="K592" s="21">
        <v>-231</v>
      </c>
      <c r="L592" s="21">
        <v>-231</v>
      </c>
      <c r="M592">
        <v>0</v>
      </c>
      <c r="N592" s="21">
        <v>-231</v>
      </c>
    </row>
    <row r="593" spans="1:14">
      <c r="A593" t="str">
        <f>IFERROR(_xlfn.XLOOKUP(B593,Cuentas!$C$1:$C$521,Cuentas!$A$1:$A$521),"")</f>
        <v>Nicolas</v>
      </c>
      <c r="B593" t="s">
        <v>655</v>
      </c>
      <c r="C593" t="s">
        <v>656</v>
      </c>
      <c r="D593" t="s">
        <v>16</v>
      </c>
      <c r="E593" t="s">
        <v>7</v>
      </c>
      <c r="F593" t="s">
        <v>658</v>
      </c>
      <c r="G593" t="s">
        <v>658</v>
      </c>
      <c r="H593" s="2">
        <v>45573</v>
      </c>
      <c r="I593" s="2">
        <v>45603</v>
      </c>
      <c r="J593" t="s">
        <v>20</v>
      </c>
      <c r="K593" s="21">
        <v>99.54</v>
      </c>
      <c r="L593" s="21">
        <v>6.51</v>
      </c>
      <c r="M593">
        <v>0</v>
      </c>
      <c r="N593" s="21">
        <v>6.51</v>
      </c>
    </row>
    <row r="594" spans="1:14">
      <c r="A594" t="str">
        <f>IFERROR(_xlfn.XLOOKUP(B594,Cuentas!$C$1:$C$521,Cuentas!$A$1:$A$521),"")</f>
        <v>Nicolas</v>
      </c>
      <c r="B594" t="s">
        <v>655</v>
      </c>
      <c r="C594" t="s">
        <v>656</v>
      </c>
      <c r="D594" t="s">
        <v>16</v>
      </c>
      <c r="E594" t="s">
        <v>3139</v>
      </c>
      <c r="F594" t="s">
        <v>658</v>
      </c>
      <c r="G594" t="s">
        <v>658</v>
      </c>
      <c r="I594" s="2">
        <v>45587</v>
      </c>
      <c r="J594" t="s">
        <v>20</v>
      </c>
      <c r="K594" s="21">
        <v>-93.03</v>
      </c>
      <c r="L594" s="21" t="s">
        <v>86</v>
      </c>
      <c r="M594">
        <v>0</v>
      </c>
      <c r="N594" s="21" t="s">
        <v>86</v>
      </c>
    </row>
    <row r="595" spans="1:14">
      <c r="A595" t="str">
        <f>IFERROR(_xlfn.XLOOKUP(B595,Cuentas!$C$1:$C$521,Cuentas!$A$1:$A$521),"")</f>
        <v>Nicolas</v>
      </c>
      <c r="B595" t="s">
        <v>659</v>
      </c>
      <c r="C595" t="s">
        <v>660</v>
      </c>
      <c r="D595" t="s">
        <v>16</v>
      </c>
      <c r="E595" t="s">
        <v>7</v>
      </c>
      <c r="F595" t="s">
        <v>661</v>
      </c>
      <c r="G595" t="s">
        <v>661</v>
      </c>
      <c r="H595" s="2">
        <v>45615</v>
      </c>
      <c r="I595" s="2">
        <v>45645</v>
      </c>
      <c r="J595" t="s">
        <v>20</v>
      </c>
      <c r="K595" s="21">
        <v>1233.6300000000001</v>
      </c>
      <c r="L595" s="21">
        <v>1233.6300000000001</v>
      </c>
      <c r="M595">
        <v>0</v>
      </c>
      <c r="N595" s="21">
        <v>1233.6300000000001</v>
      </c>
    </row>
    <row r="596" spans="1:14">
      <c r="A596" t="str">
        <f>IFERROR(_xlfn.XLOOKUP(B596,Cuentas!$C$1:$C$521,Cuentas!$A$1:$A$521),"")</f>
        <v>Nicolas</v>
      </c>
      <c r="B596" t="s">
        <v>659</v>
      </c>
      <c r="C596" t="s">
        <v>660</v>
      </c>
      <c r="D596" t="s">
        <v>16</v>
      </c>
      <c r="E596" t="s">
        <v>7</v>
      </c>
      <c r="F596" t="s">
        <v>662</v>
      </c>
      <c r="G596" t="s">
        <v>662</v>
      </c>
      <c r="H596" s="2">
        <v>45716</v>
      </c>
      <c r="I596" s="2">
        <v>45746</v>
      </c>
      <c r="J596" t="s">
        <v>20</v>
      </c>
      <c r="K596" s="21">
        <v>1570.98</v>
      </c>
      <c r="L596" s="21">
        <v>1570.98</v>
      </c>
      <c r="M596">
        <v>13</v>
      </c>
      <c r="N596" s="21">
        <v>1570.98</v>
      </c>
    </row>
    <row r="597" spans="1:14">
      <c r="A597" t="str">
        <f>IFERROR(_xlfn.XLOOKUP(B597,Cuentas!$C$1:$C$521,Cuentas!$A$1:$A$521),"")</f>
        <v>Nicolas</v>
      </c>
      <c r="B597" t="s">
        <v>663</v>
      </c>
      <c r="C597" t="s">
        <v>664</v>
      </c>
      <c r="D597" t="s">
        <v>16</v>
      </c>
      <c r="E597" t="s">
        <v>7</v>
      </c>
      <c r="F597" t="s">
        <v>665</v>
      </c>
      <c r="G597" t="s">
        <v>665</v>
      </c>
      <c r="H597" s="2">
        <v>45677</v>
      </c>
      <c r="I597" s="2">
        <v>45707</v>
      </c>
      <c r="J597" t="s">
        <v>20</v>
      </c>
      <c r="K597" s="21">
        <v>36000</v>
      </c>
      <c r="L597" s="21">
        <v>36000</v>
      </c>
      <c r="M597">
        <v>0</v>
      </c>
      <c r="N597" s="21">
        <v>36000</v>
      </c>
    </row>
    <row r="598" spans="1:14">
      <c r="A598" t="str">
        <f>IFERROR(_xlfn.XLOOKUP(B598,Cuentas!$C$1:$C$521,Cuentas!$A$1:$A$521),"")</f>
        <v>Nicolas</v>
      </c>
      <c r="B598" t="s">
        <v>666</v>
      </c>
      <c r="C598" t="s">
        <v>667</v>
      </c>
      <c r="D598" t="s">
        <v>16</v>
      </c>
      <c r="E598" t="s">
        <v>5502</v>
      </c>
      <c r="F598" t="s">
        <v>668</v>
      </c>
      <c r="G598" t="s">
        <v>19</v>
      </c>
      <c r="I598" s="2">
        <v>45532</v>
      </c>
      <c r="J598" t="s">
        <v>20</v>
      </c>
      <c r="K598" s="21">
        <v>-10</v>
      </c>
      <c r="L598" s="21">
        <v>-10</v>
      </c>
      <c r="M598">
        <v>0</v>
      </c>
      <c r="N598" s="21">
        <v>-10</v>
      </c>
    </row>
    <row r="599" spans="1:14">
      <c r="A599" t="str">
        <f>IFERROR(_xlfn.XLOOKUP(B599,Cuentas!$C$1:$C$521,Cuentas!$A$1:$A$521),"")</f>
        <v>Nicolas</v>
      </c>
      <c r="B599" t="s">
        <v>666</v>
      </c>
      <c r="C599" t="s">
        <v>667</v>
      </c>
      <c r="D599" t="s">
        <v>16</v>
      </c>
      <c r="E599" t="s">
        <v>7</v>
      </c>
      <c r="F599" t="s">
        <v>669</v>
      </c>
      <c r="G599" t="s">
        <v>669</v>
      </c>
      <c r="H599" s="2">
        <v>45562</v>
      </c>
      <c r="I599" s="2">
        <v>45592</v>
      </c>
      <c r="J599" t="s">
        <v>20</v>
      </c>
      <c r="K599" s="21">
        <v>2092.4</v>
      </c>
      <c r="L599" s="21">
        <v>2092.4</v>
      </c>
      <c r="M599">
        <v>0</v>
      </c>
      <c r="N599" s="21">
        <v>2092.4</v>
      </c>
    </row>
    <row r="600" spans="1:14">
      <c r="A600" t="str">
        <f>IFERROR(_xlfn.XLOOKUP(B600,Cuentas!$C$1:$C$521,Cuentas!$A$1:$A$521),"")</f>
        <v>Nicolas</v>
      </c>
      <c r="B600" t="s">
        <v>670</v>
      </c>
      <c r="C600" t="s">
        <v>671</v>
      </c>
      <c r="D600" t="s">
        <v>16</v>
      </c>
      <c r="E600" t="s">
        <v>7</v>
      </c>
      <c r="F600" t="s">
        <v>672</v>
      </c>
      <c r="G600" t="s">
        <v>672</v>
      </c>
      <c r="H600" s="2">
        <v>45615</v>
      </c>
      <c r="I600" s="2">
        <v>45645</v>
      </c>
      <c r="J600" t="s">
        <v>20</v>
      </c>
      <c r="K600" s="21">
        <v>310.64999999999998</v>
      </c>
      <c r="L600" s="21">
        <v>310.64999999999998</v>
      </c>
      <c r="M600">
        <v>0</v>
      </c>
      <c r="N600" s="21">
        <v>310.64999999999998</v>
      </c>
    </row>
    <row r="601" spans="1:14">
      <c r="A601" t="str">
        <f>IFERROR(_xlfn.XLOOKUP(B601,Cuentas!$C$1:$C$521,Cuentas!$A$1:$A$521),"")</f>
        <v>Nicolas</v>
      </c>
      <c r="B601" t="s">
        <v>673</v>
      </c>
      <c r="C601" t="s">
        <v>674</v>
      </c>
      <c r="D601" t="s">
        <v>16</v>
      </c>
      <c r="E601" t="s">
        <v>7</v>
      </c>
      <c r="F601" t="s">
        <v>675</v>
      </c>
      <c r="G601" t="s">
        <v>675</v>
      </c>
      <c r="H601" s="2">
        <v>45701</v>
      </c>
      <c r="I601" s="2">
        <v>45731</v>
      </c>
      <c r="J601" t="s">
        <v>20</v>
      </c>
      <c r="K601" s="21">
        <v>525</v>
      </c>
      <c r="L601" s="21">
        <v>525</v>
      </c>
      <c r="M601">
        <v>11</v>
      </c>
      <c r="N601" s="21">
        <v>525</v>
      </c>
    </row>
    <row r="602" spans="1:14">
      <c r="A602" t="str">
        <f>IFERROR(_xlfn.XLOOKUP(B602,Cuentas!$C$1:$C$521,Cuentas!$A$1:$A$521),"")</f>
        <v>Nicolas</v>
      </c>
      <c r="B602" t="s">
        <v>676</v>
      </c>
      <c r="C602" t="s">
        <v>677</v>
      </c>
      <c r="D602" t="s">
        <v>16</v>
      </c>
      <c r="E602" t="s">
        <v>7</v>
      </c>
      <c r="F602" t="s">
        <v>678</v>
      </c>
      <c r="G602" t="s">
        <v>678</v>
      </c>
      <c r="H602" s="2">
        <v>45686</v>
      </c>
      <c r="I602" s="2">
        <v>45716</v>
      </c>
      <c r="J602" t="s">
        <v>20</v>
      </c>
      <c r="K602" s="21">
        <v>124.88</v>
      </c>
      <c r="L602" s="21">
        <v>124.88</v>
      </c>
      <c r="M602">
        <v>0</v>
      </c>
      <c r="N602" s="21">
        <v>124.88</v>
      </c>
    </row>
    <row r="603" spans="1:14">
      <c r="A603" t="str">
        <f>IFERROR(_xlfn.XLOOKUP(B603,Cuentas!$C$1:$C$521,Cuentas!$A$1:$A$521),"")</f>
        <v>Nicolas</v>
      </c>
      <c r="B603" t="s">
        <v>679</v>
      </c>
      <c r="C603" t="s">
        <v>680</v>
      </c>
      <c r="D603" t="s">
        <v>16</v>
      </c>
      <c r="E603" t="s">
        <v>7</v>
      </c>
      <c r="F603" t="s">
        <v>681</v>
      </c>
      <c r="G603" t="s">
        <v>681</v>
      </c>
      <c r="H603" s="2">
        <v>45716</v>
      </c>
      <c r="I603" s="2">
        <v>45746</v>
      </c>
      <c r="J603" t="s">
        <v>20</v>
      </c>
      <c r="K603" s="21">
        <v>4030</v>
      </c>
      <c r="L603" s="21">
        <v>4030</v>
      </c>
      <c r="M603">
        <v>13</v>
      </c>
      <c r="N603" s="21">
        <v>4030</v>
      </c>
    </row>
    <row r="604" spans="1:14">
      <c r="A604" t="str">
        <f>IFERROR(_xlfn.XLOOKUP(B604,Cuentas!$C$1:$C$521,Cuentas!$A$1:$A$521),"")</f>
        <v>Nicolas</v>
      </c>
      <c r="B604" t="s">
        <v>679</v>
      </c>
      <c r="C604" t="s">
        <v>680</v>
      </c>
      <c r="D604" t="s">
        <v>16</v>
      </c>
      <c r="E604" t="s">
        <v>7</v>
      </c>
      <c r="F604" t="s">
        <v>682</v>
      </c>
      <c r="G604" t="s">
        <v>682</v>
      </c>
      <c r="H604" s="2">
        <v>45730</v>
      </c>
      <c r="I604" s="2">
        <v>45760</v>
      </c>
      <c r="J604" t="s">
        <v>20</v>
      </c>
      <c r="K604" s="21">
        <v>1464</v>
      </c>
      <c r="L604" s="21">
        <v>1464</v>
      </c>
      <c r="M604">
        <v>0</v>
      </c>
      <c r="N604" s="21">
        <v>0</v>
      </c>
    </row>
    <row r="605" spans="1:14">
      <c r="A605" t="str">
        <f>IFERROR(_xlfn.XLOOKUP(B605,Cuentas!$C$1:$C$521,Cuentas!$A$1:$A$521),"")</f>
        <v>Nicolas</v>
      </c>
      <c r="B605" t="s">
        <v>683</v>
      </c>
      <c r="C605" t="s">
        <v>684</v>
      </c>
      <c r="D605" t="s">
        <v>16</v>
      </c>
      <c r="E605" t="s">
        <v>5502</v>
      </c>
      <c r="F605" t="s">
        <v>685</v>
      </c>
      <c r="G605" t="s">
        <v>19</v>
      </c>
      <c r="I605" s="2">
        <v>45680</v>
      </c>
      <c r="J605" t="s">
        <v>20</v>
      </c>
      <c r="K605" s="21">
        <v>-324</v>
      </c>
      <c r="L605" s="21">
        <v>-324</v>
      </c>
      <c r="M605">
        <v>0</v>
      </c>
      <c r="N605" s="21">
        <v>-324</v>
      </c>
    </row>
    <row r="606" spans="1:14">
      <c r="A606" t="str">
        <f>IFERROR(_xlfn.XLOOKUP(B606,Cuentas!$C$1:$C$521,Cuentas!$A$1:$A$521),"")</f>
        <v>Nicolas</v>
      </c>
      <c r="B606" t="s">
        <v>683</v>
      </c>
      <c r="C606" t="s">
        <v>684</v>
      </c>
      <c r="D606" t="s">
        <v>16</v>
      </c>
      <c r="E606" t="s">
        <v>5502</v>
      </c>
      <c r="F606" t="s">
        <v>686</v>
      </c>
      <c r="G606" t="s">
        <v>19</v>
      </c>
      <c r="I606" s="2">
        <v>45680</v>
      </c>
      <c r="J606" t="s">
        <v>20</v>
      </c>
      <c r="K606" s="21">
        <v>-480</v>
      </c>
      <c r="L606" s="21">
        <v>-480</v>
      </c>
      <c r="M606">
        <v>0</v>
      </c>
      <c r="N606" s="21">
        <v>-480</v>
      </c>
    </row>
    <row r="607" spans="1:14">
      <c r="A607" t="str">
        <f>IFERROR(_xlfn.XLOOKUP(B607,Cuentas!$C$1:$C$521,Cuentas!$A$1:$A$521),"")</f>
        <v>Nicolas</v>
      </c>
      <c r="B607" t="s">
        <v>683</v>
      </c>
      <c r="C607" t="s">
        <v>684</v>
      </c>
      <c r="D607" t="s">
        <v>16</v>
      </c>
      <c r="E607" t="s">
        <v>5502</v>
      </c>
      <c r="F607" t="s">
        <v>687</v>
      </c>
      <c r="G607" t="s">
        <v>19</v>
      </c>
      <c r="I607" s="2">
        <v>45680</v>
      </c>
      <c r="J607" t="s">
        <v>20</v>
      </c>
      <c r="K607" s="21">
        <v>-1560</v>
      </c>
      <c r="L607" s="21">
        <v>-1560</v>
      </c>
      <c r="M607">
        <v>0</v>
      </c>
      <c r="N607" s="21">
        <v>-1560</v>
      </c>
    </row>
    <row r="608" spans="1:14">
      <c r="A608" t="str">
        <f>IFERROR(_xlfn.XLOOKUP(B608,Cuentas!$C$1:$C$521,Cuentas!$A$1:$A$521),"")</f>
        <v>Nicolas</v>
      </c>
      <c r="B608" t="s">
        <v>683</v>
      </c>
      <c r="C608" t="s">
        <v>684</v>
      </c>
      <c r="D608" t="s">
        <v>16</v>
      </c>
      <c r="E608" t="s">
        <v>5502</v>
      </c>
      <c r="F608" t="s">
        <v>688</v>
      </c>
      <c r="G608" t="s">
        <v>19</v>
      </c>
      <c r="I608" s="2">
        <v>45680</v>
      </c>
      <c r="J608" t="s">
        <v>20</v>
      </c>
      <c r="K608" s="21">
        <v>-2036.8</v>
      </c>
      <c r="L608" s="21">
        <v>-2036.8</v>
      </c>
      <c r="M608">
        <v>0</v>
      </c>
      <c r="N608" s="21">
        <v>-2036.8</v>
      </c>
    </row>
    <row r="609" spans="1:14">
      <c r="A609" t="str">
        <f>IFERROR(_xlfn.XLOOKUP(B609,Cuentas!$C$1:$C$521,Cuentas!$A$1:$A$521),"")</f>
        <v>Nicolas</v>
      </c>
      <c r="B609" t="s">
        <v>689</v>
      </c>
      <c r="C609" t="s">
        <v>690</v>
      </c>
      <c r="D609" t="s">
        <v>16</v>
      </c>
      <c r="E609" t="s">
        <v>3139</v>
      </c>
      <c r="F609" t="s">
        <v>19</v>
      </c>
      <c r="G609" t="s">
        <v>19</v>
      </c>
      <c r="I609" s="2">
        <v>45614</v>
      </c>
      <c r="J609" t="s">
        <v>20</v>
      </c>
      <c r="K609" s="21">
        <v>-630</v>
      </c>
      <c r="L609" s="21">
        <v>-630</v>
      </c>
      <c r="M609">
        <v>0</v>
      </c>
      <c r="N609" s="21">
        <v>-630</v>
      </c>
    </row>
    <row r="610" spans="1:14">
      <c r="A610" t="str">
        <f>IFERROR(_xlfn.XLOOKUP(B610,Cuentas!$C$1:$C$521,Cuentas!$A$1:$A$521),"")</f>
        <v>Nicolas</v>
      </c>
      <c r="B610" t="s">
        <v>689</v>
      </c>
      <c r="C610" t="s">
        <v>690</v>
      </c>
      <c r="D610" t="s">
        <v>16</v>
      </c>
      <c r="E610" t="s">
        <v>7</v>
      </c>
      <c r="F610" t="s">
        <v>691</v>
      </c>
      <c r="G610" t="s">
        <v>691</v>
      </c>
      <c r="H610" s="2">
        <v>45677</v>
      </c>
      <c r="I610" s="2">
        <v>45707</v>
      </c>
      <c r="J610" t="s">
        <v>20</v>
      </c>
      <c r="K610" s="21">
        <v>9568</v>
      </c>
      <c r="L610" s="21">
        <v>2687.59</v>
      </c>
      <c r="M610">
        <v>0</v>
      </c>
      <c r="N610" s="21">
        <v>2687.59</v>
      </c>
    </row>
    <row r="611" spans="1:14">
      <c r="A611" t="str">
        <f>IFERROR(_xlfn.XLOOKUP(B611,Cuentas!$C$1:$C$521,Cuentas!$A$1:$A$521),"")</f>
        <v>Nicolas</v>
      </c>
      <c r="B611" t="s">
        <v>689</v>
      </c>
      <c r="C611" t="s">
        <v>690</v>
      </c>
      <c r="D611" t="s">
        <v>16</v>
      </c>
      <c r="E611" t="s">
        <v>3139</v>
      </c>
      <c r="F611" t="s">
        <v>691</v>
      </c>
      <c r="G611" t="s">
        <v>691</v>
      </c>
      <c r="I611" s="2">
        <v>45734</v>
      </c>
      <c r="J611" t="s">
        <v>20</v>
      </c>
      <c r="K611" s="21">
        <v>-6880.41</v>
      </c>
      <c r="L611" s="21" t="s">
        <v>86</v>
      </c>
      <c r="M611">
        <v>12</v>
      </c>
      <c r="N611" s="21" t="s">
        <v>86</v>
      </c>
    </row>
    <row r="612" spans="1:14">
      <c r="A612" t="str">
        <f>IFERROR(_xlfn.XLOOKUP(B612,Cuentas!$C$1:$C$521,Cuentas!$A$1:$A$521),"")</f>
        <v>Nicolas</v>
      </c>
      <c r="B612" t="s">
        <v>689</v>
      </c>
      <c r="C612" t="s">
        <v>690</v>
      </c>
      <c r="D612" t="s">
        <v>16</v>
      </c>
      <c r="E612" t="s">
        <v>7</v>
      </c>
      <c r="F612" t="s">
        <v>692</v>
      </c>
      <c r="G612" t="s">
        <v>692</v>
      </c>
      <c r="H612" s="2">
        <v>45709</v>
      </c>
      <c r="I612" s="2">
        <v>45739</v>
      </c>
      <c r="J612" t="s">
        <v>20</v>
      </c>
      <c r="K612" s="21">
        <v>204</v>
      </c>
      <c r="L612" s="21">
        <v>204</v>
      </c>
      <c r="M612">
        <v>13</v>
      </c>
      <c r="N612" s="21">
        <v>204</v>
      </c>
    </row>
    <row r="613" spans="1:14">
      <c r="A613" t="str">
        <f>IFERROR(_xlfn.XLOOKUP(B613,Cuentas!$C$1:$C$521,Cuentas!$A$1:$A$521),"")</f>
        <v>Nicolas</v>
      </c>
      <c r="B613" t="s">
        <v>689</v>
      </c>
      <c r="C613" t="s">
        <v>690</v>
      </c>
      <c r="D613" t="s">
        <v>16</v>
      </c>
      <c r="E613" t="s">
        <v>7</v>
      </c>
      <c r="F613" t="s">
        <v>693</v>
      </c>
      <c r="G613" t="s">
        <v>693</v>
      </c>
      <c r="H613" s="2">
        <v>45712</v>
      </c>
      <c r="I613" s="2">
        <v>45742</v>
      </c>
      <c r="J613" t="s">
        <v>20</v>
      </c>
      <c r="K613" s="21">
        <v>56.88</v>
      </c>
      <c r="L613" s="21">
        <v>56.88</v>
      </c>
      <c r="M613">
        <v>13</v>
      </c>
      <c r="N613" s="21">
        <v>56.88</v>
      </c>
    </row>
    <row r="614" spans="1:14">
      <c r="A614" t="str">
        <f>IFERROR(_xlfn.XLOOKUP(B614,Cuentas!$C$1:$C$521,Cuentas!$A$1:$A$521),"")</f>
        <v>Nicolas</v>
      </c>
      <c r="B614" t="s">
        <v>689</v>
      </c>
      <c r="C614" t="s">
        <v>690</v>
      </c>
      <c r="D614" t="s">
        <v>16</v>
      </c>
      <c r="E614" t="s">
        <v>7</v>
      </c>
      <c r="F614" t="s">
        <v>694</v>
      </c>
      <c r="G614" t="s">
        <v>694</v>
      </c>
      <c r="H614" s="2">
        <v>45716</v>
      </c>
      <c r="I614" s="2">
        <v>45746</v>
      </c>
      <c r="J614" t="s">
        <v>20</v>
      </c>
      <c r="K614" s="21">
        <v>380</v>
      </c>
      <c r="L614" s="21">
        <v>380</v>
      </c>
      <c r="M614">
        <v>13</v>
      </c>
      <c r="N614" s="21">
        <v>380</v>
      </c>
    </row>
    <row r="615" spans="1:14">
      <c r="A615" t="str">
        <f>IFERROR(_xlfn.XLOOKUP(B615,Cuentas!$C$1:$C$521,Cuentas!$A$1:$A$521),"")</f>
        <v>Nicolas</v>
      </c>
      <c r="B615" t="s">
        <v>689</v>
      </c>
      <c r="C615" t="s">
        <v>690</v>
      </c>
      <c r="D615" t="s">
        <v>16</v>
      </c>
      <c r="E615" t="s">
        <v>7</v>
      </c>
      <c r="F615" t="s">
        <v>695</v>
      </c>
      <c r="G615" t="s">
        <v>695</v>
      </c>
      <c r="H615" s="2">
        <v>45719</v>
      </c>
      <c r="I615" s="2">
        <v>45749</v>
      </c>
      <c r="J615" t="s">
        <v>20</v>
      </c>
      <c r="K615" s="21">
        <v>2460</v>
      </c>
      <c r="L615" s="21">
        <v>2460</v>
      </c>
      <c r="M615">
        <v>0</v>
      </c>
      <c r="N615" s="21">
        <v>0</v>
      </c>
    </row>
    <row r="616" spans="1:14">
      <c r="A616" t="str">
        <f>IFERROR(_xlfn.XLOOKUP(B616,Cuentas!$C$1:$C$521,Cuentas!$A$1:$A$521),"")</f>
        <v>Nicolas</v>
      </c>
      <c r="B616" t="s">
        <v>689</v>
      </c>
      <c r="C616" t="s">
        <v>690</v>
      </c>
      <c r="D616" t="s">
        <v>16</v>
      </c>
      <c r="E616" t="s">
        <v>7</v>
      </c>
      <c r="F616" t="s">
        <v>696</v>
      </c>
      <c r="G616" t="s">
        <v>696</v>
      </c>
      <c r="H616" s="2">
        <v>45720</v>
      </c>
      <c r="I616" s="2">
        <v>45750</v>
      </c>
      <c r="J616" t="s">
        <v>20</v>
      </c>
      <c r="K616" s="21">
        <v>176</v>
      </c>
      <c r="L616" s="21">
        <v>176</v>
      </c>
      <c r="M616">
        <v>0</v>
      </c>
      <c r="N616" s="21">
        <v>0</v>
      </c>
    </row>
    <row r="617" spans="1:14">
      <c r="A617" t="str">
        <f>IFERROR(_xlfn.XLOOKUP(B617,Cuentas!$C$1:$C$521,Cuentas!$A$1:$A$521),"")</f>
        <v>Nicolas</v>
      </c>
      <c r="B617" t="s">
        <v>689</v>
      </c>
      <c r="C617" t="s">
        <v>690</v>
      </c>
      <c r="D617" t="s">
        <v>16</v>
      </c>
      <c r="E617" t="s">
        <v>7</v>
      </c>
      <c r="F617" t="s">
        <v>697</v>
      </c>
      <c r="G617" t="s">
        <v>697</v>
      </c>
      <c r="H617" s="2">
        <v>45721</v>
      </c>
      <c r="I617" s="2">
        <v>45751</v>
      </c>
      <c r="J617" t="s">
        <v>20</v>
      </c>
      <c r="K617" s="21">
        <v>186</v>
      </c>
      <c r="L617" s="21">
        <v>186</v>
      </c>
      <c r="M617">
        <v>0</v>
      </c>
      <c r="N617" s="21">
        <v>0</v>
      </c>
    </row>
    <row r="618" spans="1:14">
      <c r="A618" t="str">
        <f>IFERROR(_xlfn.XLOOKUP(B618,Cuentas!$C$1:$C$521,Cuentas!$A$1:$A$521),"")</f>
        <v>Nicolas</v>
      </c>
      <c r="B618" t="s">
        <v>689</v>
      </c>
      <c r="C618" t="s">
        <v>690</v>
      </c>
      <c r="D618" t="s">
        <v>16</v>
      </c>
      <c r="E618" t="s">
        <v>7</v>
      </c>
      <c r="F618" t="s">
        <v>698</v>
      </c>
      <c r="G618" t="s">
        <v>698</v>
      </c>
      <c r="H618" s="2">
        <v>45722</v>
      </c>
      <c r="I618" s="2">
        <v>45752</v>
      </c>
      <c r="J618" t="s">
        <v>20</v>
      </c>
      <c r="K618" s="21">
        <v>633</v>
      </c>
      <c r="L618" s="21">
        <v>633</v>
      </c>
      <c r="M618">
        <v>0</v>
      </c>
      <c r="N618" s="21">
        <v>0</v>
      </c>
    </row>
    <row r="619" spans="1:14">
      <c r="A619" t="str">
        <f>IFERROR(_xlfn.XLOOKUP(B619,Cuentas!$C$1:$C$521,Cuentas!$A$1:$A$521),"")</f>
        <v>Nicolas</v>
      </c>
      <c r="B619" t="s">
        <v>689</v>
      </c>
      <c r="C619" t="s">
        <v>690</v>
      </c>
      <c r="D619" t="s">
        <v>16</v>
      </c>
      <c r="E619" t="s">
        <v>7</v>
      </c>
      <c r="F619" t="s">
        <v>699</v>
      </c>
      <c r="G619" t="s">
        <v>699</v>
      </c>
      <c r="H619" s="2">
        <v>45723</v>
      </c>
      <c r="I619" s="2">
        <v>45753</v>
      </c>
      <c r="J619" t="s">
        <v>20</v>
      </c>
      <c r="K619" s="21">
        <v>3870</v>
      </c>
      <c r="L619" s="21">
        <v>3870</v>
      </c>
      <c r="M619">
        <v>0</v>
      </c>
      <c r="N619" s="21">
        <v>0</v>
      </c>
    </row>
    <row r="620" spans="1:14">
      <c r="A620" t="str">
        <f>IFERROR(_xlfn.XLOOKUP(B620,Cuentas!$C$1:$C$521,Cuentas!$A$1:$A$521),"")</f>
        <v>Nicolas</v>
      </c>
      <c r="B620" t="s">
        <v>689</v>
      </c>
      <c r="C620" t="s">
        <v>690</v>
      </c>
      <c r="D620" t="s">
        <v>16</v>
      </c>
      <c r="E620" t="s">
        <v>7</v>
      </c>
      <c r="F620" t="s">
        <v>700</v>
      </c>
      <c r="G620" t="s">
        <v>700</v>
      </c>
      <c r="H620" s="2">
        <v>45726</v>
      </c>
      <c r="I620" s="2">
        <v>45756</v>
      </c>
      <c r="J620" t="s">
        <v>20</v>
      </c>
      <c r="K620" s="21">
        <v>322</v>
      </c>
      <c r="L620" s="21">
        <v>322</v>
      </c>
      <c r="M620">
        <v>0</v>
      </c>
      <c r="N620" s="21">
        <v>0</v>
      </c>
    </row>
    <row r="621" spans="1:14">
      <c r="A621" t="str">
        <f>IFERROR(_xlfn.XLOOKUP(B621,Cuentas!$C$1:$C$521,Cuentas!$A$1:$A$521),"")</f>
        <v>Nicolas</v>
      </c>
      <c r="B621" t="s">
        <v>689</v>
      </c>
      <c r="C621" t="s">
        <v>690</v>
      </c>
      <c r="D621" t="s">
        <v>16</v>
      </c>
      <c r="E621" t="s">
        <v>7</v>
      </c>
      <c r="F621" t="s">
        <v>701</v>
      </c>
      <c r="G621" t="s">
        <v>701</v>
      </c>
      <c r="H621" s="2">
        <v>45726</v>
      </c>
      <c r="I621" s="2">
        <v>45756</v>
      </c>
      <c r="J621" t="s">
        <v>20</v>
      </c>
      <c r="K621" s="21">
        <v>189</v>
      </c>
      <c r="L621" s="21">
        <v>189</v>
      </c>
      <c r="M621">
        <v>0</v>
      </c>
      <c r="N621" s="21">
        <v>0</v>
      </c>
    </row>
    <row r="622" spans="1:14">
      <c r="A622" t="str">
        <f>IFERROR(_xlfn.XLOOKUP(B622,Cuentas!$C$1:$C$521,Cuentas!$A$1:$A$521),"")</f>
        <v>Nicolas</v>
      </c>
      <c r="B622" t="s">
        <v>689</v>
      </c>
      <c r="C622" t="s">
        <v>690</v>
      </c>
      <c r="D622" t="s">
        <v>16</v>
      </c>
      <c r="E622" t="s">
        <v>7</v>
      </c>
      <c r="F622" t="s">
        <v>702</v>
      </c>
      <c r="G622" t="s">
        <v>702</v>
      </c>
      <c r="H622" s="2">
        <v>45727</v>
      </c>
      <c r="I622" s="2">
        <v>45757</v>
      </c>
      <c r="J622" t="s">
        <v>20</v>
      </c>
      <c r="K622" s="21">
        <v>933</v>
      </c>
      <c r="L622" s="21">
        <v>933</v>
      </c>
      <c r="M622">
        <v>0</v>
      </c>
      <c r="N622" s="21">
        <v>0</v>
      </c>
    </row>
    <row r="623" spans="1:14">
      <c r="A623" t="str">
        <f>IFERROR(_xlfn.XLOOKUP(B623,Cuentas!$C$1:$C$521,Cuentas!$A$1:$A$521),"")</f>
        <v>Nicolas</v>
      </c>
      <c r="B623" t="s">
        <v>689</v>
      </c>
      <c r="C623" t="s">
        <v>690</v>
      </c>
      <c r="D623" t="s">
        <v>16</v>
      </c>
      <c r="E623" t="s">
        <v>7</v>
      </c>
      <c r="F623" t="s">
        <v>703</v>
      </c>
      <c r="G623" t="s">
        <v>703</v>
      </c>
      <c r="H623" s="2">
        <v>45727</v>
      </c>
      <c r="I623" s="2">
        <v>45757</v>
      </c>
      <c r="J623" t="s">
        <v>20</v>
      </c>
      <c r="K623" s="21">
        <v>126</v>
      </c>
      <c r="L623" s="21">
        <v>126</v>
      </c>
      <c r="M623">
        <v>0</v>
      </c>
      <c r="N623" s="21">
        <v>0</v>
      </c>
    </row>
    <row r="624" spans="1:14">
      <c r="A624" t="str">
        <f>IFERROR(_xlfn.XLOOKUP(B624,Cuentas!$C$1:$C$521,Cuentas!$A$1:$A$521),"")</f>
        <v>Nicolas</v>
      </c>
      <c r="B624" t="s">
        <v>689</v>
      </c>
      <c r="C624" t="s">
        <v>690</v>
      </c>
      <c r="D624" t="s">
        <v>16</v>
      </c>
      <c r="E624" t="s">
        <v>7</v>
      </c>
      <c r="F624" t="s">
        <v>704</v>
      </c>
      <c r="G624" t="s">
        <v>704</v>
      </c>
      <c r="H624" s="2">
        <v>45728</v>
      </c>
      <c r="I624" s="2">
        <v>45758</v>
      </c>
      <c r="J624" t="s">
        <v>20</v>
      </c>
      <c r="K624" s="21">
        <v>25174.799999999999</v>
      </c>
      <c r="L624" s="21">
        <v>25174.799999999999</v>
      </c>
      <c r="M624">
        <v>0</v>
      </c>
      <c r="N624" s="21">
        <v>0</v>
      </c>
    </row>
    <row r="625" spans="1:14">
      <c r="A625" t="str">
        <f>IFERROR(_xlfn.XLOOKUP(B625,Cuentas!$C$1:$C$521,Cuentas!$A$1:$A$521),"")</f>
        <v>Nicolas</v>
      </c>
      <c r="B625" t="s">
        <v>689</v>
      </c>
      <c r="C625" t="s">
        <v>690</v>
      </c>
      <c r="D625" t="s">
        <v>16</v>
      </c>
      <c r="E625" t="s">
        <v>7</v>
      </c>
      <c r="F625" t="s">
        <v>705</v>
      </c>
      <c r="G625" t="s">
        <v>705</v>
      </c>
      <c r="H625" s="2">
        <v>45728</v>
      </c>
      <c r="I625" s="2">
        <v>45758</v>
      </c>
      <c r="J625" t="s">
        <v>20</v>
      </c>
      <c r="K625" s="21">
        <v>1440</v>
      </c>
      <c r="L625" s="21">
        <v>1440</v>
      </c>
      <c r="M625">
        <v>0</v>
      </c>
      <c r="N625" s="21">
        <v>0</v>
      </c>
    </row>
    <row r="626" spans="1:14">
      <c r="A626" t="str">
        <f>IFERROR(_xlfn.XLOOKUP(B626,Cuentas!$C$1:$C$521,Cuentas!$A$1:$A$521),"")</f>
        <v>Nicolas</v>
      </c>
      <c r="B626" t="s">
        <v>689</v>
      </c>
      <c r="C626" t="s">
        <v>690</v>
      </c>
      <c r="D626" t="s">
        <v>16</v>
      </c>
      <c r="E626" t="s">
        <v>7</v>
      </c>
      <c r="F626" t="s">
        <v>706</v>
      </c>
      <c r="G626" t="s">
        <v>706</v>
      </c>
      <c r="H626" s="2">
        <v>45728</v>
      </c>
      <c r="I626" s="2">
        <v>45758</v>
      </c>
      <c r="J626" t="s">
        <v>20</v>
      </c>
      <c r="K626" s="21">
        <v>391</v>
      </c>
      <c r="L626" s="21">
        <v>391</v>
      </c>
      <c r="M626">
        <v>0</v>
      </c>
      <c r="N626" s="21">
        <v>0</v>
      </c>
    </row>
    <row r="627" spans="1:14">
      <c r="A627" t="str">
        <f>IFERROR(_xlfn.XLOOKUP(B627,Cuentas!$C$1:$C$521,Cuentas!$A$1:$A$521),"")</f>
        <v>Nicolas</v>
      </c>
      <c r="B627" t="s">
        <v>689</v>
      </c>
      <c r="C627" t="s">
        <v>690</v>
      </c>
      <c r="D627" t="s">
        <v>16</v>
      </c>
      <c r="E627" t="s">
        <v>7</v>
      </c>
      <c r="F627" t="s">
        <v>707</v>
      </c>
      <c r="G627" t="s">
        <v>707</v>
      </c>
      <c r="H627" s="2">
        <v>45733</v>
      </c>
      <c r="I627" s="2">
        <v>45763</v>
      </c>
      <c r="J627" t="s">
        <v>20</v>
      </c>
      <c r="K627" s="21">
        <v>225</v>
      </c>
      <c r="L627" s="21">
        <v>225</v>
      </c>
      <c r="M627">
        <v>0</v>
      </c>
      <c r="N627" s="21">
        <v>0</v>
      </c>
    </row>
    <row r="628" spans="1:14">
      <c r="A628" t="str">
        <f>IFERROR(_xlfn.XLOOKUP(B628,Cuentas!$C$1:$C$521,Cuentas!$A$1:$A$521),"")</f>
        <v>Nicolas</v>
      </c>
      <c r="B628" t="s">
        <v>689</v>
      </c>
      <c r="C628" t="s">
        <v>690</v>
      </c>
      <c r="D628" t="s">
        <v>16</v>
      </c>
      <c r="E628" t="s">
        <v>7</v>
      </c>
      <c r="F628" t="s">
        <v>708</v>
      </c>
      <c r="G628" t="s">
        <v>708</v>
      </c>
      <c r="H628" s="2">
        <v>45733</v>
      </c>
      <c r="I628" s="2">
        <v>45763</v>
      </c>
      <c r="J628" t="s">
        <v>20</v>
      </c>
      <c r="K628" s="21">
        <v>390</v>
      </c>
      <c r="L628" s="21">
        <v>390</v>
      </c>
      <c r="M628">
        <v>0</v>
      </c>
      <c r="N628" s="21">
        <v>0</v>
      </c>
    </row>
    <row r="629" spans="1:14">
      <c r="A629" t="str">
        <f>IFERROR(_xlfn.XLOOKUP(B629,Cuentas!$C$1:$C$521,Cuentas!$A$1:$A$521),"")</f>
        <v>Nicolas</v>
      </c>
      <c r="B629" t="s">
        <v>689</v>
      </c>
      <c r="C629" t="s">
        <v>690</v>
      </c>
      <c r="D629" t="s">
        <v>16</v>
      </c>
      <c r="E629" t="s">
        <v>7</v>
      </c>
      <c r="F629" t="s">
        <v>709</v>
      </c>
      <c r="G629" t="s">
        <v>709</v>
      </c>
      <c r="H629" s="2">
        <v>45734</v>
      </c>
      <c r="I629" s="2">
        <v>45764</v>
      </c>
      <c r="J629" t="s">
        <v>20</v>
      </c>
      <c r="K629" s="21">
        <v>194.4</v>
      </c>
      <c r="L629" s="21">
        <v>194.4</v>
      </c>
      <c r="M629">
        <v>0</v>
      </c>
      <c r="N629" s="21">
        <v>0</v>
      </c>
    </row>
    <row r="630" spans="1:14">
      <c r="A630" t="str">
        <f>IFERROR(_xlfn.XLOOKUP(B630,Cuentas!$C$1:$C$521,Cuentas!$A$1:$A$521),"")</f>
        <v>Nicolas</v>
      </c>
      <c r="B630" t="s">
        <v>689</v>
      </c>
      <c r="C630" t="s">
        <v>690</v>
      </c>
      <c r="D630" t="s">
        <v>16</v>
      </c>
      <c r="E630" t="s">
        <v>7</v>
      </c>
      <c r="F630" t="s">
        <v>710</v>
      </c>
      <c r="G630" t="s">
        <v>710</v>
      </c>
      <c r="H630" s="2">
        <v>45734</v>
      </c>
      <c r="I630" s="2">
        <v>45764</v>
      </c>
      <c r="J630" t="s">
        <v>20</v>
      </c>
      <c r="K630" s="21">
        <v>869.45</v>
      </c>
      <c r="L630" s="21">
        <v>869.45</v>
      </c>
      <c r="M630">
        <v>0</v>
      </c>
      <c r="N630" s="21">
        <v>0</v>
      </c>
    </row>
    <row r="631" spans="1:14">
      <c r="A631" t="str">
        <f>IFERROR(_xlfn.XLOOKUP(B631,Cuentas!$C$1:$C$521,Cuentas!$A$1:$A$521),"")</f>
        <v>Nicolas</v>
      </c>
      <c r="B631" t="s">
        <v>689</v>
      </c>
      <c r="C631" t="s">
        <v>690</v>
      </c>
      <c r="D631" t="s">
        <v>16</v>
      </c>
      <c r="E631" t="s">
        <v>7</v>
      </c>
      <c r="F631" t="s">
        <v>711</v>
      </c>
      <c r="G631" t="s">
        <v>711</v>
      </c>
      <c r="H631" s="2">
        <v>45734</v>
      </c>
      <c r="I631" s="2">
        <v>45764</v>
      </c>
      <c r="J631" t="s">
        <v>20</v>
      </c>
      <c r="K631" s="21">
        <v>392</v>
      </c>
      <c r="L631" s="21">
        <v>392</v>
      </c>
      <c r="M631">
        <v>0</v>
      </c>
      <c r="N631" s="21">
        <v>0</v>
      </c>
    </row>
    <row r="632" spans="1:14">
      <c r="A632" t="str">
        <f>IFERROR(_xlfn.XLOOKUP(B632,Cuentas!$C$1:$C$521,Cuentas!$A$1:$A$521),"")</f>
        <v>Nicolas</v>
      </c>
      <c r="B632" t="s">
        <v>689</v>
      </c>
      <c r="C632" t="s">
        <v>690</v>
      </c>
      <c r="D632" t="s">
        <v>16</v>
      </c>
      <c r="E632" t="s">
        <v>7</v>
      </c>
      <c r="F632" t="s">
        <v>712</v>
      </c>
      <c r="G632" t="s">
        <v>712</v>
      </c>
      <c r="H632" s="2">
        <v>45734</v>
      </c>
      <c r="I632" s="2">
        <v>45764</v>
      </c>
      <c r="J632" t="s">
        <v>20</v>
      </c>
      <c r="K632" s="21">
        <v>980</v>
      </c>
      <c r="L632" s="21">
        <v>980</v>
      </c>
      <c r="M632">
        <v>0</v>
      </c>
      <c r="N632" s="21">
        <v>0</v>
      </c>
    </row>
    <row r="633" spans="1:14">
      <c r="A633" t="str">
        <f>IFERROR(_xlfn.XLOOKUP(B633,Cuentas!$C$1:$C$521,Cuentas!$A$1:$A$521),"")</f>
        <v>Nicolas</v>
      </c>
      <c r="B633" t="s">
        <v>689</v>
      </c>
      <c r="C633" t="s">
        <v>690</v>
      </c>
      <c r="D633" t="s">
        <v>16</v>
      </c>
      <c r="E633" t="s">
        <v>7</v>
      </c>
      <c r="F633" t="s">
        <v>713</v>
      </c>
      <c r="G633" t="s">
        <v>713</v>
      </c>
      <c r="H633" s="2">
        <v>45737</v>
      </c>
      <c r="I633" s="2">
        <v>45767</v>
      </c>
      <c r="J633" t="s">
        <v>20</v>
      </c>
      <c r="K633" s="21">
        <v>52.2</v>
      </c>
      <c r="L633" s="21">
        <v>52.2</v>
      </c>
      <c r="M633">
        <v>0</v>
      </c>
      <c r="N633" s="21">
        <v>0</v>
      </c>
    </row>
    <row r="634" spans="1:14">
      <c r="A634" t="str">
        <f>IFERROR(_xlfn.XLOOKUP(B634,Cuentas!$C$1:$C$521,Cuentas!$A$1:$A$521),"")</f>
        <v>Nicolas</v>
      </c>
      <c r="B634" t="s">
        <v>689</v>
      </c>
      <c r="C634" t="s">
        <v>690</v>
      </c>
      <c r="D634" t="s">
        <v>16</v>
      </c>
      <c r="E634" t="s">
        <v>7</v>
      </c>
      <c r="F634" t="s">
        <v>714</v>
      </c>
      <c r="G634" t="s">
        <v>714</v>
      </c>
      <c r="H634" s="2">
        <v>45740</v>
      </c>
      <c r="I634" s="2">
        <v>45770</v>
      </c>
      <c r="J634" t="s">
        <v>20</v>
      </c>
      <c r="K634" s="21">
        <v>544</v>
      </c>
      <c r="L634" s="21">
        <v>544</v>
      </c>
      <c r="M634">
        <v>0</v>
      </c>
      <c r="N634" s="21">
        <v>0</v>
      </c>
    </row>
    <row r="635" spans="1:14">
      <c r="A635" t="str">
        <f>IFERROR(_xlfn.XLOOKUP(B635,Cuentas!$C$1:$C$521,Cuentas!$A$1:$A$521),"")</f>
        <v>Nicolas</v>
      </c>
      <c r="B635" t="s">
        <v>715</v>
      </c>
      <c r="C635" t="s">
        <v>716</v>
      </c>
      <c r="D635" t="s">
        <v>16</v>
      </c>
      <c r="E635" t="s">
        <v>7</v>
      </c>
      <c r="F635" t="s">
        <v>717</v>
      </c>
      <c r="G635" t="s">
        <v>717</v>
      </c>
      <c r="H635" s="2">
        <v>45688</v>
      </c>
      <c r="I635" s="2">
        <v>45718</v>
      </c>
      <c r="J635" t="s">
        <v>20</v>
      </c>
      <c r="K635" s="21">
        <v>834.6</v>
      </c>
      <c r="L635" s="21">
        <v>834.6</v>
      </c>
      <c r="M635">
        <v>10</v>
      </c>
      <c r="N635" s="21">
        <v>834.6</v>
      </c>
    </row>
    <row r="636" spans="1:14">
      <c r="A636" t="str">
        <f>IFERROR(_xlfn.XLOOKUP(B636,Cuentas!$C$1:$C$521,Cuentas!$A$1:$A$521),"")</f>
        <v>Nicolas</v>
      </c>
      <c r="B636" t="s">
        <v>715</v>
      </c>
      <c r="C636" t="s">
        <v>716</v>
      </c>
      <c r="D636" t="s">
        <v>16</v>
      </c>
      <c r="E636" t="s">
        <v>7</v>
      </c>
      <c r="F636" t="s">
        <v>718</v>
      </c>
      <c r="G636" t="s">
        <v>718</v>
      </c>
      <c r="H636" s="2">
        <v>45727</v>
      </c>
      <c r="I636" s="2">
        <v>45757</v>
      </c>
      <c r="J636" t="s">
        <v>20</v>
      </c>
      <c r="K636" s="21">
        <v>594.61</v>
      </c>
      <c r="L636" s="21">
        <v>594.61</v>
      </c>
      <c r="M636">
        <v>0</v>
      </c>
      <c r="N636" s="21">
        <v>0</v>
      </c>
    </row>
    <row r="637" spans="1:14">
      <c r="A637" t="str">
        <f>IFERROR(_xlfn.XLOOKUP(B637,Cuentas!$C$1:$C$521,Cuentas!$A$1:$A$521),"")</f>
        <v>Nicolas</v>
      </c>
      <c r="B637" t="s">
        <v>719</v>
      </c>
      <c r="C637" t="s">
        <v>720</v>
      </c>
      <c r="D637" t="s">
        <v>16</v>
      </c>
      <c r="E637" t="s">
        <v>7</v>
      </c>
      <c r="F637" t="s">
        <v>721</v>
      </c>
      <c r="G637" t="s">
        <v>721</v>
      </c>
      <c r="H637" s="2">
        <v>45716</v>
      </c>
      <c r="I637" s="2">
        <v>45746</v>
      </c>
      <c r="J637" t="s">
        <v>20</v>
      </c>
      <c r="K637" s="21">
        <v>145</v>
      </c>
      <c r="L637" s="21">
        <v>145</v>
      </c>
      <c r="M637">
        <v>13</v>
      </c>
      <c r="N637" s="21">
        <v>145</v>
      </c>
    </row>
    <row r="638" spans="1:14">
      <c r="A638" t="str">
        <f>IFERROR(_xlfn.XLOOKUP(B638,Cuentas!$C$1:$C$521,Cuentas!$A$1:$A$521),"")</f>
        <v>Nicolas</v>
      </c>
      <c r="B638" t="s">
        <v>722</v>
      </c>
      <c r="C638" t="s">
        <v>723</v>
      </c>
      <c r="D638" t="s">
        <v>16</v>
      </c>
      <c r="E638" t="s">
        <v>7</v>
      </c>
      <c r="F638" t="s">
        <v>724</v>
      </c>
      <c r="G638" t="s">
        <v>724</v>
      </c>
      <c r="H638" s="2">
        <v>45530</v>
      </c>
      <c r="I638" s="2">
        <v>45560</v>
      </c>
      <c r="J638" t="s">
        <v>20</v>
      </c>
      <c r="K638" s="21">
        <v>6862</v>
      </c>
      <c r="L638" s="21">
        <v>6862</v>
      </c>
      <c r="M638">
        <v>0</v>
      </c>
      <c r="N638" s="21">
        <v>6862</v>
      </c>
    </row>
    <row r="639" spans="1:14">
      <c r="A639" t="str">
        <f>IFERROR(_xlfn.XLOOKUP(B639,Cuentas!$C$1:$C$521,Cuentas!$A$1:$A$521),"")</f>
        <v>Nicolas</v>
      </c>
      <c r="B639" t="s">
        <v>722</v>
      </c>
      <c r="C639" t="s">
        <v>723</v>
      </c>
      <c r="D639" t="s">
        <v>16</v>
      </c>
      <c r="E639" t="s">
        <v>7</v>
      </c>
      <c r="F639" t="s">
        <v>725</v>
      </c>
      <c r="G639" t="s">
        <v>725</v>
      </c>
      <c r="H639" s="2">
        <v>45561</v>
      </c>
      <c r="I639" s="2">
        <v>45591</v>
      </c>
      <c r="J639" t="s">
        <v>20</v>
      </c>
      <c r="K639" s="21">
        <v>741</v>
      </c>
      <c r="L639" s="21">
        <v>741</v>
      </c>
      <c r="M639">
        <v>0</v>
      </c>
      <c r="N639" s="21">
        <v>741</v>
      </c>
    </row>
    <row r="640" spans="1:14">
      <c r="A640" t="str">
        <f>IFERROR(_xlfn.XLOOKUP(B640,Cuentas!$C$1:$C$521,Cuentas!$A$1:$A$521),"")</f>
        <v>Nicolas</v>
      </c>
      <c r="B640" t="s">
        <v>722</v>
      </c>
      <c r="C640" t="s">
        <v>723</v>
      </c>
      <c r="D640" t="s">
        <v>16</v>
      </c>
      <c r="E640" t="s">
        <v>7</v>
      </c>
      <c r="F640" t="s">
        <v>726</v>
      </c>
      <c r="G640" t="s">
        <v>726</v>
      </c>
      <c r="H640" s="2">
        <v>45629</v>
      </c>
      <c r="I640" s="2">
        <v>45659</v>
      </c>
      <c r="J640" t="s">
        <v>20</v>
      </c>
      <c r="K640" s="21">
        <v>144</v>
      </c>
      <c r="L640" s="21">
        <v>144</v>
      </c>
      <c r="M640">
        <v>0</v>
      </c>
      <c r="N640" s="21">
        <v>144</v>
      </c>
    </row>
    <row r="641" spans="1:14">
      <c r="A641" t="str">
        <f>IFERROR(_xlfn.XLOOKUP(B641,Cuentas!$C$1:$C$521,Cuentas!$A$1:$A$521),"")</f>
        <v>Nicolas</v>
      </c>
      <c r="B641" t="s">
        <v>722</v>
      </c>
      <c r="C641" t="s">
        <v>723</v>
      </c>
      <c r="D641" t="s">
        <v>16</v>
      </c>
      <c r="E641" t="s">
        <v>7</v>
      </c>
      <c r="F641" t="s">
        <v>727</v>
      </c>
      <c r="G641" t="s">
        <v>727</v>
      </c>
      <c r="H641" s="2">
        <v>45646</v>
      </c>
      <c r="I641" s="2">
        <v>45676</v>
      </c>
      <c r="J641" t="s">
        <v>20</v>
      </c>
      <c r="K641" s="21">
        <v>4381.7</v>
      </c>
      <c r="L641" s="21">
        <v>4381.7</v>
      </c>
      <c r="M641">
        <v>0</v>
      </c>
      <c r="N641" s="21">
        <v>4381.7</v>
      </c>
    </row>
    <row r="642" spans="1:14">
      <c r="A642" t="str">
        <f>IFERROR(_xlfn.XLOOKUP(B642,Cuentas!$C$1:$C$521,Cuentas!$A$1:$A$521),"")</f>
        <v>Nicolas</v>
      </c>
      <c r="B642" t="s">
        <v>722</v>
      </c>
      <c r="C642" t="s">
        <v>723</v>
      </c>
      <c r="D642" t="s">
        <v>16</v>
      </c>
      <c r="E642" t="s">
        <v>7</v>
      </c>
      <c r="F642" t="s">
        <v>728</v>
      </c>
      <c r="G642" t="s">
        <v>728</v>
      </c>
      <c r="H642" s="2">
        <v>45716</v>
      </c>
      <c r="I642" s="2">
        <v>45746</v>
      </c>
      <c r="J642" t="s">
        <v>20</v>
      </c>
      <c r="K642" s="21">
        <v>50</v>
      </c>
      <c r="L642" s="21">
        <v>50</v>
      </c>
      <c r="M642">
        <v>13</v>
      </c>
      <c r="N642" s="21">
        <v>50</v>
      </c>
    </row>
    <row r="643" spans="1:14">
      <c r="A643" t="str">
        <f>IFERROR(_xlfn.XLOOKUP(B643,Cuentas!$C$1:$C$521,Cuentas!$A$1:$A$521),"")</f>
        <v>Nicolas</v>
      </c>
      <c r="B643" t="s">
        <v>722</v>
      </c>
      <c r="C643" t="s">
        <v>723</v>
      </c>
      <c r="D643" t="s">
        <v>16</v>
      </c>
      <c r="E643" t="s">
        <v>7</v>
      </c>
      <c r="F643" t="s">
        <v>729</v>
      </c>
      <c r="G643" t="s">
        <v>729</v>
      </c>
      <c r="H643" s="2">
        <v>45727</v>
      </c>
      <c r="I643" s="2">
        <v>45757</v>
      </c>
      <c r="J643" t="s">
        <v>20</v>
      </c>
      <c r="K643" s="21">
        <v>10856.6</v>
      </c>
      <c r="L643" s="21">
        <v>10856.6</v>
      </c>
      <c r="M643">
        <v>0</v>
      </c>
      <c r="N643" s="21">
        <v>0</v>
      </c>
    </row>
    <row r="644" spans="1:14">
      <c r="A644" t="str">
        <f>IFERROR(_xlfn.XLOOKUP(B644,Cuentas!$C$1:$C$521,Cuentas!$A$1:$A$521),"")</f>
        <v>Nicolas</v>
      </c>
      <c r="B644" t="s">
        <v>722</v>
      </c>
      <c r="C644" t="s">
        <v>723</v>
      </c>
      <c r="D644" t="s">
        <v>16</v>
      </c>
      <c r="E644" t="s">
        <v>7</v>
      </c>
      <c r="F644" t="s">
        <v>730</v>
      </c>
      <c r="G644" t="s">
        <v>730</v>
      </c>
      <c r="H644" s="2">
        <v>45740</v>
      </c>
      <c r="I644" s="2">
        <v>45770</v>
      </c>
      <c r="J644" t="s">
        <v>20</v>
      </c>
      <c r="K644" s="21">
        <v>303.16000000000003</v>
      </c>
      <c r="L644" s="21">
        <v>303.16000000000003</v>
      </c>
      <c r="M644">
        <v>0</v>
      </c>
      <c r="N644" s="21">
        <v>0</v>
      </c>
    </row>
    <row r="645" spans="1:14">
      <c r="A645" t="str">
        <f>IFERROR(_xlfn.XLOOKUP(B645,Cuentas!$C$1:$C$521,Cuentas!$A$1:$A$521),"")</f>
        <v>Nicolas</v>
      </c>
      <c r="B645" t="s">
        <v>731</v>
      </c>
      <c r="C645" t="s">
        <v>732</v>
      </c>
      <c r="D645" t="s">
        <v>16</v>
      </c>
      <c r="E645" t="s">
        <v>7</v>
      </c>
      <c r="F645" t="s">
        <v>733</v>
      </c>
      <c r="G645" t="s">
        <v>733</v>
      </c>
      <c r="H645" s="2">
        <v>45630</v>
      </c>
      <c r="I645" s="2">
        <v>45660</v>
      </c>
      <c r="J645" t="s">
        <v>20</v>
      </c>
      <c r="K645" s="21">
        <v>982.62</v>
      </c>
      <c r="L645" s="21">
        <v>982.62</v>
      </c>
      <c r="M645">
        <v>0</v>
      </c>
      <c r="N645" s="21">
        <v>982.62</v>
      </c>
    </row>
    <row r="646" spans="1:14">
      <c r="A646" t="str">
        <f>IFERROR(_xlfn.XLOOKUP(B646,Cuentas!$C$1:$C$521,Cuentas!$A$1:$A$521),"")</f>
        <v>Nicolas</v>
      </c>
      <c r="B646" t="s">
        <v>734</v>
      </c>
      <c r="C646" t="s">
        <v>735</v>
      </c>
      <c r="D646" t="s">
        <v>16</v>
      </c>
      <c r="E646" t="s">
        <v>7</v>
      </c>
      <c r="F646" t="s">
        <v>736</v>
      </c>
      <c r="G646" t="s">
        <v>736</v>
      </c>
      <c r="H646" s="2">
        <v>45653</v>
      </c>
      <c r="I646" s="2">
        <v>45683</v>
      </c>
      <c r="J646" t="s">
        <v>20</v>
      </c>
      <c r="K646" s="21">
        <v>832</v>
      </c>
      <c r="L646" s="21">
        <v>44.11</v>
      </c>
      <c r="M646">
        <v>0</v>
      </c>
      <c r="N646" s="21">
        <v>44.11</v>
      </c>
    </row>
    <row r="647" spans="1:14">
      <c r="A647" t="str">
        <f>IFERROR(_xlfn.XLOOKUP(B647,Cuentas!$C$1:$C$521,Cuentas!$A$1:$A$521),"")</f>
        <v>Nicolas</v>
      </c>
      <c r="B647" t="s">
        <v>734</v>
      </c>
      <c r="C647" t="s">
        <v>735</v>
      </c>
      <c r="D647" t="s">
        <v>16</v>
      </c>
      <c r="E647" t="s">
        <v>5502</v>
      </c>
      <c r="F647" t="s">
        <v>737</v>
      </c>
      <c r="G647" t="s">
        <v>736</v>
      </c>
      <c r="I647" s="2">
        <v>45289</v>
      </c>
      <c r="J647" t="s">
        <v>20</v>
      </c>
      <c r="K647" s="21">
        <v>-787.89</v>
      </c>
      <c r="L647" s="21" t="s">
        <v>86</v>
      </c>
      <c r="M647">
        <v>0</v>
      </c>
      <c r="N647" s="21" t="s">
        <v>86</v>
      </c>
    </row>
    <row r="648" spans="1:14">
      <c r="A648" t="str">
        <f>IFERROR(_xlfn.XLOOKUP(B648,Cuentas!$C$1:$C$521,Cuentas!$A$1:$A$521),"")</f>
        <v>Nicolas</v>
      </c>
      <c r="B648" t="s">
        <v>734</v>
      </c>
      <c r="C648" t="s">
        <v>735</v>
      </c>
      <c r="D648" t="s">
        <v>16</v>
      </c>
      <c r="E648" t="s">
        <v>7</v>
      </c>
      <c r="F648" t="s">
        <v>738</v>
      </c>
      <c r="G648" t="s">
        <v>738</v>
      </c>
      <c r="H648" s="2">
        <v>45656</v>
      </c>
      <c r="I648" s="2">
        <v>45686</v>
      </c>
      <c r="J648" t="s">
        <v>20</v>
      </c>
      <c r="K648" s="21">
        <v>1680</v>
      </c>
      <c r="L648" s="21">
        <v>787.89</v>
      </c>
      <c r="M648">
        <v>0</v>
      </c>
      <c r="N648" s="21">
        <v>787.89</v>
      </c>
    </row>
    <row r="649" spans="1:14">
      <c r="A649" t="str">
        <f>IFERROR(_xlfn.XLOOKUP(B649,Cuentas!$C$1:$C$521,Cuentas!$A$1:$A$521),"")</f>
        <v>Nicolas</v>
      </c>
      <c r="B649" t="s">
        <v>734</v>
      </c>
      <c r="C649" t="s">
        <v>735</v>
      </c>
      <c r="D649" t="s">
        <v>16</v>
      </c>
      <c r="E649" t="s">
        <v>3139</v>
      </c>
      <c r="F649" t="s">
        <v>738</v>
      </c>
      <c r="G649" t="s">
        <v>738</v>
      </c>
      <c r="I649" s="2">
        <v>45726</v>
      </c>
      <c r="J649" t="s">
        <v>20</v>
      </c>
      <c r="K649" s="21">
        <v>-892.11</v>
      </c>
      <c r="L649" s="21" t="s">
        <v>86</v>
      </c>
      <c r="M649">
        <v>11</v>
      </c>
      <c r="N649" s="21" t="s">
        <v>86</v>
      </c>
    </row>
    <row r="650" spans="1:14">
      <c r="A650" t="str">
        <f>IFERROR(_xlfn.XLOOKUP(B650,Cuentas!$C$1:$C$521,Cuentas!$A$1:$A$521),"")</f>
        <v>Nicolas</v>
      </c>
      <c r="B650" t="s">
        <v>734</v>
      </c>
      <c r="C650" t="s">
        <v>735</v>
      </c>
      <c r="D650" t="s">
        <v>16</v>
      </c>
      <c r="E650" t="s">
        <v>7</v>
      </c>
      <c r="F650" t="s">
        <v>739</v>
      </c>
      <c r="G650" t="s">
        <v>739</v>
      </c>
      <c r="H650" s="2">
        <v>45670</v>
      </c>
      <c r="I650" s="2">
        <v>45700</v>
      </c>
      <c r="J650" t="s">
        <v>20</v>
      </c>
      <c r="K650" s="21">
        <v>2836.75</v>
      </c>
      <c r="L650" s="21">
        <v>2836.75</v>
      </c>
      <c r="M650">
        <v>0</v>
      </c>
      <c r="N650" s="21">
        <v>2836.75</v>
      </c>
    </row>
    <row r="651" spans="1:14">
      <c r="A651" t="str">
        <f>IFERROR(_xlfn.XLOOKUP(B651,Cuentas!$C$1:$C$521,Cuentas!$A$1:$A$521),"")</f>
        <v>Nicolas</v>
      </c>
      <c r="B651" t="s">
        <v>734</v>
      </c>
      <c r="C651" t="s">
        <v>735</v>
      </c>
      <c r="D651" t="s">
        <v>16</v>
      </c>
      <c r="E651" t="s">
        <v>7</v>
      </c>
      <c r="F651" t="s">
        <v>740</v>
      </c>
      <c r="G651" t="s">
        <v>740</v>
      </c>
      <c r="H651" s="2">
        <v>45671</v>
      </c>
      <c r="I651" s="2">
        <v>45701</v>
      </c>
      <c r="J651" t="s">
        <v>20</v>
      </c>
      <c r="K651" s="21">
        <v>8100</v>
      </c>
      <c r="L651" s="21">
        <v>8100</v>
      </c>
      <c r="M651">
        <v>0</v>
      </c>
      <c r="N651" s="21">
        <v>8100</v>
      </c>
    </row>
    <row r="652" spans="1:14">
      <c r="A652" t="str">
        <f>IFERROR(_xlfn.XLOOKUP(B652,Cuentas!$C$1:$C$521,Cuentas!$A$1:$A$521),"")</f>
        <v>Nicolas</v>
      </c>
      <c r="B652" t="s">
        <v>734</v>
      </c>
      <c r="C652" t="s">
        <v>735</v>
      </c>
      <c r="D652" t="s">
        <v>16</v>
      </c>
      <c r="E652" t="s">
        <v>7</v>
      </c>
      <c r="F652" t="s">
        <v>741</v>
      </c>
      <c r="G652" t="s">
        <v>741</v>
      </c>
      <c r="H652" s="2">
        <v>45720</v>
      </c>
      <c r="I652" s="2">
        <v>45750</v>
      </c>
      <c r="J652" t="s">
        <v>20</v>
      </c>
      <c r="K652" s="21">
        <v>16362</v>
      </c>
      <c r="L652" s="21">
        <v>16362</v>
      </c>
      <c r="M652">
        <v>0</v>
      </c>
      <c r="N652" s="21">
        <v>0</v>
      </c>
    </row>
    <row r="653" spans="1:14">
      <c r="A653" t="str">
        <f>IFERROR(_xlfn.XLOOKUP(B653,Cuentas!$C$1:$C$521,Cuentas!$A$1:$A$521),"")</f>
        <v>Nicolas</v>
      </c>
      <c r="B653" t="s">
        <v>742</v>
      </c>
      <c r="C653" t="s">
        <v>743</v>
      </c>
      <c r="D653" t="s">
        <v>16</v>
      </c>
      <c r="E653" t="s">
        <v>7</v>
      </c>
      <c r="F653" t="s">
        <v>744</v>
      </c>
      <c r="G653" t="s">
        <v>744</v>
      </c>
      <c r="H653" s="2">
        <v>45741</v>
      </c>
      <c r="I653" s="2">
        <v>45771</v>
      </c>
      <c r="J653" t="s">
        <v>20</v>
      </c>
      <c r="K653" s="21">
        <v>760.2</v>
      </c>
      <c r="L653" s="21">
        <v>760.2</v>
      </c>
      <c r="M653">
        <v>0</v>
      </c>
      <c r="N653" s="21">
        <v>0</v>
      </c>
    </row>
    <row r="654" spans="1:14">
      <c r="A654" t="str">
        <f>IFERROR(_xlfn.XLOOKUP(B654,Cuentas!$C$1:$C$521,Cuentas!$A$1:$A$521),"")</f>
        <v>Yuldor</v>
      </c>
      <c r="B654" t="s">
        <v>745</v>
      </c>
      <c r="C654" t="s">
        <v>746</v>
      </c>
      <c r="D654" t="s">
        <v>16</v>
      </c>
      <c r="E654" t="s">
        <v>7</v>
      </c>
      <c r="F654" t="s">
        <v>747</v>
      </c>
      <c r="G654" t="s">
        <v>747</v>
      </c>
      <c r="H654" s="2">
        <v>45680</v>
      </c>
      <c r="I654" s="2">
        <v>45710</v>
      </c>
      <c r="J654" t="s">
        <v>20</v>
      </c>
      <c r="K654" s="21">
        <v>6560</v>
      </c>
      <c r="L654" s="21">
        <v>236</v>
      </c>
      <c r="M654">
        <v>0</v>
      </c>
      <c r="N654" s="21">
        <v>236</v>
      </c>
    </row>
    <row r="655" spans="1:14">
      <c r="A655" t="str">
        <f>IFERROR(_xlfn.XLOOKUP(B655,Cuentas!$C$1:$C$521,Cuentas!$A$1:$A$521),"")</f>
        <v>Yuldor</v>
      </c>
      <c r="B655" t="s">
        <v>745</v>
      </c>
      <c r="C655" t="s">
        <v>746</v>
      </c>
      <c r="D655" t="s">
        <v>16</v>
      </c>
      <c r="E655" t="s">
        <v>3139</v>
      </c>
      <c r="F655" t="s">
        <v>747</v>
      </c>
      <c r="G655" t="s">
        <v>747</v>
      </c>
      <c r="I655" s="2">
        <v>45721</v>
      </c>
      <c r="J655" t="s">
        <v>20</v>
      </c>
      <c r="K655" s="21">
        <v>-6324</v>
      </c>
      <c r="L655" s="21" t="s">
        <v>86</v>
      </c>
      <c r="M655">
        <v>10</v>
      </c>
      <c r="N655" s="21" t="s">
        <v>86</v>
      </c>
    </row>
    <row r="656" spans="1:14">
      <c r="A656" t="str">
        <f>IFERROR(_xlfn.XLOOKUP(B656,Cuentas!$C$1:$C$521,Cuentas!$A$1:$A$521),"")</f>
        <v>Yuldor</v>
      </c>
      <c r="B656" t="s">
        <v>748</v>
      </c>
      <c r="C656" t="s">
        <v>749</v>
      </c>
      <c r="D656" t="s">
        <v>16</v>
      </c>
      <c r="E656" t="s">
        <v>3139</v>
      </c>
      <c r="F656" t="s">
        <v>19</v>
      </c>
      <c r="G656" t="s">
        <v>19</v>
      </c>
      <c r="I656" s="2">
        <v>45602</v>
      </c>
      <c r="J656" t="s">
        <v>20</v>
      </c>
      <c r="K656" s="21">
        <v>-784</v>
      </c>
      <c r="L656" s="21">
        <v>-784</v>
      </c>
      <c r="M656">
        <v>0</v>
      </c>
      <c r="N656" s="21">
        <v>-784</v>
      </c>
    </row>
    <row r="657" spans="1:14">
      <c r="A657" t="str">
        <f>IFERROR(_xlfn.XLOOKUP(B657,Cuentas!$C$1:$C$521,Cuentas!$A$1:$A$521),"")</f>
        <v>Yuldor</v>
      </c>
      <c r="B657" t="s">
        <v>748</v>
      </c>
      <c r="C657" t="s">
        <v>749</v>
      </c>
      <c r="D657" t="s">
        <v>16</v>
      </c>
      <c r="E657" t="s">
        <v>7</v>
      </c>
      <c r="F657" t="s">
        <v>750</v>
      </c>
      <c r="G657" t="s">
        <v>750</v>
      </c>
      <c r="H657" s="2">
        <v>45688</v>
      </c>
      <c r="I657" s="2">
        <v>45718</v>
      </c>
      <c r="J657" t="s">
        <v>20</v>
      </c>
      <c r="K657" s="21">
        <v>340</v>
      </c>
      <c r="L657" s="21">
        <v>340</v>
      </c>
      <c r="M657">
        <v>10</v>
      </c>
      <c r="N657" s="21">
        <v>340</v>
      </c>
    </row>
    <row r="658" spans="1:14">
      <c r="A658" t="str">
        <f>IFERROR(_xlfn.XLOOKUP(B658,Cuentas!$C$1:$C$521,Cuentas!$A$1:$A$521),"")</f>
        <v>Yuldor</v>
      </c>
      <c r="B658" t="s">
        <v>748</v>
      </c>
      <c r="C658" t="s">
        <v>749</v>
      </c>
      <c r="D658" t="s">
        <v>16</v>
      </c>
      <c r="E658" t="s">
        <v>7</v>
      </c>
      <c r="F658" t="s">
        <v>751</v>
      </c>
      <c r="G658" t="s">
        <v>751</v>
      </c>
      <c r="H658" s="2">
        <v>45707</v>
      </c>
      <c r="I658" s="2">
        <v>45737</v>
      </c>
      <c r="J658" t="s">
        <v>20</v>
      </c>
      <c r="K658" s="21">
        <v>154</v>
      </c>
      <c r="L658" s="21">
        <v>154</v>
      </c>
      <c r="M658">
        <v>12</v>
      </c>
      <c r="N658" s="21">
        <v>154</v>
      </c>
    </row>
    <row r="659" spans="1:14">
      <c r="A659" t="str">
        <f>IFERROR(_xlfn.XLOOKUP(B659,Cuentas!$C$1:$C$521,Cuentas!$A$1:$A$521),"")</f>
        <v>Yuldor</v>
      </c>
      <c r="B659" t="s">
        <v>748</v>
      </c>
      <c r="C659" t="s">
        <v>749</v>
      </c>
      <c r="D659" t="s">
        <v>16</v>
      </c>
      <c r="E659" t="s">
        <v>7</v>
      </c>
      <c r="F659" t="s">
        <v>752</v>
      </c>
      <c r="G659" t="s">
        <v>752</v>
      </c>
      <c r="H659" s="2">
        <v>45707</v>
      </c>
      <c r="I659" s="2">
        <v>45737</v>
      </c>
      <c r="J659" t="s">
        <v>20</v>
      </c>
      <c r="K659" s="21">
        <v>99</v>
      </c>
      <c r="L659" s="21">
        <v>99</v>
      </c>
      <c r="M659">
        <v>12</v>
      </c>
      <c r="N659" s="21">
        <v>99</v>
      </c>
    </row>
    <row r="660" spans="1:14">
      <c r="A660" t="str">
        <f>IFERROR(_xlfn.XLOOKUP(B660,Cuentas!$C$1:$C$521,Cuentas!$A$1:$A$521),"")</f>
        <v>Yuldor</v>
      </c>
      <c r="B660" t="s">
        <v>748</v>
      </c>
      <c r="C660" t="s">
        <v>749</v>
      </c>
      <c r="D660" t="s">
        <v>16</v>
      </c>
      <c r="E660" t="s">
        <v>7</v>
      </c>
      <c r="F660" t="s">
        <v>753</v>
      </c>
      <c r="G660" t="s">
        <v>753</v>
      </c>
      <c r="H660" s="2">
        <v>45707</v>
      </c>
      <c r="I660" s="2">
        <v>45737</v>
      </c>
      <c r="J660" t="s">
        <v>20</v>
      </c>
      <c r="K660" s="21">
        <v>462</v>
      </c>
      <c r="L660" s="21">
        <v>462</v>
      </c>
      <c r="M660">
        <v>12</v>
      </c>
      <c r="N660" s="21">
        <v>462</v>
      </c>
    </row>
    <row r="661" spans="1:14">
      <c r="A661" t="str">
        <f>IFERROR(_xlfn.XLOOKUP(B661,Cuentas!$C$1:$C$521,Cuentas!$A$1:$A$521),"")</f>
        <v>Yuldor</v>
      </c>
      <c r="B661" t="s">
        <v>748</v>
      </c>
      <c r="C661" t="s">
        <v>749</v>
      </c>
      <c r="D661" t="s">
        <v>16</v>
      </c>
      <c r="E661" t="s">
        <v>7</v>
      </c>
      <c r="F661" t="s">
        <v>754</v>
      </c>
      <c r="G661" t="s">
        <v>754</v>
      </c>
      <c r="H661" s="2">
        <v>45707</v>
      </c>
      <c r="I661" s="2">
        <v>45737</v>
      </c>
      <c r="J661" t="s">
        <v>20</v>
      </c>
      <c r="K661" s="21">
        <v>396</v>
      </c>
      <c r="L661" s="21">
        <v>396</v>
      </c>
      <c r="M661">
        <v>12</v>
      </c>
      <c r="N661" s="21">
        <v>396</v>
      </c>
    </row>
    <row r="662" spans="1:14">
      <c r="A662" t="str">
        <f>IFERROR(_xlfn.XLOOKUP(B662,Cuentas!$C$1:$C$521,Cuentas!$A$1:$A$521),"")</f>
        <v>Yuldor</v>
      </c>
      <c r="B662" t="s">
        <v>748</v>
      </c>
      <c r="C662" t="s">
        <v>749</v>
      </c>
      <c r="D662" t="s">
        <v>16</v>
      </c>
      <c r="E662" t="s">
        <v>7</v>
      </c>
      <c r="F662" t="s">
        <v>755</v>
      </c>
      <c r="G662" t="s">
        <v>755</v>
      </c>
      <c r="H662" s="2">
        <v>45713</v>
      </c>
      <c r="I662" s="2">
        <v>45743</v>
      </c>
      <c r="J662" t="s">
        <v>20</v>
      </c>
      <c r="K662" s="21">
        <v>208</v>
      </c>
      <c r="L662" s="21">
        <v>208</v>
      </c>
      <c r="M662">
        <v>13</v>
      </c>
      <c r="N662" s="21">
        <v>208</v>
      </c>
    </row>
    <row r="663" spans="1:14">
      <c r="A663" t="str">
        <f>IFERROR(_xlfn.XLOOKUP(B663,Cuentas!$C$1:$C$521,Cuentas!$A$1:$A$521),"")</f>
        <v>Yuldor</v>
      </c>
      <c r="B663" t="s">
        <v>748</v>
      </c>
      <c r="C663" t="s">
        <v>749</v>
      </c>
      <c r="D663" t="s">
        <v>16</v>
      </c>
      <c r="E663" t="s">
        <v>7</v>
      </c>
      <c r="F663" t="s">
        <v>756</v>
      </c>
      <c r="G663" t="s">
        <v>756</v>
      </c>
      <c r="H663" s="2">
        <v>45714</v>
      </c>
      <c r="I663" s="2">
        <v>45744</v>
      </c>
      <c r="J663" t="s">
        <v>20</v>
      </c>
      <c r="K663" s="21">
        <v>138</v>
      </c>
      <c r="L663" s="21">
        <v>138</v>
      </c>
      <c r="M663">
        <v>13</v>
      </c>
      <c r="N663" s="21">
        <v>138</v>
      </c>
    </row>
    <row r="664" spans="1:14">
      <c r="A664" t="str">
        <f>IFERROR(_xlfn.XLOOKUP(B664,Cuentas!$C$1:$C$521,Cuentas!$A$1:$A$521),"")</f>
        <v>Yuldor</v>
      </c>
      <c r="B664" t="s">
        <v>757</v>
      </c>
      <c r="C664" t="s">
        <v>758</v>
      </c>
      <c r="D664" t="s">
        <v>16</v>
      </c>
      <c r="E664" t="s">
        <v>7</v>
      </c>
      <c r="F664" t="s">
        <v>759</v>
      </c>
      <c r="G664" t="s">
        <v>759</v>
      </c>
      <c r="H664" s="2">
        <v>45663</v>
      </c>
      <c r="I664" s="2">
        <v>45693</v>
      </c>
      <c r="J664" t="s">
        <v>20</v>
      </c>
      <c r="K664" s="21">
        <v>19338.75</v>
      </c>
      <c r="L664" s="21">
        <v>19338.75</v>
      </c>
      <c r="M664">
        <v>0</v>
      </c>
      <c r="N664" s="21">
        <v>19338.75</v>
      </c>
    </row>
    <row r="665" spans="1:14">
      <c r="A665" t="str">
        <f>IFERROR(_xlfn.XLOOKUP(B665,Cuentas!$C$1:$C$521,Cuentas!$A$1:$A$521),"")</f>
        <v>Yuldor</v>
      </c>
      <c r="B665" t="s">
        <v>757</v>
      </c>
      <c r="C665" t="s">
        <v>758</v>
      </c>
      <c r="D665" t="s">
        <v>16</v>
      </c>
      <c r="E665" t="s">
        <v>7</v>
      </c>
      <c r="F665" t="s">
        <v>760</v>
      </c>
      <c r="G665" t="s">
        <v>760</v>
      </c>
      <c r="H665" s="2">
        <v>45681</v>
      </c>
      <c r="I665" s="2">
        <v>45711</v>
      </c>
      <c r="J665" t="s">
        <v>20</v>
      </c>
      <c r="K665" s="21">
        <v>19320</v>
      </c>
      <c r="L665" s="21">
        <v>19320</v>
      </c>
      <c r="M665">
        <v>0</v>
      </c>
      <c r="N665" s="21">
        <v>19320</v>
      </c>
    </row>
    <row r="666" spans="1:14">
      <c r="A666" t="str">
        <f>IFERROR(_xlfn.XLOOKUP(B666,Cuentas!$C$1:$C$521,Cuentas!$A$1:$A$521),"")</f>
        <v>Yuldor</v>
      </c>
      <c r="B666" t="s">
        <v>757</v>
      </c>
      <c r="C666" t="s">
        <v>758</v>
      </c>
      <c r="D666" t="s">
        <v>16</v>
      </c>
      <c r="E666" t="s">
        <v>7</v>
      </c>
      <c r="F666" t="s">
        <v>761</v>
      </c>
      <c r="G666" t="s">
        <v>761</v>
      </c>
      <c r="H666" s="2">
        <v>45698</v>
      </c>
      <c r="I666" s="2">
        <v>45728</v>
      </c>
      <c r="J666" t="s">
        <v>20</v>
      </c>
      <c r="K666" s="21">
        <v>250</v>
      </c>
      <c r="L666" s="21">
        <v>250</v>
      </c>
      <c r="M666">
        <v>11</v>
      </c>
      <c r="N666" s="21">
        <v>250</v>
      </c>
    </row>
    <row r="667" spans="1:14">
      <c r="A667" t="str">
        <f>IFERROR(_xlfn.XLOOKUP(B667,Cuentas!$C$1:$C$521,Cuentas!$A$1:$A$521),"")</f>
        <v>Yuldor</v>
      </c>
      <c r="B667" t="s">
        <v>757</v>
      </c>
      <c r="C667" t="s">
        <v>758</v>
      </c>
      <c r="D667" t="s">
        <v>16</v>
      </c>
      <c r="E667" t="s">
        <v>7</v>
      </c>
      <c r="F667" t="s">
        <v>762</v>
      </c>
      <c r="G667" t="s">
        <v>762</v>
      </c>
      <c r="H667" s="2">
        <v>45698</v>
      </c>
      <c r="I667" s="2">
        <v>45728</v>
      </c>
      <c r="J667" t="s">
        <v>20</v>
      </c>
      <c r="K667" s="21">
        <v>750</v>
      </c>
      <c r="L667" s="21">
        <v>750</v>
      </c>
      <c r="M667">
        <v>11</v>
      </c>
      <c r="N667" s="21">
        <v>750</v>
      </c>
    </row>
    <row r="668" spans="1:14">
      <c r="A668" t="str">
        <f>IFERROR(_xlfn.XLOOKUP(B668,Cuentas!$C$1:$C$521,Cuentas!$A$1:$A$521),"")</f>
        <v>Yuldor</v>
      </c>
      <c r="B668" t="s">
        <v>757</v>
      </c>
      <c r="C668" t="s">
        <v>758</v>
      </c>
      <c r="D668" t="s">
        <v>16</v>
      </c>
      <c r="E668" t="s">
        <v>7</v>
      </c>
      <c r="F668" t="s">
        <v>763</v>
      </c>
      <c r="G668" t="s">
        <v>763</v>
      </c>
      <c r="H668" s="2">
        <v>45726</v>
      </c>
      <c r="I668" s="2">
        <v>45756</v>
      </c>
      <c r="J668" t="s">
        <v>20</v>
      </c>
      <c r="K668" s="21">
        <v>1024</v>
      </c>
      <c r="L668" s="21">
        <v>1024</v>
      </c>
      <c r="M668">
        <v>0</v>
      </c>
      <c r="N668" s="21">
        <v>0</v>
      </c>
    </row>
    <row r="669" spans="1:14">
      <c r="A669" t="str">
        <f>IFERROR(_xlfn.XLOOKUP(B669,Cuentas!$C$1:$C$521,Cuentas!$A$1:$A$521),"")</f>
        <v>Yuldor</v>
      </c>
      <c r="B669" t="s">
        <v>757</v>
      </c>
      <c r="C669" t="s">
        <v>758</v>
      </c>
      <c r="D669" t="s">
        <v>16</v>
      </c>
      <c r="E669" t="s">
        <v>7</v>
      </c>
      <c r="F669" t="s">
        <v>764</v>
      </c>
      <c r="G669" t="s">
        <v>764</v>
      </c>
      <c r="H669" s="2">
        <v>45726</v>
      </c>
      <c r="I669" s="2">
        <v>45756</v>
      </c>
      <c r="J669" t="s">
        <v>20</v>
      </c>
      <c r="K669" s="21">
        <v>1500</v>
      </c>
      <c r="L669" s="21">
        <v>1500</v>
      </c>
      <c r="M669">
        <v>0</v>
      </c>
      <c r="N669" s="21">
        <v>0</v>
      </c>
    </row>
    <row r="670" spans="1:14">
      <c r="A670" t="str">
        <f>IFERROR(_xlfn.XLOOKUP(B670,Cuentas!$C$1:$C$521,Cuentas!$A$1:$A$521),"")</f>
        <v>Yuldor</v>
      </c>
      <c r="B670" t="s">
        <v>757</v>
      </c>
      <c r="C670" t="s">
        <v>758</v>
      </c>
      <c r="D670" t="s">
        <v>16</v>
      </c>
      <c r="E670" t="s">
        <v>7</v>
      </c>
      <c r="F670" t="s">
        <v>765</v>
      </c>
      <c r="G670" t="s">
        <v>765</v>
      </c>
      <c r="H670" s="2">
        <v>45727</v>
      </c>
      <c r="I670" s="2">
        <v>45757</v>
      </c>
      <c r="J670" t="s">
        <v>20</v>
      </c>
      <c r="K670" s="21">
        <v>1190</v>
      </c>
      <c r="L670" s="21">
        <v>1190</v>
      </c>
      <c r="M670">
        <v>0</v>
      </c>
      <c r="N670" s="21">
        <v>0</v>
      </c>
    </row>
    <row r="671" spans="1:14">
      <c r="A671" t="str">
        <f>IFERROR(_xlfn.XLOOKUP(B671,Cuentas!$C$1:$C$521,Cuentas!$A$1:$A$521),"")</f>
        <v>Yuldor</v>
      </c>
      <c r="B671" t="s">
        <v>757</v>
      </c>
      <c r="C671" t="s">
        <v>758</v>
      </c>
      <c r="D671" t="s">
        <v>16</v>
      </c>
      <c r="E671" t="s">
        <v>7</v>
      </c>
      <c r="F671" t="s">
        <v>766</v>
      </c>
      <c r="G671" t="s">
        <v>766</v>
      </c>
      <c r="H671" s="2">
        <v>45740</v>
      </c>
      <c r="I671" s="2">
        <v>45770</v>
      </c>
      <c r="J671" t="s">
        <v>20</v>
      </c>
      <c r="K671" s="21">
        <v>520</v>
      </c>
      <c r="L671" s="21">
        <v>520</v>
      </c>
      <c r="M671">
        <v>0</v>
      </c>
      <c r="N671" s="21">
        <v>0</v>
      </c>
    </row>
    <row r="672" spans="1:14">
      <c r="A672" t="str">
        <f>IFERROR(_xlfn.XLOOKUP(B672,Cuentas!$C$1:$C$521,Cuentas!$A$1:$A$521),"")</f>
        <v>Nicolas</v>
      </c>
      <c r="B672" t="s">
        <v>767</v>
      </c>
      <c r="C672" t="s">
        <v>768</v>
      </c>
      <c r="D672" t="s">
        <v>16</v>
      </c>
      <c r="E672" t="s">
        <v>7</v>
      </c>
      <c r="F672" t="s">
        <v>769</v>
      </c>
      <c r="G672" t="s">
        <v>769</v>
      </c>
      <c r="H672" s="2">
        <v>45308</v>
      </c>
      <c r="I672" s="2">
        <v>45338</v>
      </c>
      <c r="J672" t="s">
        <v>20</v>
      </c>
      <c r="K672" s="21">
        <v>316</v>
      </c>
      <c r="L672" s="21">
        <v>316</v>
      </c>
      <c r="M672">
        <v>0</v>
      </c>
      <c r="N672" s="21">
        <v>316</v>
      </c>
    </row>
    <row r="673" spans="1:14">
      <c r="A673" t="str">
        <f>IFERROR(_xlfn.XLOOKUP(B673,Cuentas!$C$1:$C$521,Cuentas!$A$1:$A$521),"")</f>
        <v>Nicolas</v>
      </c>
      <c r="B673" t="s">
        <v>770</v>
      </c>
      <c r="C673" t="s">
        <v>771</v>
      </c>
      <c r="D673" t="s">
        <v>16</v>
      </c>
      <c r="E673" t="s">
        <v>5502</v>
      </c>
      <c r="F673" t="s">
        <v>772</v>
      </c>
      <c r="G673" t="s">
        <v>19</v>
      </c>
      <c r="I673" s="2">
        <v>45519</v>
      </c>
      <c r="J673" t="s">
        <v>20</v>
      </c>
      <c r="K673" s="21">
        <v>-16.100000000000001</v>
      </c>
      <c r="L673" s="21">
        <v>-16.100000000000001</v>
      </c>
      <c r="M673">
        <v>0</v>
      </c>
      <c r="N673" s="21">
        <v>-16.100000000000001</v>
      </c>
    </row>
    <row r="674" spans="1:14">
      <c r="A674" t="str">
        <f>IFERROR(_xlfn.XLOOKUP(B674,Cuentas!$C$1:$C$521,Cuentas!$A$1:$A$521),"")</f>
        <v>Yuldor</v>
      </c>
      <c r="B674" t="s">
        <v>773</v>
      </c>
      <c r="C674" t="s">
        <v>774</v>
      </c>
      <c r="D674" t="s">
        <v>213</v>
      </c>
      <c r="E674" t="s">
        <v>7</v>
      </c>
      <c r="F674" t="s">
        <v>775</v>
      </c>
      <c r="G674" t="s">
        <v>775</v>
      </c>
      <c r="H674" s="2">
        <v>45687</v>
      </c>
      <c r="I674" s="2">
        <v>45687</v>
      </c>
      <c r="J674" t="s">
        <v>20</v>
      </c>
      <c r="K674" s="21">
        <v>3477.5</v>
      </c>
      <c r="L674" s="21">
        <v>3250</v>
      </c>
      <c r="M674">
        <v>0</v>
      </c>
      <c r="N674" s="21">
        <v>3250</v>
      </c>
    </row>
    <row r="675" spans="1:14">
      <c r="A675" t="str">
        <f>IFERROR(_xlfn.XLOOKUP(B675,Cuentas!$C$1:$C$521,Cuentas!$A$1:$A$521),"")</f>
        <v>Yuldor</v>
      </c>
      <c r="B675" t="s">
        <v>773</v>
      </c>
      <c r="C675" t="s">
        <v>774</v>
      </c>
      <c r="D675" t="s">
        <v>213</v>
      </c>
      <c r="E675" t="s">
        <v>5502</v>
      </c>
      <c r="F675" t="s">
        <v>776</v>
      </c>
      <c r="G675" t="s">
        <v>775</v>
      </c>
      <c r="I675" s="2">
        <v>45688</v>
      </c>
      <c r="J675" t="s">
        <v>20</v>
      </c>
      <c r="K675" s="21">
        <v>-227.5</v>
      </c>
      <c r="L675" s="21" t="s">
        <v>86</v>
      </c>
      <c r="M675">
        <v>0</v>
      </c>
      <c r="N675" s="21" t="s">
        <v>86</v>
      </c>
    </row>
    <row r="676" spans="1:14">
      <c r="A676" t="str">
        <f>IFERROR(_xlfn.XLOOKUP(B676,Cuentas!$C$1:$C$521,Cuentas!$A$1:$A$521),"")</f>
        <v>Yuldor</v>
      </c>
      <c r="B676" t="s">
        <v>773</v>
      </c>
      <c r="C676" t="s">
        <v>774</v>
      </c>
      <c r="D676" t="s">
        <v>213</v>
      </c>
      <c r="E676" t="s">
        <v>5502</v>
      </c>
      <c r="F676" t="s">
        <v>777</v>
      </c>
      <c r="G676" t="s">
        <v>19</v>
      </c>
      <c r="I676" s="2">
        <v>45716</v>
      </c>
      <c r="J676" t="s">
        <v>20</v>
      </c>
      <c r="K676" s="21">
        <v>-3.71</v>
      </c>
      <c r="L676" s="21">
        <v>-3.71</v>
      </c>
      <c r="M676">
        <v>0</v>
      </c>
      <c r="N676" s="21">
        <v>-3.71</v>
      </c>
    </row>
    <row r="677" spans="1:14">
      <c r="A677" t="str">
        <f>IFERROR(_xlfn.XLOOKUP(B677,Cuentas!$C$1:$C$521,Cuentas!$A$1:$A$521),"")</f>
        <v>Alexandra</v>
      </c>
      <c r="B677" t="s">
        <v>778</v>
      </c>
      <c r="C677" t="s">
        <v>779</v>
      </c>
      <c r="D677" t="s">
        <v>16</v>
      </c>
      <c r="E677" t="s">
        <v>3139</v>
      </c>
      <c r="F677" t="s">
        <v>19</v>
      </c>
      <c r="G677" t="s">
        <v>19</v>
      </c>
      <c r="I677" s="2">
        <v>45085</v>
      </c>
      <c r="J677" t="s">
        <v>20</v>
      </c>
      <c r="K677" s="21">
        <v>-20951.900000000001</v>
      </c>
      <c r="L677" s="21">
        <v>-20951.900000000001</v>
      </c>
      <c r="M677">
        <v>0</v>
      </c>
      <c r="N677" s="21">
        <v>-20951.900000000001</v>
      </c>
    </row>
    <row r="678" spans="1:14">
      <c r="A678" t="str">
        <f>IFERROR(_xlfn.XLOOKUP(B678,Cuentas!$C$1:$C$521,Cuentas!$A$1:$A$521),"")</f>
        <v>Alexandra</v>
      </c>
      <c r="B678" t="s">
        <v>778</v>
      </c>
      <c r="C678" t="s">
        <v>779</v>
      </c>
      <c r="D678" t="s">
        <v>16</v>
      </c>
      <c r="E678" t="s">
        <v>5502</v>
      </c>
      <c r="F678" t="s">
        <v>780</v>
      </c>
      <c r="G678" t="s">
        <v>19</v>
      </c>
      <c r="I678" s="2">
        <v>45107</v>
      </c>
      <c r="J678" t="s">
        <v>20</v>
      </c>
      <c r="K678" s="21">
        <v>-36</v>
      </c>
      <c r="L678" s="21">
        <v>-36</v>
      </c>
      <c r="M678">
        <v>0</v>
      </c>
      <c r="N678" s="21">
        <v>-36</v>
      </c>
    </row>
    <row r="679" spans="1:14">
      <c r="A679" t="str">
        <f>IFERROR(_xlfn.XLOOKUP(B679,Cuentas!$C$1:$C$521,Cuentas!$A$1:$A$521),"")</f>
        <v>Alexandra</v>
      </c>
      <c r="B679" t="s">
        <v>778</v>
      </c>
      <c r="C679" t="s">
        <v>779</v>
      </c>
      <c r="D679" t="s">
        <v>16</v>
      </c>
      <c r="E679" t="s">
        <v>5502</v>
      </c>
      <c r="F679" t="s">
        <v>781</v>
      </c>
      <c r="G679" t="s">
        <v>19</v>
      </c>
      <c r="I679" s="2">
        <v>45442</v>
      </c>
      <c r="J679" t="s">
        <v>20</v>
      </c>
      <c r="K679" s="21">
        <v>-1932</v>
      </c>
      <c r="L679" s="21">
        <v>-1932</v>
      </c>
      <c r="M679">
        <v>0</v>
      </c>
      <c r="N679" s="21">
        <v>-1932</v>
      </c>
    </row>
    <row r="680" spans="1:14">
      <c r="A680" t="str">
        <f>IFERROR(_xlfn.XLOOKUP(B680,Cuentas!$C$1:$C$521,Cuentas!$A$1:$A$521),"")</f>
        <v>Alexandra</v>
      </c>
      <c r="B680" t="s">
        <v>778</v>
      </c>
      <c r="C680" t="s">
        <v>779</v>
      </c>
      <c r="D680" t="s">
        <v>16</v>
      </c>
      <c r="E680" t="s">
        <v>5502</v>
      </c>
      <c r="F680" t="s">
        <v>782</v>
      </c>
      <c r="G680" t="s">
        <v>19</v>
      </c>
      <c r="I680" s="2">
        <v>45442</v>
      </c>
      <c r="J680" t="s">
        <v>20</v>
      </c>
      <c r="K680" s="21">
        <v>-2070</v>
      </c>
      <c r="L680" s="21">
        <v>-2070</v>
      </c>
      <c r="M680">
        <v>0</v>
      </c>
      <c r="N680" s="21">
        <v>-2070</v>
      </c>
    </row>
    <row r="681" spans="1:14">
      <c r="A681" t="str">
        <f>IFERROR(_xlfn.XLOOKUP(B681,Cuentas!$C$1:$C$521,Cuentas!$A$1:$A$521),"")</f>
        <v>Alexandra</v>
      </c>
      <c r="B681" t="s">
        <v>778</v>
      </c>
      <c r="C681" t="s">
        <v>779</v>
      </c>
      <c r="D681" t="s">
        <v>16</v>
      </c>
      <c r="E681" t="s">
        <v>5502</v>
      </c>
      <c r="F681" t="s">
        <v>783</v>
      </c>
      <c r="G681" t="s">
        <v>19</v>
      </c>
      <c r="I681" s="2">
        <v>45442</v>
      </c>
      <c r="J681" t="s">
        <v>20</v>
      </c>
      <c r="K681" s="21">
        <v>-414</v>
      </c>
      <c r="L681" s="21">
        <v>-414</v>
      </c>
      <c r="M681">
        <v>0</v>
      </c>
      <c r="N681" s="21">
        <v>-414</v>
      </c>
    </row>
    <row r="682" spans="1:14">
      <c r="A682" t="str">
        <f>IFERROR(_xlfn.XLOOKUP(B682,Cuentas!$C$1:$C$521,Cuentas!$A$1:$A$521),"")</f>
        <v>Alexandra</v>
      </c>
      <c r="B682" t="s">
        <v>778</v>
      </c>
      <c r="C682" t="s">
        <v>779</v>
      </c>
      <c r="D682" t="s">
        <v>16</v>
      </c>
      <c r="E682" t="s">
        <v>5502</v>
      </c>
      <c r="F682" t="s">
        <v>784</v>
      </c>
      <c r="G682" t="s">
        <v>19</v>
      </c>
      <c r="I682" s="2">
        <v>45454</v>
      </c>
      <c r="J682" t="s">
        <v>20</v>
      </c>
      <c r="K682" s="21">
        <v>-6486</v>
      </c>
      <c r="L682" s="21">
        <v>-6486</v>
      </c>
      <c r="M682">
        <v>0</v>
      </c>
      <c r="N682" s="21">
        <v>-6486</v>
      </c>
    </row>
    <row r="683" spans="1:14">
      <c r="A683" t="str">
        <f>IFERROR(_xlfn.XLOOKUP(B683,Cuentas!$C$1:$C$521,Cuentas!$A$1:$A$521),"")</f>
        <v>Alexandra</v>
      </c>
      <c r="B683" t="s">
        <v>778</v>
      </c>
      <c r="C683" t="s">
        <v>779</v>
      </c>
      <c r="D683" t="s">
        <v>16</v>
      </c>
      <c r="E683" t="s">
        <v>7</v>
      </c>
      <c r="F683" t="s">
        <v>785</v>
      </c>
      <c r="G683" t="s">
        <v>785</v>
      </c>
      <c r="H683" s="2">
        <v>45446</v>
      </c>
      <c r="I683" s="2">
        <v>45476</v>
      </c>
      <c r="J683" t="s">
        <v>20</v>
      </c>
      <c r="K683" s="21">
        <v>145</v>
      </c>
      <c r="L683" s="21">
        <v>145</v>
      </c>
      <c r="M683">
        <v>0</v>
      </c>
      <c r="N683" s="21">
        <v>145</v>
      </c>
    </row>
    <row r="684" spans="1:14">
      <c r="A684" t="str">
        <f>IFERROR(_xlfn.XLOOKUP(B684,Cuentas!$C$1:$C$521,Cuentas!$A$1:$A$521),"")</f>
        <v>Alexandra</v>
      </c>
      <c r="B684" t="s">
        <v>778</v>
      </c>
      <c r="C684" t="s">
        <v>779</v>
      </c>
      <c r="D684" t="s">
        <v>16</v>
      </c>
      <c r="E684" t="s">
        <v>7</v>
      </c>
      <c r="F684" t="s">
        <v>786</v>
      </c>
      <c r="G684" t="s">
        <v>786</v>
      </c>
      <c r="H684" s="2">
        <v>45646</v>
      </c>
      <c r="I684" s="2">
        <v>45676</v>
      </c>
      <c r="J684" t="s">
        <v>20</v>
      </c>
      <c r="K684" s="21">
        <v>105.93</v>
      </c>
      <c r="L684" s="21">
        <v>99</v>
      </c>
      <c r="M684">
        <v>0</v>
      </c>
      <c r="N684" s="21">
        <v>99</v>
      </c>
    </row>
    <row r="685" spans="1:14">
      <c r="A685" t="str">
        <f>IFERROR(_xlfn.XLOOKUP(B685,Cuentas!$C$1:$C$521,Cuentas!$A$1:$A$521),"")</f>
        <v>Alexandra</v>
      </c>
      <c r="B685" t="s">
        <v>778</v>
      </c>
      <c r="C685" t="s">
        <v>779</v>
      </c>
      <c r="D685" t="s">
        <v>16</v>
      </c>
      <c r="E685" t="s">
        <v>5502</v>
      </c>
      <c r="F685" t="s">
        <v>787</v>
      </c>
      <c r="G685" t="s">
        <v>786</v>
      </c>
      <c r="I685" s="2">
        <v>45684</v>
      </c>
      <c r="J685" t="s">
        <v>20</v>
      </c>
      <c r="K685" s="21">
        <v>-6.93</v>
      </c>
      <c r="L685" s="21" t="s">
        <v>86</v>
      </c>
      <c r="M685">
        <v>0</v>
      </c>
      <c r="N685" s="21" t="s">
        <v>86</v>
      </c>
    </row>
    <row r="686" spans="1:14">
      <c r="A686" t="str">
        <f>IFERROR(_xlfn.XLOOKUP(B686,Cuentas!$C$1:$C$521,Cuentas!$A$1:$A$521),"")</f>
        <v>Alexandra</v>
      </c>
      <c r="B686" t="s">
        <v>778</v>
      </c>
      <c r="C686" t="s">
        <v>779</v>
      </c>
      <c r="D686" t="s">
        <v>16</v>
      </c>
      <c r="E686" t="s">
        <v>7</v>
      </c>
      <c r="F686" t="s">
        <v>788</v>
      </c>
      <c r="G686" t="s">
        <v>788</v>
      </c>
      <c r="H686" s="2">
        <v>45659</v>
      </c>
      <c r="I686" s="2">
        <v>45689</v>
      </c>
      <c r="J686" t="s">
        <v>20</v>
      </c>
      <c r="K686" s="21">
        <v>20995.200000000001</v>
      </c>
      <c r="L686" s="21">
        <v>20995.200000000001</v>
      </c>
      <c r="M686">
        <v>0</v>
      </c>
      <c r="N686" s="21">
        <v>20995.200000000001</v>
      </c>
    </row>
    <row r="687" spans="1:14">
      <c r="A687" t="str">
        <f>IFERROR(_xlfn.XLOOKUP(B687,Cuentas!$C$1:$C$521,Cuentas!$A$1:$A$521),"")</f>
        <v>Alexandra</v>
      </c>
      <c r="B687" t="s">
        <v>778</v>
      </c>
      <c r="C687" t="s">
        <v>779</v>
      </c>
      <c r="D687" t="s">
        <v>16</v>
      </c>
      <c r="E687" t="s">
        <v>7</v>
      </c>
      <c r="F687" t="s">
        <v>789</v>
      </c>
      <c r="G687" t="s">
        <v>789</v>
      </c>
      <c r="H687" s="2">
        <v>45659</v>
      </c>
      <c r="I687" s="2">
        <v>45689</v>
      </c>
      <c r="J687" t="s">
        <v>20</v>
      </c>
      <c r="K687" s="21">
        <v>20995.200000000001</v>
      </c>
      <c r="L687" s="21">
        <v>20995.200000000001</v>
      </c>
      <c r="M687">
        <v>0</v>
      </c>
      <c r="N687" s="21">
        <v>20995.200000000001</v>
      </c>
    </row>
    <row r="688" spans="1:14">
      <c r="A688" t="str">
        <f>IFERROR(_xlfn.XLOOKUP(B688,Cuentas!$C$1:$C$521,Cuentas!$A$1:$A$521),"")</f>
        <v>Alexandra</v>
      </c>
      <c r="B688" t="s">
        <v>778</v>
      </c>
      <c r="C688" t="s">
        <v>779</v>
      </c>
      <c r="D688" t="s">
        <v>16</v>
      </c>
      <c r="E688" t="s">
        <v>7</v>
      </c>
      <c r="F688" t="s">
        <v>790</v>
      </c>
      <c r="G688" t="s">
        <v>790</v>
      </c>
      <c r="H688" s="2">
        <v>45659</v>
      </c>
      <c r="I688" s="2">
        <v>45689</v>
      </c>
      <c r="J688" t="s">
        <v>20</v>
      </c>
      <c r="K688" s="21">
        <v>20995.200000000001</v>
      </c>
      <c r="L688" s="21">
        <v>20995.200000000001</v>
      </c>
      <c r="M688">
        <v>0</v>
      </c>
      <c r="N688" s="21">
        <v>20995.200000000001</v>
      </c>
    </row>
    <row r="689" spans="1:14">
      <c r="A689" t="str">
        <f>IFERROR(_xlfn.XLOOKUP(B689,Cuentas!$C$1:$C$521,Cuentas!$A$1:$A$521),"")</f>
        <v>Alexandra</v>
      </c>
      <c r="B689" t="s">
        <v>778</v>
      </c>
      <c r="C689" t="s">
        <v>779</v>
      </c>
      <c r="D689" t="s">
        <v>16</v>
      </c>
      <c r="E689" t="s">
        <v>7</v>
      </c>
      <c r="F689" t="s">
        <v>791</v>
      </c>
      <c r="G689" t="s">
        <v>791</v>
      </c>
      <c r="H689" s="2">
        <v>45659</v>
      </c>
      <c r="I689" s="2">
        <v>45689</v>
      </c>
      <c r="J689" t="s">
        <v>20</v>
      </c>
      <c r="K689" s="21">
        <v>20995.200000000001</v>
      </c>
      <c r="L689" s="21">
        <v>20995.200000000001</v>
      </c>
      <c r="M689">
        <v>0</v>
      </c>
      <c r="N689" s="21">
        <v>20995.200000000001</v>
      </c>
    </row>
    <row r="690" spans="1:14">
      <c r="A690" t="str">
        <f>IFERROR(_xlfn.XLOOKUP(B690,Cuentas!$C$1:$C$521,Cuentas!$A$1:$A$521),"")</f>
        <v>Alexandra</v>
      </c>
      <c r="B690" t="s">
        <v>778</v>
      </c>
      <c r="C690" t="s">
        <v>779</v>
      </c>
      <c r="D690" t="s">
        <v>16</v>
      </c>
      <c r="E690" t="s">
        <v>7</v>
      </c>
      <c r="F690" t="s">
        <v>792</v>
      </c>
      <c r="G690" t="s">
        <v>792</v>
      </c>
      <c r="H690" s="2">
        <v>45659</v>
      </c>
      <c r="I690" s="2">
        <v>45689</v>
      </c>
      <c r="J690" t="s">
        <v>20</v>
      </c>
      <c r="K690" s="21">
        <v>20995.200000000001</v>
      </c>
      <c r="L690" s="21">
        <v>20995.200000000001</v>
      </c>
      <c r="M690">
        <v>0</v>
      </c>
      <c r="N690" s="21">
        <v>20995.200000000001</v>
      </c>
    </row>
    <row r="691" spans="1:14">
      <c r="A691" t="str">
        <f>IFERROR(_xlfn.XLOOKUP(B691,Cuentas!$C$1:$C$521,Cuentas!$A$1:$A$521),"")</f>
        <v>Alexandra</v>
      </c>
      <c r="B691" t="s">
        <v>778</v>
      </c>
      <c r="C691" t="s">
        <v>779</v>
      </c>
      <c r="D691" t="s">
        <v>16</v>
      </c>
      <c r="E691" t="s">
        <v>7</v>
      </c>
      <c r="F691" t="s">
        <v>793</v>
      </c>
      <c r="G691" t="s">
        <v>793</v>
      </c>
      <c r="H691" s="2">
        <v>45659</v>
      </c>
      <c r="I691" s="2">
        <v>45689</v>
      </c>
      <c r="J691" t="s">
        <v>20</v>
      </c>
      <c r="K691" s="21">
        <v>20995.200000000001</v>
      </c>
      <c r="L691" s="21">
        <v>20995.200000000001</v>
      </c>
      <c r="M691">
        <v>0</v>
      </c>
      <c r="N691" s="21">
        <v>20995.200000000001</v>
      </c>
    </row>
    <row r="692" spans="1:14">
      <c r="A692" t="str">
        <f>IFERROR(_xlfn.XLOOKUP(B692,Cuentas!$C$1:$C$521,Cuentas!$A$1:$A$521),"")</f>
        <v>Alexandra</v>
      </c>
      <c r="B692" t="s">
        <v>778</v>
      </c>
      <c r="C692" t="s">
        <v>779</v>
      </c>
      <c r="D692" t="s">
        <v>16</v>
      </c>
      <c r="E692" t="s">
        <v>7</v>
      </c>
      <c r="F692" t="s">
        <v>794</v>
      </c>
      <c r="G692" t="s">
        <v>794</v>
      </c>
      <c r="H692" s="2">
        <v>45659</v>
      </c>
      <c r="I692" s="2">
        <v>45689</v>
      </c>
      <c r="J692" t="s">
        <v>20</v>
      </c>
      <c r="K692" s="21">
        <v>21772.799999999999</v>
      </c>
      <c r="L692" s="21">
        <v>21772.799999999999</v>
      </c>
      <c r="M692">
        <v>0</v>
      </c>
      <c r="N692" s="21">
        <v>21772.799999999999</v>
      </c>
    </row>
    <row r="693" spans="1:14">
      <c r="A693" t="str">
        <f>IFERROR(_xlfn.XLOOKUP(B693,Cuentas!$C$1:$C$521,Cuentas!$A$1:$A$521),"")</f>
        <v>Alexandra</v>
      </c>
      <c r="B693" t="s">
        <v>778</v>
      </c>
      <c r="C693" t="s">
        <v>779</v>
      </c>
      <c r="D693" t="s">
        <v>16</v>
      </c>
      <c r="E693" t="s">
        <v>7</v>
      </c>
      <c r="F693" t="s">
        <v>795</v>
      </c>
      <c r="G693" t="s">
        <v>795</v>
      </c>
      <c r="H693" s="2">
        <v>45659</v>
      </c>
      <c r="I693" s="2">
        <v>45689</v>
      </c>
      <c r="J693" t="s">
        <v>20</v>
      </c>
      <c r="K693" s="21">
        <v>21772.799999999999</v>
      </c>
      <c r="L693" s="21">
        <v>21772.799999999999</v>
      </c>
      <c r="M693">
        <v>0</v>
      </c>
      <c r="N693" s="21">
        <v>21772.799999999999</v>
      </c>
    </row>
    <row r="694" spans="1:14">
      <c r="A694" t="str">
        <f>IFERROR(_xlfn.XLOOKUP(B694,Cuentas!$C$1:$C$521,Cuentas!$A$1:$A$521),"")</f>
        <v>Alexandra</v>
      </c>
      <c r="B694" t="s">
        <v>778</v>
      </c>
      <c r="C694" t="s">
        <v>779</v>
      </c>
      <c r="D694" t="s">
        <v>16</v>
      </c>
      <c r="E694" t="s">
        <v>7</v>
      </c>
      <c r="F694" t="s">
        <v>796</v>
      </c>
      <c r="G694" t="s">
        <v>796</v>
      </c>
      <c r="H694" s="2">
        <v>45660</v>
      </c>
      <c r="I694" s="2">
        <v>45690</v>
      </c>
      <c r="J694" t="s">
        <v>20</v>
      </c>
      <c r="K694" s="21">
        <v>20995.200000000001</v>
      </c>
      <c r="L694" s="21">
        <v>20995.200000000001</v>
      </c>
      <c r="M694">
        <v>0</v>
      </c>
      <c r="N694" s="21">
        <v>20995.200000000001</v>
      </c>
    </row>
    <row r="695" spans="1:14">
      <c r="A695" t="str">
        <f>IFERROR(_xlfn.XLOOKUP(B695,Cuentas!$C$1:$C$521,Cuentas!$A$1:$A$521),"")</f>
        <v>Alexandra</v>
      </c>
      <c r="B695" t="s">
        <v>778</v>
      </c>
      <c r="C695" t="s">
        <v>779</v>
      </c>
      <c r="D695" t="s">
        <v>16</v>
      </c>
      <c r="E695" t="s">
        <v>7</v>
      </c>
      <c r="F695" t="s">
        <v>797</v>
      </c>
      <c r="G695" t="s">
        <v>797</v>
      </c>
      <c r="H695" s="2">
        <v>45660</v>
      </c>
      <c r="I695" s="2">
        <v>45690</v>
      </c>
      <c r="J695" t="s">
        <v>20</v>
      </c>
      <c r="K695" s="21">
        <v>20995.200000000001</v>
      </c>
      <c r="L695" s="21">
        <v>20995.200000000001</v>
      </c>
      <c r="M695">
        <v>0</v>
      </c>
      <c r="N695" s="21">
        <v>20995.200000000001</v>
      </c>
    </row>
    <row r="696" spans="1:14">
      <c r="A696" t="str">
        <f>IFERROR(_xlfn.XLOOKUP(B696,Cuentas!$C$1:$C$521,Cuentas!$A$1:$A$521),"")</f>
        <v>Alexandra</v>
      </c>
      <c r="B696" t="s">
        <v>778</v>
      </c>
      <c r="C696" t="s">
        <v>779</v>
      </c>
      <c r="D696" t="s">
        <v>16</v>
      </c>
      <c r="E696" t="s">
        <v>7</v>
      </c>
      <c r="F696" t="s">
        <v>798</v>
      </c>
      <c r="G696" t="s">
        <v>798</v>
      </c>
      <c r="H696" s="2">
        <v>45660</v>
      </c>
      <c r="I696" s="2">
        <v>45690</v>
      </c>
      <c r="J696" t="s">
        <v>20</v>
      </c>
      <c r="K696" s="21">
        <v>21772.799999999999</v>
      </c>
      <c r="L696" s="21">
        <v>21772.799999999999</v>
      </c>
      <c r="M696">
        <v>0</v>
      </c>
      <c r="N696" s="21">
        <v>21772.799999999999</v>
      </c>
    </row>
    <row r="697" spans="1:14">
      <c r="A697" t="str">
        <f>IFERROR(_xlfn.XLOOKUP(B697,Cuentas!$C$1:$C$521,Cuentas!$A$1:$A$521),"")</f>
        <v>Alexandra</v>
      </c>
      <c r="B697" t="s">
        <v>778</v>
      </c>
      <c r="C697" t="s">
        <v>779</v>
      </c>
      <c r="D697" t="s">
        <v>16</v>
      </c>
      <c r="E697" t="s">
        <v>7</v>
      </c>
      <c r="F697" t="s">
        <v>799</v>
      </c>
      <c r="G697" t="s">
        <v>799</v>
      </c>
      <c r="H697" s="2">
        <v>45660</v>
      </c>
      <c r="I697" s="2">
        <v>45690</v>
      </c>
      <c r="J697" t="s">
        <v>20</v>
      </c>
      <c r="K697" s="21">
        <v>21772.799999999999</v>
      </c>
      <c r="L697" s="21">
        <v>21772.799999999999</v>
      </c>
      <c r="M697">
        <v>0</v>
      </c>
      <c r="N697" s="21">
        <v>21772.799999999999</v>
      </c>
    </row>
    <row r="698" spans="1:14">
      <c r="A698" t="str">
        <f>IFERROR(_xlfn.XLOOKUP(B698,Cuentas!$C$1:$C$521,Cuentas!$A$1:$A$521),"")</f>
        <v>Alexandra</v>
      </c>
      <c r="B698" t="s">
        <v>778</v>
      </c>
      <c r="C698" t="s">
        <v>779</v>
      </c>
      <c r="D698" t="s">
        <v>16</v>
      </c>
      <c r="E698" t="s">
        <v>7</v>
      </c>
      <c r="F698" t="s">
        <v>800</v>
      </c>
      <c r="G698" t="s">
        <v>800</v>
      </c>
      <c r="H698" s="2">
        <v>45660</v>
      </c>
      <c r="I698" s="2">
        <v>45690</v>
      </c>
      <c r="J698" t="s">
        <v>20</v>
      </c>
      <c r="K698" s="21">
        <v>21772.799999999999</v>
      </c>
      <c r="L698" s="21">
        <v>21772.799999999999</v>
      </c>
      <c r="M698">
        <v>0</v>
      </c>
      <c r="N698" s="21">
        <v>21772.799999999999</v>
      </c>
    </row>
    <row r="699" spans="1:14">
      <c r="A699" t="str">
        <f>IFERROR(_xlfn.XLOOKUP(B699,Cuentas!$C$1:$C$521,Cuentas!$A$1:$A$521),"")</f>
        <v>Alexandra</v>
      </c>
      <c r="B699" t="s">
        <v>778</v>
      </c>
      <c r="C699" t="s">
        <v>779</v>
      </c>
      <c r="D699" t="s">
        <v>16</v>
      </c>
      <c r="E699" t="s">
        <v>7</v>
      </c>
      <c r="F699" t="s">
        <v>801</v>
      </c>
      <c r="G699" t="s">
        <v>801</v>
      </c>
      <c r="H699" s="2">
        <v>45663</v>
      </c>
      <c r="I699" s="2">
        <v>45693</v>
      </c>
      <c r="J699" t="s">
        <v>20</v>
      </c>
      <c r="K699" s="21">
        <v>310.3</v>
      </c>
      <c r="L699" s="21">
        <v>290</v>
      </c>
      <c r="M699">
        <v>0</v>
      </c>
      <c r="N699" s="21">
        <v>290</v>
      </c>
    </row>
    <row r="700" spans="1:14">
      <c r="A700" t="str">
        <f>IFERROR(_xlfn.XLOOKUP(B700,Cuentas!$C$1:$C$521,Cuentas!$A$1:$A$521),"")</f>
        <v>Alexandra</v>
      </c>
      <c r="B700" t="s">
        <v>778</v>
      </c>
      <c r="C700" t="s">
        <v>779</v>
      </c>
      <c r="D700" t="s">
        <v>16</v>
      </c>
      <c r="E700" t="s">
        <v>5502</v>
      </c>
      <c r="F700" t="s">
        <v>802</v>
      </c>
      <c r="G700" t="s">
        <v>801</v>
      </c>
      <c r="I700" s="2">
        <v>45684</v>
      </c>
      <c r="J700" t="s">
        <v>20</v>
      </c>
      <c r="K700" s="21">
        <v>-20.3</v>
      </c>
      <c r="L700" s="21" t="s">
        <v>86</v>
      </c>
      <c r="M700">
        <v>0</v>
      </c>
      <c r="N700" s="21" t="s">
        <v>86</v>
      </c>
    </row>
    <row r="701" spans="1:14">
      <c r="A701" t="str">
        <f>IFERROR(_xlfn.XLOOKUP(B701,Cuentas!$C$1:$C$521,Cuentas!$A$1:$A$521),"")</f>
        <v>Alexandra</v>
      </c>
      <c r="B701" t="s">
        <v>778</v>
      </c>
      <c r="C701" t="s">
        <v>779</v>
      </c>
      <c r="D701" t="s">
        <v>16</v>
      </c>
      <c r="E701" t="s">
        <v>7</v>
      </c>
      <c r="F701" t="s">
        <v>803</v>
      </c>
      <c r="G701" t="s">
        <v>803</v>
      </c>
      <c r="H701" s="2">
        <v>45663</v>
      </c>
      <c r="I701" s="2">
        <v>45693</v>
      </c>
      <c r="J701" t="s">
        <v>20</v>
      </c>
      <c r="K701" s="21">
        <v>20995.200000000001</v>
      </c>
      <c r="L701" s="21">
        <v>20995.200000000001</v>
      </c>
      <c r="M701">
        <v>0</v>
      </c>
      <c r="N701" s="21">
        <v>20995.200000000001</v>
      </c>
    </row>
    <row r="702" spans="1:14">
      <c r="A702" t="str">
        <f>IFERROR(_xlfn.XLOOKUP(B702,Cuentas!$C$1:$C$521,Cuentas!$A$1:$A$521),"")</f>
        <v>Alexandra</v>
      </c>
      <c r="B702" t="s">
        <v>778</v>
      </c>
      <c r="C702" t="s">
        <v>779</v>
      </c>
      <c r="D702" t="s">
        <v>16</v>
      </c>
      <c r="E702" t="s">
        <v>7</v>
      </c>
      <c r="F702" t="s">
        <v>804</v>
      </c>
      <c r="G702" t="s">
        <v>804</v>
      </c>
      <c r="H702" s="2">
        <v>45663</v>
      </c>
      <c r="I702" s="2">
        <v>45693</v>
      </c>
      <c r="J702" t="s">
        <v>20</v>
      </c>
      <c r="K702" s="21">
        <v>20995.200000000001</v>
      </c>
      <c r="L702" s="21">
        <v>20995.200000000001</v>
      </c>
      <c r="M702">
        <v>0</v>
      </c>
      <c r="N702" s="21">
        <v>20995.200000000001</v>
      </c>
    </row>
    <row r="703" spans="1:14">
      <c r="A703" t="str">
        <f>IFERROR(_xlfn.XLOOKUP(B703,Cuentas!$C$1:$C$521,Cuentas!$A$1:$A$521),"")</f>
        <v>Alexandra</v>
      </c>
      <c r="B703" t="s">
        <v>778</v>
      </c>
      <c r="C703" t="s">
        <v>779</v>
      </c>
      <c r="D703" t="s">
        <v>16</v>
      </c>
      <c r="E703" t="s">
        <v>7</v>
      </c>
      <c r="F703" t="s">
        <v>805</v>
      </c>
      <c r="G703" t="s">
        <v>805</v>
      </c>
      <c r="H703" s="2">
        <v>45663</v>
      </c>
      <c r="I703" s="2">
        <v>45693</v>
      </c>
      <c r="J703" t="s">
        <v>20</v>
      </c>
      <c r="K703" s="21">
        <v>21772.799999999999</v>
      </c>
      <c r="L703" s="21">
        <v>21772.799999999999</v>
      </c>
      <c r="M703">
        <v>0</v>
      </c>
      <c r="N703" s="21">
        <v>21772.799999999999</v>
      </c>
    </row>
    <row r="704" spans="1:14">
      <c r="A704" t="str">
        <f>IFERROR(_xlfn.XLOOKUP(B704,Cuentas!$C$1:$C$521,Cuentas!$A$1:$A$521),"")</f>
        <v>Alexandra</v>
      </c>
      <c r="B704" t="s">
        <v>778</v>
      </c>
      <c r="C704" t="s">
        <v>779</v>
      </c>
      <c r="D704" t="s">
        <v>16</v>
      </c>
      <c r="E704" t="s">
        <v>7</v>
      </c>
      <c r="F704" t="s">
        <v>806</v>
      </c>
      <c r="G704" t="s">
        <v>806</v>
      </c>
      <c r="H704" s="2">
        <v>45663</v>
      </c>
      <c r="I704" s="2">
        <v>45693</v>
      </c>
      <c r="J704" t="s">
        <v>20</v>
      </c>
      <c r="K704" s="21">
        <v>21772.799999999999</v>
      </c>
      <c r="L704" s="21">
        <v>21772.799999999999</v>
      </c>
      <c r="M704">
        <v>0</v>
      </c>
      <c r="N704" s="21">
        <v>21772.799999999999</v>
      </c>
    </row>
    <row r="705" spans="1:14">
      <c r="A705" t="str">
        <f>IFERROR(_xlfn.XLOOKUP(B705,Cuentas!$C$1:$C$521,Cuentas!$A$1:$A$521),"")</f>
        <v>Alexandra</v>
      </c>
      <c r="B705" t="s">
        <v>778</v>
      </c>
      <c r="C705" t="s">
        <v>779</v>
      </c>
      <c r="D705" t="s">
        <v>16</v>
      </c>
      <c r="E705" t="s">
        <v>7</v>
      </c>
      <c r="F705" t="s">
        <v>807</v>
      </c>
      <c r="G705" t="s">
        <v>807</v>
      </c>
      <c r="H705" s="2">
        <v>45663</v>
      </c>
      <c r="I705" s="2">
        <v>45693</v>
      </c>
      <c r="J705" t="s">
        <v>20</v>
      </c>
      <c r="K705" s="21">
        <v>21772.799999999999</v>
      </c>
      <c r="L705" s="21">
        <v>21772.799999999999</v>
      </c>
      <c r="M705">
        <v>0</v>
      </c>
      <c r="N705" s="21">
        <v>21772.799999999999</v>
      </c>
    </row>
    <row r="706" spans="1:14">
      <c r="A706" t="str">
        <f>IFERROR(_xlfn.XLOOKUP(B706,Cuentas!$C$1:$C$521,Cuentas!$A$1:$A$521),"")</f>
        <v>Alexandra</v>
      </c>
      <c r="B706" t="s">
        <v>778</v>
      </c>
      <c r="C706" t="s">
        <v>779</v>
      </c>
      <c r="D706" t="s">
        <v>16</v>
      </c>
      <c r="E706" t="s">
        <v>7</v>
      </c>
      <c r="F706" t="s">
        <v>808</v>
      </c>
      <c r="G706" t="s">
        <v>808</v>
      </c>
      <c r="H706" s="2">
        <v>45664</v>
      </c>
      <c r="I706" s="2">
        <v>45694</v>
      </c>
      <c r="J706" t="s">
        <v>20</v>
      </c>
      <c r="K706" s="21">
        <v>21772.799999999999</v>
      </c>
      <c r="L706" s="21">
        <v>21772.799999999999</v>
      </c>
      <c r="M706">
        <v>0</v>
      </c>
      <c r="N706" s="21">
        <v>21772.799999999999</v>
      </c>
    </row>
    <row r="707" spans="1:14">
      <c r="A707" t="str">
        <f>IFERROR(_xlfn.XLOOKUP(B707,Cuentas!$C$1:$C$521,Cuentas!$A$1:$A$521),"")</f>
        <v>Alexandra</v>
      </c>
      <c r="B707" t="s">
        <v>778</v>
      </c>
      <c r="C707" t="s">
        <v>779</v>
      </c>
      <c r="D707" t="s">
        <v>16</v>
      </c>
      <c r="E707" t="s">
        <v>7</v>
      </c>
      <c r="F707" t="s">
        <v>809</v>
      </c>
      <c r="G707" t="s">
        <v>809</v>
      </c>
      <c r="H707" s="2">
        <v>45695</v>
      </c>
      <c r="I707" s="2">
        <v>45695</v>
      </c>
      <c r="J707" t="s">
        <v>20</v>
      </c>
      <c r="K707" s="21">
        <v>21772.799999999999</v>
      </c>
      <c r="L707" s="21">
        <v>21772.799999999999</v>
      </c>
      <c r="M707">
        <v>0</v>
      </c>
      <c r="N707" s="21">
        <v>21772.799999999999</v>
      </c>
    </row>
    <row r="708" spans="1:14">
      <c r="A708" t="str">
        <f>IFERROR(_xlfn.XLOOKUP(B708,Cuentas!$C$1:$C$521,Cuentas!$A$1:$A$521),"")</f>
        <v>Alexandra</v>
      </c>
      <c r="B708" t="s">
        <v>778</v>
      </c>
      <c r="C708" t="s">
        <v>779</v>
      </c>
      <c r="D708" t="s">
        <v>16</v>
      </c>
      <c r="E708" t="s">
        <v>7</v>
      </c>
      <c r="F708" t="s">
        <v>810</v>
      </c>
      <c r="G708" t="s">
        <v>810</v>
      </c>
      <c r="H708" s="2">
        <v>45695</v>
      </c>
      <c r="I708" s="2">
        <v>45695</v>
      </c>
      <c r="J708" t="s">
        <v>20</v>
      </c>
      <c r="K708" s="21">
        <v>21772.799999999999</v>
      </c>
      <c r="L708" s="21">
        <v>21772.799999999999</v>
      </c>
      <c r="M708">
        <v>0</v>
      </c>
      <c r="N708" s="21">
        <v>21772.799999999999</v>
      </c>
    </row>
    <row r="709" spans="1:14">
      <c r="A709" t="str">
        <f>IFERROR(_xlfn.XLOOKUP(B709,Cuentas!$C$1:$C$521,Cuentas!$A$1:$A$521),"")</f>
        <v>Alexandra</v>
      </c>
      <c r="B709" t="s">
        <v>778</v>
      </c>
      <c r="C709" t="s">
        <v>779</v>
      </c>
      <c r="D709" t="s">
        <v>16</v>
      </c>
      <c r="E709" t="s">
        <v>7</v>
      </c>
      <c r="F709" t="s">
        <v>811</v>
      </c>
      <c r="G709" t="s">
        <v>811</v>
      </c>
      <c r="H709" s="2">
        <v>45695</v>
      </c>
      <c r="I709" s="2">
        <v>45695</v>
      </c>
      <c r="J709" t="s">
        <v>20</v>
      </c>
      <c r="K709" s="21">
        <v>20995.200000000001</v>
      </c>
      <c r="L709" s="21">
        <v>20995.200000000001</v>
      </c>
      <c r="M709">
        <v>0</v>
      </c>
      <c r="N709" s="21">
        <v>20995.200000000001</v>
      </c>
    </row>
    <row r="710" spans="1:14">
      <c r="A710" t="str">
        <f>IFERROR(_xlfn.XLOOKUP(B710,Cuentas!$C$1:$C$521,Cuentas!$A$1:$A$521),"")</f>
        <v>Alexandra</v>
      </c>
      <c r="B710" t="s">
        <v>778</v>
      </c>
      <c r="C710" t="s">
        <v>779</v>
      </c>
      <c r="D710" t="s">
        <v>16</v>
      </c>
      <c r="E710" t="s">
        <v>7</v>
      </c>
      <c r="F710" t="s">
        <v>812</v>
      </c>
      <c r="G710" t="s">
        <v>812</v>
      </c>
      <c r="H710" s="2">
        <v>45695</v>
      </c>
      <c r="I710" s="2">
        <v>45695</v>
      </c>
      <c r="J710" t="s">
        <v>20</v>
      </c>
      <c r="K710" s="21">
        <v>21772.799999999999</v>
      </c>
      <c r="L710" s="21">
        <v>21772.799999999999</v>
      </c>
      <c r="M710">
        <v>0</v>
      </c>
      <c r="N710" s="21">
        <v>21772.799999999999</v>
      </c>
    </row>
    <row r="711" spans="1:14">
      <c r="A711" t="str">
        <f>IFERROR(_xlfn.XLOOKUP(B711,Cuentas!$C$1:$C$521,Cuentas!$A$1:$A$521),"")</f>
        <v>Alexandra</v>
      </c>
      <c r="B711" t="s">
        <v>778</v>
      </c>
      <c r="C711" t="s">
        <v>779</v>
      </c>
      <c r="D711" t="s">
        <v>16</v>
      </c>
      <c r="E711" t="s">
        <v>7</v>
      </c>
      <c r="F711" t="s">
        <v>813</v>
      </c>
      <c r="G711" t="s">
        <v>813</v>
      </c>
      <c r="H711" s="2">
        <v>45671</v>
      </c>
      <c r="I711" s="2">
        <v>45701</v>
      </c>
      <c r="J711" t="s">
        <v>20</v>
      </c>
      <c r="K711" s="21">
        <v>2619.36</v>
      </c>
      <c r="L711" s="21">
        <v>2448</v>
      </c>
      <c r="M711">
        <v>0</v>
      </c>
      <c r="N711" s="21">
        <v>2448</v>
      </c>
    </row>
    <row r="712" spans="1:14">
      <c r="A712" t="str">
        <f>IFERROR(_xlfn.XLOOKUP(B712,Cuentas!$C$1:$C$521,Cuentas!$A$1:$A$521),"")</f>
        <v>Alexandra</v>
      </c>
      <c r="B712" t="s">
        <v>778</v>
      </c>
      <c r="C712" t="s">
        <v>779</v>
      </c>
      <c r="D712" t="s">
        <v>16</v>
      </c>
      <c r="E712" t="s">
        <v>5502</v>
      </c>
      <c r="F712" t="s">
        <v>814</v>
      </c>
      <c r="G712" t="s">
        <v>813</v>
      </c>
      <c r="I712" s="2">
        <v>45684</v>
      </c>
      <c r="J712" t="s">
        <v>20</v>
      </c>
      <c r="K712" s="21">
        <v>-171.36</v>
      </c>
      <c r="L712" s="21" t="s">
        <v>86</v>
      </c>
      <c r="M712">
        <v>0</v>
      </c>
      <c r="N712" s="21" t="s">
        <v>86</v>
      </c>
    </row>
    <row r="713" spans="1:14">
      <c r="A713" t="str">
        <f>IFERROR(_xlfn.XLOOKUP(B713,Cuentas!$C$1:$C$521,Cuentas!$A$1:$A$521),"")</f>
        <v>Alexandra</v>
      </c>
      <c r="B713" t="s">
        <v>778</v>
      </c>
      <c r="C713" t="s">
        <v>779</v>
      </c>
      <c r="D713" t="s">
        <v>16</v>
      </c>
      <c r="E713" t="s">
        <v>7</v>
      </c>
      <c r="F713" t="s">
        <v>815</v>
      </c>
      <c r="G713" t="s">
        <v>815</v>
      </c>
      <c r="H713" s="2">
        <v>45671</v>
      </c>
      <c r="I713" s="2">
        <v>45701</v>
      </c>
      <c r="J713" t="s">
        <v>20</v>
      </c>
      <c r="K713" s="21">
        <v>2889</v>
      </c>
      <c r="L713" s="21">
        <v>2700</v>
      </c>
      <c r="M713">
        <v>0</v>
      </c>
      <c r="N713" s="21">
        <v>2700</v>
      </c>
    </row>
    <row r="714" spans="1:14">
      <c r="A714" t="str">
        <f>IFERROR(_xlfn.XLOOKUP(B714,Cuentas!$C$1:$C$521,Cuentas!$A$1:$A$521),"")</f>
        <v>Alexandra</v>
      </c>
      <c r="B714" t="s">
        <v>778</v>
      </c>
      <c r="C714" t="s">
        <v>779</v>
      </c>
      <c r="D714" t="s">
        <v>16</v>
      </c>
      <c r="E714" t="s">
        <v>5502</v>
      </c>
      <c r="F714" t="s">
        <v>816</v>
      </c>
      <c r="G714" t="s">
        <v>815</v>
      </c>
      <c r="I714" s="2">
        <v>45684</v>
      </c>
      <c r="J714" t="s">
        <v>20</v>
      </c>
      <c r="K714" s="21">
        <v>-189</v>
      </c>
      <c r="L714" s="21" t="s">
        <v>86</v>
      </c>
      <c r="M714">
        <v>0</v>
      </c>
      <c r="N714" s="21" t="s">
        <v>86</v>
      </c>
    </row>
    <row r="715" spans="1:14">
      <c r="A715" t="str">
        <f>IFERROR(_xlfn.XLOOKUP(B715,Cuentas!$C$1:$C$521,Cuentas!$A$1:$A$521),"")</f>
        <v>Alexandra</v>
      </c>
      <c r="B715" t="s">
        <v>778</v>
      </c>
      <c r="C715" t="s">
        <v>779</v>
      </c>
      <c r="D715" t="s">
        <v>16</v>
      </c>
      <c r="E715" t="s">
        <v>7</v>
      </c>
      <c r="F715" t="s">
        <v>817</v>
      </c>
      <c r="G715" t="s">
        <v>817</v>
      </c>
      <c r="H715" s="2">
        <v>45701</v>
      </c>
      <c r="I715" s="2">
        <v>45701</v>
      </c>
      <c r="J715" t="s">
        <v>20</v>
      </c>
      <c r="K715" s="21">
        <v>21772.799999999999</v>
      </c>
      <c r="L715" s="21">
        <v>21772.799999999999</v>
      </c>
      <c r="M715">
        <v>0</v>
      </c>
      <c r="N715" s="21">
        <v>21772.799999999999</v>
      </c>
    </row>
    <row r="716" spans="1:14">
      <c r="A716" t="str">
        <f>IFERROR(_xlfn.XLOOKUP(B716,Cuentas!$C$1:$C$521,Cuentas!$A$1:$A$521),"")</f>
        <v>Alexandra</v>
      </c>
      <c r="B716" t="s">
        <v>778</v>
      </c>
      <c r="C716" t="s">
        <v>779</v>
      </c>
      <c r="D716" t="s">
        <v>16</v>
      </c>
      <c r="E716" t="s">
        <v>7</v>
      </c>
      <c r="F716" t="s">
        <v>818</v>
      </c>
      <c r="G716" t="s">
        <v>818</v>
      </c>
      <c r="H716" s="2">
        <v>45701</v>
      </c>
      <c r="I716" s="2">
        <v>45701</v>
      </c>
      <c r="J716" t="s">
        <v>20</v>
      </c>
      <c r="K716" s="21">
        <v>21772.799999999999</v>
      </c>
      <c r="L716" s="21">
        <v>21772.799999999999</v>
      </c>
      <c r="M716">
        <v>0</v>
      </c>
      <c r="N716" s="21">
        <v>21772.799999999999</v>
      </c>
    </row>
    <row r="717" spans="1:14">
      <c r="A717" t="str">
        <f>IFERROR(_xlfn.XLOOKUP(B717,Cuentas!$C$1:$C$521,Cuentas!$A$1:$A$521),"")</f>
        <v>Alexandra</v>
      </c>
      <c r="B717" t="s">
        <v>778</v>
      </c>
      <c r="C717" t="s">
        <v>779</v>
      </c>
      <c r="D717" t="s">
        <v>16</v>
      </c>
      <c r="E717" t="s">
        <v>7</v>
      </c>
      <c r="F717" t="s">
        <v>819</v>
      </c>
      <c r="G717" t="s">
        <v>819</v>
      </c>
      <c r="H717" s="2">
        <v>45701</v>
      </c>
      <c r="I717" s="2">
        <v>45701</v>
      </c>
      <c r="J717" t="s">
        <v>20</v>
      </c>
      <c r="K717" s="21">
        <v>21772.799999999999</v>
      </c>
      <c r="L717" s="21">
        <v>21772.799999999999</v>
      </c>
      <c r="M717">
        <v>0</v>
      </c>
      <c r="N717" s="21">
        <v>21772.799999999999</v>
      </c>
    </row>
    <row r="718" spans="1:14">
      <c r="A718" t="str">
        <f>IFERROR(_xlfn.XLOOKUP(B718,Cuentas!$C$1:$C$521,Cuentas!$A$1:$A$521),"")</f>
        <v>Alexandra</v>
      </c>
      <c r="B718" t="s">
        <v>778</v>
      </c>
      <c r="C718" t="s">
        <v>779</v>
      </c>
      <c r="D718" t="s">
        <v>16</v>
      </c>
      <c r="E718" t="s">
        <v>7</v>
      </c>
      <c r="F718" t="s">
        <v>820</v>
      </c>
      <c r="G718" t="s">
        <v>820</v>
      </c>
      <c r="H718" s="2">
        <v>45672</v>
      </c>
      <c r="I718" s="2">
        <v>45702</v>
      </c>
      <c r="J718" t="s">
        <v>20</v>
      </c>
      <c r="K718" s="21">
        <v>241200</v>
      </c>
      <c r="L718" s="21">
        <v>241200</v>
      </c>
      <c r="M718">
        <v>0</v>
      </c>
      <c r="N718" s="21">
        <v>241200</v>
      </c>
    </row>
    <row r="719" spans="1:14">
      <c r="A719" t="str">
        <f>IFERROR(_xlfn.XLOOKUP(B719,Cuentas!$C$1:$C$521,Cuentas!$A$1:$A$521),"")</f>
        <v>Alexandra</v>
      </c>
      <c r="B719" t="s">
        <v>778</v>
      </c>
      <c r="C719" t="s">
        <v>779</v>
      </c>
      <c r="D719" t="s">
        <v>16</v>
      </c>
      <c r="E719" t="s">
        <v>7</v>
      </c>
      <c r="F719" t="s">
        <v>821</v>
      </c>
      <c r="G719" t="s">
        <v>821</v>
      </c>
      <c r="H719" s="2">
        <v>45702</v>
      </c>
      <c r="I719" s="2">
        <v>45702</v>
      </c>
      <c r="J719" t="s">
        <v>20</v>
      </c>
      <c r="K719" s="21">
        <v>20995.200000000001</v>
      </c>
      <c r="L719" s="21">
        <v>20995.200000000001</v>
      </c>
      <c r="M719">
        <v>0</v>
      </c>
      <c r="N719" s="21">
        <v>20995.200000000001</v>
      </c>
    </row>
    <row r="720" spans="1:14">
      <c r="A720" t="str">
        <f>IFERROR(_xlfn.XLOOKUP(B720,Cuentas!$C$1:$C$521,Cuentas!$A$1:$A$521),"")</f>
        <v>Alexandra</v>
      </c>
      <c r="B720" t="s">
        <v>778</v>
      </c>
      <c r="C720" t="s">
        <v>779</v>
      </c>
      <c r="D720" t="s">
        <v>16</v>
      </c>
      <c r="E720" t="s">
        <v>7</v>
      </c>
      <c r="F720" t="s">
        <v>822</v>
      </c>
      <c r="G720" t="s">
        <v>822</v>
      </c>
      <c r="H720" s="2">
        <v>45674</v>
      </c>
      <c r="I720" s="2">
        <v>45704</v>
      </c>
      <c r="J720" t="s">
        <v>20</v>
      </c>
      <c r="K720" s="21">
        <v>74880</v>
      </c>
      <c r="L720" s="21">
        <v>74880</v>
      </c>
      <c r="M720">
        <v>0</v>
      </c>
      <c r="N720" s="21">
        <v>74880</v>
      </c>
    </row>
    <row r="721" spans="1:14">
      <c r="A721" t="str">
        <f>IFERROR(_xlfn.XLOOKUP(B721,Cuentas!$C$1:$C$521,Cuentas!$A$1:$A$521),"")</f>
        <v>Alexandra</v>
      </c>
      <c r="B721" t="s">
        <v>778</v>
      </c>
      <c r="C721" t="s">
        <v>779</v>
      </c>
      <c r="D721" t="s">
        <v>16</v>
      </c>
      <c r="E721" t="s">
        <v>7</v>
      </c>
      <c r="F721" t="s">
        <v>823</v>
      </c>
      <c r="G721" t="s">
        <v>823</v>
      </c>
      <c r="H721" s="2">
        <v>45679</v>
      </c>
      <c r="I721" s="2">
        <v>45709</v>
      </c>
      <c r="J721" t="s">
        <v>20</v>
      </c>
      <c r="K721" s="21">
        <v>15141</v>
      </c>
      <c r="L721" s="21">
        <v>15141</v>
      </c>
      <c r="M721">
        <v>0</v>
      </c>
      <c r="N721" s="21">
        <v>15141</v>
      </c>
    </row>
    <row r="722" spans="1:14">
      <c r="A722" t="str">
        <f>IFERROR(_xlfn.XLOOKUP(B722,Cuentas!$C$1:$C$521,Cuentas!$A$1:$A$521),"")</f>
        <v>Alexandra</v>
      </c>
      <c r="B722" t="s">
        <v>778</v>
      </c>
      <c r="C722" t="s">
        <v>779</v>
      </c>
      <c r="D722" t="s">
        <v>16</v>
      </c>
      <c r="E722" t="s">
        <v>3139</v>
      </c>
      <c r="F722" t="s">
        <v>19</v>
      </c>
      <c r="G722" t="s">
        <v>19</v>
      </c>
      <c r="I722" s="2">
        <v>45715</v>
      </c>
      <c r="J722" t="s">
        <v>20</v>
      </c>
      <c r="K722" s="21">
        <v>-904922.99</v>
      </c>
      <c r="L722" s="21">
        <v>-904922.99</v>
      </c>
      <c r="M722">
        <v>0</v>
      </c>
      <c r="N722" s="21">
        <v>-904922.99</v>
      </c>
    </row>
    <row r="723" spans="1:14">
      <c r="A723" t="str">
        <f>IFERROR(_xlfn.XLOOKUP(B723,Cuentas!$C$1:$C$521,Cuentas!$A$1:$A$521),"")</f>
        <v>Alexandra</v>
      </c>
      <c r="B723" t="s">
        <v>778</v>
      </c>
      <c r="C723" t="s">
        <v>779</v>
      </c>
      <c r="D723" t="s">
        <v>16</v>
      </c>
      <c r="E723" t="s">
        <v>3139</v>
      </c>
      <c r="F723" t="s">
        <v>19</v>
      </c>
      <c r="G723" t="s">
        <v>19</v>
      </c>
      <c r="I723" s="2">
        <v>45723</v>
      </c>
      <c r="J723" t="s">
        <v>20</v>
      </c>
      <c r="K723" s="21">
        <v>-23569.06</v>
      </c>
      <c r="L723" s="21">
        <v>-23569.06</v>
      </c>
      <c r="M723">
        <v>10</v>
      </c>
      <c r="N723" s="21">
        <v>-23569.06</v>
      </c>
    </row>
    <row r="724" spans="1:14">
      <c r="A724" t="str">
        <f>IFERROR(_xlfn.XLOOKUP(B724,Cuentas!$C$1:$C$521,Cuentas!$A$1:$A$521),"")</f>
        <v>Alexandra</v>
      </c>
      <c r="B724" t="s">
        <v>778</v>
      </c>
      <c r="C724" t="s">
        <v>779</v>
      </c>
      <c r="D724" t="s">
        <v>16</v>
      </c>
      <c r="E724" t="s">
        <v>7</v>
      </c>
      <c r="F724" t="s">
        <v>824</v>
      </c>
      <c r="G724" t="s">
        <v>824</v>
      </c>
      <c r="H724" s="2">
        <v>45720</v>
      </c>
      <c r="I724" s="2">
        <v>45750</v>
      </c>
      <c r="J724" t="s">
        <v>20</v>
      </c>
      <c r="K724" s="21">
        <v>199</v>
      </c>
      <c r="L724" s="21">
        <v>199</v>
      </c>
      <c r="M724">
        <v>0</v>
      </c>
      <c r="N724" s="21">
        <v>0</v>
      </c>
    </row>
    <row r="725" spans="1:14">
      <c r="A725" t="str">
        <f>IFERROR(_xlfn.XLOOKUP(B725,Cuentas!$C$1:$C$521,Cuentas!$A$1:$A$521),"")</f>
        <v>Alexandra</v>
      </c>
      <c r="B725" t="s">
        <v>778</v>
      </c>
      <c r="C725" t="s">
        <v>779</v>
      </c>
      <c r="D725" t="s">
        <v>16</v>
      </c>
      <c r="E725" t="s">
        <v>7</v>
      </c>
      <c r="F725" t="s">
        <v>825</v>
      </c>
      <c r="G725" t="s">
        <v>825</v>
      </c>
      <c r="H725" s="2">
        <v>45734</v>
      </c>
      <c r="I725" s="2">
        <v>45764</v>
      </c>
      <c r="J725" t="s">
        <v>20</v>
      </c>
      <c r="K725" s="21">
        <v>202</v>
      </c>
      <c r="L725" s="21">
        <v>202</v>
      </c>
      <c r="M725">
        <v>0</v>
      </c>
      <c r="N725" s="21">
        <v>0</v>
      </c>
    </row>
    <row r="726" spans="1:14">
      <c r="A726" t="str">
        <f>IFERROR(_xlfn.XLOOKUP(B726,Cuentas!$C$1:$C$521,Cuentas!$A$1:$A$521),"")</f>
        <v>Nicolas</v>
      </c>
      <c r="B726" t="s">
        <v>826</v>
      </c>
      <c r="C726" t="s">
        <v>827</v>
      </c>
      <c r="D726" t="s">
        <v>16</v>
      </c>
      <c r="E726" t="s">
        <v>5502</v>
      </c>
      <c r="F726" t="s">
        <v>828</v>
      </c>
      <c r="G726" t="s">
        <v>19</v>
      </c>
      <c r="I726" s="2">
        <v>45366</v>
      </c>
      <c r="J726" t="s">
        <v>20</v>
      </c>
      <c r="K726" s="21">
        <v>-297.89</v>
      </c>
      <c r="L726" s="21">
        <v>-297.89</v>
      </c>
      <c r="M726">
        <v>0</v>
      </c>
      <c r="N726" s="21">
        <v>-297.89</v>
      </c>
    </row>
    <row r="727" spans="1:14">
      <c r="A727" t="str">
        <f>IFERROR(_xlfn.XLOOKUP(B727,Cuentas!$C$1:$C$521,Cuentas!$A$1:$A$521),"")</f>
        <v>Nicolas</v>
      </c>
      <c r="B727" t="s">
        <v>826</v>
      </c>
      <c r="C727" t="s">
        <v>827</v>
      </c>
      <c r="D727" t="s">
        <v>16</v>
      </c>
      <c r="E727" t="s">
        <v>7</v>
      </c>
      <c r="F727" t="s">
        <v>829</v>
      </c>
      <c r="G727" t="s">
        <v>829</v>
      </c>
      <c r="H727" s="2">
        <v>45643</v>
      </c>
      <c r="I727" s="2">
        <v>45673</v>
      </c>
      <c r="J727" t="s">
        <v>20</v>
      </c>
      <c r="K727" s="21">
        <v>1137</v>
      </c>
      <c r="L727" s="21">
        <v>1137</v>
      </c>
      <c r="M727">
        <v>0</v>
      </c>
      <c r="N727" s="21">
        <v>1137</v>
      </c>
    </row>
    <row r="728" spans="1:14">
      <c r="A728" t="str">
        <f>IFERROR(_xlfn.XLOOKUP(B728,Cuentas!$C$1:$C$521,Cuentas!$A$1:$A$521),"")</f>
        <v>Nicolas</v>
      </c>
      <c r="B728" t="s">
        <v>826</v>
      </c>
      <c r="C728" t="s">
        <v>827</v>
      </c>
      <c r="D728" t="s">
        <v>16</v>
      </c>
      <c r="E728" t="s">
        <v>7</v>
      </c>
      <c r="F728" t="s">
        <v>830</v>
      </c>
      <c r="G728" t="s">
        <v>830</v>
      </c>
      <c r="H728" s="2">
        <v>45686</v>
      </c>
      <c r="I728" s="2">
        <v>45716</v>
      </c>
      <c r="J728" t="s">
        <v>20</v>
      </c>
      <c r="K728" s="21">
        <v>4059.78</v>
      </c>
      <c r="L728" s="21">
        <v>3812</v>
      </c>
      <c r="M728">
        <v>0</v>
      </c>
      <c r="N728" s="21">
        <v>3812</v>
      </c>
    </row>
    <row r="729" spans="1:14">
      <c r="A729" t="str">
        <f>IFERROR(_xlfn.XLOOKUP(B729,Cuentas!$C$1:$C$521,Cuentas!$A$1:$A$521),"")</f>
        <v>Nicolas</v>
      </c>
      <c r="B729" t="s">
        <v>826</v>
      </c>
      <c r="C729" t="s">
        <v>827</v>
      </c>
      <c r="D729" t="s">
        <v>16</v>
      </c>
      <c r="E729" t="s">
        <v>5502</v>
      </c>
      <c r="F729" t="s">
        <v>831</v>
      </c>
      <c r="G729" t="s">
        <v>830</v>
      </c>
      <c r="I729" s="2">
        <v>45688</v>
      </c>
      <c r="J729" t="s">
        <v>20</v>
      </c>
      <c r="K729" s="21">
        <v>-247.78</v>
      </c>
      <c r="L729" s="21" t="s">
        <v>86</v>
      </c>
      <c r="M729">
        <v>0</v>
      </c>
      <c r="N729" s="21" t="s">
        <v>86</v>
      </c>
    </row>
    <row r="730" spans="1:14">
      <c r="A730" t="str">
        <f>IFERROR(_xlfn.XLOOKUP(B730,Cuentas!$C$1:$C$521,Cuentas!$A$1:$A$521),"")</f>
        <v>Nicolas</v>
      </c>
      <c r="B730" t="s">
        <v>826</v>
      </c>
      <c r="C730" t="s">
        <v>827</v>
      </c>
      <c r="D730" t="s">
        <v>16</v>
      </c>
      <c r="E730" t="s">
        <v>7</v>
      </c>
      <c r="F730" t="s">
        <v>832</v>
      </c>
      <c r="G730" t="s">
        <v>832</v>
      </c>
      <c r="H730" s="2">
        <v>45687</v>
      </c>
      <c r="I730" s="2">
        <v>45717</v>
      </c>
      <c r="J730" t="s">
        <v>20</v>
      </c>
      <c r="K730" s="21">
        <v>4312</v>
      </c>
      <c r="L730" s="21">
        <v>4267</v>
      </c>
      <c r="M730">
        <v>10</v>
      </c>
      <c r="N730" s="21">
        <v>4267</v>
      </c>
    </row>
    <row r="731" spans="1:14">
      <c r="A731" t="str">
        <f>IFERROR(_xlfn.XLOOKUP(B731,Cuentas!$C$1:$C$521,Cuentas!$A$1:$A$521),"")</f>
        <v>Nicolas</v>
      </c>
      <c r="B731" t="s">
        <v>826</v>
      </c>
      <c r="C731" t="s">
        <v>827</v>
      </c>
      <c r="D731" t="s">
        <v>16</v>
      </c>
      <c r="E731" t="s">
        <v>5502</v>
      </c>
      <c r="F731" t="s">
        <v>833</v>
      </c>
      <c r="G731" t="s">
        <v>832</v>
      </c>
      <c r="I731" s="2">
        <v>45716</v>
      </c>
      <c r="J731" t="s">
        <v>20</v>
      </c>
      <c r="K731" s="21">
        <v>-45</v>
      </c>
      <c r="L731" s="21" t="s">
        <v>86</v>
      </c>
      <c r="M731">
        <v>0</v>
      </c>
      <c r="N731" s="21" t="s">
        <v>86</v>
      </c>
    </row>
    <row r="732" spans="1:14">
      <c r="A732" t="str">
        <f>IFERROR(_xlfn.XLOOKUP(B732,Cuentas!$C$1:$C$521,Cuentas!$A$1:$A$521),"")</f>
        <v>Nicolas</v>
      </c>
      <c r="B732" t="s">
        <v>826</v>
      </c>
      <c r="C732" t="s">
        <v>827</v>
      </c>
      <c r="D732" t="s">
        <v>16</v>
      </c>
      <c r="E732" t="s">
        <v>7</v>
      </c>
      <c r="F732" t="s">
        <v>834</v>
      </c>
      <c r="G732" t="s">
        <v>834</v>
      </c>
      <c r="H732" s="2">
        <v>45692</v>
      </c>
      <c r="I732" s="2">
        <v>45722</v>
      </c>
      <c r="J732" t="s">
        <v>20</v>
      </c>
      <c r="K732" s="21">
        <v>3361.94</v>
      </c>
      <c r="L732" s="21">
        <v>3142</v>
      </c>
      <c r="M732">
        <v>10</v>
      </c>
      <c r="N732" s="21">
        <v>3142</v>
      </c>
    </row>
    <row r="733" spans="1:14">
      <c r="A733" t="str">
        <f>IFERROR(_xlfn.XLOOKUP(B733,Cuentas!$C$1:$C$521,Cuentas!$A$1:$A$521),"")</f>
        <v>Nicolas</v>
      </c>
      <c r="B733" t="s">
        <v>826</v>
      </c>
      <c r="C733" t="s">
        <v>827</v>
      </c>
      <c r="D733" t="s">
        <v>16</v>
      </c>
      <c r="E733" t="s">
        <v>5502</v>
      </c>
      <c r="F733" t="s">
        <v>835</v>
      </c>
      <c r="G733" t="s">
        <v>834</v>
      </c>
      <c r="I733" s="2">
        <v>45716</v>
      </c>
      <c r="J733" t="s">
        <v>20</v>
      </c>
      <c r="K733" s="21">
        <v>-219.94</v>
      </c>
      <c r="L733" s="21" t="s">
        <v>86</v>
      </c>
      <c r="M733">
        <v>0</v>
      </c>
      <c r="N733" s="21" t="s">
        <v>86</v>
      </c>
    </row>
    <row r="734" spans="1:14">
      <c r="A734" t="str">
        <f>IFERROR(_xlfn.XLOOKUP(B734,Cuentas!$C$1:$C$521,Cuentas!$A$1:$A$521),"")</f>
        <v>Nicolas</v>
      </c>
      <c r="B734" t="s">
        <v>826</v>
      </c>
      <c r="C734" t="s">
        <v>827</v>
      </c>
      <c r="D734" t="s">
        <v>16</v>
      </c>
      <c r="E734" t="s">
        <v>7</v>
      </c>
      <c r="F734" t="s">
        <v>836</v>
      </c>
      <c r="G734" t="s">
        <v>836</v>
      </c>
      <c r="H734" s="2">
        <v>45714</v>
      </c>
      <c r="I734" s="2">
        <v>45744</v>
      </c>
      <c r="J734" t="s">
        <v>20</v>
      </c>
      <c r="K734" s="21">
        <v>750</v>
      </c>
      <c r="L734" s="21">
        <v>750</v>
      </c>
      <c r="M734">
        <v>13</v>
      </c>
      <c r="N734" s="21">
        <v>750</v>
      </c>
    </row>
    <row r="735" spans="1:14">
      <c r="A735" t="str">
        <f>IFERROR(_xlfn.XLOOKUP(B735,Cuentas!$C$1:$C$521,Cuentas!$A$1:$A$521),"")</f>
        <v>Nicolas</v>
      </c>
      <c r="B735" t="s">
        <v>837</v>
      </c>
      <c r="C735" t="s">
        <v>838</v>
      </c>
      <c r="D735" t="s">
        <v>16</v>
      </c>
      <c r="E735" t="s">
        <v>7</v>
      </c>
      <c r="F735" t="s">
        <v>839</v>
      </c>
      <c r="G735" t="s">
        <v>839</v>
      </c>
      <c r="H735" s="2">
        <v>45716</v>
      </c>
      <c r="I735" s="2">
        <v>45746</v>
      </c>
      <c r="J735" t="s">
        <v>20</v>
      </c>
      <c r="K735" s="21">
        <v>130.97</v>
      </c>
      <c r="L735" s="21">
        <v>130.97</v>
      </c>
      <c r="M735">
        <v>13</v>
      </c>
      <c r="N735" s="21">
        <v>130.97</v>
      </c>
    </row>
    <row r="736" spans="1:14">
      <c r="A736" t="str">
        <f>IFERROR(_xlfn.XLOOKUP(B736,Cuentas!$C$1:$C$521,Cuentas!$A$1:$A$521),"")</f>
        <v>Nicolas</v>
      </c>
      <c r="B736" t="s">
        <v>840</v>
      </c>
      <c r="C736" t="s">
        <v>841</v>
      </c>
      <c r="D736" t="s">
        <v>16</v>
      </c>
      <c r="E736" t="s">
        <v>5502</v>
      </c>
      <c r="F736" t="s">
        <v>842</v>
      </c>
      <c r="G736" t="s">
        <v>19</v>
      </c>
      <c r="I736" s="2">
        <v>45260</v>
      </c>
      <c r="J736" t="s">
        <v>20</v>
      </c>
      <c r="K736" s="21">
        <v>-781.38</v>
      </c>
      <c r="L736" s="21">
        <v>-781.38</v>
      </c>
      <c r="M736">
        <v>0</v>
      </c>
      <c r="N736" s="21">
        <v>-781.38</v>
      </c>
    </row>
    <row r="737" spans="1:14">
      <c r="A737" t="str">
        <f>IFERROR(_xlfn.XLOOKUP(B737,Cuentas!$C$1:$C$521,Cuentas!$A$1:$A$521),"")</f>
        <v>Nicolas</v>
      </c>
      <c r="B737" t="s">
        <v>840</v>
      </c>
      <c r="C737" t="s">
        <v>841</v>
      </c>
      <c r="D737" t="s">
        <v>16</v>
      </c>
      <c r="E737" t="s">
        <v>7</v>
      </c>
      <c r="F737" t="s">
        <v>843</v>
      </c>
      <c r="G737" t="s">
        <v>843</v>
      </c>
      <c r="H737" s="2">
        <v>45742</v>
      </c>
      <c r="I737" s="2">
        <v>45772</v>
      </c>
      <c r="J737" t="s">
        <v>20</v>
      </c>
      <c r="K737" s="21">
        <v>149.41999999999999</v>
      </c>
      <c r="L737" s="21">
        <v>149.41999999999999</v>
      </c>
      <c r="M737">
        <v>0</v>
      </c>
      <c r="N737" s="21">
        <v>0</v>
      </c>
    </row>
    <row r="738" spans="1:14">
      <c r="A738" t="str">
        <f>IFERROR(_xlfn.XLOOKUP(B738,Cuentas!$C$1:$C$521,Cuentas!$A$1:$A$521),"")</f>
        <v>Nicolas</v>
      </c>
      <c r="B738" t="s">
        <v>844</v>
      </c>
      <c r="C738" t="s">
        <v>845</v>
      </c>
      <c r="D738" t="s">
        <v>16</v>
      </c>
      <c r="E738" t="s">
        <v>7</v>
      </c>
      <c r="F738" t="s">
        <v>846</v>
      </c>
      <c r="G738" t="s">
        <v>846</v>
      </c>
      <c r="H738" s="2">
        <v>45674</v>
      </c>
      <c r="I738" s="2">
        <v>45704</v>
      </c>
      <c r="J738" t="s">
        <v>20</v>
      </c>
      <c r="K738" s="21">
        <v>1553.64</v>
      </c>
      <c r="L738" s="21">
        <v>1452</v>
      </c>
      <c r="M738">
        <v>0</v>
      </c>
      <c r="N738" s="21">
        <v>1452</v>
      </c>
    </row>
    <row r="739" spans="1:14">
      <c r="A739" t="str">
        <f>IFERROR(_xlfn.XLOOKUP(B739,Cuentas!$C$1:$C$521,Cuentas!$A$1:$A$521),"")</f>
        <v>Nicolas</v>
      </c>
      <c r="B739" t="s">
        <v>844</v>
      </c>
      <c r="C739" t="s">
        <v>845</v>
      </c>
      <c r="D739" t="s">
        <v>16</v>
      </c>
      <c r="E739" t="s">
        <v>5502</v>
      </c>
      <c r="F739" t="s">
        <v>847</v>
      </c>
      <c r="G739" t="s">
        <v>846</v>
      </c>
      <c r="I739" s="2">
        <v>45688</v>
      </c>
      <c r="J739" t="s">
        <v>20</v>
      </c>
      <c r="K739" s="21">
        <v>-101.64</v>
      </c>
      <c r="L739" s="21" t="s">
        <v>86</v>
      </c>
      <c r="M739">
        <v>0</v>
      </c>
      <c r="N739" s="21" t="s">
        <v>86</v>
      </c>
    </row>
    <row r="740" spans="1:14">
      <c r="A740" t="str">
        <f>IFERROR(_xlfn.XLOOKUP(B740,Cuentas!$C$1:$C$521,Cuentas!$A$1:$A$521),"")</f>
        <v>Nicolas</v>
      </c>
      <c r="B740" t="s">
        <v>844</v>
      </c>
      <c r="C740" t="s">
        <v>845</v>
      </c>
      <c r="D740" t="s">
        <v>16</v>
      </c>
      <c r="E740" t="s">
        <v>7</v>
      </c>
      <c r="F740" t="s">
        <v>848</v>
      </c>
      <c r="G740" t="s">
        <v>848</v>
      </c>
      <c r="H740" s="2">
        <v>45737</v>
      </c>
      <c r="I740" s="2">
        <v>45767</v>
      </c>
      <c r="J740" t="s">
        <v>20</v>
      </c>
      <c r="K740" s="21">
        <v>1210</v>
      </c>
      <c r="L740" s="21">
        <v>1210</v>
      </c>
      <c r="M740">
        <v>0</v>
      </c>
      <c r="N740" s="21">
        <v>0</v>
      </c>
    </row>
    <row r="741" spans="1:14">
      <c r="A741" t="str">
        <f>IFERROR(_xlfn.XLOOKUP(B741,Cuentas!$C$1:$C$521,Cuentas!$A$1:$A$521),"")</f>
        <v>Nicolas</v>
      </c>
      <c r="B741" t="s">
        <v>849</v>
      </c>
      <c r="C741" t="s">
        <v>850</v>
      </c>
      <c r="D741" t="s">
        <v>16</v>
      </c>
      <c r="E741" t="s">
        <v>7</v>
      </c>
      <c r="F741" t="s">
        <v>851</v>
      </c>
      <c r="G741" t="s">
        <v>851</v>
      </c>
      <c r="H741" s="2">
        <v>45714</v>
      </c>
      <c r="I741" s="2">
        <v>45744</v>
      </c>
      <c r="J741" t="s">
        <v>20</v>
      </c>
      <c r="K741" s="21">
        <v>190</v>
      </c>
      <c r="L741" s="21">
        <v>190</v>
      </c>
      <c r="M741">
        <v>13</v>
      </c>
      <c r="N741" s="21">
        <v>190</v>
      </c>
    </row>
    <row r="742" spans="1:14">
      <c r="A742" t="str">
        <f>IFERROR(_xlfn.XLOOKUP(B742,Cuentas!$C$1:$C$521,Cuentas!$A$1:$A$521),"")</f>
        <v>Nicolas</v>
      </c>
      <c r="B742" t="s">
        <v>849</v>
      </c>
      <c r="C742" t="s">
        <v>850</v>
      </c>
      <c r="D742" t="s">
        <v>16</v>
      </c>
      <c r="E742" t="s">
        <v>7</v>
      </c>
      <c r="F742" t="s">
        <v>852</v>
      </c>
      <c r="G742" t="s">
        <v>852</v>
      </c>
      <c r="H742" s="2">
        <v>45719</v>
      </c>
      <c r="I742" s="2">
        <v>45749</v>
      </c>
      <c r="J742" t="s">
        <v>20</v>
      </c>
      <c r="K742" s="21">
        <v>357.5</v>
      </c>
      <c r="L742" s="21">
        <v>357.5</v>
      </c>
      <c r="M742">
        <v>0</v>
      </c>
      <c r="N742" s="21">
        <v>0</v>
      </c>
    </row>
    <row r="743" spans="1:14">
      <c r="A743" t="str">
        <f>IFERROR(_xlfn.XLOOKUP(B743,Cuentas!$C$1:$C$521,Cuentas!$A$1:$A$521),"")</f>
        <v>Nicolas</v>
      </c>
      <c r="B743" t="s">
        <v>849</v>
      </c>
      <c r="C743" t="s">
        <v>850</v>
      </c>
      <c r="D743" t="s">
        <v>16</v>
      </c>
      <c r="E743" t="s">
        <v>7</v>
      </c>
      <c r="F743" t="s">
        <v>853</v>
      </c>
      <c r="G743" t="s">
        <v>853</v>
      </c>
      <c r="H743" s="2">
        <v>45734</v>
      </c>
      <c r="I743" s="2">
        <v>45764</v>
      </c>
      <c r="J743" t="s">
        <v>20</v>
      </c>
      <c r="K743" s="21">
        <v>2950</v>
      </c>
      <c r="L743" s="21">
        <v>2950</v>
      </c>
      <c r="M743">
        <v>0</v>
      </c>
      <c r="N743" s="21">
        <v>0</v>
      </c>
    </row>
    <row r="744" spans="1:14">
      <c r="A744" t="str">
        <f>IFERROR(_xlfn.XLOOKUP(B744,Cuentas!$C$1:$C$521,Cuentas!$A$1:$A$521),"")</f>
        <v>Nicolas</v>
      </c>
      <c r="B744" t="s">
        <v>854</v>
      </c>
      <c r="C744" t="s">
        <v>855</v>
      </c>
      <c r="D744" t="s">
        <v>16</v>
      </c>
      <c r="E744" t="s">
        <v>3139</v>
      </c>
      <c r="F744" t="s">
        <v>19</v>
      </c>
      <c r="G744" t="s">
        <v>19</v>
      </c>
      <c r="I744" s="2">
        <v>45068</v>
      </c>
      <c r="J744" t="s">
        <v>20</v>
      </c>
      <c r="K744" s="21">
        <v>-390</v>
      </c>
      <c r="L744" s="21">
        <v>-390</v>
      </c>
      <c r="M744">
        <v>0</v>
      </c>
      <c r="N744" s="21">
        <v>-390</v>
      </c>
    </row>
    <row r="745" spans="1:14">
      <c r="A745" t="str">
        <f>IFERROR(_xlfn.XLOOKUP(B745,Cuentas!$C$1:$C$521,Cuentas!$A$1:$A$521),"")</f>
        <v>Nicolas</v>
      </c>
      <c r="B745" t="s">
        <v>854</v>
      </c>
      <c r="C745" t="s">
        <v>855</v>
      </c>
      <c r="D745" t="s">
        <v>16</v>
      </c>
      <c r="E745" t="s">
        <v>3139</v>
      </c>
      <c r="F745" t="s">
        <v>19</v>
      </c>
      <c r="G745" t="s">
        <v>19</v>
      </c>
      <c r="I745" s="2">
        <v>45287</v>
      </c>
      <c r="J745" t="s">
        <v>20</v>
      </c>
      <c r="K745" s="21">
        <v>-340</v>
      </c>
      <c r="L745" s="21">
        <v>-340</v>
      </c>
      <c r="M745">
        <v>0</v>
      </c>
      <c r="N745" s="21">
        <v>-340</v>
      </c>
    </row>
    <row r="746" spans="1:14">
      <c r="A746" t="str">
        <f>IFERROR(_xlfn.XLOOKUP(B746,Cuentas!$C$1:$C$521,Cuentas!$A$1:$A$521),"")</f>
        <v>Yuldor</v>
      </c>
      <c r="B746" t="s">
        <v>856</v>
      </c>
      <c r="C746" t="s">
        <v>857</v>
      </c>
      <c r="D746" t="s">
        <v>213</v>
      </c>
      <c r="E746" t="s">
        <v>7</v>
      </c>
      <c r="F746" t="s">
        <v>858</v>
      </c>
      <c r="G746" t="s">
        <v>858</v>
      </c>
      <c r="H746" s="2">
        <v>45674</v>
      </c>
      <c r="I746" s="2">
        <v>45674</v>
      </c>
      <c r="J746" t="s">
        <v>20</v>
      </c>
      <c r="K746" s="21">
        <v>435.88</v>
      </c>
      <c r="L746" s="21">
        <v>435.88</v>
      </c>
      <c r="M746">
        <v>0</v>
      </c>
      <c r="N746" s="21">
        <v>435.88</v>
      </c>
    </row>
    <row r="747" spans="1:14">
      <c r="A747" t="str">
        <f>IFERROR(_xlfn.XLOOKUP(B747,Cuentas!$C$1:$C$521,Cuentas!$A$1:$A$521),"")</f>
        <v>Yuldor</v>
      </c>
      <c r="B747" t="s">
        <v>859</v>
      </c>
      <c r="C747" t="s">
        <v>860</v>
      </c>
      <c r="D747" t="s">
        <v>16</v>
      </c>
      <c r="E747" t="s">
        <v>3139</v>
      </c>
      <c r="F747" t="s">
        <v>19</v>
      </c>
      <c r="G747" t="s">
        <v>19</v>
      </c>
      <c r="I747" s="2">
        <v>45632</v>
      </c>
      <c r="J747" t="s">
        <v>20</v>
      </c>
      <c r="K747" s="21">
        <v>-44.1</v>
      </c>
      <c r="L747" s="21">
        <v>-44.1</v>
      </c>
      <c r="M747">
        <v>0</v>
      </c>
      <c r="N747" s="21">
        <v>-44.1</v>
      </c>
    </row>
    <row r="748" spans="1:14">
      <c r="A748" t="str">
        <f>IFERROR(_xlfn.XLOOKUP(B748,Cuentas!$C$1:$C$521,Cuentas!$A$1:$A$521),"")</f>
        <v>Yuldor</v>
      </c>
      <c r="B748" t="s">
        <v>859</v>
      </c>
      <c r="C748" t="s">
        <v>860</v>
      </c>
      <c r="D748" t="s">
        <v>16</v>
      </c>
      <c r="E748" t="s">
        <v>3139</v>
      </c>
      <c r="F748" t="s">
        <v>19</v>
      </c>
      <c r="G748" t="s">
        <v>19</v>
      </c>
      <c r="I748" s="2">
        <v>45698</v>
      </c>
      <c r="J748" t="s">
        <v>20</v>
      </c>
      <c r="K748" s="21">
        <v>-74.2</v>
      </c>
      <c r="L748" s="21">
        <v>-74.2</v>
      </c>
      <c r="M748">
        <v>0</v>
      </c>
      <c r="N748" s="21">
        <v>-74.2</v>
      </c>
    </row>
    <row r="749" spans="1:14">
      <c r="A749" t="str">
        <f>IFERROR(_xlfn.XLOOKUP(B749,Cuentas!$C$1:$C$521,Cuentas!$A$1:$A$521),"")</f>
        <v>Yuldor</v>
      </c>
      <c r="B749" t="s">
        <v>859</v>
      </c>
      <c r="C749" t="s">
        <v>860</v>
      </c>
      <c r="D749" t="s">
        <v>16</v>
      </c>
      <c r="E749" t="s">
        <v>7</v>
      </c>
      <c r="F749" t="s">
        <v>861</v>
      </c>
      <c r="G749" t="s">
        <v>861</v>
      </c>
      <c r="H749" s="2">
        <v>45706</v>
      </c>
      <c r="I749" s="2">
        <v>45736</v>
      </c>
      <c r="J749" t="s">
        <v>20</v>
      </c>
      <c r="K749" s="21">
        <v>873</v>
      </c>
      <c r="L749" s="21">
        <v>873</v>
      </c>
      <c r="M749">
        <v>12</v>
      </c>
      <c r="N749" s="21">
        <v>873</v>
      </c>
    </row>
    <row r="750" spans="1:14">
      <c r="A750" t="str">
        <f>IFERROR(_xlfn.XLOOKUP(B750,Cuentas!$C$1:$C$521,Cuentas!$A$1:$A$521),"")</f>
        <v>Yuldor</v>
      </c>
      <c r="B750" t="s">
        <v>859</v>
      </c>
      <c r="C750" t="s">
        <v>860</v>
      </c>
      <c r="D750" t="s">
        <v>16</v>
      </c>
      <c r="E750" t="s">
        <v>7</v>
      </c>
      <c r="F750" t="s">
        <v>862</v>
      </c>
      <c r="G750" t="s">
        <v>862</v>
      </c>
      <c r="H750" s="2">
        <v>45706</v>
      </c>
      <c r="I750" s="2">
        <v>45736</v>
      </c>
      <c r="J750" t="s">
        <v>20</v>
      </c>
      <c r="K750" s="21">
        <v>338</v>
      </c>
      <c r="L750" s="21">
        <v>338</v>
      </c>
      <c r="M750">
        <v>12</v>
      </c>
      <c r="N750" s="21">
        <v>338</v>
      </c>
    </row>
    <row r="751" spans="1:14">
      <c r="A751" t="str">
        <f>IFERROR(_xlfn.XLOOKUP(B751,Cuentas!$C$1:$C$521,Cuentas!$A$1:$A$521),"")</f>
        <v>Yuldor</v>
      </c>
      <c r="B751" t="s">
        <v>859</v>
      </c>
      <c r="C751" t="s">
        <v>860</v>
      </c>
      <c r="D751" t="s">
        <v>16</v>
      </c>
      <c r="E751" t="s">
        <v>7</v>
      </c>
      <c r="F751" t="s">
        <v>863</v>
      </c>
      <c r="G751" t="s">
        <v>863</v>
      </c>
      <c r="H751" s="2">
        <v>45708</v>
      </c>
      <c r="I751" s="2">
        <v>45738</v>
      </c>
      <c r="J751" t="s">
        <v>20</v>
      </c>
      <c r="K751" s="21">
        <v>806.4</v>
      </c>
      <c r="L751" s="21">
        <v>806.4</v>
      </c>
      <c r="M751">
        <v>12</v>
      </c>
      <c r="N751" s="21">
        <v>806.4</v>
      </c>
    </row>
    <row r="752" spans="1:14">
      <c r="A752" t="str">
        <f>IFERROR(_xlfn.XLOOKUP(B752,Cuentas!$C$1:$C$521,Cuentas!$A$1:$A$521),"")</f>
        <v>Yuldor</v>
      </c>
      <c r="B752" t="s">
        <v>859</v>
      </c>
      <c r="C752" t="s">
        <v>860</v>
      </c>
      <c r="D752" t="s">
        <v>16</v>
      </c>
      <c r="E752" t="s">
        <v>7</v>
      </c>
      <c r="F752" t="s">
        <v>864</v>
      </c>
      <c r="G752" t="s">
        <v>864</v>
      </c>
      <c r="H752" s="2">
        <v>45708</v>
      </c>
      <c r="I752" s="2">
        <v>45738</v>
      </c>
      <c r="J752" t="s">
        <v>20</v>
      </c>
      <c r="K752" s="21">
        <v>552.96</v>
      </c>
      <c r="L752" s="21">
        <v>552.96</v>
      </c>
      <c r="M752">
        <v>12</v>
      </c>
      <c r="N752" s="21">
        <v>552.96</v>
      </c>
    </row>
    <row r="753" spans="1:14">
      <c r="A753" t="str">
        <f>IFERROR(_xlfn.XLOOKUP(B753,Cuentas!$C$1:$C$521,Cuentas!$A$1:$A$521),"")</f>
        <v>Yuldor</v>
      </c>
      <c r="B753" t="s">
        <v>859</v>
      </c>
      <c r="C753" t="s">
        <v>860</v>
      </c>
      <c r="D753" t="s">
        <v>16</v>
      </c>
      <c r="E753" t="s">
        <v>7</v>
      </c>
      <c r="F753" t="s">
        <v>865</v>
      </c>
      <c r="G753" t="s">
        <v>865</v>
      </c>
      <c r="H753" s="2">
        <v>45712</v>
      </c>
      <c r="I753" s="2">
        <v>45742</v>
      </c>
      <c r="J753" t="s">
        <v>20</v>
      </c>
      <c r="K753" s="21">
        <v>16686</v>
      </c>
      <c r="L753" s="21">
        <v>16686</v>
      </c>
      <c r="M753">
        <v>13</v>
      </c>
      <c r="N753" s="21">
        <v>16686</v>
      </c>
    </row>
    <row r="754" spans="1:14">
      <c r="A754" t="str">
        <f>IFERROR(_xlfn.XLOOKUP(B754,Cuentas!$C$1:$C$521,Cuentas!$A$1:$A$521),"")</f>
        <v>Yuldor</v>
      </c>
      <c r="B754" t="s">
        <v>859</v>
      </c>
      <c r="C754" t="s">
        <v>860</v>
      </c>
      <c r="D754" t="s">
        <v>16</v>
      </c>
      <c r="E754" t="s">
        <v>7</v>
      </c>
      <c r="F754" t="s">
        <v>866</v>
      </c>
      <c r="G754" t="s">
        <v>866</v>
      </c>
      <c r="H754" s="2">
        <v>45714</v>
      </c>
      <c r="I754" s="2">
        <v>45744</v>
      </c>
      <c r="J754" t="s">
        <v>20</v>
      </c>
      <c r="K754" s="21">
        <v>645.6</v>
      </c>
      <c r="L754" s="21">
        <v>645.6</v>
      </c>
      <c r="M754">
        <v>13</v>
      </c>
      <c r="N754" s="21">
        <v>645.6</v>
      </c>
    </row>
    <row r="755" spans="1:14">
      <c r="A755" t="str">
        <f>IFERROR(_xlfn.XLOOKUP(B755,Cuentas!$C$1:$C$521,Cuentas!$A$1:$A$521),"")</f>
        <v>Yuldor</v>
      </c>
      <c r="B755" t="s">
        <v>859</v>
      </c>
      <c r="C755" t="s">
        <v>860</v>
      </c>
      <c r="D755" t="s">
        <v>16</v>
      </c>
      <c r="E755" t="s">
        <v>7</v>
      </c>
      <c r="F755" t="s">
        <v>867</v>
      </c>
      <c r="G755" t="s">
        <v>867</v>
      </c>
      <c r="H755" s="2">
        <v>45714</v>
      </c>
      <c r="I755" s="2">
        <v>45744</v>
      </c>
      <c r="J755" t="s">
        <v>20</v>
      </c>
      <c r="K755" s="21">
        <v>378</v>
      </c>
      <c r="L755" s="21">
        <v>378</v>
      </c>
      <c r="M755">
        <v>13</v>
      </c>
      <c r="N755" s="21">
        <v>378</v>
      </c>
    </row>
    <row r="756" spans="1:14">
      <c r="A756" t="str">
        <f>IFERROR(_xlfn.XLOOKUP(B756,Cuentas!$C$1:$C$521,Cuentas!$A$1:$A$521),"")</f>
        <v>Yuldor</v>
      </c>
      <c r="B756" t="s">
        <v>859</v>
      </c>
      <c r="C756" t="s">
        <v>860</v>
      </c>
      <c r="D756" t="s">
        <v>16</v>
      </c>
      <c r="E756" t="s">
        <v>7</v>
      </c>
      <c r="F756" t="s">
        <v>868</v>
      </c>
      <c r="G756" t="s">
        <v>868</v>
      </c>
      <c r="H756" s="2">
        <v>45714</v>
      </c>
      <c r="I756" s="2">
        <v>45744</v>
      </c>
      <c r="J756" t="s">
        <v>20</v>
      </c>
      <c r="K756" s="21">
        <v>576</v>
      </c>
      <c r="L756" s="21">
        <v>576</v>
      </c>
      <c r="M756">
        <v>13</v>
      </c>
      <c r="N756" s="21">
        <v>576</v>
      </c>
    </row>
    <row r="757" spans="1:14">
      <c r="A757" t="str">
        <f>IFERROR(_xlfn.XLOOKUP(B757,Cuentas!$C$1:$C$521,Cuentas!$A$1:$A$521),"")</f>
        <v>Yuldor</v>
      </c>
      <c r="B757" t="s">
        <v>859</v>
      </c>
      <c r="C757" t="s">
        <v>860</v>
      </c>
      <c r="D757" t="s">
        <v>16</v>
      </c>
      <c r="E757" t="s">
        <v>7</v>
      </c>
      <c r="F757" t="s">
        <v>869</v>
      </c>
      <c r="G757" t="s">
        <v>869</v>
      </c>
      <c r="H757" s="2">
        <v>45714</v>
      </c>
      <c r="I757" s="2">
        <v>45744</v>
      </c>
      <c r="J757" t="s">
        <v>20</v>
      </c>
      <c r="K757" s="21">
        <v>180</v>
      </c>
      <c r="L757" s="21">
        <v>180</v>
      </c>
      <c r="M757">
        <v>13</v>
      </c>
      <c r="N757" s="21">
        <v>180</v>
      </c>
    </row>
    <row r="758" spans="1:14">
      <c r="A758" t="str">
        <f>IFERROR(_xlfn.XLOOKUP(B758,Cuentas!$C$1:$C$521,Cuentas!$A$1:$A$521),"")</f>
        <v>Yuldor</v>
      </c>
      <c r="B758" t="s">
        <v>859</v>
      </c>
      <c r="C758" t="s">
        <v>860</v>
      </c>
      <c r="D758" t="s">
        <v>16</v>
      </c>
      <c r="E758" t="s">
        <v>7</v>
      </c>
      <c r="F758" t="s">
        <v>870</v>
      </c>
      <c r="G758" t="s">
        <v>870</v>
      </c>
      <c r="H758" s="2">
        <v>45714</v>
      </c>
      <c r="I758" s="2">
        <v>45744</v>
      </c>
      <c r="J758" t="s">
        <v>20</v>
      </c>
      <c r="K758" s="21">
        <v>576</v>
      </c>
      <c r="L758" s="21">
        <v>576</v>
      </c>
      <c r="M758">
        <v>13</v>
      </c>
      <c r="N758" s="21">
        <v>576</v>
      </c>
    </row>
    <row r="759" spans="1:14">
      <c r="A759" t="str">
        <f>IFERROR(_xlfn.XLOOKUP(B759,Cuentas!$C$1:$C$521,Cuentas!$A$1:$A$521),"")</f>
        <v>Yuldor</v>
      </c>
      <c r="B759" t="s">
        <v>859</v>
      </c>
      <c r="C759" t="s">
        <v>860</v>
      </c>
      <c r="D759" t="s">
        <v>16</v>
      </c>
      <c r="E759" t="s">
        <v>7</v>
      </c>
      <c r="F759" t="s">
        <v>871</v>
      </c>
      <c r="G759" t="s">
        <v>871</v>
      </c>
      <c r="H759" s="2">
        <v>45715</v>
      </c>
      <c r="I759" s="2">
        <v>45745</v>
      </c>
      <c r="J759" t="s">
        <v>20</v>
      </c>
      <c r="K759" s="21">
        <v>660</v>
      </c>
      <c r="L759" s="21">
        <v>660</v>
      </c>
      <c r="M759">
        <v>13</v>
      </c>
      <c r="N759" s="21">
        <v>660</v>
      </c>
    </row>
    <row r="760" spans="1:14">
      <c r="A760" t="str">
        <f>IFERROR(_xlfn.XLOOKUP(B760,Cuentas!$C$1:$C$521,Cuentas!$A$1:$A$521),"")</f>
        <v>Yuldor</v>
      </c>
      <c r="B760" t="s">
        <v>859</v>
      </c>
      <c r="C760" t="s">
        <v>860</v>
      </c>
      <c r="D760" t="s">
        <v>16</v>
      </c>
      <c r="E760" t="s">
        <v>7</v>
      </c>
      <c r="F760" t="s">
        <v>872</v>
      </c>
      <c r="G760" t="s">
        <v>872</v>
      </c>
      <c r="H760" s="2">
        <v>45716</v>
      </c>
      <c r="I760" s="2">
        <v>45746</v>
      </c>
      <c r="J760" t="s">
        <v>20</v>
      </c>
      <c r="K760" s="21">
        <v>636</v>
      </c>
      <c r="L760" s="21">
        <v>636</v>
      </c>
      <c r="M760">
        <v>13</v>
      </c>
      <c r="N760" s="21">
        <v>636</v>
      </c>
    </row>
    <row r="761" spans="1:14">
      <c r="A761" t="str">
        <f>IFERROR(_xlfn.XLOOKUP(B761,Cuentas!$C$1:$C$521,Cuentas!$A$1:$A$521),"")</f>
        <v>Yuldor</v>
      </c>
      <c r="B761" t="s">
        <v>859</v>
      </c>
      <c r="C761" t="s">
        <v>860</v>
      </c>
      <c r="D761" t="s">
        <v>16</v>
      </c>
      <c r="E761" t="s">
        <v>7</v>
      </c>
      <c r="F761" t="s">
        <v>873</v>
      </c>
      <c r="G761" t="s">
        <v>873</v>
      </c>
      <c r="H761" s="2">
        <v>45716</v>
      </c>
      <c r="I761" s="2">
        <v>45746</v>
      </c>
      <c r="J761" t="s">
        <v>20</v>
      </c>
      <c r="K761" s="21">
        <v>318</v>
      </c>
      <c r="L761" s="21">
        <v>318</v>
      </c>
      <c r="M761">
        <v>13</v>
      </c>
      <c r="N761" s="21">
        <v>318</v>
      </c>
    </row>
    <row r="762" spans="1:14">
      <c r="A762" t="str">
        <f>IFERROR(_xlfn.XLOOKUP(B762,Cuentas!$C$1:$C$521,Cuentas!$A$1:$A$521),"")</f>
        <v>Yuldor</v>
      </c>
      <c r="B762" t="s">
        <v>859</v>
      </c>
      <c r="C762" t="s">
        <v>860</v>
      </c>
      <c r="D762" t="s">
        <v>16</v>
      </c>
      <c r="E762" t="s">
        <v>7</v>
      </c>
      <c r="F762" t="s">
        <v>874</v>
      </c>
      <c r="G762" t="s">
        <v>874</v>
      </c>
      <c r="H762" s="2">
        <v>45716</v>
      </c>
      <c r="I762" s="2">
        <v>45746</v>
      </c>
      <c r="J762" t="s">
        <v>20</v>
      </c>
      <c r="K762" s="21">
        <v>252</v>
      </c>
      <c r="L762" s="21">
        <v>252</v>
      </c>
      <c r="M762">
        <v>13</v>
      </c>
      <c r="N762" s="21">
        <v>252</v>
      </c>
    </row>
    <row r="763" spans="1:14">
      <c r="A763" t="str">
        <f>IFERROR(_xlfn.XLOOKUP(B763,Cuentas!$C$1:$C$521,Cuentas!$A$1:$A$521),"")</f>
        <v>Yuldor</v>
      </c>
      <c r="B763" t="s">
        <v>859</v>
      </c>
      <c r="C763" t="s">
        <v>860</v>
      </c>
      <c r="D763" t="s">
        <v>16</v>
      </c>
      <c r="E763" t="s">
        <v>7</v>
      </c>
      <c r="F763" t="s">
        <v>875</v>
      </c>
      <c r="G763" t="s">
        <v>875</v>
      </c>
      <c r="H763" s="2">
        <v>45721</v>
      </c>
      <c r="I763" s="2">
        <v>45751</v>
      </c>
      <c r="J763" t="s">
        <v>20</v>
      </c>
      <c r="K763" s="21">
        <v>215.04</v>
      </c>
      <c r="L763" s="21">
        <v>215.04</v>
      </c>
      <c r="M763">
        <v>0</v>
      </c>
      <c r="N763" s="21">
        <v>0</v>
      </c>
    </row>
    <row r="764" spans="1:14">
      <c r="A764" t="str">
        <f>IFERROR(_xlfn.XLOOKUP(B764,Cuentas!$C$1:$C$521,Cuentas!$A$1:$A$521),"")</f>
        <v>Yuldor</v>
      </c>
      <c r="B764" t="s">
        <v>859</v>
      </c>
      <c r="C764" t="s">
        <v>860</v>
      </c>
      <c r="D764" t="s">
        <v>16</v>
      </c>
      <c r="E764" t="s">
        <v>7</v>
      </c>
      <c r="F764" t="s">
        <v>876</v>
      </c>
      <c r="G764" t="s">
        <v>876</v>
      </c>
      <c r="H764" s="2">
        <v>45723</v>
      </c>
      <c r="I764" s="2">
        <v>45753</v>
      </c>
      <c r="J764" t="s">
        <v>20</v>
      </c>
      <c r="K764" s="21">
        <v>595.20000000000005</v>
      </c>
      <c r="L764" s="21">
        <v>595.20000000000005</v>
      </c>
      <c r="M764">
        <v>0</v>
      </c>
      <c r="N764" s="21">
        <v>0</v>
      </c>
    </row>
    <row r="765" spans="1:14">
      <c r="A765" t="str">
        <f>IFERROR(_xlfn.XLOOKUP(B765,Cuentas!$C$1:$C$521,Cuentas!$A$1:$A$521),"")</f>
        <v>Yuldor</v>
      </c>
      <c r="B765" t="s">
        <v>859</v>
      </c>
      <c r="C765" t="s">
        <v>860</v>
      </c>
      <c r="D765" t="s">
        <v>16</v>
      </c>
      <c r="E765" t="s">
        <v>7</v>
      </c>
      <c r="F765" t="s">
        <v>877</v>
      </c>
      <c r="G765" t="s">
        <v>877</v>
      </c>
      <c r="H765" s="2">
        <v>45723</v>
      </c>
      <c r="I765" s="2">
        <v>45753</v>
      </c>
      <c r="J765" t="s">
        <v>20</v>
      </c>
      <c r="K765" s="21">
        <v>424</v>
      </c>
      <c r="L765" s="21">
        <v>424</v>
      </c>
      <c r="M765">
        <v>0</v>
      </c>
      <c r="N765" s="21">
        <v>0</v>
      </c>
    </row>
    <row r="766" spans="1:14">
      <c r="A766" t="str">
        <f>IFERROR(_xlfn.XLOOKUP(B766,Cuentas!$C$1:$C$521,Cuentas!$A$1:$A$521),"")</f>
        <v>Yuldor</v>
      </c>
      <c r="B766" t="s">
        <v>859</v>
      </c>
      <c r="C766" t="s">
        <v>860</v>
      </c>
      <c r="D766" t="s">
        <v>16</v>
      </c>
      <c r="E766" t="s">
        <v>7</v>
      </c>
      <c r="F766" t="s">
        <v>878</v>
      </c>
      <c r="G766" t="s">
        <v>878</v>
      </c>
      <c r="H766" s="2">
        <v>45723</v>
      </c>
      <c r="I766" s="2">
        <v>45753</v>
      </c>
      <c r="J766" t="s">
        <v>20</v>
      </c>
      <c r="K766" s="21">
        <v>440</v>
      </c>
      <c r="L766" s="21">
        <v>440</v>
      </c>
      <c r="M766">
        <v>0</v>
      </c>
      <c r="N766" s="21">
        <v>0</v>
      </c>
    </row>
    <row r="767" spans="1:14">
      <c r="A767" t="str">
        <f>IFERROR(_xlfn.XLOOKUP(B767,Cuentas!$C$1:$C$521,Cuentas!$A$1:$A$521),"")</f>
        <v>Yuldor</v>
      </c>
      <c r="B767" t="s">
        <v>859</v>
      </c>
      <c r="C767" t="s">
        <v>860</v>
      </c>
      <c r="D767" t="s">
        <v>16</v>
      </c>
      <c r="E767" t="s">
        <v>7</v>
      </c>
      <c r="F767" t="s">
        <v>879</v>
      </c>
      <c r="G767" t="s">
        <v>879</v>
      </c>
      <c r="H767" s="2">
        <v>45727</v>
      </c>
      <c r="I767" s="2">
        <v>45757</v>
      </c>
      <c r="J767" t="s">
        <v>20</v>
      </c>
      <c r="K767" s="21">
        <v>212</v>
      </c>
      <c r="L767" s="21">
        <v>212</v>
      </c>
      <c r="M767">
        <v>0</v>
      </c>
      <c r="N767" s="21">
        <v>0</v>
      </c>
    </row>
    <row r="768" spans="1:14">
      <c r="A768" t="str">
        <f>IFERROR(_xlfn.XLOOKUP(B768,Cuentas!$C$1:$C$521,Cuentas!$A$1:$A$521),"")</f>
        <v>Yuldor</v>
      </c>
      <c r="B768" t="s">
        <v>859</v>
      </c>
      <c r="C768" t="s">
        <v>860</v>
      </c>
      <c r="D768" t="s">
        <v>16</v>
      </c>
      <c r="E768" t="s">
        <v>7</v>
      </c>
      <c r="F768" t="s">
        <v>880</v>
      </c>
      <c r="G768" t="s">
        <v>880</v>
      </c>
      <c r="H768" s="2">
        <v>45727</v>
      </c>
      <c r="I768" s="2">
        <v>45757</v>
      </c>
      <c r="J768" t="s">
        <v>20</v>
      </c>
      <c r="K768" s="21">
        <v>636</v>
      </c>
      <c r="L768" s="21">
        <v>636</v>
      </c>
      <c r="M768">
        <v>0</v>
      </c>
      <c r="N768" s="21">
        <v>0</v>
      </c>
    </row>
    <row r="769" spans="1:14">
      <c r="A769" t="str">
        <f>IFERROR(_xlfn.XLOOKUP(B769,Cuentas!$C$1:$C$521,Cuentas!$A$1:$A$521),"")</f>
        <v>Yuldor</v>
      </c>
      <c r="B769" t="s">
        <v>859</v>
      </c>
      <c r="C769" t="s">
        <v>860</v>
      </c>
      <c r="D769" t="s">
        <v>16</v>
      </c>
      <c r="E769" t="s">
        <v>7</v>
      </c>
      <c r="F769" t="s">
        <v>881</v>
      </c>
      <c r="G769" t="s">
        <v>881</v>
      </c>
      <c r="H769" s="2">
        <v>45728</v>
      </c>
      <c r="I769" s="2">
        <v>45758</v>
      </c>
      <c r="J769" t="s">
        <v>20</v>
      </c>
      <c r="K769" s="21">
        <v>1560.24</v>
      </c>
      <c r="L769" s="21">
        <v>1560.24</v>
      </c>
      <c r="M769">
        <v>0</v>
      </c>
      <c r="N769" s="21">
        <v>0</v>
      </c>
    </row>
    <row r="770" spans="1:14">
      <c r="A770" t="str">
        <f>IFERROR(_xlfn.XLOOKUP(B770,Cuentas!$C$1:$C$521,Cuentas!$A$1:$A$521),"")</f>
        <v>Yuldor</v>
      </c>
      <c r="B770" t="s">
        <v>859</v>
      </c>
      <c r="C770" t="s">
        <v>860</v>
      </c>
      <c r="D770" t="s">
        <v>16</v>
      </c>
      <c r="E770" t="s">
        <v>7</v>
      </c>
      <c r="F770" t="s">
        <v>882</v>
      </c>
      <c r="G770" t="s">
        <v>882</v>
      </c>
      <c r="H770" s="2">
        <v>45729</v>
      </c>
      <c r="I770" s="2">
        <v>45759</v>
      </c>
      <c r="J770" t="s">
        <v>20</v>
      </c>
      <c r="K770" s="21">
        <v>504</v>
      </c>
      <c r="L770" s="21">
        <v>504</v>
      </c>
      <c r="M770">
        <v>0</v>
      </c>
      <c r="N770" s="21">
        <v>0</v>
      </c>
    </row>
    <row r="771" spans="1:14">
      <c r="A771" t="str">
        <f>IFERROR(_xlfn.XLOOKUP(B771,Cuentas!$C$1:$C$521,Cuentas!$A$1:$A$521),"")</f>
        <v>Yuldor</v>
      </c>
      <c r="B771" t="s">
        <v>859</v>
      </c>
      <c r="C771" t="s">
        <v>860</v>
      </c>
      <c r="D771" t="s">
        <v>16</v>
      </c>
      <c r="E771" t="s">
        <v>7</v>
      </c>
      <c r="F771" t="s">
        <v>883</v>
      </c>
      <c r="G771" t="s">
        <v>883</v>
      </c>
      <c r="H771" s="2">
        <v>45733</v>
      </c>
      <c r="I771" s="2">
        <v>45763</v>
      </c>
      <c r="J771" t="s">
        <v>20</v>
      </c>
      <c r="K771" s="21">
        <v>636</v>
      </c>
      <c r="L771" s="21">
        <v>636</v>
      </c>
      <c r="M771">
        <v>0</v>
      </c>
      <c r="N771" s="21">
        <v>0</v>
      </c>
    </row>
    <row r="772" spans="1:14">
      <c r="A772" t="str">
        <f>IFERROR(_xlfn.XLOOKUP(B772,Cuentas!$C$1:$C$521,Cuentas!$A$1:$A$521),"")</f>
        <v>Yuldor</v>
      </c>
      <c r="B772" t="s">
        <v>859</v>
      </c>
      <c r="C772" t="s">
        <v>860</v>
      </c>
      <c r="D772" t="s">
        <v>16</v>
      </c>
      <c r="E772" t="s">
        <v>7</v>
      </c>
      <c r="F772" t="s">
        <v>884</v>
      </c>
      <c r="G772" t="s">
        <v>884</v>
      </c>
      <c r="H772" s="2">
        <v>45733</v>
      </c>
      <c r="I772" s="2">
        <v>45763</v>
      </c>
      <c r="J772" t="s">
        <v>20</v>
      </c>
      <c r="K772" s="21">
        <v>1106.17</v>
      </c>
      <c r="L772" s="21">
        <v>1106.17</v>
      </c>
      <c r="M772">
        <v>0</v>
      </c>
      <c r="N772" s="21">
        <v>0</v>
      </c>
    </row>
    <row r="773" spans="1:14">
      <c r="A773" t="str">
        <f>IFERROR(_xlfn.XLOOKUP(B773,Cuentas!$C$1:$C$521,Cuentas!$A$1:$A$521),"")</f>
        <v>Yuldor</v>
      </c>
      <c r="B773" t="s">
        <v>859</v>
      </c>
      <c r="C773" t="s">
        <v>860</v>
      </c>
      <c r="D773" t="s">
        <v>16</v>
      </c>
      <c r="E773" t="s">
        <v>7</v>
      </c>
      <c r="F773" t="s">
        <v>885</v>
      </c>
      <c r="G773" t="s">
        <v>885</v>
      </c>
      <c r="H773" s="2">
        <v>45733</v>
      </c>
      <c r="I773" s="2">
        <v>45763</v>
      </c>
      <c r="J773" t="s">
        <v>20</v>
      </c>
      <c r="K773" s="21">
        <v>424</v>
      </c>
      <c r="L773" s="21">
        <v>424</v>
      </c>
      <c r="M773">
        <v>0</v>
      </c>
      <c r="N773" s="21">
        <v>0</v>
      </c>
    </row>
    <row r="774" spans="1:14">
      <c r="A774" t="str">
        <f>IFERROR(_xlfn.XLOOKUP(B774,Cuentas!$C$1:$C$521,Cuentas!$A$1:$A$521),"")</f>
        <v>Yuldor</v>
      </c>
      <c r="B774" t="s">
        <v>859</v>
      </c>
      <c r="C774" t="s">
        <v>860</v>
      </c>
      <c r="D774" t="s">
        <v>16</v>
      </c>
      <c r="E774" t="s">
        <v>7</v>
      </c>
      <c r="F774" t="s">
        <v>886</v>
      </c>
      <c r="G774" t="s">
        <v>886</v>
      </c>
      <c r="H774" s="2">
        <v>45734</v>
      </c>
      <c r="I774" s="2">
        <v>45764</v>
      </c>
      <c r="J774" t="s">
        <v>20</v>
      </c>
      <c r="K774" s="21">
        <v>590.4</v>
      </c>
      <c r="L774" s="21">
        <v>590.4</v>
      </c>
      <c r="M774">
        <v>0</v>
      </c>
      <c r="N774" s="21">
        <v>0</v>
      </c>
    </row>
    <row r="775" spans="1:14">
      <c r="A775" t="str">
        <f>IFERROR(_xlfn.XLOOKUP(B775,Cuentas!$C$1:$C$521,Cuentas!$A$1:$A$521),"")</f>
        <v>Yuldor</v>
      </c>
      <c r="B775" t="s">
        <v>859</v>
      </c>
      <c r="C775" t="s">
        <v>860</v>
      </c>
      <c r="D775" t="s">
        <v>16</v>
      </c>
      <c r="E775" t="s">
        <v>7</v>
      </c>
      <c r="F775" t="s">
        <v>887</v>
      </c>
      <c r="G775" t="s">
        <v>887</v>
      </c>
      <c r="H775" s="2">
        <v>45735</v>
      </c>
      <c r="I775" s="2">
        <v>45765</v>
      </c>
      <c r="J775" t="s">
        <v>20</v>
      </c>
      <c r="K775" s="21">
        <v>720</v>
      </c>
      <c r="L775" s="21">
        <v>720</v>
      </c>
      <c r="M775">
        <v>0</v>
      </c>
      <c r="N775" s="21">
        <v>0</v>
      </c>
    </row>
    <row r="776" spans="1:14">
      <c r="A776" t="str">
        <f>IFERROR(_xlfn.XLOOKUP(B776,Cuentas!$C$1:$C$521,Cuentas!$A$1:$A$521),"")</f>
        <v>Yuldor</v>
      </c>
      <c r="B776" t="s">
        <v>859</v>
      </c>
      <c r="C776" t="s">
        <v>860</v>
      </c>
      <c r="D776" t="s">
        <v>16</v>
      </c>
      <c r="E776" t="s">
        <v>7</v>
      </c>
      <c r="F776" t="s">
        <v>888</v>
      </c>
      <c r="G776" t="s">
        <v>888</v>
      </c>
      <c r="H776" s="2">
        <v>45735</v>
      </c>
      <c r="I776" s="2">
        <v>45765</v>
      </c>
      <c r="J776" t="s">
        <v>20</v>
      </c>
      <c r="K776" s="21">
        <v>216</v>
      </c>
      <c r="L776" s="21">
        <v>216</v>
      </c>
      <c r="M776">
        <v>0</v>
      </c>
      <c r="N776" s="21">
        <v>0</v>
      </c>
    </row>
    <row r="777" spans="1:14">
      <c r="A777" t="str">
        <f>IFERROR(_xlfn.XLOOKUP(B777,Cuentas!$C$1:$C$521,Cuentas!$A$1:$A$521),"")</f>
        <v>Yuldor</v>
      </c>
      <c r="B777" t="s">
        <v>859</v>
      </c>
      <c r="C777" t="s">
        <v>860</v>
      </c>
      <c r="D777" t="s">
        <v>16</v>
      </c>
      <c r="E777" t="s">
        <v>7</v>
      </c>
      <c r="F777" t="s">
        <v>889</v>
      </c>
      <c r="G777" t="s">
        <v>889</v>
      </c>
      <c r="H777" s="2">
        <v>45735</v>
      </c>
      <c r="I777" s="2">
        <v>45765</v>
      </c>
      <c r="J777" t="s">
        <v>20</v>
      </c>
      <c r="K777" s="21">
        <v>684</v>
      </c>
      <c r="L777" s="21">
        <v>684</v>
      </c>
      <c r="M777">
        <v>0</v>
      </c>
      <c r="N777" s="21">
        <v>0</v>
      </c>
    </row>
    <row r="778" spans="1:14">
      <c r="A778" t="str">
        <f>IFERROR(_xlfn.XLOOKUP(B778,Cuentas!$C$1:$C$521,Cuentas!$A$1:$A$521),"")</f>
        <v>Yuldor</v>
      </c>
      <c r="B778" t="s">
        <v>859</v>
      </c>
      <c r="C778" t="s">
        <v>860</v>
      </c>
      <c r="D778" t="s">
        <v>16</v>
      </c>
      <c r="E778" t="s">
        <v>7</v>
      </c>
      <c r="F778" t="s">
        <v>890</v>
      </c>
      <c r="G778" t="s">
        <v>890</v>
      </c>
      <c r="H778" s="2">
        <v>45735</v>
      </c>
      <c r="I778" s="2">
        <v>45765</v>
      </c>
      <c r="J778" t="s">
        <v>20</v>
      </c>
      <c r="K778" s="21">
        <v>486</v>
      </c>
      <c r="L778" s="21">
        <v>486</v>
      </c>
      <c r="M778">
        <v>0</v>
      </c>
      <c r="N778" s="21">
        <v>0</v>
      </c>
    </row>
    <row r="779" spans="1:14">
      <c r="A779" t="str">
        <f>IFERROR(_xlfn.XLOOKUP(B779,Cuentas!$C$1:$C$521,Cuentas!$A$1:$A$521),"")</f>
        <v>Yuldor</v>
      </c>
      <c r="B779" t="s">
        <v>859</v>
      </c>
      <c r="C779" t="s">
        <v>860</v>
      </c>
      <c r="D779" t="s">
        <v>16</v>
      </c>
      <c r="E779" t="s">
        <v>7</v>
      </c>
      <c r="F779" t="s">
        <v>891</v>
      </c>
      <c r="G779" t="s">
        <v>891</v>
      </c>
      <c r="H779" s="2">
        <v>45735</v>
      </c>
      <c r="I779" s="2">
        <v>45765</v>
      </c>
      <c r="J779" t="s">
        <v>20</v>
      </c>
      <c r="K779" s="21">
        <v>702</v>
      </c>
      <c r="L779" s="21">
        <v>702</v>
      </c>
      <c r="M779">
        <v>0</v>
      </c>
      <c r="N779" s="21">
        <v>0</v>
      </c>
    </row>
    <row r="780" spans="1:14">
      <c r="A780" t="str">
        <f>IFERROR(_xlfn.XLOOKUP(B780,Cuentas!$C$1:$C$521,Cuentas!$A$1:$A$521),"")</f>
        <v>Yuldor</v>
      </c>
      <c r="B780" t="s">
        <v>859</v>
      </c>
      <c r="C780" t="s">
        <v>860</v>
      </c>
      <c r="D780" t="s">
        <v>16</v>
      </c>
      <c r="E780" t="s">
        <v>7</v>
      </c>
      <c r="F780" t="s">
        <v>892</v>
      </c>
      <c r="G780" t="s">
        <v>892</v>
      </c>
      <c r="H780" s="2">
        <v>45741</v>
      </c>
      <c r="I780" s="2">
        <v>45771</v>
      </c>
      <c r="J780" t="s">
        <v>20</v>
      </c>
      <c r="K780" s="21">
        <v>636.79999999999995</v>
      </c>
      <c r="L780" s="21">
        <v>636.79999999999995</v>
      </c>
      <c r="M780">
        <v>0</v>
      </c>
      <c r="N780" s="21">
        <v>0</v>
      </c>
    </row>
    <row r="781" spans="1:14">
      <c r="A781" t="str">
        <f>IFERROR(_xlfn.XLOOKUP(B781,Cuentas!$C$1:$C$521,Cuentas!$A$1:$A$521),"")</f>
        <v>Yuldor</v>
      </c>
      <c r="B781" t="s">
        <v>859</v>
      </c>
      <c r="C781" t="s">
        <v>860</v>
      </c>
      <c r="D781" t="s">
        <v>16</v>
      </c>
      <c r="E781" t="s">
        <v>7</v>
      </c>
      <c r="F781" t="s">
        <v>893</v>
      </c>
      <c r="G781" t="s">
        <v>893</v>
      </c>
      <c r="H781" s="2">
        <v>45741</v>
      </c>
      <c r="I781" s="2">
        <v>45771</v>
      </c>
      <c r="J781" t="s">
        <v>20</v>
      </c>
      <c r="K781" s="21">
        <v>1477.2</v>
      </c>
      <c r="L781" s="21">
        <v>1477.2</v>
      </c>
      <c r="M781">
        <v>0</v>
      </c>
      <c r="N781" s="21">
        <v>0</v>
      </c>
    </row>
    <row r="782" spans="1:14">
      <c r="A782" t="str">
        <f>IFERROR(_xlfn.XLOOKUP(B782,Cuentas!$C$1:$C$521,Cuentas!$A$1:$A$521),"")</f>
        <v>Yuldor</v>
      </c>
      <c r="B782" t="s">
        <v>894</v>
      </c>
      <c r="C782" t="s">
        <v>895</v>
      </c>
      <c r="D782" t="s">
        <v>16</v>
      </c>
      <c r="E782" t="s">
        <v>7</v>
      </c>
      <c r="F782" t="s">
        <v>896</v>
      </c>
      <c r="G782" t="s">
        <v>896</v>
      </c>
      <c r="H782" s="2">
        <v>45684</v>
      </c>
      <c r="I782" s="2">
        <v>45714</v>
      </c>
      <c r="J782" t="s">
        <v>20</v>
      </c>
      <c r="K782" s="21">
        <v>5178.8</v>
      </c>
      <c r="L782" s="21">
        <v>5178.8</v>
      </c>
      <c r="M782">
        <v>0</v>
      </c>
      <c r="N782" s="21">
        <v>5178.8</v>
      </c>
    </row>
    <row r="783" spans="1:14">
      <c r="A783" t="str">
        <f>IFERROR(_xlfn.XLOOKUP(B783,Cuentas!$C$1:$C$521,Cuentas!$A$1:$A$521),"")</f>
        <v>Yuldor</v>
      </c>
      <c r="B783" t="s">
        <v>897</v>
      </c>
      <c r="C783" t="s">
        <v>898</v>
      </c>
      <c r="D783" t="s">
        <v>213</v>
      </c>
      <c r="E783" t="s">
        <v>5502</v>
      </c>
      <c r="F783" t="s">
        <v>899</v>
      </c>
      <c r="G783" t="s">
        <v>19</v>
      </c>
      <c r="I783" s="2">
        <v>45532</v>
      </c>
      <c r="J783" t="s">
        <v>20</v>
      </c>
      <c r="K783" s="21">
        <v>-1500</v>
      </c>
      <c r="L783" s="21">
        <v>-1500</v>
      </c>
      <c r="M783">
        <v>0</v>
      </c>
      <c r="N783" s="21">
        <v>-1500</v>
      </c>
    </row>
    <row r="784" spans="1:14">
      <c r="A784" t="str">
        <f>IFERROR(_xlfn.XLOOKUP(B784,Cuentas!$C$1:$C$521,Cuentas!$A$1:$A$521),"")</f>
        <v>Yuldor</v>
      </c>
      <c r="B784" t="s">
        <v>897</v>
      </c>
      <c r="C784" t="s">
        <v>898</v>
      </c>
      <c r="D784" t="s">
        <v>213</v>
      </c>
      <c r="E784" t="s">
        <v>7</v>
      </c>
      <c r="F784" t="s">
        <v>900</v>
      </c>
      <c r="G784" t="s">
        <v>900</v>
      </c>
      <c r="H784" s="2">
        <v>45734</v>
      </c>
      <c r="I784" s="2">
        <v>45734</v>
      </c>
      <c r="J784" t="s">
        <v>20</v>
      </c>
      <c r="K784" s="21">
        <v>523.55999999999995</v>
      </c>
      <c r="L784" s="21">
        <v>523.55999999999995</v>
      </c>
      <c r="M784">
        <v>12</v>
      </c>
      <c r="N784" s="21">
        <v>523.55999999999995</v>
      </c>
    </row>
    <row r="785" spans="1:14">
      <c r="A785" t="str">
        <f>IFERROR(_xlfn.XLOOKUP(B785,Cuentas!$C$1:$C$521,Cuentas!$A$1:$A$521),"")</f>
        <v>Yuldor</v>
      </c>
      <c r="B785" t="s">
        <v>897</v>
      </c>
      <c r="C785" t="s">
        <v>898</v>
      </c>
      <c r="D785" t="s">
        <v>213</v>
      </c>
      <c r="E785" t="s">
        <v>7</v>
      </c>
      <c r="F785" t="s">
        <v>901</v>
      </c>
      <c r="G785" t="s">
        <v>901</v>
      </c>
      <c r="H785" s="2">
        <v>45734</v>
      </c>
      <c r="I785" s="2">
        <v>45734</v>
      </c>
      <c r="J785" t="s">
        <v>20</v>
      </c>
      <c r="K785" s="21">
        <v>1195.2</v>
      </c>
      <c r="L785" s="21">
        <v>1195.2</v>
      </c>
      <c r="M785">
        <v>12</v>
      </c>
      <c r="N785" s="21">
        <v>1195.2</v>
      </c>
    </row>
    <row r="786" spans="1:14">
      <c r="A786" t="str">
        <f>IFERROR(_xlfn.XLOOKUP(B786,Cuentas!$C$1:$C$521,Cuentas!$A$1:$A$521),"")</f>
        <v>Nicolas</v>
      </c>
      <c r="B786" t="s">
        <v>902</v>
      </c>
      <c r="C786" t="s">
        <v>903</v>
      </c>
      <c r="D786" t="s">
        <v>16</v>
      </c>
      <c r="E786" t="s">
        <v>7</v>
      </c>
      <c r="F786" t="s">
        <v>904</v>
      </c>
      <c r="G786" t="s">
        <v>904</v>
      </c>
      <c r="H786" s="2">
        <v>45735</v>
      </c>
      <c r="I786" s="2">
        <v>45765</v>
      </c>
      <c r="J786" t="s">
        <v>20</v>
      </c>
      <c r="K786" s="21">
        <v>1708.2</v>
      </c>
      <c r="L786" s="21">
        <v>1708.2</v>
      </c>
      <c r="M786">
        <v>0</v>
      </c>
      <c r="N786" s="21">
        <v>0</v>
      </c>
    </row>
    <row r="787" spans="1:14">
      <c r="A787" t="str">
        <f>IFERROR(_xlfn.XLOOKUP(B787,Cuentas!$C$1:$C$521,Cuentas!$A$1:$A$521),"")</f>
        <v>Nicolas</v>
      </c>
      <c r="B787" t="s">
        <v>905</v>
      </c>
      <c r="C787" t="s">
        <v>906</v>
      </c>
      <c r="D787" t="s">
        <v>16</v>
      </c>
      <c r="E787" t="s">
        <v>3139</v>
      </c>
      <c r="F787" t="s">
        <v>19</v>
      </c>
      <c r="G787" t="s">
        <v>19</v>
      </c>
      <c r="I787" s="2">
        <v>45712</v>
      </c>
      <c r="J787" t="s">
        <v>20</v>
      </c>
      <c r="K787" s="21">
        <v>-170.53</v>
      </c>
      <c r="L787" s="21">
        <v>-170.53</v>
      </c>
      <c r="M787">
        <v>0</v>
      </c>
      <c r="N787" s="21">
        <v>-170.53</v>
      </c>
    </row>
    <row r="788" spans="1:14">
      <c r="A788" t="str">
        <f>IFERROR(_xlfn.XLOOKUP(B788,Cuentas!$C$1:$C$521,Cuentas!$A$1:$A$521),"")</f>
        <v>Nicolas</v>
      </c>
      <c r="B788" t="s">
        <v>905</v>
      </c>
      <c r="C788" t="s">
        <v>906</v>
      </c>
      <c r="D788" t="s">
        <v>16</v>
      </c>
      <c r="E788" t="s">
        <v>3139</v>
      </c>
      <c r="F788" t="s">
        <v>19</v>
      </c>
      <c r="G788" t="s">
        <v>19</v>
      </c>
      <c r="I788" s="2">
        <v>45722</v>
      </c>
      <c r="J788" t="s">
        <v>20</v>
      </c>
      <c r="K788" s="21">
        <v>-353.97</v>
      </c>
      <c r="L788" s="21">
        <v>-353.97</v>
      </c>
      <c r="M788">
        <v>10</v>
      </c>
      <c r="N788" s="21">
        <v>-353.97</v>
      </c>
    </row>
    <row r="789" spans="1:14">
      <c r="A789" t="str">
        <f>IFERROR(_xlfn.XLOOKUP(B789,Cuentas!$C$1:$C$521,Cuentas!$A$1:$A$521),"")</f>
        <v>Nicolas</v>
      </c>
      <c r="B789" t="s">
        <v>905</v>
      </c>
      <c r="C789" t="s">
        <v>906</v>
      </c>
      <c r="D789" t="s">
        <v>16</v>
      </c>
      <c r="E789" t="s">
        <v>7</v>
      </c>
      <c r="F789" t="s">
        <v>907</v>
      </c>
      <c r="G789" t="s">
        <v>907</v>
      </c>
      <c r="H789" s="2">
        <v>45716</v>
      </c>
      <c r="I789" s="2">
        <v>45746</v>
      </c>
      <c r="J789" t="s">
        <v>20</v>
      </c>
      <c r="K789" s="21">
        <v>1649.82</v>
      </c>
      <c r="L789" s="21">
        <v>1649.82</v>
      </c>
      <c r="M789">
        <v>13</v>
      </c>
      <c r="N789" s="21">
        <v>1649.82</v>
      </c>
    </row>
    <row r="790" spans="1:14">
      <c r="A790" t="str">
        <f>IFERROR(_xlfn.XLOOKUP(B790,Cuentas!$C$1:$C$521,Cuentas!$A$1:$A$521),"")</f>
        <v>Nicolas</v>
      </c>
      <c r="B790" t="s">
        <v>908</v>
      </c>
      <c r="C790" t="s">
        <v>909</v>
      </c>
      <c r="D790" t="s">
        <v>16</v>
      </c>
      <c r="E790" t="s">
        <v>7</v>
      </c>
      <c r="F790" t="s">
        <v>910</v>
      </c>
      <c r="G790" t="s">
        <v>910</v>
      </c>
      <c r="H790" s="2">
        <v>45610</v>
      </c>
      <c r="I790" s="2">
        <v>45640</v>
      </c>
      <c r="J790" t="s">
        <v>20</v>
      </c>
      <c r="K790" s="21">
        <v>4708</v>
      </c>
      <c r="L790" s="21">
        <v>-308</v>
      </c>
      <c r="M790">
        <v>0</v>
      </c>
      <c r="N790" s="21">
        <v>-308</v>
      </c>
    </row>
    <row r="791" spans="1:14">
      <c r="A791" t="str">
        <f>IFERROR(_xlfn.XLOOKUP(B791,Cuentas!$C$1:$C$521,Cuentas!$A$1:$A$521),"")</f>
        <v>Nicolas</v>
      </c>
      <c r="B791" t="s">
        <v>908</v>
      </c>
      <c r="C791" t="s">
        <v>909</v>
      </c>
      <c r="D791" t="s">
        <v>16</v>
      </c>
      <c r="E791" t="s">
        <v>5502</v>
      </c>
      <c r="F791" t="s">
        <v>911</v>
      </c>
      <c r="G791" t="s">
        <v>910</v>
      </c>
      <c r="I791" s="2">
        <v>45664</v>
      </c>
      <c r="J791" t="s">
        <v>20</v>
      </c>
      <c r="K791" s="21">
        <v>-4708</v>
      </c>
      <c r="L791" s="21" t="s">
        <v>86</v>
      </c>
      <c r="M791">
        <v>0</v>
      </c>
      <c r="N791" s="21" t="s">
        <v>86</v>
      </c>
    </row>
    <row r="792" spans="1:14">
      <c r="A792" t="str">
        <f>IFERROR(_xlfn.XLOOKUP(B792,Cuentas!$C$1:$C$521,Cuentas!$A$1:$A$521),"")</f>
        <v>Nicolas</v>
      </c>
      <c r="B792" t="s">
        <v>908</v>
      </c>
      <c r="C792" t="s">
        <v>909</v>
      </c>
      <c r="D792" t="s">
        <v>16</v>
      </c>
      <c r="E792" t="s">
        <v>5502</v>
      </c>
      <c r="F792" t="s">
        <v>912</v>
      </c>
      <c r="G792" t="s">
        <v>910</v>
      </c>
      <c r="I792" s="2">
        <v>45667</v>
      </c>
      <c r="J792" t="s">
        <v>20</v>
      </c>
      <c r="K792" s="21">
        <v>-308</v>
      </c>
      <c r="L792" s="21" t="s">
        <v>86</v>
      </c>
      <c r="M792">
        <v>0</v>
      </c>
      <c r="N792" s="21" t="s">
        <v>86</v>
      </c>
    </row>
    <row r="793" spans="1:14">
      <c r="A793" t="str">
        <f>IFERROR(_xlfn.XLOOKUP(B793,Cuentas!$C$1:$C$521,Cuentas!$A$1:$A$521),"")</f>
        <v>Nicolas</v>
      </c>
      <c r="B793" t="s">
        <v>908</v>
      </c>
      <c r="C793" t="s">
        <v>909</v>
      </c>
      <c r="D793" t="s">
        <v>16</v>
      </c>
      <c r="E793" t="s">
        <v>7</v>
      </c>
      <c r="F793" t="s">
        <v>913</v>
      </c>
      <c r="G793" t="s">
        <v>913</v>
      </c>
      <c r="H793" s="2">
        <v>45621</v>
      </c>
      <c r="I793" s="2">
        <v>45651</v>
      </c>
      <c r="J793" t="s">
        <v>20</v>
      </c>
      <c r="K793" s="21">
        <v>5704.06</v>
      </c>
      <c r="L793" s="21">
        <v>-138.6</v>
      </c>
      <c r="M793">
        <v>0</v>
      </c>
      <c r="N793" s="21">
        <v>-138.6</v>
      </c>
    </row>
    <row r="794" spans="1:14">
      <c r="A794" t="str">
        <f>IFERROR(_xlfn.XLOOKUP(B794,Cuentas!$C$1:$C$521,Cuentas!$A$1:$A$521),"")</f>
        <v>Nicolas</v>
      </c>
      <c r="B794" t="s">
        <v>908</v>
      </c>
      <c r="C794" t="s">
        <v>909</v>
      </c>
      <c r="D794" t="s">
        <v>16</v>
      </c>
      <c r="E794" t="s">
        <v>5502</v>
      </c>
      <c r="F794" t="s">
        <v>914</v>
      </c>
      <c r="G794" t="s">
        <v>913</v>
      </c>
      <c r="I794" s="2">
        <v>45666</v>
      </c>
      <c r="J794" t="s">
        <v>20</v>
      </c>
      <c r="K794" s="21">
        <v>-2118.6</v>
      </c>
      <c r="L794" s="21" t="s">
        <v>86</v>
      </c>
      <c r="M794">
        <v>0</v>
      </c>
      <c r="N794" s="21" t="s">
        <v>86</v>
      </c>
    </row>
    <row r="795" spans="1:14">
      <c r="A795" t="str">
        <f>IFERROR(_xlfn.XLOOKUP(B795,Cuentas!$C$1:$C$521,Cuentas!$A$1:$A$521),"")</f>
        <v>Nicolas</v>
      </c>
      <c r="B795" t="s">
        <v>908</v>
      </c>
      <c r="C795" t="s">
        <v>909</v>
      </c>
      <c r="D795" t="s">
        <v>16</v>
      </c>
      <c r="E795" t="s">
        <v>5502</v>
      </c>
      <c r="F795" t="s">
        <v>915</v>
      </c>
      <c r="G795" t="s">
        <v>913</v>
      </c>
      <c r="I795" s="2">
        <v>45667</v>
      </c>
      <c r="J795" t="s">
        <v>20</v>
      </c>
      <c r="K795" s="21">
        <v>-373.16</v>
      </c>
      <c r="L795" s="21" t="s">
        <v>86</v>
      </c>
      <c r="M795">
        <v>0</v>
      </c>
      <c r="N795" s="21" t="s">
        <v>86</v>
      </c>
    </row>
    <row r="796" spans="1:14">
      <c r="A796" t="str">
        <f>IFERROR(_xlfn.XLOOKUP(B796,Cuentas!$C$1:$C$521,Cuentas!$A$1:$A$521),"")</f>
        <v>Nicolas</v>
      </c>
      <c r="B796" t="s">
        <v>908</v>
      </c>
      <c r="C796" t="s">
        <v>909</v>
      </c>
      <c r="D796" t="s">
        <v>16</v>
      </c>
      <c r="E796" t="s">
        <v>3139</v>
      </c>
      <c r="F796" t="s">
        <v>913</v>
      </c>
      <c r="G796" t="s">
        <v>913</v>
      </c>
      <c r="I796" s="2">
        <v>45653</v>
      </c>
      <c r="J796" t="s">
        <v>20</v>
      </c>
      <c r="K796" s="21">
        <v>-3350.9</v>
      </c>
      <c r="L796" s="21" t="s">
        <v>86</v>
      </c>
      <c r="M796">
        <v>0</v>
      </c>
      <c r="N796" s="21" t="s">
        <v>86</v>
      </c>
    </row>
    <row r="797" spans="1:14">
      <c r="A797" t="str">
        <f>IFERROR(_xlfn.XLOOKUP(B797,Cuentas!$C$1:$C$521,Cuentas!$A$1:$A$521),"")</f>
        <v>Nicolas</v>
      </c>
      <c r="B797" t="s">
        <v>908</v>
      </c>
      <c r="C797" t="s">
        <v>909</v>
      </c>
      <c r="D797" t="s">
        <v>16</v>
      </c>
      <c r="E797" t="s">
        <v>7</v>
      </c>
      <c r="F797" t="s">
        <v>916</v>
      </c>
      <c r="G797" t="s">
        <v>916</v>
      </c>
      <c r="H797" s="2">
        <v>45628</v>
      </c>
      <c r="I797" s="2">
        <v>45658</v>
      </c>
      <c r="J797" t="s">
        <v>20</v>
      </c>
      <c r="K797" s="21">
        <v>2692.28</v>
      </c>
      <c r="L797" s="21">
        <v>176.13</v>
      </c>
      <c r="M797">
        <v>0</v>
      </c>
      <c r="N797" s="21">
        <v>176.13</v>
      </c>
    </row>
    <row r="798" spans="1:14">
      <c r="A798" t="str">
        <f>IFERROR(_xlfn.XLOOKUP(B798,Cuentas!$C$1:$C$521,Cuentas!$A$1:$A$521),"")</f>
        <v>Nicolas</v>
      </c>
      <c r="B798" t="s">
        <v>908</v>
      </c>
      <c r="C798" t="s">
        <v>909</v>
      </c>
      <c r="D798" t="s">
        <v>16</v>
      </c>
      <c r="E798" t="s">
        <v>3139</v>
      </c>
      <c r="F798" t="s">
        <v>916</v>
      </c>
      <c r="G798" t="s">
        <v>916</v>
      </c>
      <c r="I798" s="2">
        <v>45653</v>
      </c>
      <c r="J798" t="s">
        <v>20</v>
      </c>
      <c r="K798" s="21">
        <v>-2516.15</v>
      </c>
      <c r="L798" s="21" t="s">
        <v>86</v>
      </c>
      <c r="M798">
        <v>0</v>
      </c>
      <c r="N798" s="21" t="s">
        <v>86</v>
      </c>
    </row>
    <row r="799" spans="1:14">
      <c r="A799" t="str">
        <f>IFERROR(_xlfn.XLOOKUP(B799,Cuentas!$C$1:$C$521,Cuentas!$A$1:$A$521),"")</f>
        <v>Nicolas</v>
      </c>
      <c r="B799" t="s">
        <v>917</v>
      </c>
      <c r="C799" t="s">
        <v>918</v>
      </c>
      <c r="D799" t="s">
        <v>16</v>
      </c>
      <c r="E799" t="s">
        <v>3139</v>
      </c>
      <c r="F799" t="s">
        <v>19</v>
      </c>
      <c r="G799" t="s">
        <v>19</v>
      </c>
      <c r="I799" s="2">
        <v>45470</v>
      </c>
      <c r="J799" t="s">
        <v>20</v>
      </c>
      <c r="K799" s="21">
        <v>-6.34</v>
      </c>
      <c r="L799" s="21">
        <v>-6.34</v>
      </c>
      <c r="M799">
        <v>0</v>
      </c>
      <c r="N799" s="21">
        <v>-6.34</v>
      </c>
    </row>
    <row r="800" spans="1:14">
      <c r="A800" t="str">
        <f>IFERROR(_xlfn.XLOOKUP(B800,Cuentas!$C$1:$C$521,Cuentas!$A$1:$A$521),"")</f>
        <v>Nicolas</v>
      </c>
      <c r="B800" t="s">
        <v>919</v>
      </c>
      <c r="C800" t="s">
        <v>920</v>
      </c>
      <c r="D800" t="s">
        <v>16</v>
      </c>
      <c r="E800" t="s">
        <v>5502</v>
      </c>
      <c r="F800" t="s">
        <v>921</v>
      </c>
      <c r="G800" t="s">
        <v>19</v>
      </c>
      <c r="I800" s="2">
        <v>45519</v>
      </c>
      <c r="J800" t="s">
        <v>20</v>
      </c>
      <c r="K800" s="21">
        <v>-31.9</v>
      </c>
      <c r="L800" s="21">
        <v>-31.9</v>
      </c>
      <c r="M800">
        <v>0</v>
      </c>
      <c r="N800" s="21">
        <v>-31.9</v>
      </c>
    </row>
    <row r="801" spans="1:14">
      <c r="A801" t="str">
        <f>IFERROR(_xlfn.XLOOKUP(B801,Cuentas!$C$1:$C$521,Cuentas!$A$1:$A$521),"")</f>
        <v>Yuldor</v>
      </c>
      <c r="B801" t="s">
        <v>922</v>
      </c>
      <c r="C801" t="s">
        <v>923</v>
      </c>
      <c r="D801" t="s">
        <v>213</v>
      </c>
      <c r="E801" t="s">
        <v>7</v>
      </c>
      <c r="F801" t="s">
        <v>924</v>
      </c>
      <c r="G801" t="s">
        <v>924</v>
      </c>
      <c r="H801" s="2">
        <v>45408</v>
      </c>
      <c r="I801" s="2">
        <v>45408</v>
      </c>
      <c r="J801" t="s">
        <v>20</v>
      </c>
      <c r="K801" s="21">
        <v>39.479999999999997</v>
      </c>
      <c r="L801" s="21">
        <v>39.479999999999997</v>
      </c>
      <c r="M801">
        <v>0</v>
      </c>
      <c r="N801" s="21">
        <v>39.479999999999997</v>
      </c>
    </row>
    <row r="802" spans="1:14">
      <c r="A802" t="str">
        <f>IFERROR(_xlfn.XLOOKUP(B802,Cuentas!$C$1:$C$521,Cuentas!$A$1:$A$521),"")</f>
        <v>Yuldor</v>
      </c>
      <c r="B802" t="s">
        <v>922</v>
      </c>
      <c r="C802" t="s">
        <v>923</v>
      </c>
      <c r="D802" t="s">
        <v>213</v>
      </c>
      <c r="E802" t="s">
        <v>7</v>
      </c>
      <c r="F802" t="s">
        <v>925</v>
      </c>
      <c r="G802" t="s">
        <v>925</v>
      </c>
      <c r="H802" s="2">
        <v>45419</v>
      </c>
      <c r="I802" s="2">
        <v>45419</v>
      </c>
      <c r="J802" t="s">
        <v>20</v>
      </c>
      <c r="K802" s="21">
        <v>25.01</v>
      </c>
      <c r="L802" s="21">
        <v>25.01</v>
      </c>
      <c r="M802">
        <v>0</v>
      </c>
      <c r="N802" s="21">
        <v>25.01</v>
      </c>
    </row>
    <row r="803" spans="1:14">
      <c r="A803" t="str">
        <f>IFERROR(_xlfn.XLOOKUP(B803,Cuentas!$C$1:$C$521,Cuentas!$A$1:$A$521),"")</f>
        <v>Yuldor</v>
      </c>
      <c r="B803" t="s">
        <v>922</v>
      </c>
      <c r="C803" t="s">
        <v>923</v>
      </c>
      <c r="D803" t="s">
        <v>213</v>
      </c>
      <c r="E803" t="s">
        <v>7</v>
      </c>
      <c r="F803" t="s">
        <v>926</v>
      </c>
      <c r="G803" t="s">
        <v>926</v>
      </c>
      <c r="H803" s="2">
        <v>45678</v>
      </c>
      <c r="I803" s="2">
        <v>45678</v>
      </c>
      <c r="J803" t="s">
        <v>20</v>
      </c>
      <c r="K803" s="21">
        <v>1014.5</v>
      </c>
      <c r="L803" s="21">
        <v>991.85</v>
      </c>
      <c r="M803">
        <v>0</v>
      </c>
      <c r="N803" s="21">
        <v>991.85</v>
      </c>
    </row>
    <row r="804" spans="1:14">
      <c r="A804" t="str">
        <f>IFERROR(_xlfn.XLOOKUP(B804,Cuentas!$C$1:$C$521,Cuentas!$A$1:$A$521),"")</f>
        <v>Yuldor</v>
      </c>
      <c r="B804" t="s">
        <v>922</v>
      </c>
      <c r="C804" t="s">
        <v>923</v>
      </c>
      <c r="D804" t="s">
        <v>213</v>
      </c>
      <c r="E804" t="s">
        <v>5502</v>
      </c>
      <c r="F804" t="s">
        <v>927</v>
      </c>
      <c r="G804" t="s">
        <v>926</v>
      </c>
      <c r="I804" s="2">
        <v>45715</v>
      </c>
      <c r="J804" t="s">
        <v>20</v>
      </c>
      <c r="K804" s="21">
        <v>-22.65</v>
      </c>
      <c r="L804" s="21" t="s">
        <v>86</v>
      </c>
      <c r="M804">
        <v>0</v>
      </c>
      <c r="N804" s="21" t="s">
        <v>86</v>
      </c>
    </row>
    <row r="805" spans="1:14">
      <c r="A805" t="str">
        <f>IFERROR(_xlfn.XLOOKUP(B805,Cuentas!$C$1:$C$521,Cuentas!$A$1:$A$521),"")</f>
        <v>Yuldor</v>
      </c>
      <c r="B805" t="s">
        <v>928</v>
      </c>
      <c r="C805" t="s">
        <v>929</v>
      </c>
      <c r="D805" t="s">
        <v>16</v>
      </c>
      <c r="E805" t="s">
        <v>7</v>
      </c>
      <c r="F805" t="s">
        <v>930</v>
      </c>
      <c r="G805" t="s">
        <v>930</v>
      </c>
      <c r="H805" s="2">
        <v>45553</v>
      </c>
      <c r="I805" s="2">
        <v>45583</v>
      </c>
      <c r="J805" t="s">
        <v>20</v>
      </c>
      <c r="K805" s="21">
        <v>6614.46</v>
      </c>
      <c r="L805" s="21">
        <v>143.1</v>
      </c>
      <c r="M805">
        <v>0</v>
      </c>
      <c r="N805" s="21">
        <v>143.1</v>
      </c>
    </row>
    <row r="806" spans="1:14">
      <c r="A806" t="str">
        <f>IFERROR(_xlfn.XLOOKUP(B806,Cuentas!$C$1:$C$521,Cuentas!$A$1:$A$521),"")</f>
        <v>Yuldor</v>
      </c>
      <c r="B806" t="s">
        <v>928</v>
      </c>
      <c r="C806" t="s">
        <v>929</v>
      </c>
      <c r="D806" t="s">
        <v>16</v>
      </c>
      <c r="E806" t="s">
        <v>3139</v>
      </c>
      <c r="F806" t="s">
        <v>930</v>
      </c>
      <c r="G806" t="s">
        <v>930</v>
      </c>
      <c r="I806" s="2">
        <v>45587</v>
      </c>
      <c r="J806" t="s">
        <v>20</v>
      </c>
      <c r="K806" s="21">
        <v>-6471.36</v>
      </c>
      <c r="L806" s="21" t="s">
        <v>86</v>
      </c>
      <c r="M806">
        <v>0</v>
      </c>
      <c r="N806" s="21" t="s">
        <v>86</v>
      </c>
    </row>
    <row r="807" spans="1:14">
      <c r="A807" t="str">
        <f>IFERROR(_xlfn.XLOOKUP(B807,Cuentas!$C$1:$C$521,Cuentas!$A$1:$A$521),"")</f>
        <v>Yuldor</v>
      </c>
      <c r="B807" t="s">
        <v>928</v>
      </c>
      <c r="C807" t="s">
        <v>929</v>
      </c>
      <c r="D807" t="s">
        <v>16</v>
      </c>
      <c r="E807" t="s">
        <v>7</v>
      </c>
      <c r="F807" t="s">
        <v>931</v>
      </c>
      <c r="G807" t="s">
        <v>931</v>
      </c>
      <c r="H807" s="2">
        <v>45600</v>
      </c>
      <c r="I807" s="2">
        <v>45630</v>
      </c>
      <c r="J807" t="s">
        <v>20</v>
      </c>
      <c r="K807" s="21">
        <v>1728</v>
      </c>
      <c r="L807" s="21">
        <v>898.56</v>
      </c>
      <c r="M807">
        <v>0</v>
      </c>
      <c r="N807" s="21">
        <v>898.56</v>
      </c>
    </row>
    <row r="808" spans="1:14">
      <c r="A808" t="str">
        <f>IFERROR(_xlfn.XLOOKUP(B808,Cuentas!$C$1:$C$521,Cuentas!$A$1:$A$521),"")</f>
        <v>Yuldor</v>
      </c>
      <c r="B808" t="s">
        <v>928</v>
      </c>
      <c r="C808" t="s">
        <v>929</v>
      </c>
      <c r="D808" t="s">
        <v>16</v>
      </c>
      <c r="E808" t="s">
        <v>3139</v>
      </c>
      <c r="F808" t="s">
        <v>931</v>
      </c>
      <c r="G808" t="s">
        <v>931</v>
      </c>
      <c r="I808" s="2">
        <v>45635</v>
      </c>
      <c r="J808" t="s">
        <v>20</v>
      </c>
      <c r="K808" s="21">
        <v>-829.44</v>
      </c>
      <c r="L808" s="21" t="s">
        <v>86</v>
      </c>
      <c r="M808">
        <v>0</v>
      </c>
      <c r="N808" s="21" t="s">
        <v>86</v>
      </c>
    </row>
    <row r="809" spans="1:14">
      <c r="A809" t="str">
        <f>IFERROR(_xlfn.XLOOKUP(B809,Cuentas!$C$1:$C$521,Cuentas!$A$1:$A$521),"")</f>
        <v>Yuldor</v>
      </c>
      <c r="B809" t="s">
        <v>928</v>
      </c>
      <c r="C809" t="s">
        <v>929</v>
      </c>
      <c r="D809" t="s">
        <v>16</v>
      </c>
      <c r="E809" t="s">
        <v>7</v>
      </c>
      <c r="F809" t="s">
        <v>932</v>
      </c>
      <c r="G809" t="s">
        <v>932</v>
      </c>
      <c r="H809" s="2">
        <v>45715</v>
      </c>
      <c r="I809" s="2">
        <v>45745</v>
      </c>
      <c r="J809" t="s">
        <v>20</v>
      </c>
      <c r="K809" s="21">
        <v>1076.4000000000001</v>
      </c>
      <c r="L809" s="21">
        <v>1076.4000000000001</v>
      </c>
      <c r="M809">
        <v>13</v>
      </c>
      <c r="N809" s="21">
        <v>1076.4000000000001</v>
      </c>
    </row>
    <row r="810" spans="1:14">
      <c r="A810" t="str">
        <f>IFERROR(_xlfn.XLOOKUP(B810,Cuentas!$C$1:$C$521,Cuentas!$A$1:$A$521),"")</f>
        <v>Yuldor</v>
      </c>
      <c r="B810" t="s">
        <v>928</v>
      </c>
      <c r="C810" t="s">
        <v>929</v>
      </c>
      <c r="D810" t="s">
        <v>16</v>
      </c>
      <c r="E810" t="s">
        <v>7</v>
      </c>
      <c r="F810" t="s">
        <v>933</v>
      </c>
      <c r="G810" t="s">
        <v>933</v>
      </c>
      <c r="H810" s="2">
        <v>45715</v>
      </c>
      <c r="I810" s="2">
        <v>45745</v>
      </c>
      <c r="J810" t="s">
        <v>20</v>
      </c>
      <c r="K810" s="21">
        <v>2742</v>
      </c>
      <c r="L810" s="21">
        <v>2742</v>
      </c>
      <c r="M810">
        <v>13</v>
      </c>
      <c r="N810" s="21">
        <v>2742</v>
      </c>
    </row>
    <row r="811" spans="1:14">
      <c r="A811" t="str">
        <f>IFERROR(_xlfn.XLOOKUP(B811,Cuentas!$C$1:$C$521,Cuentas!$A$1:$A$521),"")</f>
        <v>Yuldor</v>
      </c>
      <c r="B811" t="s">
        <v>928</v>
      </c>
      <c r="C811" t="s">
        <v>929</v>
      </c>
      <c r="D811" t="s">
        <v>16</v>
      </c>
      <c r="E811" t="s">
        <v>7</v>
      </c>
      <c r="F811" t="s">
        <v>934</v>
      </c>
      <c r="G811" t="s">
        <v>934</v>
      </c>
      <c r="H811" s="2">
        <v>45715</v>
      </c>
      <c r="I811" s="2">
        <v>45745</v>
      </c>
      <c r="J811" t="s">
        <v>20</v>
      </c>
      <c r="K811" s="21">
        <v>780</v>
      </c>
      <c r="L811" s="21">
        <v>780</v>
      </c>
      <c r="M811">
        <v>13</v>
      </c>
      <c r="N811" s="21">
        <v>780</v>
      </c>
    </row>
    <row r="812" spans="1:14">
      <c r="A812" t="str">
        <f>IFERROR(_xlfn.XLOOKUP(B812,Cuentas!$C$1:$C$521,Cuentas!$A$1:$A$521),"")</f>
        <v>Yuldor</v>
      </c>
      <c r="B812" t="s">
        <v>928</v>
      </c>
      <c r="C812" t="s">
        <v>929</v>
      </c>
      <c r="D812" t="s">
        <v>16</v>
      </c>
      <c r="E812" t="s">
        <v>7</v>
      </c>
      <c r="F812" t="s">
        <v>935</v>
      </c>
      <c r="G812" t="s">
        <v>935</v>
      </c>
      <c r="H812" s="2">
        <v>45716</v>
      </c>
      <c r="I812" s="2">
        <v>45746</v>
      </c>
      <c r="J812" t="s">
        <v>20</v>
      </c>
      <c r="K812" s="21">
        <v>3924</v>
      </c>
      <c r="L812" s="21">
        <v>3924</v>
      </c>
      <c r="M812">
        <v>13</v>
      </c>
      <c r="N812" s="21">
        <v>3924</v>
      </c>
    </row>
    <row r="813" spans="1:14">
      <c r="A813" t="str">
        <f>IFERROR(_xlfn.XLOOKUP(B813,Cuentas!$C$1:$C$521,Cuentas!$A$1:$A$521),"")</f>
        <v>Yuldor</v>
      </c>
      <c r="B813" t="s">
        <v>928</v>
      </c>
      <c r="C813" t="s">
        <v>929</v>
      </c>
      <c r="D813" t="s">
        <v>16</v>
      </c>
      <c r="E813" t="s">
        <v>7</v>
      </c>
      <c r="F813" t="s">
        <v>936</v>
      </c>
      <c r="G813" t="s">
        <v>936</v>
      </c>
      <c r="H813" s="2">
        <v>45716</v>
      </c>
      <c r="I813" s="2">
        <v>45746</v>
      </c>
      <c r="J813" t="s">
        <v>20</v>
      </c>
      <c r="K813" s="21">
        <v>1614.24</v>
      </c>
      <c r="L813" s="21">
        <v>1614.24</v>
      </c>
      <c r="M813">
        <v>13</v>
      </c>
      <c r="N813" s="21">
        <v>1614.24</v>
      </c>
    </row>
    <row r="814" spans="1:14">
      <c r="A814" t="str">
        <f>IFERROR(_xlfn.XLOOKUP(B814,Cuentas!$C$1:$C$521,Cuentas!$A$1:$A$521),"")</f>
        <v>Yuldor</v>
      </c>
      <c r="B814" t="s">
        <v>928</v>
      </c>
      <c r="C814" t="s">
        <v>929</v>
      </c>
      <c r="D814" t="s">
        <v>16</v>
      </c>
      <c r="E814" t="s">
        <v>7</v>
      </c>
      <c r="F814" t="s">
        <v>937</v>
      </c>
      <c r="G814" t="s">
        <v>937</v>
      </c>
      <c r="H814" s="2">
        <v>45716</v>
      </c>
      <c r="I814" s="2">
        <v>45746</v>
      </c>
      <c r="J814" t="s">
        <v>20</v>
      </c>
      <c r="K814" s="21">
        <v>1621.92</v>
      </c>
      <c r="L814" s="21">
        <v>1621.92</v>
      </c>
      <c r="M814">
        <v>13</v>
      </c>
      <c r="N814" s="21">
        <v>1621.92</v>
      </c>
    </row>
    <row r="815" spans="1:14">
      <c r="A815" t="str">
        <f>IFERROR(_xlfn.XLOOKUP(B815,Cuentas!$C$1:$C$521,Cuentas!$A$1:$A$521),"")</f>
        <v>Yuldor</v>
      </c>
      <c r="B815" t="s">
        <v>928</v>
      </c>
      <c r="C815" t="s">
        <v>929</v>
      </c>
      <c r="D815" t="s">
        <v>16</v>
      </c>
      <c r="E815" t="s">
        <v>7</v>
      </c>
      <c r="F815" t="s">
        <v>938</v>
      </c>
      <c r="G815" t="s">
        <v>938</v>
      </c>
      <c r="H815" s="2">
        <v>45723</v>
      </c>
      <c r="I815" s="2">
        <v>45753</v>
      </c>
      <c r="J815" t="s">
        <v>20</v>
      </c>
      <c r="K815" s="21">
        <v>567</v>
      </c>
      <c r="L815" s="21">
        <v>567</v>
      </c>
      <c r="M815">
        <v>0</v>
      </c>
      <c r="N815" s="21">
        <v>0</v>
      </c>
    </row>
    <row r="816" spans="1:14">
      <c r="A816" t="str">
        <f>IFERROR(_xlfn.XLOOKUP(B816,Cuentas!$C$1:$C$521,Cuentas!$A$1:$A$521),"")</f>
        <v>Yuldor</v>
      </c>
      <c r="B816" t="s">
        <v>928</v>
      </c>
      <c r="C816" t="s">
        <v>929</v>
      </c>
      <c r="D816" t="s">
        <v>16</v>
      </c>
      <c r="E816" t="s">
        <v>7</v>
      </c>
      <c r="F816" t="s">
        <v>939</v>
      </c>
      <c r="G816" t="s">
        <v>939</v>
      </c>
      <c r="H816" s="2">
        <v>45723</v>
      </c>
      <c r="I816" s="2">
        <v>45753</v>
      </c>
      <c r="J816" t="s">
        <v>20</v>
      </c>
      <c r="K816" s="21">
        <v>945</v>
      </c>
      <c r="L816" s="21">
        <v>945</v>
      </c>
      <c r="M816">
        <v>0</v>
      </c>
      <c r="N816" s="21">
        <v>0</v>
      </c>
    </row>
    <row r="817" spans="1:14">
      <c r="A817" t="str">
        <f>IFERROR(_xlfn.XLOOKUP(B817,Cuentas!$C$1:$C$521,Cuentas!$A$1:$A$521),"")</f>
        <v>Yuldor</v>
      </c>
      <c r="B817" t="s">
        <v>928</v>
      </c>
      <c r="C817" t="s">
        <v>929</v>
      </c>
      <c r="D817" t="s">
        <v>16</v>
      </c>
      <c r="E817" t="s">
        <v>7</v>
      </c>
      <c r="F817" t="s">
        <v>940</v>
      </c>
      <c r="G817" t="s">
        <v>940</v>
      </c>
      <c r="H817" s="2">
        <v>45723</v>
      </c>
      <c r="I817" s="2">
        <v>45753</v>
      </c>
      <c r="J817" t="s">
        <v>20</v>
      </c>
      <c r="K817" s="21">
        <v>756</v>
      </c>
      <c r="L817" s="21">
        <v>756</v>
      </c>
      <c r="M817">
        <v>0</v>
      </c>
      <c r="N817" s="21">
        <v>0</v>
      </c>
    </row>
    <row r="818" spans="1:14">
      <c r="A818" t="str">
        <f>IFERROR(_xlfn.XLOOKUP(B818,Cuentas!$C$1:$C$521,Cuentas!$A$1:$A$521),"")</f>
        <v>Yuldor</v>
      </c>
      <c r="B818" t="s">
        <v>928</v>
      </c>
      <c r="C818" t="s">
        <v>929</v>
      </c>
      <c r="D818" t="s">
        <v>16</v>
      </c>
      <c r="E818" t="s">
        <v>7</v>
      </c>
      <c r="F818" t="s">
        <v>941</v>
      </c>
      <c r="G818" t="s">
        <v>941</v>
      </c>
      <c r="H818" s="2">
        <v>45723</v>
      </c>
      <c r="I818" s="2">
        <v>45753</v>
      </c>
      <c r="J818" t="s">
        <v>20</v>
      </c>
      <c r="K818" s="21">
        <v>756</v>
      </c>
      <c r="L818" s="21">
        <v>756</v>
      </c>
      <c r="M818">
        <v>0</v>
      </c>
      <c r="N818" s="21">
        <v>0</v>
      </c>
    </row>
    <row r="819" spans="1:14">
      <c r="A819" t="str">
        <f>IFERROR(_xlfn.XLOOKUP(B819,Cuentas!$C$1:$C$521,Cuentas!$A$1:$A$521),"")</f>
        <v>Yuldor</v>
      </c>
      <c r="B819" t="s">
        <v>928</v>
      </c>
      <c r="C819" t="s">
        <v>929</v>
      </c>
      <c r="D819" t="s">
        <v>16</v>
      </c>
      <c r="E819" t="s">
        <v>7</v>
      </c>
      <c r="F819" t="s">
        <v>942</v>
      </c>
      <c r="G819" t="s">
        <v>942</v>
      </c>
      <c r="H819" s="2">
        <v>45723</v>
      </c>
      <c r="I819" s="2">
        <v>45753</v>
      </c>
      <c r="J819" t="s">
        <v>20</v>
      </c>
      <c r="K819" s="21">
        <v>4636.8</v>
      </c>
      <c r="L819" s="21">
        <v>4636.8</v>
      </c>
      <c r="M819">
        <v>0</v>
      </c>
      <c r="N819" s="21">
        <v>0</v>
      </c>
    </row>
    <row r="820" spans="1:14">
      <c r="A820" t="str">
        <f>IFERROR(_xlfn.XLOOKUP(B820,Cuentas!$C$1:$C$521,Cuentas!$A$1:$A$521),"")</f>
        <v>Yuldor</v>
      </c>
      <c r="B820" t="s">
        <v>928</v>
      </c>
      <c r="C820" t="s">
        <v>929</v>
      </c>
      <c r="D820" t="s">
        <v>16</v>
      </c>
      <c r="E820" t="s">
        <v>7</v>
      </c>
      <c r="F820" t="s">
        <v>943</v>
      </c>
      <c r="G820" t="s">
        <v>943</v>
      </c>
      <c r="H820" s="2">
        <v>45723</v>
      </c>
      <c r="I820" s="2">
        <v>45753</v>
      </c>
      <c r="J820" t="s">
        <v>20</v>
      </c>
      <c r="K820" s="21">
        <v>3595.2</v>
      </c>
      <c r="L820" s="21">
        <v>3595.2</v>
      </c>
      <c r="M820">
        <v>0</v>
      </c>
      <c r="N820" s="21">
        <v>0</v>
      </c>
    </row>
    <row r="821" spans="1:14">
      <c r="A821" t="str">
        <f>IFERROR(_xlfn.XLOOKUP(B821,Cuentas!$C$1:$C$521,Cuentas!$A$1:$A$521),"")</f>
        <v>Yuldor</v>
      </c>
      <c r="B821" t="s">
        <v>928</v>
      </c>
      <c r="C821" t="s">
        <v>929</v>
      </c>
      <c r="D821" t="s">
        <v>16</v>
      </c>
      <c r="E821" t="s">
        <v>7</v>
      </c>
      <c r="F821" t="s">
        <v>944</v>
      </c>
      <c r="G821" t="s">
        <v>944</v>
      </c>
      <c r="H821" s="2">
        <v>45723</v>
      </c>
      <c r="I821" s="2">
        <v>45753</v>
      </c>
      <c r="J821" t="s">
        <v>20</v>
      </c>
      <c r="K821" s="21">
        <v>2592</v>
      </c>
      <c r="L821" s="21">
        <v>2592</v>
      </c>
      <c r="M821">
        <v>0</v>
      </c>
      <c r="N821" s="21">
        <v>0</v>
      </c>
    </row>
    <row r="822" spans="1:14">
      <c r="A822" t="str">
        <f>IFERROR(_xlfn.XLOOKUP(B822,Cuentas!$C$1:$C$521,Cuentas!$A$1:$A$521),"")</f>
        <v>Yuldor</v>
      </c>
      <c r="B822" t="s">
        <v>928</v>
      </c>
      <c r="C822" t="s">
        <v>929</v>
      </c>
      <c r="D822" t="s">
        <v>16</v>
      </c>
      <c r="E822" t="s">
        <v>7</v>
      </c>
      <c r="F822" t="s">
        <v>945</v>
      </c>
      <c r="G822" t="s">
        <v>945</v>
      </c>
      <c r="H822" s="2">
        <v>45723</v>
      </c>
      <c r="I822" s="2">
        <v>45753</v>
      </c>
      <c r="J822" t="s">
        <v>20</v>
      </c>
      <c r="K822" s="21">
        <v>3600</v>
      </c>
      <c r="L822" s="21">
        <v>3600</v>
      </c>
      <c r="M822">
        <v>0</v>
      </c>
      <c r="N822" s="21">
        <v>0</v>
      </c>
    </row>
    <row r="823" spans="1:14">
      <c r="A823" t="str">
        <f>IFERROR(_xlfn.XLOOKUP(B823,Cuentas!$C$1:$C$521,Cuentas!$A$1:$A$521),"")</f>
        <v>Yuldor</v>
      </c>
      <c r="B823" t="s">
        <v>928</v>
      </c>
      <c r="C823" t="s">
        <v>929</v>
      </c>
      <c r="D823" t="s">
        <v>16</v>
      </c>
      <c r="E823" t="s">
        <v>7</v>
      </c>
      <c r="F823" t="s">
        <v>946</v>
      </c>
      <c r="G823" t="s">
        <v>946</v>
      </c>
      <c r="H823" s="2">
        <v>45740</v>
      </c>
      <c r="I823" s="2">
        <v>45770</v>
      </c>
      <c r="J823" t="s">
        <v>20</v>
      </c>
      <c r="K823" s="21">
        <v>1866.24</v>
      </c>
      <c r="L823" s="21">
        <v>1866.24</v>
      </c>
      <c r="M823">
        <v>0</v>
      </c>
      <c r="N823" s="21">
        <v>0</v>
      </c>
    </row>
    <row r="824" spans="1:14">
      <c r="A824" t="str">
        <f>IFERROR(_xlfn.XLOOKUP(B824,Cuentas!$C$1:$C$521,Cuentas!$A$1:$A$521),"")</f>
        <v>Yuldor</v>
      </c>
      <c r="B824" t="s">
        <v>928</v>
      </c>
      <c r="C824" t="s">
        <v>929</v>
      </c>
      <c r="D824" t="s">
        <v>16</v>
      </c>
      <c r="E824" t="s">
        <v>7</v>
      </c>
      <c r="F824" t="s">
        <v>947</v>
      </c>
      <c r="G824" t="s">
        <v>947</v>
      </c>
      <c r="H824" s="2">
        <v>45740</v>
      </c>
      <c r="I824" s="2">
        <v>45770</v>
      </c>
      <c r="J824" t="s">
        <v>20</v>
      </c>
      <c r="K824" s="21">
        <v>1416.96</v>
      </c>
      <c r="L824" s="21">
        <v>1416.96</v>
      </c>
      <c r="M824">
        <v>0</v>
      </c>
      <c r="N824" s="21">
        <v>0</v>
      </c>
    </row>
    <row r="825" spans="1:14">
      <c r="A825" t="str">
        <f>IFERROR(_xlfn.XLOOKUP(B825,Cuentas!$C$1:$C$521,Cuentas!$A$1:$A$521),"")</f>
        <v>Yuldor</v>
      </c>
      <c r="B825" t="s">
        <v>928</v>
      </c>
      <c r="C825" t="s">
        <v>929</v>
      </c>
      <c r="D825" t="s">
        <v>16</v>
      </c>
      <c r="E825" t="s">
        <v>7</v>
      </c>
      <c r="F825" t="s">
        <v>948</v>
      </c>
      <c r="G825" t="s">
        <v>948</v>
      </c>
      <c r="H825" s="2">
        <v>45740</v>
      </c>
      <c r="I825" s="2">
        <v>45770</v>
      </c>
      <c r="J825" t="s">
        <v>20</v>
      </c>
      <c r="K825" s="21">
        <v>967.68</v>
      </c>
      <c r="L825" s="21">
        <v>967.68</v>
      </c>
      <c r="M825">
        <v>0</v>
      </c>
      <c r="N825" s="21">
        <v>0</v>
      </c>
    </row>
    <row r="826" spans="1:14">
      <c r="A826" t="str">
        <f>IFERROR(_xlfn.XLOOKUP(B826,Cuentas!$C$1:$C$521,Cuentas!$A$1:$A$521),"")</f>
        <v>Yuldor</v>
      </c>
      <c r="B826" t="s">
        <v>928</v>
      </c>
      <c r="C826" t="s">
        <v>929</v>
      </c>
      <c r="D826" t="s">
        <v>16</v>
      </c>
      <c r="E826" t="s">
        <v>7</v>
      </c>
      <c r="F826" t="s">
        <v>949</v>
      </c>
      <c r="G826" t="s">
        <v>949</v>
      </c>
      <c r="H826" s="2">
        <v>45740</v>
      </c>
      <c r="I826" s="2">
        <v>45770</v>
      </c>
      <c r="J826" t="s">
        <v>20</v>
      </c>
      <c r="K826" s="21">
        <v>1209.5999999999999</v>
      </c>
      <c r="L826" s="21">
        <v>1209.5999999999999</v>
      </c>
      <c r="M826">
        <v>0</v>
      </c>
      <c r="N826" s="21">
        <v>0</v>
      </c>
    </row>
    <row r="827" spans="1:14">
      <c r="A827" t="str">
        <f>IFERROR(_xlfn.XLOOKUP(B827,Cuentas!$C$1:$C$521,Cuentas!$A$1:$A$521),"")</f>
        <v>Yuldor</v>
      </c>
      <c r="B827" t="s">
        <v>928</v>
      </c>
      <c r="C827" t="s">
        <v>929</v>
      </c>
      <c r="D827" t="s">
        <v>16</v>
      </c>
      <c r="E827" t="s">
        <v>7</v>
      </c>
      <c r="F827" t="s">
        <v>950</v>
      </c>
      <c r="G827" t="s">
        <v>950</v>
      </c>
      <c r="H827" s="2">
        <v>45741</v>
      </c>
      <c r="I827" s="2">
        <v>45771</v>
      </c>
      <c r="J827" t="s">
        <v>20</v>
      </c>
      <c r="K827" s="21">
        <v>1198.08</v>
      </c>
      <c r="L827" s="21">
        <v>1198.08</v>
      </c>
      <c r="M827">
        <v>0</v>
      </c>
      <c r="N827" s="21">
        <v>0</v>
      </c>
    </row>
    <row r="828" spans="1:14">
      <c r="A828" t="str">
        <f>IFERROR(_xlfn.XLOOKUP(B828,Cuentas!$C$1:$C$521,Cuentas!$A$1:$A$521),"")</f>
        <v>Yuldor</v>
      </c>
      <c r="B828" t="s">
        <v>928</v>
      </c>
      <c r="C828" t="s">
        <v>929</v>
      </c>
      <c r="D828" t="s">
        <v>16</v>
      </c>
      <c r="E828" t="s">
        <v>7</v>
      </c>
      <c r="F828" t="s">
        <v>951</v>
      </c>
      <c r="G828" t="s">
        <v>951</v>
      </c>
      <c r="H828" s="2">
        <v>45741</v>
      </c>
      <c r="I828" s="2">
        <v>45771</v>
      </c>
      <c r="J828" t="s">
        <v>20</v>
      </c>
      <c r="K828" s="21">
        <v>1290.24</v>
      </c>
      <c r="L828" s="21">
        <v>1290.24</v>
      </c>
      <c r="M828">
        <v>0</v>
      </c>
      <c r="N828" s="21">
        <v>0</v>
      </c>
    </row>
    <row r="829" spans="1:14">
      <c r="A829" t="str">
        <f>IFERROR(_xlfn.XLOOKUP(B829,Cuentas!$C$1:$C$521,Cuentas!$A$1:$A$521),"")</f>
        <v>Yuldor</v>
      </c>
      <c r="B829" t="s">
        <v>928</v>
      </c>
      <c r="C829" t="s">
        <v>929</v>
      </c>
      <c r="D829" t="s">
        <v>16</v>
      </c>
      <c r="E829" t="s">
        <v>7</v>
      </c>
      <c r="F829" t="s">
        <v>952</v>
      </c>
      <c r="G829" t="s">
        <v>952</v>
      </c>
      <c r="H829" s="2">
        <v>45741</v>
      </c>
      <c r="I829" s="2">
        <v>45771</v>
      </c>
      <c r="J829" t="s">
        <v>20</v>
      </c>
      <c r="K829" s="21">
        <v>579.6</v>
      </c>
      <c r="L829" s="21">
        <v>579.6</v>
      </c>
      <c r="M829">
        <v>0</v>
      </c>
      <c r="N829" s="21">
        <v>0</v>
      </c>
    </row>
    <row r="830" spans="1:14">
      <c r="A830" t="str">
        <f>IFERROR(_xlfn.XLOOKUP(B830,Cuentas!$C$1:$C$521,Cuentas!$A$1:$A$521),"")</f>
        <v>Yuldor</v>
      </c>
      <c r="B830" t="s">
        <v>928</v>
      </c>
      <c r="C830" t="s">
        <v>929</v>
      </c>
      <c r="D830" t="s">
        <v>16</v>
      </c>
      <c r="E830" t="s">
        <v>7</v>
      </c>
      <c r="F830" t="s">
        <v>953</v>
      </c>
      <c r="G830" t="s">
        <v>953</v>
      </c>
      <c r="H830" s="2">
        <v>45741</v>
      </c>
      <c r="I830" s="2">
        <v>45771</v>
      </c>
      <c r="J830" t="s">
        <v>20</v>
      </c>
      <c r="K830" s="21">
        <v>743.4</v>
      </c>
      <c r="L830" s="21">
        <v>743.4</v>
      </c>
      <c r="M830">
        <v>0</v>
      </c>
      <c r="N830" s="21">
        <v>0</v>
      </c>
    </row>
    <row r="831" spans="1:14">
      <c r="A831" t="str">
        <f>IFERROR(_xlfn.XLOOKUP(B831,Cuentas!$C$1:$C$521,Cuentas!$A$1:$A$521),"")</f>
        <v>Yuldor</v>
      </c>
      <c r="B831" t="s">
        <v>928</v>
      </c>
      <c r="C831" t="s">
        <v>929</v>
      </c>
      <c r="D831" t="s">
        <v>16</v>
      </c>
      <c r="E831" t="s">
        <v>7</v>
      </c>
      <c r="F831" t="s">
        <v>954</v>
      </c>
      <c r="G831" t="s">
        <v>954</v>
      </c>
      <c r="H831" s="2">
        <v>45741</v>
      </c>
      <c r="I831" s="2">
        <v>45771</v>
      </c>
      <c r="J831" t="s">
        <v>20</v>
      </c>
      <c r="K831" s="21">
        <v>2171.52</v>
      </c>
      <c r="L831" s="21">
        <v>2171.52</v>
      </c>
      <c r="M831">
        <v>0</v>
      </c>
      <c r="N831" s="21">
        <v>0</v>
      </c>
    </row>
    <row r="832" spans="1:14">
      <c r="A832" t="str">
        <f>IFERROR(_xlfn.XLOOKUP(B832,Cuentas!$C$1:$C$521,Cuentas!$A$1:$A$521),"")</f>
        <v>Yuldor</v>
      </c>
      <c r="B832" t="s">
        <v>928</v>
      </c>
      <c r="C832" t="s">
        <v>929</v>
      </c>
      <c r="D832" t="s">
        <v>16</v>
      </c>
      <c r="E832" t="s">
        <v>7</v>
      </c>
      <c r="F832" t="s">
        <v>955</v>
      </c>
      <c r="G832" t="s">
        <v>955</v>
      </c>
      <c r="H832" s="2">
        <v>45741</v>
      </c>
      <c r="I832" s="2">
        <v>45771</v>
      </c>
      <c r="J832" t="s">
        <v>20</v>
      </c>
      <c r="K832" s="21">
        <v>1684.8</v>
      </c>
      <c r="L832" s="21">
        <v>1684.8</v>
      </c>
      <c r="M832">
        <v>0</v>
      </c>
      <c r="N832" s="21">
        <v>0</v>
      </c>
    </row>
    <row r="833" spans="1:14">
      <c r="A833" t="str">
        <f>IFERROR(_xlfn.XLOOKUP(B833,Cuentas!$C$1:$C$521,Cuentas!$A$1:$A$521),"")</f>
        <v>Yuldor</v>
      </c>
      <c r="B833" t="s">
        <v>928</v>
      </c>
      <c r="C833" t="s">
        <v>929</v>
      </c>
      <c r="D833" t="s">
        <v>16</v>
      </c>
      <c r="E833" t="s">
        <v>7</v>
      </c>
      <c r="F833" t="s">
        <v>956</v>
      </c>
      <c r="G833" t="s">
        <v>956</v>
      </c>
      <c r="H833" s="2">
        <v>45741</v>
      </c>
      <c r="I833" s="2">
        <v>45771</v>
      </c>
      <c r="J833" t="s">
        <v>20</v>
      </c>
      <c r="K833" s="21">
        <v>1684.8</v>
      </c>
      <c r="L833" s="21">
        <v>1684.8</v>
      </c>
      <c r="M833">
        <v>0</v>
      </c>
      <c r="N833" s="21">
        <v>0</v>
      </c>
    </row>
    <row r="834" spans="1:14">
      <c r="A834" t="str">
        <f>IFERROR(_xlfn.XLOOKUP(B834,Cuentas!$C$1:$C$521,Cuentas!$A$1:$A$521),"")</f>
        <v>Yuldor</v>
      </c>
      <c r="B834" t="s">
        <v>928</v>
      </c>
      <c r="C834" t="s">
        <v>929</v>
      </c>
      <c r="D834" t="s">
        <v>16</v>
      </c>
      <c r="E834" t="s">
        <v>7</v>
      </c>
      <c r="F834" t="s">
        <v>957</v>
      </c>
      <c r="G834" t="s">
        <v>957</v>
      </c>
      <c r="H834" s="2">
        <v>45741</v>
      </c>
      <c r="I834" s="2">
        <v>45771</v>
      </c>
      <c r="J834" t="s">
        <v>20</v>
      </c>
      <c r="K834" s="21">
        <v>1751.04</v>
      </c>
      <c r="L834" s="21">
        <v>1751.04</v>
      </c>
      <c r="M834">
        <v>0</v>
      </c>
      <c r="N834" s="21">
        <v>0</v>
      </c>
    </row>
    <row r="835" spans="1:14">
      <c r="A835" t="str">
        <f>IFERROR(_xlfn.XLOOKUP(B835,Cuentas!$C$1:$C$521,Cuentas!$A$1:$A$521),"")</f>
        <v>Yuldor</v>
      </c>
      <c r="B835" t="s">
        <v>928</v>
      </c>
      <c r="C835" t="s">
        <v>929</v>
      </c>
      <c r="D835" t="s">
        <v>16</v>
      </c>
      <c r="E835" t="s">
        <v>7</v>
      </c>
      <c r="F835" t="s">
        <v>958</v>
      </c>
      <c r="G835" t="s">
        <v>958</v>
      </c>
      <c r="H835" s="2">
        <v>45741</v>
      </c>
      <c r="I835" s="2">
        <v>45771</v>
      </c>
      <c r="J835" t="s">
        <v>20</v>
      </c>
      <c r="K835" s="21">
        <v>1105.92</v>
      </c>
      <c r="L835" s="21">
        <v>1105.92</v>
      </c>
      <c r="M835">
        <v>0</v>
      </c>
      <c r="N835" s="21">
        <v>0</v>
      </c>
    </row>
    <row r="836" spans="1:14">
      <c r="A836" t="str">
        <f>IFERROR(_xlfn.XLOOKUP(B836,Cuentas!$C$1:$C$521,Cuentas!$A$1:$A$521),"")</f>
        <v>Yuldor</v>
      </c>
      <c r="B836" t="s">
        <v>928</v>
      </c>
      <c r="C836" t="s">
        <v>929</v>
      </c>
      <c r="D836" t="s">
        <v>16</v>
      </c>
      <c r="E836" t="s">
        <v>7</v>
      </c>
      <c r="F836" t="s">
        <v>959</v>
      </c>
      <c r="G836" t="s">
        <v>959</v>
      </c>
      <c r="H836" s="2">
        <v>45741</v>
      </c>
      <c r="I836" s="2">
        <v>45771</v>
      </c>
      <c r="J836" t="s">
        <v>20</v>
      </c>
      <c r="K836" s="21">
        <v>579.6</v>
      </c>
      <c r="L836" s="21">
        <v>579.6</v>
      </c>
      <c r="M836">
        <v>0</v>
      </c>
      <c r="N836" s="21">
        <v>0</v>
      </c>
    </row>
    <row r="837" spans="1:14">
      <c r="A837" t="str">
        <f>IFERROR(_xlfn.XLOOKUP(B837,Cuentas!$C$1:$C$521,Cuentas!$A$1:$A$521),"")</f>
        <v>Yuldor</v>
      </c>
      <c r="B837" t="s">
        <v>928</v>
      </c>
      <c r="C837" t="s">
        <v>929</v>
      </c>
      <c r="D837" t="s">
        <v>16</v>
      </c>
      <c r="E837" t="s">
        <v>7</v>
      </c>
      <c r="F837" t="s">
        <v>960</v>
      </c>
      <c r="G837" t="s">
        <v>960</v>
      </c>
      <c r="H837" s="2">
        <v>45741</v>
      </c>
      <c r="I837" s="2">
        <v>45771</v>
      </c>
      <c r="J837" t="s">
        <v>20</v>
      </c>
      <c r="K837" s="21">
        <v>1474.56</v>
      </c>
      <c r="L837" s="21">
        <v>1474.56</v>
      </c>
      <c r="M837">
        <v>0</v>
      </c>
      <c r="N837" s="21">
        <v>0</v>
      </c>
    </row>
    <row r="838" spans="1:14">
      <c r="A838" t="str">
        <f>IFERROR(_xlfn.XLOOKUP(B838,Cuentas!$C$1:$C$521,Cuentas!$A$1:$A$521),"")</f>
        <v>Yuldor</v>
      </c>
      <c r="B838" t="s">
        <v>928</v>
      </c>
      <c r="C838" t="s">
        <v>929</v>
      </c>
      <c r="D838" t="s">
        <v>16</v>
      </c>
      <c r="E838" t="s">
        <v>7</v>
      </c>
      <c r="F838" t="s">
        <v>961</v>
      </c>
      <c r="G838" t="s">
        <v>961</v>
      </c>
      <c r="H838" s="2">
        <v>45741</v>
      </c>
      <c r="I838" s="2">
        <v>45771</v>
      </c>
      <c r="J838" t="s">
        <v>20</v>
      </c>
      <c r="K838" s="21">
        <v>415.8</v>
      </c>
      <c r="L838" s="21">
        <v>415.8</v>
      </c>
      <c r="M838">
        <v>0</v>
      </c>
      <c r="N838" s="21">
        <v>0</v>
      </c>
    </row>
    <row r="839" spans="1:14">
      <c r="A839" t="str">
        <f>IFERROR(_xlfn.XLOOKUP(B839,Cuentas!$C$1:$C$521,Cuentas!$A$1:$A$521),"")</f>
        <v>Yuldor</v>
      </c>
      <c r="B839" t="s">
        <v>962</v>
      </c>
      <c r="C839" t="s">
        <v>963</v>
      </c>
      <c r="D839" t="s">
        <v>213</v>
      </c>
      <c r="E839" t="s">
        <v>7</v>
      </c>
      <c r="F839" t="s">
        <v>964</v>
      </c>
      <c r="G839" t="s">
        <v>964</v>
      </c>
      <c r="H839" s="2">
        <v>45331</v>
      </c>
      <c r="I839" s="2">
        <v>45331</v>
      </c>
      <c r="J839" t="s">
        <v>20</v>
      </c>
      <c r="K839" s="21">
        <v>54</v>
      </c>
      <c r="L839" s="21">
        <v>54</v>
      </c>
      <c r="M839">
        <v>0</v>
      </c>
      <c r="N839" s="21">
        <v>54</v>
      </c>
    </row>
    <row r="840" spans="1:14">
      <c r="A840" t="str">
        <f>IFERROR(_xlfn.XLOOKUP(B840,Cuentas!$C$1:$C$521,Cuentas!$A$1:$A$521),"")</f>
        <v>Yuldor</v>
      </c>
      <c r="B840" t="s">
        <v>962</v>
      </c>
      <c r="C840" t="s">
        <v>963</v>
      </c>
      <c r="D840" t="s">
        <v>213</v>
      </c>
      <c r="E840" t="s">
        <v>7</v>
      </c>
      <c r="F840" t="s">
        <v>965</v>
      </c>
      <c r="G840" t="s">
        <v>965</v>
      </c>
      <c r="H840" s="2">
        <v>45664</v>
      </c>
      <c r="I840" s="2">
        <v>45664</v>
      </c>
      <c r="J840" t="s">
        <v>20</v>
      </c>
      <c r="K840" s="21">
        <v>548.54999999999995</v>
      </c>
      <c r="L840" s="21">
        <v>517.5</v>
      </c>
      <c r="M840">
        <v>0</v>
      </c>
      <c r="N840" s="21">
        <v>517.5</v>
      </c>
    </row>
    <row r="841" spans="1:14">
      <c r="A841" t="str">
        <f>IFERROR(_xlfn.XLOOKUP(B841,Cuentas!$C$1:$C$521,Cuentas!$A$1:$A$521),"")</f>
        <v>Yuldor</v>
      </c>
      <c r="B841" t="s">
        <v>962</v>
      </c>
      <c r="C841" t="s">
        <v>963</v>
      </c>
      <c r="D841" t="s">
        <v>213</v>
      </c>
      <c r="E841" t="s">
        <v>5502</v>
      </c>
      <c r="F841" t="s">
        <v>966</v>
      </c>
      <c r="G841" t="s">
        <v>965</v>
      </c>
      <c r="I841" s="2">
        <v>45688</v>
      </c>
      <c r="J841" t="s">
        <v>20</v>
      </c>
      <c r="K841" s="21">
        <v>-31.05</v>
      </c>
      <c r="L841" s="21" t="s">
        <v>86</v>
      </c>
      <c r="M841">
        <v>0</v>
      </c>
      <c r="N841" s="21" t="s">
        <v>86</v>
      </c>
    </row>
    <row r="842" spans="1:14">
      <c r="A842" t="str">
        <f>IFERROR(_xlfn.XLOOKUP(B842,Cuentas!$C$1:$C$521,Cuentas!$A$1:$A$521),"")</f>
        <v>Nicolas</v>
      </c>
      <c r="B842" t="s">
        <v>967</v>
      </c>
      <c r="C842" t="s">
        <v>968</v>
      </c>
      <c r="D842" t="s">
        <v>16</v>
      </c>
      <c r="E842" t="s">
        <v>7</v>
      </c>
      <c r="F842" t="s">
        <v>969</v>
      </c>
      <c r="G842" t="s">
        <v>969</v>
      </c>
      <c r="H842" s="2">
        <v>45531</v>
      </c>
      <c r="I842" s="2">
        <v>45561</v>
      </c>
      <c r="J842" t="s">
        <v>20</v>
      </c>
      <c r="K842" s="21">
        <v>842.34</v>
      </c>
      <c r="L842" s="21">
        <v>842.34</v>
      </c>
      <c r="M842">
        <v>0</v>
      </c>
      <c r="N842" s="21">
        <v>842.34</v>
      </c>
    </row>
    <row r="843" spans="1:14">
      <c r="A843" t="str">
        <f>IFERROR(_xlfn.XLOOKUP(B843,Cuentas!$C$1:$C$521,Cuentas!$A$1:$A$521),"")</f>
        <v>Nicolas</v>
      </c>
      <c r="B843" t="s">
        <v>970</v>
      </c>
      <c r="C843" t="s">
        <v>971</v>
      </c>
      <c r="D843" t="s">
        <v>213</v>
      </c>
      <c r="E843" t="s">
        <v>7</v>
      </c>
      <c r="F843" t="s">
        <v>972</v>
      </c>
      <c r="G843" t="s">
        <v>972</v>
      </c>
      <c r="H843" s="2">
        <v>45664</v>
      </c>
      <c r="I843" s="2">
        <v>45664</v>
      </c>
      <c r="J843" t="s">
        <v>20</v>
      </c>
      <c r="K843" s="21">
        <v>44.04</v>
      </c>
      <c r="L843" s="21">
        <v>44.04</v>
      </c>
      <c r="M843">
        <v>0</v>
      </c>
      <c r="N843" s="21">
        <v>44.04</v>
      </c>
    </row>
    <row r="844" spans="1:14">
      <c r="A844" t="str">
        <f>IFERROR(_xlfn.XLOOKUP(B844,Cuentas!$C$1:$C$521,Cuentas!$A$1:$A$521),"")</f>
        <v>Yuldor</v>
      </c>
      <c r="B844" t="s">
        <v>973</v>
      </c>
      <c r="C844" t="s">
        <v>974</v>
      </c>
      <c r="D844" t="s">
        <v>213</v>
      </c>
      <c r="E844" t="s">
        <v>5502</v>
      </c>
      <c r="F844" t="s">
        <v>975</v>
      </c>
      <c r="G844" t="s">
        <v>19</v>
      </c>
      <c r="I844" s="2">
        <v>45244</v>
      </c>
      <c r="J844" t="s">
        <v>20</v>
      </c>
      <c r="K844" s="21">
        <v>-680.4</v>
      </c>
      <c r="L844" s="21">
        <v>-680.4</v>
      </c>
      <c r="M844">
        <v>0</v>
      </c>
      <c r="N844" s="21">
        <v>-680.4</v>
      </c>
    </row>
    <row r="845" spans="1:14">
      <c r="A845" t="str">
        <f>IFERROR(_xlfn.XLOOKUP(B845,Cuentas!$C$1:$C$521,Cuentas!$A$1:$A$521),"")</f>
        <v>Yuldor</v>
      </c>
      <c r="B845" t="s">
        <v>973</v>
      </c>
      <c r="C845" t="s">
        <v>974</v>
      </c>
      <c r="D845" t="s">
        <v>213</v>
      </c>
      <c r="E845" t="s">
        <v>5502</v>
      </c>
      <c r="F845" t="s">
        <v>976</v>
      </c>
      <c r="G845" t="s">
        <v>19</v>
      </c>
      <c r="I845" s="2">
        <v>45322</v>
      </c>
      <c r="J845" t="s">
        <v>20</v>
      </c>
      <c r="K845" s="21">
        <v>-75.599999999999994</v>
      </c>
      <c r="L845" s="21">
        <v>-75.599999999999994</v>
      </c>
      <c r="M845">
        <v>0</v>
      </c>
      <c r="N845" s="21">
        <v>-75.599999999999994</v>
      </c>
    </row>
    <row r="846" spans="1:14">
      <c r="A846" t="str">
        <f>IFERROR(_xlfn.XLOOKUP(B846,Cuentas!$C$1:$C$521,Cuentas!$A$1:$A$521),"")</f>
        <v>Yuldor</v>
      </c>
      <c r="B846" t="s">
        <v>973</v>
      </c>
      <c r="C846" t="s">
        <v>974</v>
      </c>
      <c r="D846" t="s">
        <v>213</v>
      </c>
      <c r="E846" t="s">
        <v>5502</v>
      </c>
      <c r="F846" t="s">
        <v>977</v>
      </c>
      <c r="G846" t="s">
        <v>19</v>
      </c>
      <c r="I846" s="2">
        <v>45366</v>
      </c>
      <c r="J846" t="s">
        <v>20</v>
      </c>
      <c r="K846" s="21">
        <v>-75.599999999999994</v>
      </c>
      <c r="L846" s="21">
        <v>-75.599999999999994</v>
      </c>
      <c r="M846">
        <v>0</v>
      </c>
      <c r="N846" s="21">
        <v>-75.599999999999994</v>
      </c>
    </row>
    <row r="847" spans="1:14">
      <c r="A847" t="str">
        <f>IFERROR(_xlfn.XLOOKUP(B847,Cuentas!$C$1:$C$521,Cuentas!$A$1:$A$521),"")</f>
        <v>Nicolas</v>
      </c>
      <c r="B847" t="s">
        <v>978</v>
      </c>
      <c r="C847" t="s">
        <v>979</v>
      </c>
      <c r="D847" t="s">
        <v>213</v>
      </c>
      <c r="E847" t="s">
        <v>7</v>
      </c>
      <c r="F847" t="s">
        <v>980</v>
      </c>
      <c r="G847" t="s">
        <v>980</v>
      </c>
      <c r="H847" s="2">
        <v>45665</v>
      </c>
      <c r="I847" s="2">
        <v>45665</v>
      </c>
      <c r="J847" t="s">
        <v>20</v>
      </c>
      <c r="K847" s="21">
        <v>267.91000000000003</v>
      </c>
      <c r="L847" s="21">
        <v>267.91000000000003</v>
      </c>
      <c r="M847">
        <v>0</v>
      </c>
      <c r="N847" s="21">
        <v>267.91000000000003</v>
      </c>
    </row>
    <row r="848" spans="1:14">
      <c r="A848" t="str">
        <f>IFERROR(_xlfn.XLOOKUP(B848,Cuentas!$C$1:$C$521,Cuentas!$A$1:$A$521),"")</f>
        <v>Nicolas</v>
      </c>
      <c r="B848" t="s">
        <v>981</v>
      </c>
      <c r="C848" t="s">
        <v>982</v>
      </c>
      <c r="D848" t="s">
        <v>213</v>
      </c>
      <c r="E848" t="s">
        <v>7</v>
      </c>
      <c r="F848" t="s">
        <v>983</v>
      </c>
      <c r="G848" t="s">
        <v>983</v>
      </c>
      <c r="H848" s="2">
        <v>45670</v>
      </c>
      <c r="I848" s="2">
        <v>45670</v>
      </c>
      <c r="J848" t="s">
        <v>20</v>
      </c>
      <c r="K848" s="21">
        <v>302</v>
      </c>
      <c r="L848" s="21">
        <v>302</v>
      </c>
      <c r="M848">
        <v>0</v>
      </c>
      <c r="N848" s="21">
        <v>302</v>
      </c>
    </row>
    <row r="849" spans="1:14">
      <c r="A849" t="str">
        <f>IFERROR(_xlfn.XLOOKUP(B849,Cuentas!$C$1:$C$521,Cuentas!$A$1:$A$521),"")</f>
        <v>Nicolas</v>
      </c>
      <c r="B849" t="s">
        <v>984</v>
      </c>
      <c r="C849" t="s">
        <v>985</v>
      </c>
      <c r="D849" t="s">
        <v>213</v>
      </c>
      <c r="E849" t="s">
        <v>5502</v>
      </c>
      <c r="F849" t="s">
        <v>986</v>
      </c>
      <c r="G849" t="s">
        <v>19</v>
      </c>
      <c r="I849" s="2">
        <v>45631</v>
      </c>
      <c r="J849" t="s">
        <v>20</v>
      </c>
      <c r="K849" s="21">
        <v>-258</v>
      </c>
      <c r="L849" s="21">
        <v>-258</v>
      </c>
      <c r="M849">
        <v>0</v>
      </c>
      <c r="N849" s="21">
        <v>-258</v>
      </c>
    </row>
    <row r="850" spans="1:14">
      <c r="A850" t="str">
        <f>IFERROR(_xlfn.XLOOKUP(B850,Cuentas!$C$1:$C$521,Cuentas!$A$1:$A$521),"")</f>
        <v>Nicolas</v>
      </c>
      <c r="B850" t="s">
        <v>987</v>
      </c>
      <c r="C850" t="s">
        <v>988</v>
      </c>
      <c r="D850" t="s">
        <v>16</v>
      </c>
      <c r="E850" t="s">
        <v>7</v>
      </c>
      <c r="F850" t="s">
        <v>989</v>
      </c>
      <c r="G850" t="s">
        <v>989</v>
      </c>
      <c r="H850" s="2">
        <v>45411</v>
      </c>
      <c r="I850" s="2">
        <v>45441</v>
      </c>
      <c r="J850" t="s">
        <v>20</v>
      </c>
      <c r="K850" s="21">
        <v>96.3</v>
      </c>
      <c r="L850" s="21">
        <v>96.3</v>
      </c>
      <c r="M850">
        <v>0</v>
      </c>
      <c r="N850" s="21">
        <v>96.3</v>
      </c>
    </row>
    <row r="851" spans="1:14">
      <c r="A851" t="str">
        <f>IFERROR(_xlfn.XLOOKUP(B851,Cuentas!$C$1:$C$521,Cuentas!$A$1:$A$521),"")</f>
        <v>Yuldor</v>
      </c>
      <c r="B851" t="s">
        <v>990</v>
      </c>
      <c r="C851" t="s">
        <v>991</v>
      </c>
      <c r="D851" t="s">
        <v>213</v>
      </c>
      <c r="E851" t="s">
        <v>5502</v>
      </c>
      <c r="F851" t="s">
        <v>992</v>
      </c>
      <c r="G851" t="s">
        <v>19</v>
      </c>
      <c r="I851" s="2">
        <v>45331</v>
      </c>
      <c r="J851" t="s">
        <v>20</v>
      </c>
      <c r="K851" s="21">
        <v>-43.97</v>
      </c>
      <c r="L851" s="21">
        <v>-43.97</v>
      </c>
      <c r="M851">
        <v>0</v>
      </c>
      <c r="N851" s="21">
        <v>-43.97</v>
      </c>
    </row>
    <row r="852" spans="1:14">
      <c r="A852" t="str">
        <f>IFERROR(_xlfn.XLOOKUP(B852,Cuentas!$C$1:$C$521,Cuentas!$A$1:$A$521),"")</f>
        <v>Yuldor</v>
      </c>
      <c r="B852" t="s">
        <v>993</v>
      </c>
      <c r="C852" t="s">
        <v>994</v>
      </c>
      <c r="D852" t="s">
        <v>213</v>
      </c>
      <c r="E852" t="s">
        <v>7</v>
      </c>
      <c r="F852" t="s">
        <v>995</v>
      </c>
      <c r="G852" t="s">
        <v>995</v>
      </c>
      <c r="H852" s="2">
        <v>45671</v>
      </c>
      <c r="I852" s="2">
        <v>45671</v>
      </c>
      <c r="J852" t="s">
        <v>20</v>
      </c>
      <c r="K852" s="21">
        <v>438</v>
      </c>
      <c r="L852" s="21">
        <v>438</v>
      </c>
      <c r="M852">
        <v>0</v>
      </c>
      <c r="N852" s="21">
        <v>438</v>
      </c>
    </row>
    <row r="853" spans="1:14">
      <c r="A853" t="str">
        <f>IFERROR(_xlfn.XLOOKUP(B853,Cuentas!$C$1:$C$521,Cuentas!$A$1:$A$521),"")</f>
        <v>Yuldor</v>
      </c>
      <c r="B853" t="s">
        <v>996</v>
      </c>
      <c r="C853" t="s">
        <v>997</v>
      </c>
      <c r="D853" t="s">
        <v>16</v>
      </c>
      <c r="E853" t="s">
        <v>7</v>
      </c>
      <c r="F853" t="s">
        <v>998</v>
      </c>
      <c r="G853" t="s">
        <v>998</v>
      </c>
      <c r="H853" s="2">
        <v>45712</v>
      </c>
      <c r="I853" s="2">
        <v>45742</v>
      </c>
      <c r="J853" t="s">
        <v>20</v>
      </c>
      <c r="K853" s="21">
        <v>3036.55</v>
      </c>
      <c r="L853" s="21">
        <v>3036.55</v>
      </c>
      <c r="M853">
        <v>13</v>
      </c>
      <c r="N853" s="21">
        <v>3036.55</v>
      </c>
    </row>
    <row r="854" spans="1:14">
      <c r="A854" t="str">
        <f>IFERROR(_xlfn.XLOOKUP(B854,Cuentas!$C$1:$C$521,Cuentas!$A$1:$A$521),"")</f>
        <v>Yuldor</v>
      </c>
      <c r="B854" t="s">
        <v>996</v>
      </c>
      <c r="C854" t="s">
        <v>997</v>
      </c>
      <c r="D854" t="s">
        <v>16</v>
      </c>
      <c r="E854" t="s">
        <v>7</v>
      </c>
      <c r="F854" t="s">
        <v>999</v>
      </c>
      <c r="G854" t="s">
        <v>999</v>
      </c>
      <c r="H854" s="2">
        <v>45723</v>
      </c>
      <c r="I854" s="2">
        <v>45753</v>
      </c>
      <c r="J854" t="s">
        <v>20</v>
      </c>
      <c r="K854" s="21">
        <v>2893.28</v>
      </c>
      <c r="L854" s="21">
        <v>2893.28</v>
      </c>
      <c r="M854">
        <v>0</v>
      </c>
      <c r="N854" s="21">
        <v>0</v>
      </c>
    </row>
    <row r="855" spans="1:14">
      <c r="A855" t="str">
        <f>IFERROR(_xlfn.XLOOKUP(B855,Cuentas!$C$1:$C$521,Cuentas!$A$1:$A$521),"")</f>
        <v>Yuldor</v>
      </c>
      <c r="B855" t="s">
        <v>1000</v>
      </c>
      <c r="C855" t="s">
        <v>1001</v>
      </c>
      <c r="D855" t="s">
        <v>16</v>
      </c>
      <c r="E855" t="s">
        <v>3139</v>
      </c>
      <c r="F855" t="s">
        <v>19</v>
      </c>
      <c r="G855" t="s">
        <v>19</v>
      </c>
      <c r="I855" s="2">
        <v>45331</v>
      </c>
      <c r="J855" t="s">
        <v>20</v>
      </c>
      <c r="K855" s="21">
        <v>-1.65</v>
      </c>
      <c r="L855" s="21">
        <v>-1.65</v>
      </c>
      <c r="M855">
        <v>0</v>
      </c>
      <c r="N855" s="21">
        <v>-1.65</v>
      </c>
    </row>
    <row r="856" spans="1:14">
      <c r="A856" t="str">
        <f>IFERROR(_xlfn.XLOOKUP(B856,Cuentas!$C$1:$C$521,Cuentas!$A$1:$A$521),"")</f>
        <v>Yuldor</v>
      </c>
      <c r="B856" t="s">
        <v>1000</v>
      </c>
      <c r="C856" t="s">
        <v>1001</v>
      </c>
      <c r="D856" t="s">
        <v>16</v>
      </c>
      <c r="E856" t="s">
        <v>3139</v>
      </c>
      <c r="F856" t="s">
        <v>19</v>
      </c>
      <c r="G856" t="s">
        <v>19</v>
      </c>
      <c r="I856" s="2">
        <v>45338</v>
      </c>
      <c r="J856" t="s">
        <v>20</v>
      </c>
      <c r="K856" s="21">
        <v>-4.55</v>
      </c>
      <c r="L856" s="21">
        <v>-4.55</v>
      </c>
      <c r="M856">
        <v>0</v>
      </c>
      <c r="N856" s="21">
        <v>-4.55</v>
      </c>
    </row>
    <row r="857" spans="1:14">
      <c r="A857" t="str">
        <f>IFERROR(_xlfn.XLOOKUP(B857,Cuentas!$C$1:$C$521,Cuentas!$A$1:$A$521),"")</f>
        <v>Yuldor</v>
      </c>
      <c r="B857" t="s">
        <v>1000</v>
      </c>
      <c r="C857" t="s">
        <v>1001</v>
      </c>
      <c r="D857" t="s">
        <v>16</v>
      </c>
      <c r="E857" t="s">
        <v>3139</v>
      </c>
      <c r="F857" t="s">
        <v>19</v>
      </c>
      <c r="G857" t="s">
        <v>19</v>
      </c>
      <c r="I857" s="2">
        <v>45345</v>
      </c>
      <c r="J857" t="s">
        <v>20</v>
      </c>
      <c r="K857" s="21">
        <v>-4.1500000000000004</v>
      </c>
      <c r="L857" s="21">
        <v>-4.1500000000000004</v>
      </c>
      <c r="M857">
        <v>0</v>
      </c>
      <c r="N857" s="21">
        <v>-4.1500000000000004</v>
      </c>
    </row>
    <row r="858" spans="1:14">
      <c r="A858" t="str">
        <f>IFERROR(_xlfn.XLOOKUP(B858,Cuentas!$C$1:$C$521,Cuentas!$A$1:$A$521),"")</f>
        <v>Yuldor</v>
      </c>
      <c r="B858" t="s">
        <v>1000</v>
      </c>
      <c r="C858" t="s">
        <v>1001</v>
      </c>
      <c r="D858" t="s">
        <v>16</v>
      </c>
      <c r="E858" t="s">
        <v>7</v>
      </c>
      <c r="F858" t="s">
        <v>1002</v>
      </c>
      <c r="G858" t="s">
        <v>1002</v>
      </c>
      <c r="H858" s="2">
        <v>45316</v>
      </c>
      <c r="I858" s="2">
        <v>45346</v>
      </c>
      <c r="J858" t="s">
        <v>20</v>
      </c>
      <c r="K858" s="21">
        <v>56.45</v>
      </c>
      <c r="L858" s="21">
        <v>56.45</v>
      </c>
      <c r="M858">
        <v>0</v>
      </c>
      <c r="N858" s="21">
        <v>56.45</v>
      </c>
    </row>
    <row r="859" spans="1:14">
      <c r="A859" t="str">
        <f>IFERROR(_xlfn.XLOOKUP(B859,Cuentas!$C$1:$C$521,Cuentas!$A$1:$A$521),"")</f>
        <v>Yuldor</v>
      </c>
      <c r="B859" t="s">
        <v>1000</v>
      </c>
      <c r="C859" t="s">
        <v>1001</v>
      </c>
      <c r="D859" t="s">
        <v>16</v>
      </c>
      <c r="E859" t="s">
        <v>7</v>
      </c>
      <c r="F859" t="s">
        <v>1003</v>
      </c>
      <c r="G859" t="s">
        <v>1003</v>
      </c>
      <c r="H859" s="2">
        <v>45323</v>
      </c>
      <c r="I859" s="2">
        <v>45353</v>
      </c>
      <c r="J859" t="s">
        <v>20</v>
      </c>
      <c r="K859" s="21">
        <v>243.3</v>
      </c>
      <c r="L859" s="21">
        <v>243.3</v>
      </c>
      <c r="M859">
        <v>0</v>
      </c>
      <c r="N859" s="21">
        <v>243.3</v>
      </c>
    </row>
    <row r="860" spans="1:14">
      <c r="A860" t="str">
        <f>IFERROR(_xlfn.XLOOKUP(B860,Cuentas!$C$1:$C$521,Cuentas!$A$1:$A$521),"")</f>
        <v>Yuldor</v>
      </c>
      <c r="B860" t="s">
        <v>1000</v>
      </c>
      <c r="C860" t="s">
        <v>1001</v>
      </c>
      <c r="D860" t="s">
        <v>16</v>
      </c>
      <c r="E860" t="s">
        <v>3139</v>
      </c>
      <c r="F860" t="s">
        <v>19</v>
      </c>
      <c r="G860" t="s">
        <v>19</v>
      </c>
      <c r="I860" s="2">
        <v>45359</v>
      </c>
      <c r="J860" t="s">
        <v>20</v>
      </c>
      <c r="K860" s="21">
        <v>-10.7</v>
      </c>
      <c r="L860" s="21">
        <v>-10.7</v>
      </c>
      <c r="M860">
        <v>0</v>
      </c>
      <c r="N860" s="21">
        <v>-10.7</v>
      </c>
    </row>
    <row r="861" spans="1:14">
      <c r="A861" t="str">
        <f>IFERROR(_xlfn.XLOOKUP(B861,Cuentas!$C$1:$C$521,Cuentas!$A$1:$A$521),"")</f>
        <v>Yuldor</v>
      </c>
      <c r="B861" t="s">
        <v>1000</v>
      </c>
      <c r="C861" t="s">
        <v>1001</v>
      </c>
      <c r="D861" t="s">
        <v>16</v>
      </c>
      <c r="E861" t="s">
        <v>3139</v>
      </c>
      <c r="F861" t="s">
        <v>19</v>
      </c>
      <c r="G861" t="s">
        <v>19</v>
      </c>
      <c r="I861" s="2">
        <v>45366</v>
      </c>
      <c r="J861" t="s">
        <v>20</v>
      </c>
      <c r="K861" s="21">
        <v>-1.4</v>
      </c>
      <c r="L861" s="21">
        <v>-1.4</v>
      </c>
      <c r="M861">
        <v>0</v>
      </c>
      <c r="N861" s="21">
        <v>-1.4</v>
      </c>
    </row>
    <row r="862" spans="1:14">
      <c r="A862" t="str">
        <f>IFERROR(_xlfn.XLOOKUP(B862,Cuentas!$C$1:$C$521,Cuentas!$A$1:$A$521),"")</f>
        <v>Yuldor</v>
      </c>
      <c r="B862" t="s">
        <v>1000</v>
      </c>
      <c r="C862" t="s">
        <v>1001</v>
      </c>
      <c r="D862" t="s">
        <v>16</v>
      </c>
      <c r="E862" t="s">
        <v>7</v>
      </c>
      <c r="F862" t="s">
        <v>1004</v>
      </c>
      <c r="G862" t="s">
        <v>1004</v>
      </c>
      <c r="H862" s="2">
        <v>45359</v>
      </c>
      <c r="I862" s="2">
        <v>45389</v>
      </c>
      <c r="J862" t="s">
        <v>20</v>
      </c>
      <c r="K862" s="21">
        <v>87.5</v>
      </c>
      <c r="L862" s="21">
        <v>87.5</v>
      </c>
      <c r="M862">
        <v>0</v>
      </c>
      <c r="N862" s="21">
        <v>87.5</v>
      </c>
    </row>
    <row r="863" spans="1:14">
      <c r="A863" t="str">
        <f>IFERROR(_xlfn.XLOOKUP(B863,Cuentas!$C$1:$C$521,Cuentas!$A$1:$A$521),"")</f>
        <v>Yuldor</v>
      </c>
      <c r="B863" t="s">
        <v>1000</v>
      </c>
      <c r="C863" t="s">
        <v>1001</v>
      </c>
      <c r="D863" t="s">
        <v>16</v>
      </c>
      <c r="E863" t="s">
        <v>3139</v>
      </c>
      <c r="F863" t="s">
        <v>19</v>
      </c>
      <c r="G863" t="s">
        <v>19</v>
      </c>
      <c r="I863" s="2">
        <v>45394</v>
      </c>
      <c r="J863" t="s">
        <v>20</v>
      </c>
      <c r="K863" s="21">
        <v>-0.5</v>
      </c>
      <c r="L863" s="21">
        <v>-0.5</v>
      </c>
      <c r="M863">
        <v>0</v>
      </c>
      <c r="N863" s="21">
        <v>-0.5</v>
      </c>
    </row>
    <row r="864" spans="1:14">
      <c r="A864" t="str">
        <f>IFERROR(_xlfn.XLOOKUP(B864,Cuentas!$C$1:$C$521,Cuentas!$A$1:$A$521),"")</f>
        <v>Yuldor</v>
      </c>
      <c r="B864" t="s">
        <v>1000</v>
      </c>
      <c r="C864" t="s">
        <v>1001</v>
      </c>
      <c r="D864" t="s">
        <v>16</v>
      </c>
      <c r="E864" t="s">
        <v>7</v>
      </c>
      <c r="F864" t="s">
        <v>1005</v>
      </c>
      <c r="G864" t="s">
        <v>1005</v>
      </c>
      <c r="H864" s="2">
        <v>45371</v>
      </c>
      <c r="I864" s="2">
        <v>45401</v>
      </c>
      <c r="J864" t="s">
        <v>20</v>
      </c>
      <c r="K864" s="21">
        <v>34.799999999999997</v>
      </c>
      <c r="L864" s="21">
        <v>34.799999999999997</v>
      </c>
      <c r="M864">
        <v>0</v>
      </c>
      <c r="N864" s="21">
        <v>34.799999999999997</v>
      </c>
    </row>
    <row r="865" spans="1:14">
      <c r="A865" t="str">
        <f>IFERROR(_xlfn.XLOOKUP(B865,Cuentas!$C$1:$C$521,Cuentas!$A$1:$A$521),"")</f>
        <v>Yuldor</v>
      </c>
      <c r="B865" t="s">
        <v>1000</v>
      </c>
      <c r="C865" t="s">
        <v>1001</v>
      </c>
      <c r="D865" t="s">
        <v>16</v>
      </c>
      <c r="E865" t="s">
        <v>3139</v>
      </c>
      <c r="F865" t="s">
        <v>19</v>
      </c>
      <c r="G865" t="s">
        <v>19</v>
      </c>
      <c r="I865" s="2">
        <v>45408</v>
      </c>
      <c r="J865" t="s">
        <v>20</v>
      </c>
      <c r="K865" s="21">
        <v>-0.1</v>
      </c>
      <c r="L865" s="21">
        <v>-0.1</v>
      </c>
      <c r="M865">
        <v>0</v>
      </c>
      <c r="N865" s="21">
        <v>-0.1</v>
      </c>
    </row>
    <row r="866" spans="1:14">
      <c r="A866" t="str">
        <f>IFERROR(_xlfn.XLOOKUP(B866,Cuentas!$C$1:$C$521,Cuentas!$A$1:$A$521),"")</f>
        <v>Yuldor</v>
      </c>
      <c r="B866" t="s">
        <v>1000</v>
      </c>
      <c r="C866" t="s">
        <v>1001</v>
      </c>
      <c r="D866" t="s">
        <v>16</v>
      </c>
      <c r="E866" t="s">
        <v>3139</v>
      </c>
      <c r="F866" t="s">
        <v>19</v>
      </c>
      <c r="G866" t="s">
        <v>19</v>
      </c>
      <c r="I866" s="2">
        <v>45429</v>
      </c>
      <c r="J866" t="s">
        <v>20</v>
      </c>
      <c r="K866" s="21">
        <v>-0.2</v>
      </c>
      <c r="L866" s="21">
        <v>-0.2</v>
      </c>
      <c r="M866">
        <v>0</v>
      </c>
      <c r="N866" s="21">
        <v>-0.2</v>
      </c>
    </row>
    <row r="867" spans="1:14">
      <c r="A867" t="str">
        <f>IFERROR(_xlfn.XLOOKUP(B867,Cuentas!$C$1:$C$521,Cuentas!$A$1:$A$521),"")</f>
        <v>Yuldor</v>
      </c>
      <c r="B867" t="s">
        <v>1000</v>
      </c>
      <c r="C867" t="s">
        <v>1001</v>
      </c>
      <c r="D867" t="s">
        <v>16</v>
      </c>
      <c r="E867" t="s">
        <v>7</v>
      </c>
      <c r="F867" t="s">
        <v>1006</v>
      </c>
      <c r="G867" t="s">
        <v>1006</v>
      </c>
      <c r="H867" s="2">
        <v>45411</v>
      </c>
      <c r="I867" s="2">
        <v>45441</v>
      </c>
      <c r="J867" t="s">
        <v>20</v>
      </c>
      <c r="K867" s="21">
        <v>87.5</v>
      </c>
      <c r="L867" s="21">
        <v>87.5</v>
      </c>
      <c r="M867">
        <v>0</v>
      </c>
      <c r="N867" s="21">
        <v>87.5</v>
      </c>
    </row>
    <row r="868" spans="1:14">
      <c r="A868" t="str">
        <f>IFERROR(_xlfn.XLOOKUP(B868,Cuentas!$C$1:$C$521,Cuentas!$A$1:$A$521),"")</f>
        <v>Yuldor</v>
      </c>
      <c r="B868" t="s">
        <v>1000</v>
      </c>
      <c r="C868" t="s">
        <v>1001</v>
      </c>
      <c r="D868" t="s">
        <v>16</v>
      </c>
      <c r="E868" t="s">
        <v>7</v>
      </c>
      <c r="F868" t="s">
        <v>1007</v>
      </c>
      <c r="G868" t="s">
        <v>1007</v>
      </c>
      <c r="H868" s="2">
        <v>45412</v>
      </c>
      <c r="I868" s="2">
        <v>45442</v>
      </c>
      <c r="J868" t="s">
        <v>20</v>
      </c>
      <c r="K868" s="21">
        <v>51</v>
      </c>
      <c r="L868" s="21">
        <v>51</v>
      </c>
      <c r="M868">
        <v>0</v>
      </c>
      <c r="N868" s="21">
        <v>51</v>
      </c>
    </row>
    <row r="869" spans="1:14">
      <c r="A869" t="str">
        <f>IFERROR(_xlfn.XLOOKUP(B869,Cuentas!$C$1:$C$521,Cuentas!$A$1:$A$521),"")</f>
        <v>Yuldor</v>
      </c>
      <c r="B869" t="s">
        <v>1000</v>
      </c>
      <c r="C869" t="s">
        <v>1001</v>
      </c>
      <c r="D869" t="s">
        <v>16</v>
      </c>
      <c r="E869" t="s">
        <v>3139</v>
      </c>
      <c r="F869" t="s">
        <v>19</v>
      </c>
      <c r="G869" t="s">
        <v>19</v>
      </c>
      <c r="I869" s="2">
        <v>45443</v>
      </c>
      <c r="J869" t="s">
        <v>20</v>
      </c>
      <c r="K869" s="21">
        <v>-4.4000000000000004</v>
      </c>
      <c r="L869" s="21">
        <v>-4.4000000000000004</v>
      </c>
      <c r="M869">
        <v>0</v>
      </c>
      <c r="N869" s="21">
        <v>-4.4000000000000004</v>
      </c>
    </row>
    <row r="870" spans="1:14">
      <c r="A870" t="str">
        <f>IFERROR(_xlfn.XLOOKUP(B870,Cuentas!$C$1:$C$521,Cuentas!$A$1:$A$521),"")</f>
        <v>Yuldor</v>
      </c>
      <c r="B870" t="s">
        <v>1000</v>
      </c>
      <c r="C870" t="s">
        <v>1001</v>
      </c>
      <c r="D870" t="s">
        <v>16</v>
      </c>
      <c r="E870" t="s">
        <v>3139</v>
      </c>
      <c r="F870" t="s">
        <v>19</v>
      </c>
      <c r="G870" t="s">
        <v>19</v>
      </c>
      <c r="I870" s="2">
        <v>45450</v>
      </c>
      <c r="J870" t="s">
        <v>20</v>
      </c>
      <c r="K870" s="21">
        <v>-0.2</v>
      </c>
      <c r="L870" s="21">
        <v>-0.2</v>
      </c>
      <c r="M870">
        <v>0</v>
      </c>
      <c r="N870" s="21">
        <v>-0.2</v>
      </c>
    </row>
    <row r="871" spans="1:14">
      <c r="A871" t="str">
        <f>IFERROR(_xlfn.XLOOKUP(B871,Cuentas!$C$1:$C$521,Cuentas!$A$1:$A$521),"")</f>
        <v>Yuldor</v>
      </c>
      <c r="B871" t="s">
        <v>1000</v>
      </c>
      <c r="C871" t="s">
        <v>1001</v>
      </c>
      <c r="D871" t="s">
        <v>16</v>
      </c>
      <c r="E871" t="s">
        <v>3139</v>
      </c>
      <c r="F871" t="s">
        <v>19</v>
      </c>
      <c r="G871" t="s">
        <v>19</v>
      </c>
      <c r="I871" s="2">
        <v>45471</v>
      </c>
      <c r="J871" t="s">
        <v>20</v>
      </c>
      <c r="K871" s="21">
        <v>-0.15</v>
      </c>
      <c r="L871" s="21">
        <v>-0.15</v>
      </c>
      <c r="M871">
        <v>0</v>
      </c>
      <c r="N871" s="21">
        <v>-0.15</v>
      </c>
    </row>
    <row r="872" spans="1:14">
      <c r="A872" t="str">
        <f>IFERROR(_xlfn.XLOOKUP(B872,Cuentas!$C$1:$C$521,Cuentas!$A$1:$A$521),"")</f>
        <v>Yuldor</v>
      </c>
      <c r="B872" t="s">
        <v>1000</v>
      </c>
      <c r="C872" t="s">
        <v>1001</v>
      </c>
      <c r="D872" t="s">
        <v>16</v>
      </c>
      <c r="E872" t="s">
        <v>3139</v>
      </c>
      <c r="F872" t="s">
        <v>19</v>
      </c>
      <c r="G872" t="s">
        <v>19</v>
      </c>
      <c r="I872" s="2">
        <v>45485</v>
      </c>
      <c r="J872" t="s">
        <v>20</v>
      </c>
      <c r="K872" s="21">
        <v>-0.05</v>
      </c>
      <c r="L872" s="21">
        <v>-0.05</v>
      </c>
      <c r="M872">
        <v>0</v>
      </c>
      <c r="N872" s="21">
        <v>-0.05</v>
      </c>
    </row>
    <row r="873" spans="1:14">
      <c r="A873" t="str">
        <f>IFERROR(_xlfn.XLOOKUP(B873,Cuentas!$C$1:$C$521,Cuentas!$A$1:$A$521),"")</f>
        <v>Yuldor</v>
      </c>
      <c r="B873" t="s">
        <v>1008</v>
      </c>
      <c r="C873" t="s">
        <v>1009</v>
      </c>
      <c r="D873" t="s">
        <v>16</v>
      </c>
      <c r="E873" t="s">
        <v>3139</v>
      </c>
      <c r="F873" t="s">
        <v>19</v>
      </c>
      <c r="G873" t="s">
        <v>19</v>
      </c>
      <c r="I873" s="2">
        <v>45706</v>
      </c>
      <c r="J873" t="s">
        <v>20</v>
      </c>
      <c r="K873" s="21">
        <v>-1371.16</v>
      </c>
      <c r="L873" s="21">
        <v>-1371.16</v>
      </c>
      <c r="M873">
        <v>0</v>
      </c>
      <c r="N873" s="21">
        <v>-1371.16</v>
      </c>
    </row>
    <row r="874" spans="1:14">
      <c r="A874" t="str">
        <f>IFERROR(_xlfn.XLOOKUP(B874,Cuentas!$C$1:$C$521,Cuentas!$A$1:$A$521),"")</f>
        <v>Yuldor</v>
      </c>
      <c r="B874" t="s">
        <v>1008</v>
      </c>
      <c r="C874" t="s">
        <v>1009</v>
      </c>
      <c r="D874" t="s">
        <v>16</v>
      </c>
      <c r="E874" t="s">
        <v>3139</v>
      </c>
      <c r="F874" t="s">
        <v>19</v>
      </c>
      <c r="G874" t="s">
        <v>19</v>
      </c>
      <c r="I874" s="2">
        <v>45712</v>
      </c>
      <c r="J874" t="s">
        <v>20</v>
      </c>
      <c r="K874" s="21">
        <v>-584.85</v>
      </c>
      <c r="L874" s="21">
        <v>-584.85</v>
      </c>
      <c r="M874">
        <v>0</v>
      </c>
      <c r="N874" s="21">
        <v>-584.85</v>
      </c>
    </row>
    <row r="875" spans="1:14">
      <c r="A875" t="str">
        <f>IFERROR(_xlfn.XLOOKUP(B875,Cuentas!$C$1:$C$521,Cuentas!$A$1:$A$521),"")</f>
        <v>Yuldor</v>
      </c>
      <c r="B875" t="s">
        <v>1008</v>
      </c>
      <c r="C875" t="s">
        <v>1009</v>
      </c>
      <c r="D875" t="s">
        <v>16</v>
      </c>
      <c r="E875" t="s">
        <v>3139</v>
      </c>
      <c r="F875" t="s">
        <v>19</v>
      </c>
      <c r="G875" t="s">
        <v>19</v>
      </c>
      <c r="I875" s="2">
        <v>45726</v>
      </c>
      <c r="J875" t="s">
        <v>20</v>
      </c>
      <c r="K875" s="21">
        <v>-3525.45</v>
      </c>
      <c r="L875" s="21">
        <v>-3525.45</v>
      </c>
      <c r="M875">
        <v>11</v>
      </c>
      <c r="N875" s="21">
        <v>-3525.45</v>
      </c>
    </row>
    <row r="876" spans="1:14">
      <c r="A876" t="str">
        <f>IFERROR(_xlfn.XLOOKUP(B876,Cuentas!$C$1:$C$521,Cuentas!$A$1:$A$521),"")</f>
        <v>Yuldor</v>
      </c>
      <c r="B876" t="s">
        <v>1008</v>
      </c>
      <c r="C876" t="s">
        <v>1009</v>
      </c>
      <c r="D876" t="s">
        <v>16</v>
      </c>
      <c r="E876" t="s">
        <v>7</v>
      </c>
      <c r="F876" t="s">
        <v>1010</v>
      </c>
      <c r="G876" t="s">
        <v>1010</v>
      </c>
      <c r="H876" s="2">
        <v>45712</v>
      </c>
      <c r="I876" s="2">
        <v>45742</v>
      </c>
      <c r="J876" t="s">
        <v>20</v>
      </c>
      <c r="K876" s="21">
        <v>204</v>
      </c>
      <c r="L876" s="21">
        <v>204</v>
      </c>
      <c r="M876">
        <v>13</v>
      </c>
      <c r="N876" s="21">
        <v>204</v>
      </c>
    </row>
    <row r="877" spans="1:14">
      <c r="A877" t="str">
        <f>IFERROR(_xlfn.XLOOKUP(B877,Cuentas!$C$1:$C$521,Cuentas!$A$1:$A$521),"")</f>
        <v>Yuldor</v>
      </c>
      <c r="B877" t="s">
        <v>1008</v>
      </c>
      <c r="C877" t="s">
        <v>1009</v>
      </c>
      <c r="D877" t="s">
        <v>16</v>
      </c>
      <c r="E877" t="s">
        <v>7</v>
      </c>
      <c r="F877" t="s">
        <v>1011</v>
      </c>
      <c r="G877" t="s">
        <v>1011</v>
      </c>
      <c r="H877" s="2">
        <v>45713</v>
      </c>
      <c r="I877" s="2">
        <v>45743</v>
      </c>
      <c r="J877" t="s">
        <v>20</v>
      </c>
      <c r="K877" s="21">
        <v>556</v>
      </c>
      <c r="L877" s="21">
        <v>556</v>
      </c>
      <c r="M877">
        <v>13</v>
      </c>
      <c r="N877" s="21">
        <v>556</v>
      </c>
    </row>
    <row r="878" spans="1:14">
      <c r="A878" t="str">
        <f>IFERROR(_xlfn.XLOOKUP(B878,Cuentas!$C$1:$C$521,Cuentas!$A$1:$A$521),"")</f>
        <v>Yuldor</v>
      </c>
      <c r="B878" t="s">
        <v>1008</v>
      </c>
      <c r="C878" t="s">
        <v>1009</v>
      </c>
      <c r="D878" t="s">
        <v>16</v>
      </c>
      <c r="E878" t="s">
        <v>7</v>
      </c>
      <c r="F878" t="s">
        <v>1012</v>
      </c>
      <c r="G878" t="s">
        <v>1012</v>
      </c>
      <c r="H878" s="2">
        <v>45741</v>
      </c>
      <c r="I878" s="2">
        <v>45771</v>
      </c>
      <c r="J878" t="s">
        <v>20</v>
      </c>
      <c r="K878" s="21">
        <v>7200</v>
      </c>
      <c r="L878" s="21">
        <v>7200</v>
      </c>
      <c r="M878">
        <v>0</v>
      </c>
      <c r="N878" s="21">
        <v>0</v>
      </c>
    </row>
    <row r="879" spans="1:14">
      <c r="A879" t="str">
        <f>IFERROR(_xlfn.XLOOKUP(B879,Cuentas!$C$1:$C$521,Cuentas!$A$1:$A$521),"")</f>
        <v>Nicolas</v>
      </c>
      <c r="B879" t="s">
        <v>1013</v>
      </c>
      <c r="C879" t="s">
        <v>1014</v>
      </c>
      <c r="D879" t="s">
        <v>16</v>
      </c>
      <c r="E879" t="s">
        <v>7</v>
      </c>
      <c r="F879" t="s">
        <v>1015</v>
      </c>
      <c r="G879" t="s">
        <v>1015</v>
      </c>
      <c r="H879" s="2">
        <v>45742</v>
      </c>
      <c r="I879" s="2">
        <v>45772</v>
      </c>
      <c r="J879" t="s">
        <v>20</v>
      </c>
      <c r="K879" s="21">
        <v>466.18</v>
      </c>
      <c r="L879" s="21">
        <v>466.18</v>
      </c>
      <c r="M879">
        <v>0</v>
      </c>
      <c r="N879" s="21">
        <v>0</v>
      </c>
    </row>
    <row r="880" spans="1:14">
      <c r="A880" t="str">
        <f>IFERROR(_xlfn.XLOOKUP(B880,Cuentas!$C$1:$C$521,Cuentas!$A$1:$A$521),"")</f>
        <v>Nicolas</v>
      </c>
      <c r="B880" t="s">
        <v>1016</v>
      </c>
      <c r="C880" t="s">
        <v>1017</v>
      </c>
      <c r="D880" t="s">
        <v>16</v>
      </c>
      <c r="E880" t="s">
        <v>3139</v>
      </c>
      <c r="F880" t="s">
        <v>19</v>
      </c>
      <c r="G880" t="s">
        <v>19</v>
      </c>
      <c r="I880" s="2">
        <v>45343</v>
      </c>
      <c r="J880" t="s">
        <v>20</v>
      </c>
      <c r="K880" s="21">
        <v>-117.9</v>
      </c>
      <c r="L880" s="21">
        <v>-117.9</v>
      </c>
      <c r="M880">
        <v>0</v>
      </c>
      <c r="N880" s="21">
        <v>-117.9</v>
      </c>
    </row>
    <row r="881" spans="1:14">
      <c r="A881" t="str">
        <f>IFERROR(_xlfn.XLOOKUP(B881,Cuentas!$C$1:$C$521,Cuentas!$A$1:$A$521),"")</f>
        <v>Nicolas</v>
      </c>
      <c r="B881" t="s">
        <v>1016</v>
      </c>
      <c r="C881" t="s">
        <v>1017</v>
      </c>
      <c r="D881" t="s">
        <v>16</v>
      </c>
      <c r="E881" t="s">
        <v>7</v>
      </c>
      <c r="F881" t="s">
        <v>1018</v>
      </c>
      <c r="G881" t="s">
        <v>1018</v>
      </c>
      <c r="H881" s="2">
        <v>45686</v>
      </c>
      <c r="I881" s="2">
        <v>45716</v>
      </c>
      <c r="J881" t="s">
        <v>20</v>
      </c>
      <c r="K881" s="21">
        <v>392.15</v>
      </c>
      <c r="L881" s="21">
        <v>392.15</v>
      </c>
      <c r="M881">
        <v>0</v>
      </c>
      <c r="N881" s="21">
        <v>392.15</v>
      </c>
    </row>
    <row r="882" spans="1:14">
      <c r="A882" t="str">
        <f>IFERROR(_xlfn.XLOOKUP(B882,Cuentas!$C$1:$C$521,Cuentas!$A$1:$A$521),"")</f>
        <v>Yuldor</v>
      </c>
      <c r="B882" t="s">
        <v>1019</v>
      </c>
      <c r="C882" t="s">
        <v>1020</v>
      </c>
      <c r="D882" t="s">
        <v>16</v>
      </c>
      <c r="E882" t="s">
        <v>5502</v>
      </c>
      <c r="F882" t="s">
        <v>1021</v>
      </c>
      <c r="G882" t="s">
        <v>19</v>
      </c>
      <c r="I882" s="2">
        <v>45519</v>
      </c>
      <c r="J882" t="s">
        <v>20</v>
      </c>
      <c r="K882" s="21">
        <v>-142.84</v>
      </c>
      <c r="L882" s="21">
        <v>-142.84</v>
      </c>
      <c r="M882">
        <v>0</v>
      </c>
      <c r="N882" s="21">
        <v>-142.84</v>
      </c>
    </row>
    <row r="883" spans="1:14">
      <c r="A883" t="str">
        <f>IFERROR(_xlfn.XLOOKUP(B883,Cuentas!$C$1:$C$521,Cuentas!$A$1:$A$521),"")</f>
        <v>Yuldor</v>
      </c>
      <c r="B883" t="s">
        <v>1019</v>
      </c>
      <c r="C883" t="s">
        <v>1020</v>
      </c>
      <c r="D883" t="s">
        <v>16</v>
      </c>
      <c r="E883" t="s">
        <v>7</v>
      </c>
      <c r="F883" t="s">
        <v>1022</v>
      </c>
      <c r="G883" t="s">
        <v>1022</v>
      </c>
      <c r="H883" s="2">
        <v>45590</v>
      </c>
      <c r="I883" s="2">
        <v>45620</v>
      </c>
      <c r="J883" t="s">
        <v>20</v>
      </c>
      <c r="K883" s="21">
        <v>7428.83</v>
      </c>
      <c r="L883" s="21">
        <v>500.03</v>
      </c>
      <c r="M883">
        <v>0</v>
      </c>
      <c r="N883" s="21">
        <v>500.03</v>
      </c>
    </row>
    <row r="884" spans="1:14">
      <c r="A884" t="str">
        <f>IFERROR(_xlfn.XLOOKUP(B884,Cuentas!$C$1:$C$521,Cuentas!$A$1:$A$521),"")</f>
        <v>Yuldor</v>
      </c>
      <c r="B884" t="s">
        <v>1019</v>
      </c>
      <c r="C884" t="s">
        <v>1020</v>
      </c>
      <c r="D884" t="s">
        <v>16</v>
      </c>
      <c r="E884" t="s">
        <v>5502</v>
      </c>
      <c r="F884" t="s">
        <v>1023</v>
      </c>
      <c r="G884" t="s">
        <v>1022</v>
      </c>
      <c r="I884" s="2">
        <v>45636</v>
      </c>
      <c r="J884" t="s">
        <v>20</v>
      </c>
      <c r="K884" s="21">
        <v>-750.83</v>
      </c>
      <c r="L884" s="21" t="s">
        <v>86</v>
      </c>
      <c r="M884">
        <v>0</v>
      </c>
      <c r="N884" s="21" t="s">
        <v>86</v>
      </c>
    </row>
    <row r="885" spans="1:14">
      <c r="A885" t="str">
        <f>IFERROR(_xlfn.XLOOKUP(B885,Cuentas!$C$1:$C$521,Cuentas!$A$1:$A$521),"")</f>
        <v>Yuldor</v>
      </c>
      <c r="B885" t="s">
        <v>1019</v>
      </c>
      <c r="C885" t="s">
        <v>1020</v>
      </c>
      <c r="D885" t="s">
        <v>16</v>
      </c>
      <c r="E885" t="s">
        <v>3139</v>
      </c>
      <c r="F885" t="s">
        <v>1022</v>
      </c>
      <c r="G885" t="s">
        <v>1022</v>
      </c>
      <c r="I885" s="2">
        <v>45625</v>
      </c>
      <c r="J885" t="s">
        <v>20</v>
      </c>
      <c r="K885" s="21">
        <v>-6177.97</v>
      </c>
      <c r="L885" s="21" t="s">
        <v>86</v>
      </c>
      <c r="M885">
        <v>0</v>
      </c>
      <c r="N885" s="21" t="s">
        <v>86</v>
      </c>
    </row>
    <row r="886" spans="1:14">
      <c r="A886" t="str">
        <f>IFERROR(_xlfn.XLOOKUP(B886,Cuentas!$C$1:$C$521,Cuentas!$A$1:$A$521),"")</f>
        <v>Yuldor</v>
      </c>
      <c r="B886" t="s">
        <v>1019</v>
      </c>
      <c r="C886" t="s">
        <v>1020</v>
      </c>
      <c r="D886" t="s">
        <v>16</v>
      </c>
      <c r="E886" t="s">
        <v>7</v>
      </c>
      <c r="F886" t="s">
        <v>1024</v>
      </c>
      <c r="G886" t="s">
        <v>1024</v>
      </c>
      <c r="H886" s="2">
        <v>45653</v>
      </c>
      <c r="I886" s="2">
        <v>45683</v>
      </c>
      <c r="J886" t="s">
        <v>20</v>
      </c>
      <c r="K886" s="21">
        <v>6341.78</v>
      </c>
      <c r="L886" s="21">
        <v>202.5</v>
      </c>
      <c r="M886">
        <v>0</v>
      </c>
      <c r="N886" s="21">
        <v>202.5</v>
      </c>
    </row>
    <row r="887" spans="1:14">
      <c r="A887" t="str">
        <f>IFERROR(_xlfn.XLOOKUP(B887,Cuentas!$C$1:$C$521,Cuentas!$A$1:$A$521),"")</f>
        <v>Yuldor</v>
      </c>
      <c r="B887" t="s">
        <v>1019</v>
      </c>
      <c r="C887" t="s">
        <v>1020</v>
      </c>
      <c r="D887" t="s">
        <v>16</v>
      </c>
      <c r="E887" t="s">
        <v>5502</v>
      </c>
      <c r="F887" t="s">
        <v>1025</v>
      </c>
      <c r="G887" t="s">
        <v>1024</v>
      </c>
      <c r="I887" s="2">
        <v>45559</v>
      </c>
      <c r="J887" t="s">
        <v>20</v>
      </c>
      <c r="K887" s="21">
        <v>-0.3</v>
      </c>
      <c r="L887" s="21" t="s">
        <v>86</v>
      </c>
      <c r="M887">
        <v>0</v>
      </c>
      <c r="N887" s="21" t="s">
        <v>86</v>
      </c>
    </row>
    <row r="888" spans="1:14">
      <c r="A888" t="str">
        <f>IFERROR(_xlfn.XLOOKUP(B888,Cuentas!$C$1:$C$521,Cuentas!$A$1:$A$521),"")</f>
        <v>Yuldor</v>
      </c>
      <c r="B888" t="s">
        <v>1019</v>
      </c>
      <c r="C888" t="s">
        <v>1020</v>
      </c>
      <c r="D888" t="s">
        <v>16</v>
      </c>
      <c r="E888" t="s">
        <v>3139</v>
      </c>
      <c r="F888" t="s">
        <v>1024</v>
      </c>
      <c r="G888" t="s">
        <v>1024</v>
      </c>
      <c r="I888" s="2">
        <v>45684</v>
      </c>
      <c r="J888" t="s">
        <v>20</v>
      </c>
      <c r="K888" s="21">
        <v>-6138.98</v>
      </c>
      <c r="L888" s="21" t="s">
        <v>86</v>
      </c>
      <c r="M888">
        <v>0</v>
      </c>
      <c r="N888" s="21" t="s">
        <v>86</v>
      </c>
    </row>
    <row r="889" spans="1:14">
      <c r="A889" t="str">
        <f>IFERROR(_xlfn.XLOOKUP(B889,Cuentas!$C$1:$C$521,Cuentas!$A$1:$A$521),"")</f>
        <v>Yuldor</v>
      </c>
      <c r="B889" t="s">
        <v>1019</v>
      </c>
      <c r="C889" t="s">
        <v>1020</v>
      </c>
      <c r="D889" t="s">
        <v>16</v>
      </c>
      <c r="E889" t="s">
        <v>7</v>
      </c>
      <c r="F889" t="s">
        <v>1026</v>
      </c>
      <c r="G889" t="s">
        <v>1026</v>
      </c>
      <c r="H889" s="2">
        <v>45680</v>
      </c>
      <c r="I889" s="2">
        <v>45710</v>
      </c>
      <c r="J889" t="s">
        <v>20</v>
      </c>
      <c r="K889" s="21">
        <v>10830.28</v>
      </c>
      <c r="L889" s="21">
        <v>1410.28</v>
      </c>
      <c r="M889">
        <v>0</v>
      </c>
      <c r="N889" s="21">
        <v>1410.28</v>
      </c>
    </row>
    <row r="890" spans="1:14">
      <c r="A890" t="str">
        <f>IFERROR(_xlfn.XLOOKUP(B890,Cuentas!$C$1:$C$521,Cuentas!$A$1:$A$521),"")</f>
        <v>Yuldor</v>
      </c>
      <c r="B890" t="s">
        <v>1019</v>
      </c>
      <c r="C890" t="s">
        <v>1020</v>
      </c>
      <c r="D890" t="s">
        <v>16</v>
      </c>
      <c r="E890" t="s">
        <v>3139</v>
      </c>
      <c r="F890" t="s">
        <v>1026</v>
      </c>
      <c r="G890" t="s">
        <v>1026</v>
      </c>
      <c r="I890" s="2">
        <v>45712</v>
      </c>
      <c r="J890" t="s">
        <v>20</v>
      </c>
      <c r="K890" s="21">
        <v>-9420</v>
      </c>
      <c r="L890" s="21" t="s">
        <v>86</v>
      </c>
      <c r="M890">
        <v>0</v>
      </c>
      <c r="N890" s="21" t="s">
        <v>86</v>
      </c>
    </row>
    <row r="891" spans="1:14">
      <c r="A891" t="str">
        <f>IFERROR(_xlfn.XLOOKUP(B891,Cuentas!$C$1:$C$521,Cuentas!$A$1:$A$521),"")</f>
        <v>Yuldor</v>
      </c>
      <c r="B891" t="s">
        <v>1027</v>
      </c>
      <c r="C891" t="s">
        <v>1028</v>
      </c>
      <c r="D891" t="s">
        <v>16</v>
      </c>
      <c r="E891" t="s">
        <v>7</v>
      </c>
      <c r="F891" t="s">
        <v>1029</v>
      </c>
      <c r="G891" t="s">
        <v>1029</v>
      </c>
      <c r="H891" s="2">
        <v>45708</v>
      </c>
      <c r="I891" s="2">
        <v>45738</v>
      </c>
      <c r="J891" t="s">
        <v>20</v>
      </c>
      <c r="K891" s="21">
        <v>128</v>
      </c>
      <c r="L891" s="21">
        <v>128</v>
      </c>
      <c r="M891">
        <v>12</v>
      </c>
      <c r="N891" s="21">
        <v>128</v>
      </c>
    </row>
    <row r="892" spans="1:14">
      <c r="A892" t="str">
        <f>IFERROR(_xlfn.XLOOKUP(B892,Cuentas!$C$1:$C$521,Cuentas!$A$1:$A$521),"")</f>
        <v>Yuldor</v>
      </c>
      <c r="B892" t="s">
        <v>1027</v>
      </c>
      <c r="C892" t="s">
        <v>1028</v>
      </c>
      <c r="D892" t="s">
        <v>16</v>
      </c>
      <c r="E892" t="s">
        <v>7</v>
      </c>
      <c r="F892" t="s">
        <v>1030</v>
      </c>
      <c r="G892" t="s">
        <v>1030</v>
      </c>
      <c r="H892" s="2">
        <v>45713</v>
      </c>
      <c r="I892" s="2">
        <v>45743</v>
      </c>
      <c r="J892" t="s">
        <v>20</v>
      </c>
      <c r="K892" s="21">
        <v>540</v>
      </c>
      <c r="L892" s="21">
        <v>540</v>
      </c>
      <c r="M892">
        <v>13</v>
      </c>
      <c r="N892" s="21">
        <v>540</v>
      </c>
    </row>
    <row r="893" spans="1:14">
      <c r="A893" t="str">
        <f>IFERROR(_xlfn.XLOOKUP(B893,Cuentas!$C$1:$C$521,Cuentas!$A$1:$A$521),"")</f>
        <v>Yuldor</v>
      </c>
      <c r="B893" t="s">
        <v>1027</v>
      </c>
      <c r="C893" t="s">
        <v>1028</v>
      </c>
      <c r="D893" t="s">
        <v>16</v>
      </c>
      <c r="E893" t="s">
        <v>7</v>
      </c>
      <c r="F893" t="s">
        <v>1031</v>
      </c>
      <c r="G893" t="s">
        <v>1031</v>
      </c>
      <c r="H893" s="2">
        <v>45728</v>
      </c>
      <c r="I893" s="2">
        <v>45758</v>
      </c>
      <c r="J893" t="s">
        <v>20</v>
      </c>
      <c r="K893" s="21">
        <v>98</v>
      </c>
      <c r="L893" s="21">
        <v>94.5</v>
      </c>
      <c r="M893">
        <v>0</v>
      </c>
      <c r="N893" s="21">
        <v>0</v>
      </c>
    </row>
    <row r="894" spans="1:14">
      <c r="A894" t="str">
        <f>IFERROR(_xlfn.XLOOKUP(B894,Cuentas!$C$1:$C$521,Cuentas!$A$1:$A$521),"")</f>
        <v>Yuldor</v>
      </c>
      <c r="B894" t="s">
        <v>1027</v>
      </c>
      <c r="C894" t="s">
        <v>1028</v>
      </c>
      <c r="D894" t="s">
        <v>16</v>
      </c>
      <c r="E894" t="s">
        <v>5502</v>
      </c>
      <c r="F894" t="s">
        <v>1032</v>
      </c>
      <c r="G894" t="s">
        <v>1031</v>
      </c>
      <c r="I894" s="2">
        <v>45741</v>
      </c>
      <c r="J894" t="s">
        <v>20</v>
      </c>
      <c r="K894" s="21">
        <v>-3.5</v>
      </c>
      <c r="L894" s="21" t="s">
        <v>86</v>
      </c>
      <c r="M894">
        <v>13</v>
      </c>
      <c r="N894" s="21" t="s">
        <v>86</v>
      </c>
    </row>
    <row r="895" spans="1:14">
      <c r="A895" t="str">
        <f>IFERROR(_xlfn.XLOOKUP(B895,Cuentas!$C$1:$C$521,Cuentas!$A$1:$A$521),"")</f>
        <v>Yuldor</v>
      </c>
      <c r="B895" t="s">
        <v>1027</v>
      </c>
      <c r="C895" t="s">
        <v>1028</v>
      </c>
      <c r="D895" t="s">
        <v>16</v>
      </c>
      <c r="E895" t="s">
        <v>7</v>
      </c>
      <c r="F895" t="s">
        <v>1033</v>
      </c>
      <c r="G895" t="s">
        <v>1033</v>
      </c>
      <c r="H895" s="2">
        <v>45729</v>
      </c>
      <c r="I895" s="2">
        <v>45759</v>
      </c>
      <c r="J895" t="s">
        <v>20</v>
      </c>
      <c r="K895" s="21">
        <v>453.6</v>
      </c>
      <c r="L895" s="21">
        <v>453.6</v>
      </c>
      <c r="M895">
        <v>0</v>
      </c>
      <c r="N895" s="21">
        <v>0</v>
      </c>
    </row>
    <row r="896" spans="1:14">
      <c r="A896" t="str">
        <f>IFERROR(_xlfn.XLOOKUP(B896,Cuentas!$C$1:$C$521,Cuentas!$A$1:$A$521),"")</f>
        <v>Yuldor</v>
      </c>
      <c r="B896" t="s">
        <v>1027</v>
      </c>
      <c r="C896" t="s">
        <v>1028</v>
      </c>
      <c r="D896" t="s">
        <v>16</v>
      </c>
      <c r="E896" t="s">
        <v>7</v>
      </c>
      <c r="F896" t="s">
        <v>1034</v>
      </c>
      <c r="G896" t="s">
        <v>1034</v>
      </c>
      <c r="H896" s="2">
        <v>45736</v>
      </c>
      <c r="I896" s="2">
        <v>45766</v>
      </c>
      <c r="J896" t="s">
        <v>20</v>
      </c>
      <c r="K896" s="21">
        <v>2220</v>
      </c>
      <c r="L896" s="21">
        <v>2220</v>
      </c>
      <c r="M896">
        <v>0</v>
      </c>
      <c r="N896" s="21">
        <v>0</v>
      </c>
    </row>
    <row r="897" spans="1:14">
      <c r="A897" t="str">
        <f>IFERROR(_xlfn.XLOOKUP(B897,Cuentas!$C$1:$C$521,Cuentas!$A$1:$A$521),"")</f>
        <v>Yuldor</v>
      </c>
      <c r="B897" t="s">
        <v>1027</v>
      </c>
      <c r="C897" t="s">
        <v>1028</v>
      </c>
      <c r="D897" t="s">
        <v>16</v>
      </c>
      <c r="E897" t="s">
        <v>7</v>
      </c>
      <c r="F897" t="s">
        <v>1035</v>
      </c>
      <c r="G897" t="s">
        <v>1035</v>
      </c>
      <c r="H897" s="2">
        <v>45737</v>
      </c>
      <c r="I897" s="2">
        <v>45767</v>
      </c>
      <c r="J897" t="s">
        <v>20</v>
      </c>
      <c r="K897" s="21">
        <v>1476</v>
      </c>
      <c r="L897" s="21">
        <v>1476</v>
      </c>
      <c r="M897">
        <v>0</v>
      </c>
      <c r="N897" s="21">
        <v>0</v>
      </c>
    </row>
    <row r="898" spans="1:14">
      <c r="A898" t="str">
        <f>IFERROR(_xlfn.XLOOKUP(B898,Cuentas!$C$1:$C$521,Cuentas!$A$1:$A$521),"")</f>
        <v>Yuldor</v>
      </c>
      <c r="B898" t="s">
        <v>1027</v>
      </c>
      <c r="C898" t="s">
        <v>1028</v>
      </c>
      <c r="D898" t="s">
        <v>16</v>
      </c>
      <c r="E898" t="s">
        <v>7</v>
      </c>
      <c r="F898" t="s">
        <v>1036</v>
      </c>
      <c r="G898" t="s">
        <v>1036</v>
      </c>
      <c r="H898" s="2">
        <v>45741</v>
      </c>
      <c r="I898" s="2">
        <v>45771</v>
      </c>
      <c r="J898" t="s">
        <v>20</v>
      </c>
      <c r="K898" s="21">
        <v>164</v>
      </c>
      <c r="L898" s="21">
        <v>164</v>
      </c>
      <c r="M898">
        <v>0</v>
      </c>
      <c r="N898" s="21">
        <v>0</v>
      </c>
    </row>
    <row r="899" spans="1:14">
      <c r="A899" t="str">
        <f>IFERROR(_xlfn.XLOOKUP(B899,Cuentas!$C$1:$C$521,Cuentas!$A$1:$A$521),"")</f>
        <v>Yuldor</v>
      </c>
      <c r="B899" t="s">
        <v>1037</v>
      </c>
      <c r="C899" t="s">
        <v>1038</v>
      </c>
      <c r="D899" t="s">
        <v>16</v>
      </c>
      <c r="E899" t="s">
        <v>7</v>
      </c>
      <c r="F899" t="s">
        <v>1039</v>
      </c>
      <c r="G899" t="s">
        <v>1039</v>
      </c>
      <c r="H899" s="2">
        <v>45734</v>
      </c>
      <c r="I899" s="2">
        <v>45764</v>
      </c>
      <c r="J899" t="s">
        <v>20</v>
      </c>
      <c r="K899" s="21">
        <v>16218.25</v>
      </c>
      <c r="L899" s="21">
        <v>16218.25</v>
      </c>
      <c r="M899">
        <v>0</v>
      </c>
      <c r="N899" s="21">
        <v>0</v>
      </c>
    </row>
    <row r="900" spans="1:14">
      <c r="A900" t="str">
        <f>IFERROR(_xlfn.XLOOKUP(B900,Cuentas!$C$1:$C$521,Cuentas!$A$1:$A$521),"")</f>
        <v>Yuldor</v>
      </c>
      <c r="B900" t="s">
        <v>1037</v>
      </c>
      <c r="C900" t="s">
        <v>1038</v>
      </c>
      <c r="D900" t="s">
        <v>16</v>
      </c>
      <c r="E900" t="s">
        <v>7</v>
      </c>
      <c r="F900" t="s">
        <v>1040</v>
      </c>
      <c r="G900" t="s">
        <v>1040</v>
      </c>
      <c r="H900" s="2">
        <v>45740</v>
      </c>
      <c r="I900" s="2">
        <v>45770</v>
      </c>
      <c r="J900" t="s">
        <v>20</v>
      </c>
      <c r="K900" s="21">
        <v>12951</v>
      </c>
      <c r="L900" s="21">
        <v>12951</v>
      </c>
      <c r="M900">
        <v>0</v>
      </c>
      <c r="N900" s="21">
        <v>0</v>
      </c>
    </row>
    <row r="901" spans="1:14">
      <c r="A901" t="str">
        <f>IFERROR(_xlfn.XLOOKUP(B901,Cuentas!$C$1:$C$521,Cuentas!$A$1:$A$521),"")</f>
        <v>Nicolas</v>
      </c>
      <c r="B901" t="s">
        <v>1041</v>
      </c>
      <c r="C901" t="s">
        <v>1042</v>
      </c>
      <c r="D901" t="s">
        <v>382</v>
      </c>
      <c r="E901" t="s">
        <v>7</v>
      </c>
      <c r="F901" t="s">
        <v>1043</v>
      </c>
      <c r="G901" t="s">
        <v>1043</v>
      </c>
      <c r="H901" s="2">
        <v>45576</v>
      </c>
      <c r="I901" s="2">
        <v>45636</v>
      </c>
      <c r="J901" t="s">
        <v>20</v>
      </c>
      <c r="K901" s="21">
        <v>11450</v>
      </c>
      <c r="L901" s="21">
        <v>1000</v>
      </c>
      <c r="M901">
        <v>0</v>
      </c>
      <c r="N901" s="21">
        <v>1000</v>
      </c>
    </row>
    <row r="902" spans="1:14">
      <c r="A902" t="str">
        <f>IFERROR(_xlfn.XLOOKUP(B902,Cuentas!$C$1:$C$521,Cuentas!$A$1:$A$521),"")</f>
        <v>Nicolas</v>
      </c>
      <c r="B902" t="s">
        <v>1041</v>
      </c>
      <c r="C902" t="s">
        <v>1042</v>
      </c>
      <c r="D902" t="s">
        <v>382</v>
      </c>
      <c r="E902" t="s">
        <v>3139</v>
      </c>
      <c r="F902" t="s">
        <v>1043</v>
      </c>
      <c r="G902" t="s">
        <v>1043</v>
      </c>
      <c r="I902" s="2">
        <v>45611</v>
      </c>
      <c r="J902" t="s">
        <v>20</v>
      </c>
      <c r="K902" s="21">
        <v>-10450</v>
      </c>
      <c r="L902" s="21" t="s">
        <v>86</v>
      </c>
      <c r="M902">
        <v>0</v>
      </c>
      <c r="N902" s="21" t="s">
        <v>86</v>
      </c>
    </row>
    <row r="903" spans="1:14">
      <c r="A903" t="str">
        <f>IFERROR(_xlfn.XLOOKUP(B903,Cuentas!$C$1:$C$521,Cuentas!$A$1:$A$521),"")</f>
        <v/>
      </c>
      <c r="B903" t="s">
        <v>1044</v>
      </c>
      <c r="C903" t="s">
        <v>1045</v>
      </c>
      <c r="D903" t="s">
        <v>16</v>
      </c>
      <c r="E903" t="s">
        <v>5502</v>
      </c>
      <c r="F903" t="s">
        <v>1046</v>
      </c>
      <c r="G903" t="s">
        <v>19</v>
      </c>
      <c r="I903" s="2">
        <v>45686</v>
      </c>
      <c r="J903" t="s">
        <v>20</v>
      </c>
      <c r="K903" s="21">
        <v>-1040</v>
      </c>
      <c r="L903" s="21">
        <v>-1040</v>
      </c>
      <c r="M903">
        <v>0</v>
      </c>
      <c r="N903" s="21">
        <v>-1040</v>
      </c>
    </row>
    <row r="904" spans="1:14">
      <c r="A904" t="str">
        <f>IFERROR(_xlfn.XLOOKUP(B904,Cuentas!$C$1:$C$521,Cuentas!$A$1:$A$521),"")</f>
        <v/>
      </c>
      <c r="B904" t="s">
        <v>1044</v>
      </c>
      <c r="C904" t="s">
        <v>1045</v>
      </c>
      <c r="D904" t="s">
        <v>16</v>
      </c>
      <c r="E904" t="s">
        <v>3139</v>
      </c>
      <c r="F904" t="s">
        <v>19</v>
      </c>
      <c r="G904" t="s">
        <v>19</v>
      </c>
      <c r="I904" s="2">
        <v>45713</v>
      </c>
      <c r="J904" t="s">
        <v>20</v>
      </c>
      <c r="K904" s="21">
        <v>-72.8</v>
      </c>
      <c r="L904" s="21">
        <v>-72.8</v>
      </c>
      <c r="M904">
        <v>0</v>
      </c>
      <c r="N904" s="21">
        <v>-72.8</v>
      </c>
    </row>
    <row r="905" spans="1:14">
      <c r="A905" t="str">
        <f>IFERROR(_xlfn.XLOOKUP(B905,Cuentas!$C$1:$C$521,Cuentas!$A$1:$A$521),"")</f>
        <v>Yuldor</v>
      </c>
      <c r="B905" t="s">
        <v>1047</v>
      </c>
      <c r="C905" t="s">
        <v>1048</v>
      </c>
      <c r="D905" t="s">
        <v>16</v>
      </c>
      <c r="E905" t="s">
        <v>3139</v>
      </c>
      <c r="F905" t="s">
        <v>19</v>
      </c>
      <c r="G905" t="s">
        <v>19</v>
      </c>
      <c r="I905" s="2">
        <v>45481</v>
      </c>
      <c r="J905" t="s">
        <v>20</v>
      </c>
      <c r="K905" s="21">
        <v>-2280</v>
      </c>
      <c r="L905" s="21">
        <v>-2280</v>
      </c>
      <c r="M905">
        <v>0</v>
      </c>
      <c r="N905" s="21">
        <v>-2280</v>
      </c>
    </row>
    <row r="906" spans="1:14">
      <c r="A906" t="str">
        <f>IFERROR(_xlfn.XLOOKUP(B906,Cuentas!$C$1:$C$521,Cuentas!$A$1:$A$521),"")</f>
        <v>Yuldor</v>
      </c>
      <c r="B906" t="s">
        <v>1047</v>
      </c>
      <c r="C906" t="s">
        <v>1048</v>
      </c>
      <c r="D906" t="s">
        <v>16</v>
      </c>
      <c r="E906" t="s">
        <v>7</v>
      </c>
      <c r="F906" t="s">
        <v>1049</v>
      </c>
      <c r="G906" t="s">
        <v>1049</v>
      </c>
      <c r="H906" s="2">
        <v>45616</v>
      </c>
      <c r="I906" s="2">
        <v>45646</v>
      </c>
      <c r="J906" t="s">
        <v>20</v>
      </c>
      <c r="K906" s="21">
        <v>3450</v>
      </c>
      <c r="L906" s="21">
        <v>3450</v>
      </c>
      <c r="M906">
        <v>0</v>
      </c>
      <c r="N906" s="21">
        <v>3450</v>
      </c>
    </row>
    <row r="907" spans="1:14">
      <c r="A907" t="str">
        <f>IFERROR(_xlfn.XLOOKUP(B907,Cuentas!$C$1:$C$521,Cuentas!$A$1:$A$521),"")</f>
        <v>Yuldor</v>
      </c>
      <c r="B907" t="s">
        <v>1047</v>
      </c>
      <c r="C907" t="s">
        <v>1048</v>
      </c>
      <c r="D907" t="s">
        <v>16</v>
      </c>
      <c r="E907" t="s">
        <v>7</v>
      </c>
      <c r="F907" t="s">
        <v>1050</v>
      </c>
      <c r="G907" t="s">
        <v>1050</v>
      </c>
      <c r="H907" s="2">
        <v>45665</v>
      </c>
      <c r="I907" s="2">
        <v>45695</v>
      </c>
      <c r="J907" t="s">
        <v>20</v>
      </c>
      <c r="K907" s="21">
        <v>2415</v>
      </c>
      <c r="L907" s="21">
        <v>2415</v>
      </c>
      <c r="M907">
        <v>0</v>
      </c>
      <c r="N907" s="21">
        <v>2415</v>
      </c>
    </row>
    <row r="908" spans="1:14">
      <c r="A908" t="str">
        <f>IFERROR(_xlfn.XLOOKUP(B908,Cuentas!$C$1:$C$521,Cuentas!$A$1:$A$521),"")</f>
        <v>Yuldor</v>
      </c>
      <c r="B908" t="s">
        <v>1047</v>
      </c>
      <c r="C908" t="s">
        <v>1048</v>
      </c>
      <c r="D908" t="s">
        <v>16</v>
      </c>
      <c r="E908" t="s">
        <v>7</v>
      </c>
      <c r="F908" t="s">
        <v>1051</v>
      </c>
      <c r="G908" t="s">
        <v>1051</v>
      </c>
      <c r="H908" s="2">
        <v>45680</v>
      </c>
      <c r="I908" s="2">
        <v>45710</v>
      </c>
      <c r="J908" t="s">
        <v>20</v>
      </c>
      <c r="K908" s="21">
        <v>3090</v>
      </c>
      <c r="L908" s="21">
        <v>3090</v>
      </c>
      <c r="M908">
        <v>0</v>
      </c>
      <c r="N908" s="21">
        <v>3090</v>
      </c>
    </row>
    <row r="909" spans="1:14">
      <c r="A909" t="str">
        <f>IFERROR(_xlfn.XLOOKUP(B909,Cuentas!$C$1:$C$521,Cuentas!$A$1:$A$521),"")</f>
        <v>Yuldor</v>
      </c>
      <c r="B909" t="s">
        <v>1047</v>
      </c>
      <c r="C909" t="s">
        <v>1048</v>
      </c>
      <c r="D909" t="s">
        <v>16</v>
      </c>
      <c r="E909" t="s">
        <v>7</v>
      </c>
      <c r="F909" t="s">
        <v>1052</v>
      </c>
      <c r="G909" t="s">
        <v>1052</v>
      </c>
      <c r="H909" s="2">
        <v>45681</v>
      </c>
      <c r="I909" s="2">
        <v>45711</v>
      </c>
      <c r="J909" t="s">
        <v>20</v>
      </c>
      <c r="K909" s="21">
        <v>80</v>
      </c>
      <c r="L909" s="21">
        <v>80</v>
      </c>
      <c r="M909">
        <v>0</v>
      </c>
      <c r="N909" s="21">
        <v>80</v>
      </c>
    </row>
    <row r="910" spans="1:14">
      <c r="A910" t="str">
        <f>IFERROR(_xlfn.XLOOKUP(B910,Cuentas!$C$1:$C$521,Cuentas!$A$1:$A$521),"")</f>
        <v>Yuldor</v>
      </c>
      <c r="B910" t="s">
        <v>1047</v>
      </c>
      <c r="C910" t="s">
        <v>1048</v>
      </c>
      <c r="D910" t="s">
        <v>16</v>
      </c>
      <c r="E910" t="s">
        <v>7</v>
      </c>
      <c r="F910" t="s">
        <v>1053</v>
      </c>
      <c r="G910" t="s">
        <v>1053</v>
      </c>
      <c r="H910" s="2">
        <v>45691</v>
      </c>
      <c r="I910" s="2">
        <v>45721</v>
      </c>
      <c r="J910" t="s">
        <v>20</v>
      </c>
      <c r="K910" s="21">
        <v>3090</v>
      </c>
      <c r="L910" s="21">
        <v>3090</v>
      </c>
      <c r="M910">
        <v>10</v>
      </c>
      <c r="N910" s="21">
        <v>3090</v>
      </c>
    </row>
    <row r="911" spans="1:14">
      <c r="A911" t="str">
        <f>IFERROR(_xlfn.XLOOKUP(B911,Cuentas!$C$1:$C$521,Cuentas!$A$1:$A$521),"")</f>
        <v>Yuldor</v>
      </c>
      <c r="B911" t="s">
        <v>1047</v>
      </c>
      <c r="C911" t="s">
        <v>1048</v>
      </c>
      <c r="D911" t="s">
        <v>16</v>
      </c>
      <c r="E911" t="s">
        <v>7</v>
      </c>
      <c r="F911" t="s">
        <v>1054</v>
      </c>
      <c r="G911" t="s">
        <v>1054</v>
      </c>
      <c r="H911" s="2">
        <v>45734</v>
      </c>
      <c r="I911" s="2">
        <v>45764</v>
      </c>
      <c r="J911" t="s">
        <v>20</v>
      </c>
      <c r="K911" s="21">
        <v>3090</v>
      </c>
      <c r="L911" s="21">
        <v>3090</v>
      </c>
      <c r="M911">
        <v>0</v>
      </c>
      <c r="N911" s="21">
        <v>0</v>
      </c>
    </row>
    <row r="912" spans="1:14">
      <c r="A912" t="str">
        <f>IFERROR(_xlfn.XLOOKUP(B912,Cuentas!$C$1:$C$521,Cuentas!$A$1:$A$521),"")</f>
        <v>Yuldor</v>
      </c>
      <c r="B912" t="s">
        <v>1055</v>
      </c>
      <c r="C912" t="s">
        <v>1056</v>
      </c>
      <c r="D912" t="s">
        <v>16</v>
      </c>
      <c r="E912" t="s">
        <v>5502</v>
      </c>
      <c r="F912" t="s">
        <v>1057</v>
      </c>
      <c r="G912" t="s">
        <v>19</v>
      </c>
      <c r="I912" s="2">
        <v>45314</v>
      </c>
      <c r="J912" t="s">
        <v>20</v>
      </c>
      <c r="K912" s="21">
        <v>-56</v>
      </c>
      <c r="L912" s="21">
        <v>-56</v>
      </c>
      <c r="M912">
        <v>0</v>
      </c>
      <c r="N912" s="21">
        <v>-56</v>
      </c>
    </row>
    <row r="913" spans="1:14">
      <c r="A913" t="str">
        <f>IFERROR(_xlfn.XLOOKUP(B913,Cuentas!$C$1:$C$521,Cuentas!$A$1:$A$521),"")</f>
        <v>Yuldor</v>
      </c>
      <c r="B913" t="s">
        <v>1055</v>
      </c>
      <c r="C913" t="s">
        <v>1056</v>
      </c>
      <c r="D913" t="s">
        <v>16</v>
      </c>
      <c r="E913" t="s">
        <v>5502</v>
      </c>
      <c r="F913" t="s">
        <v>1058</v>
      </c>
      <c r="G913" t="s">
        <v>19</v>
      </c>
      <c r="I913" s="2">
        <v>45341</v>
      </c>
      <c r="J913" t="s">
        <v>20</v>
      </c>
      <c r="K913" s="21">
        <v>-247.5</v>
      </c>
      <c r="L913" s="21">
        <v>-247.5</v>
      </c>
      <c r="M913">
        <v>0</v>
      </c>
      <c r="N913" s="21">
        <v>-247.5</v>
      </c>
    </row>
    <row r="914" spans="1:14">
      <c r="A914" t="str">
        <f>IFERROR(_xlfn.XLOOKUP(B914,Cuentas!$C$1:$C$521,Cuentas!$A$1:$A$521),"")</f>
        <v>Yuldor</v>
      </c>
      <c r="B914" t="s">
        <v>1055</v>
      </c>
      <c r="C914" t="s">
        <v>1056</v>
      </c>
      <c r="D914" t="s">
        <v>16</v>
      </c>
      <c r="E914" t="s">
        <v>7</v>
      </c>
      <c r="F914" t="s">
        <v>1059</v>
      </c>
      <c r="G914" t="s">
        <v>1059</v>
      </c>
      <c r="H914" s="2">
        <v>45713</v>
      </c>
      <c r="I914" s="2">
        <v>45743</v>
      </c>
      <c r="J914" t="s">
        <v>20</v>
      </c>
      <c r="K914" s="21">
        <v>1995</v>
      </c>
      <c r="L914" s="21">
        <v>1995</v>
      </c>
      <c r="M914">
        <v>13</v>
      </c>
      <c r="N914" s="21">
        <v>1995</v>
      </c>
    </row>
    <row r="915" spans="1:14">
      <c r="A915" t="str">
        <f>IFERROR(_xlfn.XLOOKUP(B915,Cuentas!$C$1:$C$521,Cuentas!$A$1:$A$521),"")</f>
        <v>Yuldor</v>
      </c>
      <c r="B915" t="s">
        <v>1055</v>
      </c>
      <c r="C915" t="s">
        <v>1056</v>
      </c>
      <c r="D915" t="s">
        <v>16</v>
      </c>
      <c r="E915" t="s">
        <v>7</v>
      </c>
      <c r="F915" t="s">
        <v>1060</v>
      </c>
      <c r="G915" t="s">
        <v>1060</v>
      </c>
      <c r="H915" s="2">
        <v>45727</v>
      </c>
      <c r="I915" s="2">
        <v>45757</v>
      </c>
      <c r="J915" t="s">
        <v>20</v>
      </c>
      <c r="K915" s="21">
        <v>15201.8</v>
      </c>
      <c r="L915" s="21">
        <v>15201.8</v>
      </c>
      <c r="M915">
        <v>0</v>
      </c>
      <c r="N915" s="21">
        <v>0</v>
      </c>
    </row>
    <row r="916" spans="1:14">
      <c r="A916" t="str">
        <f>IFERROR(_xlfn.XLOOKUP(B916,Cuentas!$C$1:$C$521,Cuentas!$A$1:$A$521),"")</f>
        <v>Nicolas</v>
      </c>
      <c r="B916" t="s">
        <v>1061</v>
      </c>
      <c r="C916" t="s">
        <v>1062</v>
      </c>
      <c r="D916" t="s">
        <v>16</v>
      </c>
      <c r="E916" t="s">
        <v>7</v>
      </c>
      <c r="F916" t="s">
        <v>1063</v>
      </c>
      <c r="G916" t="s">
        <v>1063</v>
      </c>
      <c r="H916" s="2">
        <v>45604</v>
      </c>
      <c r="I916" s="2">
        <v>45634</v>
      </c>
      <c r="J916" t="s">
        <v>20</v>
      </c>
      <c r="K916" s="21">
        <v>471.11</v>
      </c>
      <c r="L916" s="21">
        <v>471.11</v>
      </c>
      <c r="M916">
        <v>0</v>
      </c>
      <c r="N916" s="21">
        <v>471.11</v>
      </c>
    </row>
    <row r="917" spans="1:14">
      <c r="A917" t="str">
        <f>IFERROR(_xlfn.XLOOKUP(B917,Cuentas!$C$1:$C$521,Cuentas!$A$1:$A$521),"")</f>
        <v>Nicolas</v>
      </c>
      <c r="B917" t="s">
        <v>1064</v>
      </c>
      <c r="C917" t="s">
        <v>1065</v>
      </c>
      <c r="D917" t="s">
        <v>16</v>
      </c>
      <c r="E917" t="s">
        <v>7</v>
      </c>
      <c r="F917" t="s">
        <v>1066</v>
      </c>
      <c r="G917" t="s">
        <v>1066</v>
      </c>
      <c r="H917" s="2">
        <v>45741</v>
      </c>
      <c r="I917" s="2">
        <v>45771</v>
      </c>
      <c r="J917" t="s">
        <v>20</v>
      </c>
      <c r="K917" s="21">
        <v>644.42999999999995</v>
      </c>
      <c r="L917" s="21">
        <v>644.42999999999995</v>
      </c>
      <c r="M917">
        <v>0</v>
      </c>
      <c r="N917" s="21">
        <v>0</v>
      </c>
    </row>
    <row r="918" spans="1:14">
      <c r="A918" t="str">
        <f>IFERROR(_xlfn.XLOOKUP(B918,Cuentas!$C$1:$C$521,Cuentas!$A$1:$A$521),"")</f>
        <v>Yuldor</v>
      </c>
      <c r="B918" t="s">
        <v>1067</v>
      </c>
      <c r="C918" t="s">
        <v>1068</v>
      </c>
      <c r="D918" t="s">
        <v>213</v>
      </c>
      <c r="E918" t="s">
        <v>5502</v>
      </c>
      <c r="F918" t="s">
        <v>1069</v>
      </c>
      <c r="G918" t="s">
        <v>19</v>
      </c>
      <c r="I918" s="2">
        <v>45380</v>
      </c>
      <c r="J918" t="s">
        <v>20</v>
      </c>
      <c r="K918" s="21">
        <v>-8.93</v>
      </c>
      <c r="L918" s="21">
        <v>-8.93</v>
      </c>
      <c r="M918">
        <v>0</v>
      </c>
      <c r="N918" s="21">
        <v>-8.93</v>
      </c>
    </row>
    <row r="919" spans="1:14">
      <c r="A919" t="str">
        <f>IFERROR(_xlfn.XLOOKUP(B919,Cuentas!$C$1:$C$521,Cuentas!$A$1:$A$521),"")</f>
        <v>Yuldor</v>
      </c>
      <c r="B919" t="s">
        <v>1070</v>
      </c>
      <c r="C919" t="s">
        <v>1071</v>
      </c>
      <c r="D919" t="s">
        <v>213</v>
      </c>
      <c r="E919" t="s">
        <v>7</v>
      </c>
      <c r="F919" t="s">
        <v>1072</v>
      </c>
      <c r="G919" t="s">
        <v>1072</v>
      </c>
      <c r="H919" s="2">
        <v>45666</v>
      </c>
      <c r="I919" s="2">
        <v>45666</v>
      </c>
      <c r="J919" t="s">
        <v>20</v>
      </c>
      <c r="K919" s="21">
        <v>2225.6</v>
      </c>
      <c r="L919" s="21">
        <v>2225.6</v>
      </c>
      <c r="M919">
        <v>0</v>
      </c>
      <c r="N919" s="21">
        <v>2225.6</v>
      </c>
    </row>
    <row r="920" spans="1:14">
      <c r="A920" t="str">
        <f>IFERROR(_xlfn.XLOOKUP(B920,Cuentas!$C$1:$C$521,Cuentas!$A$1:$A$521),"")</f>
        <v>Nicolas</v>
      </c>
      <c r="B920" t="s">
        <v>1073</v>
      </c>
      <c r="C920" t="s">
        <v>1074</v>
      </c>
      <c r="D920" t="s">
        <v>16</v>
      </c>
      <c r="E920" t="s">
        <v>7</v>
      </c>
      <c r="F920" t="s">
        <v>1075</v>
      </c>
      <c r="G920" t="s">
        <v>1075</v>
      </c>
      <c r="H920" s="2">
        <v>45371</v>
      </c>
      <c r="I920" s="2">
        <v>45401</v>
      </c>
      <c r="J920" t="s">
        <v>20</v>
      </c>
      <c r="K920" s="21">
        <v>354.79</v>
      </c>
      <c r="L920" s="21">
        <v>354.79</v>
      </c>
      <c r="M920">
        <v>0</v>
      </c>
      <c r="N920" s="21">
        <v>354.79</v>
      </c>
    </row>
    <row r="921" spans="1:14">
      <c r="A921" t="str">
        <f>IFERROR(_xlfn.XLOOKUP(B921,Cuentas!$C$1:$C$521,Cuentas!$A$1:$A$521),"")</f>
        <v>Nicolas</v>
      </c>
      <c r="B921" t="s">
        <v>1073</v>
      </c>
      <c r="C921" t="s">
        <v>1074</v>
      </c>
      <c r="D921" t="s">
        <v>16</v>
      </c>
      <c r="E921" t="s">
        <v>7</v>
      </c>
      <c r="F921" t="s">
        <v>1076</v>
      </c>
      <c r="G921" t="s">
        <v>1076</v>
      </c>
      <c r="H921" s="2">
        <v>45609</v>
      </c>
      <c r="I921" s="2">
        <v>45639</v>
      </c>
      <c r="J921" t="s">
        <v>20</v>
      </c>
      <c r="K921" s="21">
        <v>22201.3</v>
      </c>
      <c r="L921" s="21">
        <v>2896.3</v>
      </c>
      <c r="M921">
        <v>0</v>
      </c>
      <c r="N921" s="21">
        <v>2896.3</v>
      </c>
    </row>
    <row r="922" spans="1:14">
      <c r="A922" t="str">
        <f>IFERROR(_xlfn.XLOOKUP(B922,Cuentas!$C$1:$C$521,Cuentas!$A$1:$A$521),"")</f>
        <v>Nicolas</v>
      </c>
      <c r="B922" t="s">
        <v>1073</v>
      </c>
      <c r="C922" t="s">
        <v>1074</v>
      </c>
      <c r="D922" t="s">
        <v>16</v>
      </c>
      <c r="E922" t="s">
        <v>3139</v>
      </c>
      <c r="F922" t="s">
        <v>1076</v>
      </c>
      <c r="G922" t="s">
        <v>1076</v>
      </c>
      <c r="I922" s="2">
        <v>45618</v>
      </c>
      <c r="J922" t="s">
        <v>20</v>
      </c>
      <c r="K922" s="21">
        <v>-19305</v>
      </c>
      <c r="L922" s="21" t="s">
        <v>86</v>
      </c>
      <c r="M922">
        <v>0</v>
      </c>
      <c r="N922" s="21" t="s">
        <v>86</v>
      </c>
    </row>
    <row r="923" spans="1:14">
      <c r="A923" t="str">
        <f>IFERROR(_xlfn.XLOOKUP(B923,Cuentas!$C$1:$C$521,Cuentas!$A$1:$A$521),"")</f>
        <v>Nicolas</v>
      </c>
      <c r="B923" t="s">
        <v>1073</v>
      </c>
      <c r="C923" t="s">
        <v>1074</v>
      </c>
      <c r="D923" t="s">
        <v>16</v>
      </c>
      <c r="E923" t="s">
        <v>7</v>
      </c>
      <c r="F923" t="s">
        <v>1077</v>
      </c>
      <c r="G923" t="s">
        <v>1077</v>
      </c>
      <c r="H923" s="2">
        <v>45723</v>
      </c>
      <c r="I923" s="2">
        <v>45753</v>
      </c>
      <c r="J923" t="s">
        <v>20</v>
      </c>
      <c r="K923" s="21">
        <v>24772.25</v>
      </c>
      <c r="L923" s="21">
        <v>231</v>
      </c>
      <c r="M923">
        <v>0</v>
      </c>
      <c r="N923" s="21">
        <v>0</v>
      </c>
    </row>
    <row r="924" spans="1:14">
      <c r="A924" t="str">
        <f>IFERROR(_xlfn.XLOOKUP(B924,Cuentas!$C$1:$C$521,Cuentas!$A$1:$A$521),"")</f>
        <v>Nicolas</v>
      </c>
      <c r="B924" t="s">
        <v>1073</v>
      </c>
      <c r="C924" t="s">
        <v>1074</v>
      </c>
      <c r="D924" t="s">
        <v>16</v>
      </c>
      <c r="E924" t="s">
        <v>3139</v>
      </c>
      <c r="F924" t="s">
        <v>1077</v>
      </c>
      <c r="G924" t="s">
        <v>1077</v>
      </c>
      <c r="I924" s="2">
        <v>45729</v>
      </c>
      <c r="J924" t="s">
        <v>20</v>
      </c>
      <c r="K924" s="21">
        <v>-24541.25</v>
      </c>
      <c r="L924" s="21" t="s">
        <v>86</v>
      </c>
      <c r="M924">
        <v>11</v>
      </c>
      <c r="N924" s="21" t="s">
        <v>86</v>
      </c>
    </row>
    <row r="925" spans="1:14">
      <c r="A925" t="str">
        <f>IFERROR(_xlfn.XLOOKUP(B925,Cuentas!$C$1:$C$521,Cuentas!$A$1:$A$521),"")</f>
        <v>Yuldor</v>
      </c>
      <c r="B925" t="s">
        <v>1078</v>
      </c>
      <c r="C925" t="s">
        <v>1079</v>
      </c>
      <c r="D925" t="s">
        <v>16</v>
      </c>
      <c r="E925" t="s">
        <v>7</v>
      </c>
      <c r="F925" t="s">
        <v>1080</v>
      </c>
      <c r="G925" t="s">
        <v>1080</v>
      </c>
      <c r="H925" s="2">
        <v>45362</v>
      </c>
      <c r="I925" s="2">
        <v>45392</v>
      </c>
      <c r="J925" t="s">
        <v>20</v>
      </c>
      <c r="K925" s="21">
        <v>276.62</v>
      </c>
      <c r="L925" s="21">
        <v>276.62</v>
      </c>
      <c r="M925">
        <v>0</v>
      </c>
      <c r="N925" s="21">
        <v>276.62</v>
      </c>
    </row>
    <row r="926" spans="1:14">
      <c r="A926" t="str">
        <f>IFERROR(_xlfn.XLOOKUP(B926,Cuentas!$C$1:$C$521,Cuentas!$A$1:$A$521),"")</f>
        <v>Yuldor</v>
      </c>
      <c r="B926" t="s">
        <v>1078</v>
      </c>
      <c r="C926" t="s">
        <v>1079</v>
      </c>
      <c r="D926" t="s">
        <v>16</v>
      </c>
      <c r="E926" t="s">
        <v>7</v>
      </c>
      <c r="F926" t="s">
        <v>1081</v>
      </c>
      <c r="G926" t="s">
        <v>1081</v>
      </c>
      <c r="H926" s="2">
        <v>45378</v>
      </c>
      <c r="I926" s="2">
        <v>45408</v>
      </c>
      <c r="J926" t="s">
        <v>20</v>
      </c>
      <c r="K926" s="21">
        <v>32.159999999999997</v>
      </c>
      <c r="L926" s="21">
        <v>32.159999999999997</v>
      </c>
      <c r="M926">
        <v>0</v>
      </c>
      <c r="N926" s="21">
        <v>32.159999999999997</v>
      </c>
    </row>
    <row r="927" spans="1:14">
      <c r="A927" t="str">
        <f>IFERROR(_xlfn.XLOOKUP(B927,Cuentas!$C$1:$C$521,Cuentas!$A$1:$A$521),"")</f>
        <v>Yuldor</v>
      </c>
      <c r="B927" t="s">
        <v>1078</v>
      </c>
      <c r="C927" t="s">
        <v>1079</v>
      </c>
      <c r="D927" t="s">
        <v>16</v>
      </c>
      <c r="E927" t="s">
        <v>7</v>
      </c>
      <c r="F927" t="s">
        <v>1082</v>
      </c>
      <c r="G927" t="s">
        <v>1082</v>
      </c>
      <c r="H927" s="2">
        <v>45378</v>
      </c>
      <c r="I927" s="2">
        <v>45408</v>
      </c>
      <c r="J927" t="s">
        <v>20</v>
      </c>
      <c r="K927" s="21">
        <v>27.5</v>
      </c>
      <c r="L927" s="21">
        <v>27.5</v>
      </c>
      <c r="M927">
        <v>0</v>
      </c>
      <c r="N927" s="21">
        <v>27.5</v>
      </c>
    </row>
    <row r="928" spans="1:14">
      <c r="A928" t="str">
        <f>IFERROR(_xlfn.XLOOKUP(B928,Cuentas!$C$1:$C$521,Cuentas!$A$1:$A$521),"")</f>
        <v>Yuldor</v>
      </c>
      <c r="B928" t="s">
        <v>1078</v>
      </c>
      <c r="C928" t="s">
        <v>1079</v>
      </c>
      <c r="D928" t="s">
        <v>16</v>
      </c>
      <c r="E928" t="s">
        <v>7</v>
      </c>
      <c r="F928" t="s">
        <v>1083</v>
      </c>
      <c r="G928" t="s">
        <v>1083</v>
      </c>
      <c r="H928" s="2">
        <v>45630</v>
      </c>
      <c r="I928" s="2">
        <v>45660</v>
      </c>
      <c r="J928" t="s">
        <v>20</v>
      </c>
      <c r="K928" s="21">
        <v>95496</v>
      </c>
      <c r="L928" s="21">
        <v>198.29</v>
      </c>
      <c r="M928">
        <v>0</v>
      </c>
      <c r="N928" s="21">
        <v>198.29</v>
      </c>
    </row>
    <row r="929" spans="1:14">
      <c r="A929" t="str">
        <f>IFERROR(_xlfn.XLOOKUP(B929,Cuentas!$C$1:$C$521,Cuentas!$A$1:$A$521),"")</f>
        <v>Yuldor</v>
      </c>
      <c r="B929" t="s">
        <v>1078</v>
      </c>
      <c r="C929" t="s">
        <v>1079</v>
      </c>
      <c r="D929" t="s">
        <v>16</v>
      </c>
      <c r="E929" t="s">
        <v>3139</v>
      </c>
      <c r="F929" t="s">
        <v>1083</v>
      </c>
      <c r="G929" t="s">
        <v>1083</v>
      </c>
      <c r="I929" s="2">
        <v>45664</v>
      </c>
      <c r="J929" t="s">
        <v>20</v>
      </c>
      <c r="K929" s="21">
        <v>-94105.68</v>
      </c>
      <c r="L929" s="21" t="s">
        <v>86</v>
      </c>
      <c r="M929">
        <v>0</v>
      </c>
      <c r="N929" s="21" t="s">
        <v>86</v>
      </c>
    </row>
    <row r="930" spans="1:14">
      <c r="A930" t="str">
        <f>IFERROR(_xlfn.XLOOKUP(B930,Cuentas!$C$1:$C$521,Cuentas!$A$1:$A$521),"")</f>
        <v>Yuldor</v>
      </c>
      <c r="B930" t="s">
        <v>1078</v>
      </c>
      <c r="C930" t="s">
        <v>1079</v>
      </c>
      <c r="D930" t="s">
        <v>16</v>
      </c>
      <c r="E930" t="s">
        <v>3139</v>
      </c>
      <c r="F930" t="s">
        <v>1083</v>
      </c>
      <c r="G930" t="s">
        <v>1083</v>
      </c>
      <c r="I930" s="2">
        <v>45666</v>
      </c>
      <c r="J930" t="s">
        <v>20</v>
      </c>
      <c r="K930" s="21">
        <v>-1192.03</v>
      </c>
      <c r="L930" s="21" t="s">
        <v>86</v>
      </c>
      <c r="M930">
        <v>0</v>
      </c>
      <c r="N930" s="21" t="s">
        <v>86</v>
      </c>
    </row>
    <row r="931" spans="1:14">
      <c r="A931" t="str">
        <f>IFERROR(_xlfn.XLOOKUP(B931,Cuentas!$C$1:$C$521,Cuentas!$A$1:$A$521),"")</f>
        <v>Yuldor</v>
      </c>
      <c r="B931" t="s">
        <v>1078</v>
      </c>
      <c r="C931" t="s">
        <v>1079</v>
      </c>
      <c r="D931" t="s">
        <v>16</v>
      </c>
      <c r="E931" t="s">
        <v>7</v>
      </c>
      <c r="F931" t="s">
        <v>1084</v>
      </c>
      <c r="G931" t="s">
        <v>1084</v>
      </c>
      <c r="H931" s="2">
        <v>45646</v>
      </c>
      <c r="I931" s="2">
        <v>45676</v>
      </c>
      <c r="J931" t="s">
        <v>20</v>
      </c>
      <c r="K931" s="21">
        <v>60147.5</v>
      </c>
      <c r="L931" s="21">
        <v>20.9</v>
      </c>
      <c r="M931">
        <v>0</v>
      </c>
      <c r="N931" s="21">
        <v>20.9</v>
      </c>
    </row>
    <row r="932" spans="1:14">
      <c r="A932" t="str">
        <f>IFERROR(_xlfn.XLOOKUP(B932,Cuentas!$C$1:$C$521,Cuentas!$A$1:$A$521),"")</f>
        <v>Yuldor</v>
      </c>
      <c r="B932" t="s">
        <v>1078</v>
      </c>
      <c r="C932" t="s">
        <v>1079</v>
      </c>
      <c r="D932" t="s">
        <v>16</v>
      </c>
      <c r="E932" t="s">
        <v>3139</v>
      </c>
      <c r="F932" t="s">
        <v>1084</v>
      </c>
      <c r="G932" t="s">
        <v>1084</v>
      </c>
      <c r="I932" s="2">
        <v>45680</v>
      </c>
      <c r="J932" t="s">
        <v>20</v>
      </c>
      <c r="K932" s="21">
        <v>-60126.6</v>
      </c>
      <c r="L932" s="21" t="s">
        <v>86</v>
      </c>
      <c r="M932">
        <v>0</v>
      </c>
      <c r="N932" s="21" t="s">
        <v>86</v>
      </c>
    </row>
    <row r="933" spans="1:14">
      <c r="A933" t="str">
        <f>IFERROR(_xlfn.XLOOKUP(B933,Cuentas!$C$1:$C$521,Cuentas!$A$1:$A$521),"")</f>
        <v>Yuldor</v>
      </c>
      <c r="B933" t="s">
        <v>1078</v>
      </c>
      <c r="C933" t="s">
        <v>1079</v>
      </c>
      <c r="D933" t="s">
        <v>16</v>
      </c>
      <c r="E933" t="s">
        <v>7</v>
      </c>
      <c r="F933" t="s">
        <v>1085</v>
      </c>
      <c r="G933" t="s">
        <v>1085</v>
      </c>
      <c r="H933" s="2">
        <v>45650</v>
      </c>
      <c r="I933" s="2">
        <v>45680</v>
      </c>
      <c r="J933" t="s">
        <v>20</v>
      </c>
      <c r="K933" s="21">
        <v>14565</v>
      </c>
      <c r="L933" s="21">
        <v>144</v>
      </c>
      <c r="M933">
        <v>0</v>
      </c>
      <c r="N933" s="21">
        <v>144</v>
      </c>
    </row>
    <row r="934" spans="1:14">
      <c r="A934" t="str">
        <f>IFERROR(_xlfn.XLOOKUP(B934,Cuentas!$C$1:$C$521,Cuentas!$A$1:$A$521),"")</f>
        <v>Yuldor</v>
      </c>
      <c r="B934" t="s">
        <v>1078</v>
      </c>
      <c r="C934" t="s">
        <v>1079</v>
      </c>
      <c r="D934" t="s">
        <v>16</v>
      </c>
      <c r="E934" t="s">
        <v>3139</v>
      </c>
      <c r="F934" t="s">
        <v>1085</v>
      </c>
      <c r="G934" t="s">
        <v>1085</v>
      </c>
      <c r="I934" s="2">
        <v>45698</v>
      </c>
      <c r="J934" t="s">
        <v>20</v>
      </c>
      <c r="K934" s="21">
        <v>-14421</v>
      </c>
      <c r="L934" s="21" t="s">
        <v>86</v>
      </c>
      <c r="M934">
        <v>0</v>
      </c>
      <c r="N934" s="21" t="s">
        <v>86</v>
      </c>
    </row>
    <row r="935" spans="1:14">
      <c r="A935" t="str">
        <f>IFERROR(_xlfn.XLOOKUP(B935,Cuentas!$C$1:$C$521,Cuentas!$A$1:$A$521),"")</f>
        <v>Yuldor</v>
      </c>
      <c r="B935" t="s">
        <v>1078</v>
      </c>
      <c r="C935" t="s">
        <v>1079</v>
      </c>
      <c r="D935" t="s">
        <v>16</v>
      </c>
      <c r="E935" t="s">
        <v>7</v>
      </c>
      <c r="F935" t="s">
        <v>1086</v>
      </c>
      <c r="G935" t="s">
        <v>1086</v>
      </c>
      <c r="H935" s="2">
        <v>45663</v>
      </c>
      <c r="I935" s="2">
        <v>45693</v>
      </c>
      <c r="J935" t="s">
        <v>20</v>
      </c>
      <c r="K935" s="21">
        <v>47111.8</v>
      </c>
      <c r="L935" s="21">
        <v>73.8</v>
      </c>
      <c r="M935">
        <v>0</v>
      </c>
      <c r="N935" s="21">
        <v>73.8</v>
      </c>
    </row>
    <row r="936" spans="1:14">
      <c r="A936" t="str">
        <f>IFERROR(_xlfn.XLOOKUP(B936,Cuentas!$C$1:$C$521,Cuentas!$A$1:$A$521),"")</f>
        <v>Yuldor</v>
      </c>
      <c r="B936" t="s">
        <v>1078</v>
      </c>
      <c r="C936" t="s">
        <v>1079</v>
      </c>
      <c r="D936" t="s">
        <v>16</v>
      </c>
      <c r="E936" t="s">
        <v>3139</v>
      </c>
      <c r="F936" t="s">
        <v>1086</v>
      </c>
      <c r="G936" t="s">
        <v>1086</v>
      </c>
      <c r="I936" s="2">
        <v>45687</v>
      </c>
      <c r="J936" t="s">
        <v>20</v>
      </c>
      <c r="K936" s="21">
        <v>-47038</v>
      </c>
      <c r="L936" s="21" t="s">
        <v>86</v>
      </c>
      <c r="M936">
        <v>0</v>
      </c>
      <c r="N936" s="21" t="s">
        <v>86</v>
      </c>
    </row>
    <row r="937" spans="1:14">
      <c r="A937" t="str">
        <f>IFERROR(_xlfn.XLOOKUP(B937,Cuentas!$C$1:$C$521,Cuentas!$A$1:$A$521),"")</f>
        <v>Yuldor</v>
      </c>
      <c r="B937" t="s">
        <v>1078</v>
      </c>
      <c r="C937" t="s">
        <v>1079</v>
      </c>
      <c r="D937" t="s">
        <v>16</v>
      </c>
      <c r="E937" t="s">
        <v>7</v>
      </c>
      <c r="F937" t="s">
        <v>1087</v>
      </c>
      <c r="G937" t="s">
        <v>1087</v>
      </c>
      <c r="H937" s="2">
        <v>45714</v>
      </c>
      <c r="I937" s="2">
        <v>45744</v>
      </c>
      <c r="J937" t="s">
        <v>20</v>
      </c>
      <c r="K937" s="21">
        <v>23670</v>
      </c>
      <c r="L937" s="21">
        <v>23670</v>
      </c>
      <c r="M937">
        <v>13</v>
      </c>
      <c r="N937" s="21">
        <v>23670</v>
      </c>
    </row>
    <row r="938" spans="1:14">
      <c r="A938" t="str">
        <f>IFERROR(_xlfn.XLOOKUP(B938,Cuentas!$C$1:$C$521,Cuentas!$A$1:$A$521),"")</f>
        <v>Yuldor</v>
      </c>
      <c r="B938" t="s">
        <v>1078</v>
      </c>
      <c r="C938" t="s">
        <v>1079</v>
      </c>
      <c r="D938" t="s">
        <v>16</v>
      </c>
      <c r="E938" t="s">
        <v>7</v>
      </c>
      <c r="F938" t="s">
        <v>1088</v>
      </c>
      <c r="G938" t="s">
        <v>1088</v>
      </c>
      <c r="H938" s="2">
        <v>45735</v>
      </c>
      <c r="I938" s="2">
        <v>45765</v>
      </c>
      <c r="J938" t="s">
        <v>20</v>
      </c>
      <c r="K938" s="21">
        <v>77551.600000000006</v>
      </c>
      <c r="L938" s="21">
        <v>77551.600000000006</v>
      </c>
      <c r="M938">
        <v>0</v>
      </c>
      <c r="N938" s="21">
        <v>0</v>
      </c>
    </row>
    <row r="939" spans="1:14">
      <c r="A939" t="str">
        <f>IFERROR(_xlfn.XLOOKUP(B939,Cuentas!$C$1:$C$521,Cuentas!$A$1:$A$521),"")</f>
        <v>Yuldor</v>
      </c>
      <c r="B939" t="s">
        <v>1078</v>
      </c>
      <c r="C939" t="s">
        <v>1079</v>
      </c>
      <c r="D939" t="s">
        <v>16</v>
      </c>
      <c r="E939" t="s">
        <v>7</v>
      </c>
      <c r="F939" t="s">
        <v>1089</v>
      </c>
      <c r="G939" t="s">
        <v>1089</v>
      </c>
      <c r="H939" s="2">
        <v>45735</v>
      </c>
      <c r="I939" s="2">
        <v>45765</v>
      </c>
      <c r="J939" t="s">
        <v>20</v>
      </c>
      <c r="K939" s="21">
        <v>85274</v>
      </c>
      <c r="L939" s="21">
        <v>85274</v>
      </c>
      <c r="M939">
        <v>0</v>
      </c>
      <c r="N939" s="21">
        <v>0</v>
      </c>
    </row>
    <row r="940" spans="1:14">
      <c r="A940" t="str">
        <f>IFERROR(_xlfn.XLOOKUP(B940,Cuentas!$C$1:$C$521,Cuentas!$A$1:$A$521),"")</f>
        <v>Nicolas</v>
      </c>
      <c r="B940" t="s">
        <v>1090</v>
      </c>
      <c r="C940" t="s">
        <v>1091</v>
      </c>
      <c r="D940" t="s">
        <v>16</v>
      </c>
      <c r="E940" t="s">
        <v>7</v>
      </c>
      <c r="F940" t="s">
        <v>1092</v>
      </c>
      <c r="G940" t="s">
        <v>1092</v>
      </c>
      <c r="H940" s="2">
        <v>45665</v>
      </c>
      <c r="I940" s="2">
        <v>45695</v>
      </c>
      <c r="J940" t="s">
        <v>20</v>
      </c>
      <c r="K940" s="21">
        <v>1869.03</v>
      </c>
      <c r="L940" s="21">
        <v>1869.03</v>
      </c>
      <c r="M940">
        <v>0</v>
      </c>
      <c r="N940" s="21">
        <v>1869.03</v>
      </c>
    </row>
    <row r="941" spans="1:14">
      <c r="A941" t="str">
        <f>IFERROR(_xlfn.XLOOKUP(B941,Cuentas!$C$1:$C$521,Cuentas!$A$1:$A$521),"")</f>
        <v>Yuldor</v>
      </c>
      <c r="B941" t="s">
        <v>1093</v>
      </c>
      <c r="C941" t="s">
        <v>1094</v>
      </c>
      <c r="D941" t="s">
        <v>16</v>
      </c>
      <c r="E941" t="s">
        <v>7</v>
      </c>
      <c r="F941" t="s">
        <v>1095</v>
      </c>
      <c r="G941" t="s">
        <v>1095</v>
      </c>
      <c r="H941" s="2">
        <v>45667</v>
      </c>
      <c r="I941" s="2">
        <v>45697</v>
      </c>
      <c r="J941" t="s">
        <v>20</v>
      </c>
      <c r="K941" s="21">
        <v>3836.25</v>
      </c>
      <c r="L941" s="21">
        <v>3836.25</v>
      </c>
      <c r="M941">
        <v>0</v>
      </c>
      <c r="N941" s="21">
        <v>3836.25</v>
      </c>
    </row>
    <row r="942" spans="1:14">
      <c r="A942" t="str">
        <f>IFERROR(_xlfn.XLOOKUP(B942,Cuentas!$C$1:$C$521,Cuentas!$A$1:$A$521),"")</f>
        <v>Yuldor</v>
      </c>
      <c r="B942" t="s">
        <v>1093</v>
      </c>
      <c r="C942" t="s">
        <v>1094</v>
      </c>
      <c r="D942" t="s">
        <v>16</v>
      </c>
      <c r="E942" t="s">
        <v>7</v>
      </c>
      <c r="F942" t="s">
        <v>1096</v>
      </c>
      <c r="G942" t="s">
        <v>1096</v>
      </c>
      <c r="H942" s="2">
        <v>45716</v>
      </c>
      <c r="I942" s="2">
        <v>45746</v>
      </c>
      <c r="J942" t="s">
        <v>20</v>
      </c>
      <c r="K942" s="21">
        <v>10874.2</v>
      </c>
      <c r="L942" s="21">
        <v>10874.2</v>
      </c>
      <c r="M942">
        <v>13</v>
      </c>
      <c r="N942" s="21">
        <v>10874.2</v>
      </c>
    </row>
    <row r="943" spans="1:14">
      <c r="A943" t="str">
        <f>IFERROR(_xlfn.XLOOKUP(B943,Cuentas!$C$1:$C$521,Cuentas!$A$1:$A$521),"")</f>
        <v>Yuldor</v>
      </c>
      <c r="B943" t="s">
        <v>1093</v>
      </c>
      <c r="C943" t="s">
        <v>1094</v>
      </c>
      <c r="D943" t="s">
        <v>16</v>
      </c>
      <c r="E943" t="s">
        <v>7</v>
      </c>
      <c r="F943" t="s">
        <v>1097</v>
      </c>
      <c r="G943" t="s">
        <v>1097</v>
      </c>
      <c r="H943" s="2">
        <v>45716</v>
      </c>
      <c r="I943" s="2">
        <v>45746</v>
      </c>
      <c r="J943" t="s">
        <v>20</v>
      </c>
      <c r="K943" s="21">
        <v>422.5</v>
      </c>
      <c r="L943" s="21">
        <v>422.5</v>
      </c>
      <c r="M943">
        <v>13</v>
      </c>
      <c r="N943" s="21">
        <v>422.5</v>
      </c>
    </row>
    <row r="944" spans="1:14">
      <c r="A944" t="str">
        <f>IFERROR(_xlfn.XLOOKUP(B944,Cuentas!$C$1:$C$521,Cuentas!$A$1:$A$521),"")</f>
        <v>Yuldor</v>
      </c>
      <c r="B944" t="s">
        <v>1093</v>
      </c>
      <c r="C944" t="s">
        <v>1094</v>
      </c>
      <c r="D944" t="s">
        <v>16</v>
      </c>
      <c r="E944" t="s">
        <v>7</v>
      </c>
      <c r="F944" t="s">
        <v>1098</v>
      </c>
      <c r="G944" t="s">
        <v>1098</v>
      </c>
      <c r="H944" s="2">
        <v>45716</v>
      </c>
      <c r="I944" s="2">
        <v>45746</v>
      </c>
      <c r="J944" t="s">
        <v>20</v>
      </c>
      <c r="K944" s="21">
        <v>2142</v>
      </c>
      <c r="L944" s="21">
        <v>2142</v>
      </c>
      <c r="M944">
        <v>13</v>
      </c>
      <c r="N944" s="21">
        <v>2142</v>
      </c>
    </row>
    <row r="945" spans="1:14">
      <c r="A945" t="str">
        <f>IFERROR(_xlfn.XLOOKUP(B945,Cuentas!$C$1:$C$521,Cuentas!$A$1:$A$521),"")</f>
        <v>Nicolas</v>
      </c>
      <c r="B945" t="s">
        <v>1099</v>
      </c>
      <c r="C945" t="s">
        <v>1100</v>
      </c>
      <c r="D945" t="s">
        <v>16</v>
      </c>
      <c r="E945" t="s">
        <v>7</v>
      </c>
      <c r="F945" t="s">
        <v>1101</v>
      </c>
      <c r="G945" t="s">
        <v>1101</v>
      </c>
      <c r="H945" s="2">
        <v>45716</v>
      </c>
      <c r="I945" s="2">
        <v>45746</v>
      </c>
      <c r="J945" t="s">
        <v>20</v>
      </c>
      <c r="K945" s="21">
        <v>1975.2</v>
      </c>
      <c r="L945" s="21">
        <v>1975.2</v>
      </c>
      <c r="M945">
        <v>13</v>
      </c>
      <c r="N945" s="21">
        <v>1975.2</v>
      </c>
    </row>
    <row r="946" spans="1:14">
      <c r="A946" t="str">
        <f>IFERROR(_xlfn.XLOOKUP(B946,Cuentas!$C$1:$C$521,Cuentas!$A$1:$A$521),"")</f>
        <v>Nicolas</v>
      </c>
      <c r="B946" t="s">
        <v>1099</v>
      </c>
      <c r="C946" t="s">
        <v>1100</v>
      </c>
      <c r="D946" t="s">
        <v>16</v>
      </c>
      <c r="E946" t="s">
        <v>7</v>
      </c>
      <c r="F946" t="s">
        <v>1102</v>
      </c>
      <c r="G946" t="s">
        <v>1102</v>
      </c>
      <c r="H946" s="2">
        <v>45728</v>
      </c>
      <c r="I946" s="2">
        <v>45758</v>
      </c>
      <c r="J946" t="s">
        <v>20</v>
      </c>
      <c r="K946" s="21">
        <v>6578</v>
      </c>
      <c r="L946" s="21">
        <v>6578</v>
      </c>
      <c r="M946">
        <v>0</v>
      </c>
      <c r="N946" s="21">
        <v>0</v>
      </c>
    </row>
    <row r="947" spans="1:14">
      <c r="A947" t="str">
        <f>IFERROR(_xlfn.XLOOKUP(B947,Cuentas!$C$1:$C$521,Cuentas!$A$1:$A$521),"")</f>
        <v>Yuldor</v>
      </c>
      <c r="B947" t="s">
        <v>1103</v>
      </c>
      <c r="C947" t="s">
        <v>1104</v>
      </c>
      <c r="D947" t="s">
        <v>213</v>
      </c>
      <c r="E947" t="s">
        <v>7</v>
      </c>
      <c r="F947" t="s">
        <v>1105</v>
      </c>
      <c r="G947" t="s">
        <v>1105</v>
      </c>
      <c r="H947" s="2">
        <v>45716</v>
      </c>
      <c r="I947" s="2">
        <v>45716</v>
      </c>
      <c r="J947" t="s">
        <v>20</v>
      </c>
      <c r="K947" s="21">
        <v>974.87</v>
      </c>
      <c r="L947" s="21">
        <v>238.28</v>
      </c>
      <c r="M947">
        <v>0</v>
      </c>
      <c r="N947" s="21">
        <v>238.28</v>
      </c>
    </row>
    <row r="948" spans="1:14">
      <c r="A948" t="str">
        <f>IFERROR(_xlfn.XLOOKUP(B948,Cuentas!$C$1:$C$521,Cuentas!$A$1:$A$521),"")</f>
        <v>Yuldor</v>
      </c>
      <c r="B948" t="s">
        <v>1103</v>
      </c>
      <c r="C948" t="s">
        <v>1104</v>
      </c>
      <c r="D948" t="s">
        <v>213</v>
      </c>
      <c r="E948" t="s">
        <v>5502</v>
      </c>
      <c r="F948" t="s">
        <v>1106</v>
      </c>
      <c r="G948" t="s">
        <v>1105</v>
      </c>
      <c r="I948" s="2">
        <v>45289</v>
      </c>
      <c r="J948" t="s">
        <v>20</v>
      </c>
      <c r="K948" s="21">
        <v>-5.25</v>
      </c>
      <c r="L948" s="21" t="s">
        <v>86</v>
      </c>
      <c r="M948">
        <v>0</v>
      </c>
      <c r="N948" s="21" t="s">
        <v>86</v>
      </c>
    </row>
    <row r="949" spans="1:14">
      <c r="A949" t="str">
        <f>IFERROR(_xlfn.XLOOKUP(B949,Cuentas!$C$1:$C$521,Cuentas!$A$1:$A$521),"")</f>
        <v>Yuldor</v>
      </c>
      <c r="B949" t="s">
        <v>1103</v>
      </c>
      <c r="C949" t="s">
        <v>1104</v>
      </c>
      <c r="D949" t="s">
        <v>213</v>
      </c>
      <c r="E949" t="s">
        <v>5502</v>
      </c>
      <c r="F949" t="s">
        <v>1107</v>
      </c>
      <c r="G949" t="s">
        <v>1105</v>
      </c>
      <c r="I949" s="2">
        <v>45289</v>
      </c>
      <c r="J949" t="s">
        <v>20</v>
      </c>
      <c r="K949" s="21">
        <v>-17.95</v>
      </c>
      <c r="L949" s="21" t="s">
        <v>86</v>
      </c>
      <c r="M949">
        <v>0</v>
      </c>
      <c r="N949" s="21" t="s">
        <v>86</v>
      </c>
    </row>
    <row r="950" spans="1:14">
      <c r="A950" t="str">
        <f>IFERROR(_xlfn.XLOOKUP(B950,Cuentas!$C$1:$C$521,Cuentas!$A$1:$A$521),"")</f>
        <v>Yuldor</v>
      </c>
      <c r="B950" t="s">
        <v>1103</v>
      </c>
      <c r="C950" t="s">
        <v>1104</v>
      </c>
      <c r="D950" t="s">
        <v>213</v>
      </c>
      <c r="E950" t="s">
        <v>5502</v>
      </c>
      <c r="F950" t="s">
        <v>1108</v>
      </c>
      <c r="G950" t="s">
        <v>1105</v>
      </c>
      <c r="I950" s="2">
        <v>45289</v>
      </c>
      <c r="J950" t="s">
        <v>20</v>
      </c>
      <c r="K950" s="21">
        <v>-19.09</v>
      </c>
      <c r="L950" s="21" t="s">
        <v>86</v>
      </c>
      <c r="M950">
        <v>0</v>
      </c>
      <c r="N950" s="21" t="s">
        <v>86</v>
      </c>
    </row>
    <row r="951" spans="1:14">
      <c r="A951" t="str">
        <f>IFERROR(_xlfn.XLOOKUP(B951,Cuentas!$C$1:$C$521,Cuentas!$A$1:$A$521),"")</f>
        <v>Yuldor</v>
      </c>
      <c r="B951" t="s">
        <v>1103</v>
      </c>
      <c r="C951" t="s">
        <v>1104</v>
      </c>
      <c r="D951" t="s">
        <v>213</v>
      </c>
      <c r="E951" t="s">
        <v>5502</v>
      </c>
      <c r="F951" t="s">
        <v>1109</v>
      </c>
      <c r="G951" t="s">
        <v>1105</v>
      </c>
      <c r="I951" s="2">
        <v>45289</v>
      </c>
      <c r="J951" t="s">
        <v>20</v>
      </c>
      <c r="K951" s="21">
        <v>-5.5</v>
      </c>
      <c r="L951" s="21" t="s">
        <v>86</v>
      </c>
      <c r="M951">
        <v>0</v>
      </c>
      <c r="N951" s="21" t="s">
        <v>86</v>
      </c>
    </row>
    <row r="952" spans="1:14">
      <c r="A952" t="str">
        <f>IFERROR(_xlfn.XLOOKUP(B952,Cuentas!$C$1:$C$521,Cuentas!$A$1:$A$521),"")</f>
        <v>Yuldor</v>
      </c>
      <c r="B952" t="s">
        <v>1103</v>
      </c>
      <c r="C952" t="s">
        <v>1104</v>
      </c>
      <c r="D952" t="s">
        <v>213</v>
      </c>
      <c r="E952" t="s">
        <v>5502</v>
      </c>
      <c r="F952" t="s">
        <v>1110</v>
      </c>
      <c r="G952" t="s">
        <v>1105</v>
      </c>
      <c r="I952" s="2">
        <v>45321</v>
      </c>
      <c r="J952" t="s">
        <v>20</v>
      </c>
      <c r="K952" s="21">
        <v>-229.15</v>
      </c>
      <c r="L952" s="21" t="s">
        <v>86</v>
      </c>
      <c r="M952">
        <v>0</v>
      </c>
      <c r="N952" s="21" t="s">
        <v>86</v>
      </c>
    </row>
    <row r="953" spans="1:14">
      <c r="A953" t="str">
        <f>IFERROR(_xlfn.XLOOKUP(B953,Cuentas!$C$1:$C$521,Cuentas!$A$1:$A$521),"")</f>
        <v>Yuldor</v>
      </c>
      <c r="B953" t="s">
        <v>1103</v>
      </c>
      <c r="C953" t="s">
        <v>1104</v>
      </c>
      <c r="D953" t="s">
        <v>213</v>
      </c>
      <c r="E953" t="s">
        <v>5502</v>
      </c>
      <c r="F953" t="s">
        <v>1111</v>
      </c>
      <c r="G953" t="s">
        <v>1105</v>
      </c>
      <c r="I953" s="2">
        <v>45322</v>
      </c>
      <c r="J953" t="s">
        <v>20</v>
      </c>
      <c r="K953" s="21">
        <v>-7.5</v>
      </c>
      <c r="L953" s="21" t="s">
        <v>86</v>
      </c>
      <c r="M953">
        <v>0</v>
      </c>
      <c r="N953" s="21" t="s">
        <v>86</v>
      </c>
    </row>
    <row r="954" spans="1:14">
      <c r="A954" t="str">
        <f>IFERROR(_xlfn.XLOOKUP(B954,Cuentas!$C$1:$C$521,Cuentas!$A$1:$A$521),"")</f>
        <v>Yuldor</v>
      </c>
      <c r="B954" t="s">
        <v>1103</v>
      </c>
      <c r="C954" t="s">
        <v>1104</v>
      </c>
      <c r="D954" t="s">
        <v>213</v>
      </c>
      <c r="E954" t="s">
        <v>5502</v>
      </c>
      <c r="F954" t="s">
        <v>1112</v>
      </c>
      <c r="G954" t="s">
        <v>1105</v>
      </c>
      <c r="I954" s="2">
        <v>45330</v>
      </c>
      <c r="J954" t="s">
        <v>20</v>
      </c>
      <c r="K954" s="21">
        <v>-288.62</v>
      </c>
      <c r="L954" s="21" t="s">
        <v>86</v>
      </c>
      <c r="M954">
        <v>0</v>
      </c>
      <c r="N954" s="21" t="s">
        <v>86</v>
      </c>
    </row>
    <row r="955" spans="1:14">
      <c r="A955" t="str">
        <f>IFERROR(_xlfn.XLOOKUP(B955,Cuentas!$C$1:$C$521,Cuentas!$A$1:$A$521),"")</f>
        <v>Yuldor</v>
      </c>
      <c r="B955" t="s">
        <v>1103</v>
      </c>
      <c r="C955" t="s">
        <v>1104</v>
      </c>
      <c r="D955" t="s">
        <v>213</v>
      </c>
      <c r="E955" t="s">
        <v>5502</v>
      </c>
      <c r="F955" t="s">
        <v>1113</v>
      </c>
      <c r="G955" t="s">
        <v>1105</v>
      </c>
      <c r="I955" s="2">
        <v>45380</v>
      </c>
      <c r="J955" t="s">
        <v>20</v>
      </c>
      <c r="K955" s="21">
        <v>-2.17</v>
      </c>
      <c r="L955" s="21" t="s">
        <v>86</v>
      </c>
      <c r="M955">
        <v>0</v>
      </c>
      <c r="N955" s="21" t="s">
        <v>86</v>
      </c>
    </row>
    <row r="956" spans="1:14">
      <c r="A956" t="str">
        <f>IFERROR(_xlfn.XLOOKUP(B956,Cuentas!$C$1:$C$521,Cuentas!$A$1:$A$521),"")</f>
        <v>Yuldor</v>
      </c>
      <c r="B956" t="s">
        <v>1103</v>
      </c>
      <c r="C956" t="s">
        <v>1104</v>
      </c>
      <c r="D956" t="s">
        <v>213</v>
      </c>
      <c r="E956" t="s">
        <v>5502</v>
      </c>
      <c r="F956" t="s">
        <v>1114</v>
      </c>
      <c r="G956" t="s">
        <v>1105</v>
      </c>
      <c r="I956" s="2">
        <v>45412</v>
      </c>
      <c r="J956" t="s">
        <v>20</v>
      </c>
      <c r="K956" s="21">
        <v>-8.49</v>
      </c>
      <c r="L956" s="21" t="s">
        <v>86</v>
      </c>
      <c r="M956">
        <v>0</v>
      </c>
      <c r="N956" s="21" t="s">
        <v>86</v>
      </c>
    </row>
    <row r="957" spans="1:14">
      <c r="A957" t="str">
        <f>IFERROR(_xlfn.XLOOKUP(B957,Cuentas!$C$1:$C$521,Cuentas!$A$1:$A$521),"")</f>
        <v>Yuldor</v>
      </c>
      <c r="B957" t="s">
        <v>1103</v>
      </c>
      <c r="C957" t="s">
        <v>1104</v>
      </c>
      <c r="D957" t="s">
        <v>213</v>
      </c>
      <c r="E957" t="s">
        <v>5502</v>
      </c>
      <c r="F957" t="s">
        <v>1115</v>
      </c>
      <c r="G957" t="s">
        <v>1105</v>
      </c>
      <c r="I957" s="2">
        <v>45412</v>
      </c>
      <c r="J957" t="s">
        <v>20</v>
      </c>
      <c r="K957" s="21">
        <v>-8.8699999999999992</v>
      </c>
      <c r="L957" s="21" t="s">
        <v>86</v>
      </c>
      <c r="M957">
        <v>0</v>
      </c>
      <c r="N957" s="21" t="s">
        <v>86</v>
      </c>
    </row>
    <row r="958" spans="1:14">
      <c r="A958" t="str">
        <f>IFERROR(_xlfn.XLOOKUP(B958,Cuentas!$C$1:$C$521,Cuentas!$A$1:$A$521),"")</f>
        <v>Yuldor</v>
      </c>
      <c r="B958" t="s">
        <v>1103</v>
      </c>
      <c r="C958" t="s">
        <v>1104</v>
      </c>
      <c r="D958" t="s">
        <v>213</v>
      </c>
      <c r="E958" t="s">
        <v>5502</v>
      </c>
      <c r="F958" t="s">
        <v>1116</v>
      </c>
      <c r="G958" t="s">
        <v>1105</v>
      </c>
      <c r="I958" s="2">
        <v>45454</v>
      </c>
      <c r="J958" t="s">
        <v>20</v>
      </c>
      <c r="K958" s="21">
        <v>-48</v>
      </c>
      <c r="L958" s="21" t="s">
        <v>86</v>
      </c>
      <c r="M958">
        <v>0</v>
      </c>
      <c r="N958" s="21" t="s">
        <v>86</v>
      </c>
    </row>
    <row r="959" spans="1:14">
      <c r="A959" t="str">
        <f>IFERROR(_xlfn.XLOOKUP(B959,Cuentas!$C$1:$C$521,Cuentas!$A$1:$A$521),"")</f>
        <v>Yuldor</v>
      </c>
      <c r="B959" t="s">
        <v>1103</v>
      </c>
      <c r="C959" t="s">
        <v>1104</v>
      </c>
      <c r="D959" t="s">
        <v>213</v>
      </c>
      <c r="E959" t="s">
        <v>5502</v>
      </c>
      <c r="F959" t="s">
        <v>1117</v>
      </c>
      <c r="G959" t="s">
        <v>1105</v>
      </c>
      <c r="I959" s="2">
        <v>45460</v>
      </c>
      <c r="J959" t="s">
        <v>20</v>
      </c>
      <c r="K959" s="21">
        <v>-96</v>
      </c>
      <c r="L959" s="21" t="s">
        <v>86</v>
      </c>
      <c r="M959">
        <v>0</v>
      </c>
      <c r="N959" s="21" t="s">
        <v>86</v>
      </c>
    </row>
    <row r="960" spans="1:14">
      <c r="A960" t="str">
        <f>IFERROR(_xlfn.XLOOKUP(B960,Cuentas!$C$1:$C$521,Cuentas!$A$1:$A$521),"")</f>
        <v>Yuldor</v>
      </c>
      <c r="B960" t="s">
        <v>1118</v>
      </c>
      <c r="C960" t="s">
        <v>1119</v>
      </c>
      <c r="D960" t="s">
        <v>16</v>
      </c>
      <c r="E960" t="s">
        <v>7</v>
      </c>
      <c r="F960" t="s">
        <v>1120</v>
      </c>
      <c r="G960" t="s">
        <v>1120</v>
      </c>
      <c r="H960" s="2">
        <v>45670</v>
      </c>
      <c r="I960" s="2">
        <v>45700</v>
      </c>
      <c r="J960" t="s">
        <v>20</v>
      </c>
      <c r="K960" s="21">
        <v>699.2</v>
      </c>
      <c r="L960" s="21">
        <v>699.2</v>
      </c>
      <c r="M960">
        <v>0</v>
      </c>
      <c r="N960" s="21">
        <v>699.2</v>
      </c>
    </row>
    <row r="961" spans="1:14">
      <c r="A961" t="str">
        <f>IFERROR(_xlfn.XLOOKUP(B961,Cuentas!$C$1:$C$521,Cuentas!$A$1:$A$521),"")</f>
        <v>Yuldor</v>
      </c>
      <c r="B961" t="s">
        <v>1121</v>
      </c>
      <c r="C961" t="s">
        <v>1122</v>
      </c>
      <c r="D961" t="s">
        <v>16</v>
      </c>
      <c r="E961" t="s">
        <v>7</v>
      </c>
      <c r="F961" t="s">
        <v>1123</v>
      </c>
      <c r="G961" t="s">
        <v>1123</v>
      </c>
      <c r="H961" s="2">
        <v>45628</v>
      </c>
      <c r="I961" s="2">
        <v>45658</v>
      </c>
      <c r="J961" t="s">
        <v>20</v>
      </c>
      <c r="K961" s="21">
        <v>2649.96</v>
      </c>
      <c r="L961" s="21">
        <v>2649.96</v>
      </c>
      <c r="M961">
        <v>0</v>
      </c>
      <c r="N961" s="21">
        <v>2649.96</v>
      </c>
    </row>
    <row r="962" spans="1:14">
      <c r="A962" t="str">
        <f>IFERROR(_xlfn.XLOOKUP(B962,Cuentas!$C$1:$C$521,Cuentas!$A$1:$A$521),"")</f>
        <v>Yuldor</v>
      </c>
      <c r="B962" t="s">
        <v>1124</v>
      </c>
      <c r="C962" t="s">
        <v>1125</v>
      </c>
      <c r="D962" t="s">
        <v>213</v>
      </c>
      <c r="E962" t="s">
        <v>7</v>
      </c>
      <c r="F962" t="s">
        <v>1126</v>
      </c>
      <c r="G962" t="s">
        <v>1126</v>
      </c>
      <c r="H962" s="2">
        <v>45674</v>
      </c>
      <c r="I962" s="2">
        <v>45674</v>
      </c>
      <c r="J962" t="s">
        <v>20</v>
      </c>
      <c r="K962" s="21">
        <v>834</v>
      </c>
      <c r="L962" s="21">
        <v>834</v>
      </c>
      <c r="M962">
        <v>0</v>
      </c>
      <c r="N962" s="21">
        <v>834</v>
      </c>
    </row>
    <row r="963" spans="1:14">
      <c r="A963" t="str">
        <f>IFERROR(_xlfn.XLOOKUP(B963,Cuentas!$C$1:$C$521,Cuentas!$A$1:$A$521),"")</f>
        <v>Yuldor</v>
      </c>
      <c r="B963" t="s">
        <v>1124</v>
      </c>
      <c r="C963" t="s">
        <v>1125</v>
      </c>
      <c r="D963" t="s">
        <v>213</v>
      </c>
      <c r="E963" t="s">
        <v>7</v>
      </c>
      <c r="F963" t="s">
        <v>1127</v>
      </c>
      <c r="G963" t="s">
        <v>1127</v>
      </c>
      <c r="H963" s="2">
        <v>45716</v>
      </c>
      <c r="I963" s="2">
        <v>45716</v>
      </c>
      <c r="J963" t="s">
        <v>20</v>
      </c>
      <c r="K963" s="21">
        <v>57</v>
      </c>
      <c r="L963" s="21">
        <v>57</v>
      </c>
      <c r="M963">
        <v>0</v>
      </c>
      <c r="N963" s="21">
        <v>57</v>
      </c>
    </row>
    <row r="964" spans="1:14">
      <c r="A964" t="str">
        <f>IFERROR(_xlfn.XLOOKUP(B964,Cuentas!$C$1:$C$521,Cuentas!$A$1:$A$521),"")</f>
        <v>Yuldor</v>
      </c>
      <c r="B964" t="s">
        <v>1124</v>
      </c>
      <c r="C964" t="s">
        <v>1125</v>
      </c>
      <c r="D964" t="s">
        <v>213</v>
      </c>
      <c r="E964" t="s">
        <v>7</v>
      </c>
      <c r="F964" t="s">
        <v>1128</v>
      </c>
      <c r="G964" t="s">
        <v>1128</v>
      </c>
      <c r="H964" s="2">
        <v>45716</v>
      </c>
      <c r="I964" s="2">
        <v>45716</v>
      </c>
      <c r="J964" t="s">
        <v>20</v>
      </c>
      <c r="K964" s="21">
        <v>49.17</v>
      </c>
      <c r="L964" s="21">
        <v>49.17</v>
      </c>
      <c r="M964">
        <v>0</v>
      </c>
      <c r="N964" s="21">
        <v>49.17</v>
      </c>
    </row>
    <row r="965" spans="1:14">
      <c r="A965" t="str">
        <f>IFERROR(_xlfn.XLOOKUP(B965,Cuentas!$C$1:$C$521,Cuentas!$A$1:$A$521),"")</f>
        <v>Nicolas</v>
      </c>
      <c r="B965" t="s">
        <v>1129</v>
      </c>
      <c r="C965" t="s">
        <v>1130</v>
      </c>
      <c r="D965" t="s">
        <v>213</v>
      </c>
      <c r="E965" t="s">
        <v>7</v>
      </c>
      <c r="F965" t="s">
        <v>1131</v>
      </c>
      <c r="G965" t="s">
        <v>1131</v>
      </c>
      <c r="H965" s="2">
        <v>45602</v>
      </c>
      <c r="I965" s="2">
        <v>45602</v>
      </c>
      <c r="J965" t="s">
        <v>20</v>
      </c>
      <c r="K965" s="21">
        <v>126.94</v>
      </c>
      <c r="L965" s="21">
        <v>16.059999999999999</v>
      </c>
      <c r="M965">
        <v>0</v>
      </c>
      <c r="N965" s="21">
        <v>16.059999999999999</v>
      </c>
    </row>
    <row r="966" spans="1:14">
      <c r="A966" t="str">
        <f>IFERROR(_xlfn.XLOOKUP(B966,Cuentas!$C$1:$C$521,Cuentas!$A$1:$A$521),"")</f>
        <v>Nicolas</v>
      </c>
      <c r="B966" t="s">
        <v>1129</v>
      </c>
      <c r="C966" t="s">
        <v>1130</v>
      </c>
      <c r="D966" t="s">
        <v>213</v>
      </c>
      <c r="E966" t="s">
        <v>3139</v>
      </c>
      <c r="F966" t="s">
        <v>1131</v>
      </c>
      <c r="G966" t="s">
        <v>1131</v>
      </c>
      <c r="I966" s="2">
        <v>45603</v>
      </c>
      <c r="J966" t="s">
        <v>20</v>
      </c>
      <c r="K966" s="21">
        <v>-110.88</v>
      </c>
      <c r="L966" s="21" t="s">
        <v>86</v>
      </c>
      <c r="M966">
        <v>0</v>
      </c>
      <c r="N966" s="21" t="s">
        <v>86</v>
      </c>
    </row>
    <row r="967" spans="1:14">
      <c r="A967" t="str">
        <f>IFERROR(_xlfn.XLOOKUP(B967,Cuentas!$C$1:$C$521,Cuentas!$A$1:$A$521),"")</f>
        <v>Yuldor</v>
      </c>
      <c r="B967" t="s">
        <v>1132</v>
      </c>
      <c r="C967" t="s">
        <v>1133</v>
      </c>
      <c r="D967" t="s">
        <v>16</v>
      </c>
      <c r="E967" t="s">
        <v>7</v>
      </c>
      <c r="F967" t="s">
        <v>1134</v>
      </c>
      <c r="G967" t="s">
        <v>1134</v>
      </c>
      <c r="H967" s="2">
        <v>45728</v>
      </c>
      <c r="I967" s="2">
        <v>45758</v>
      </c>
      <c r="J967" t="s">
        <v>20</v>
      </c>
      <c r="K967" s="21">
        <v>273.74</v>
      </c>
      <c r="L967" s="21">
        <v>273.74</v>
      </c>
      <c r="M967">
        <v>0</v>
      </c>
      <c r="N967" s="21">
        <v>0</v>
      </c>
    </row>
    <row r="968" spans="1:14">
      <c r="A968" t="str">
        <f>IFERROR(_xlfn.XLOOKUP(B968,Cuentas!$C$1:$C$521,Cuentas!$A$1:$A$521),"")</f>
        <v>Yuldor</v>
      </c>
      <c r="B968" t="s">
        <v>1132</v>
      </c>
      <c r="C968" t="s">
        <v>1133</v>
      </c>
      <c r="D968" t="s">
        <v>16</v>
      </c>
      <c r="E968" t="s">
        <v>7</v>
      </c>
      <c r="F968" t="s">
        <v>1135</v>
      </c>
      <c r="G968" t="s">
        <v>1135</v>
      </c>
      <c r="H968" s="2">
        <v>45734</v>
      </c>
      <c r="I968" s="2">
        <v>45764</v>
      </c>
      <c r="J968" t="s">
        <v>20</v>
      </c>
      <c r="K968" s="21">
        <v>1003.46</v>
      </c>
      <c r="L968" s="21">
        <v>1003.46</v>
      </c>
      <c r="M968">
        <v>0</v>
      </c>
      <c r="N968" s="21">
        <v>0</v>
      </c>
    </row>
    <row r="969" spans="1:14">
      <c r="A969" t="str">
        <f>IFERROR(_xlfn.XLOOKUP(B969,Cuentas!$C$1:$C$521,Cuentas!$A$1:$A$521),"")</f>
        <v>Yuldor</v>
      </c>
      <c r="B969" t="s">
        <v>1136</v>
      </c>
      <c r="C969" t="s">
        <v>1137</v>
      </c>
      <c r="D969" t="s">
        <v>16</v>
      </c>
      <c r="E969" t="s">
        <v>5502</v>
      </c>
      <c r="F969" t="s">
        <v>1138</v>
      </c>
      <c r="G969" t="s">
        <v>19</v>
      </c>
      <c r="I969" s="2">
        <v>45519</v>
      </c>
      <c r="J969" t="s">
        <v>20</v>
      </c>
      <c r="K969" s="21">
        <v>-0.03</v>
      </c>
      <c r="L969" s="21">
        <v>-0.03</v>
      </c>
      <c r="M969">
        <v>0</v>
      </c>
      <c r="N969" s="21">
        <v>-0.03</v>
      </c>
    </row>
    <row r="970" spans="1:14">
      <c r="A970" t="str">
        <f>IFERROR(_xlfn.XLOOKUP(B970,Cuentas!$C$1:$C$521,Cuentas!$A$1:$A$521),"")</f>
        <v>Yuldor</v>
      </c>
      <c r="B970" t="s">
        <v>1136</v>
      </c>
      <c r="C970" t="s">
        <v>1137</v>
      </c>
      <c r="D970" t="s">
        <v>16</v>
      </c>
      <c r="E970" t="s">
        <v>3139</v>
      </c>
      <c r="F970" t="s">
        <v>19</v>
      </c>
      <c r="G970" t="s">
        <v>19</v>
      </c>
      <c r="I970" s="2">
        <v>45533</v>
      </c>
      <c r="J970" t="s">
        <v>20</v>
      </c>
      <c r="K970" s="21">
        <v>-23.63</v>
      </c>
      <c r="L970" s="21">
        <v>-23.63</v>
      </c>
      <c r="M970">
        <v>0</v>
      </c>
      <c r="N970" s="21">
        <v>-23.63</v>
      </c>
    </row>
    <row r="971" spans="1:14">
      <c r="A971" t="str">
        <f>IFERROR(_xlfn.XLOOKUP(B971,Cuentas!$C$1:$C$521,Cuentas!$A$1:$A$521),"")</f>
        <v>Yuldor</v>
      </c>
      <c r="B971" t="s">
        <v>1136</v>
      </c>
      <c r="C971" t="s">
        <v>1137</v>
      </c>
      <c r="D971" t="s">
        <v>16</v>
      </c>
      <c r="E971" t="s">
        <v>7</v>
      </c>
      <c r="F971" t="s">
        <v>1139</v>
      </c>
      <c r="G971" t="s">
        <v>1139</v>
      </c>
      <c r="H971" s="2">
        <v>45566</v>
      </c>
      <c r="I971" s="2">
        <v>45596</v>
      </c>
      <c r="J971" t="s">
        <v>20</v>
      </c>
      <c r="K971" s="21">
        <v>753.33</v>
      </c>
      <c r="L971" s="21">
        <v>-64.58</v>
      </c>
      <c r="M971">
        <v>0</v>
      </c>
      <c r="N971" s="21">
        <v>-64.58</v>
      </c>
    </row>
    <row r="972" spans="1:14">
      <c r="A972" t="str">
        <f>IFERROR(_xlfn.XLOOKUP(B972,Cuentas!$C$1:$C$521,Cuentas!$A$1:$A$521),"")</f>
        <v>Yuldor</v>
      </c>
      <c r="B972" t="s">
        <v>1136</v>
      </c>
      <c r="C972" t="s">
        <v>1137</v>
      </c>
      <c r="D972" t="s">
        <v>16</v>
      </c>
      <c r="E972" t="s">
        <v>5502</v>
      </c>
      <c r="F972" t="s">
        <v>1140</v>
      </c>
      <c r="G972" t="s">
        <v>1139</v>
      </c>
      <c r="I972" s="2">
        <v>45593</v>
      </c>
      <c r="J972" t="s">
        <v>20</v>
      </c>
      <c r="K972" s="21">
        <v>-64.58</v>
      </c>
      <c r="L972" s="21" t="s">
        <v>86</v>
      </c>
      <c r="M972">
        <v>0</v>
      </c>
      <c r="N972" s="21" t="s">
        <v>86</v>
      </c>
    </row>
    <row r="973" spans="1:14">
      <c r="A973" t="str">
        <f>IFERROR(_xlfn.XLOOKUP(B973,Cuentas!$C$1:$C$521,Cuentas!$A$1:$A$521),"")</f>
        <v>Yuldor</v>
      </c>
      <c r="B973" t="s">
        <v>1136</v>
      </c>
      <c r="C973" t="s">
        <v>1137</v>
      </c>
      <c r="D973" t="s">
        <v>16</v>
      </c>
      <c r="E973" t="s">
        <v>5502</v>
      </c>
      <c r="F973" t="s">
        <v>1141</v>
      </c>
      <c r="G973" t="s">
        <v>1139</v>
      </c>
      <c r="I973" s="2">
        <v>45631</v>
      </c>
      <c r="J973" t="s">
        <v>20</v>
      </c>
      <c r="K973" s="21">
        <v>-64.58</v>
      </c>
      <c r="L973" s="21" t="s">
        <v>86</v>
      </c>
      <c r="M973">
        <v>0</v>
      </c>
      <c r="N973" s="21" t="s">
        <v>86</v>
      </c>
    </row>
    <row r="974" spans="1:14">
      <c r="A974" t="str">
        <f>IFERROR(_xlfn.XLOOKUP(B974,Cuentas!$C$1:$C$521,Cuentas!$A$1:$A$521),"")</f>
        <v>Yuldor</v>
      </c>
      <c r="B974" t="s">
        <v>1136</v>
      </c>
      <c r="C974" t="s">
        <v>1137</v>
      </c>
      <c r="D974" t="s">
        <v>16</v>
      </c>
      <c r="E974" t="s">
        <v>3139</v>
      </c>
      <c r="F974" t="s">
        <v>1139</v>
      </c>
      <c r="G974" t="s">
        <v>1139</v>
      </c>
      <c r="I974" s="2">
        <v>45583</v>
      </c>
      <c r="J974" t="s">
        <v>20</v>
      </c>
      <c r="K974" s="21">
        <v>-688.75</v>
      </c>
      <c r="L974" s="21" t="s">
        <v>86</v>
      </c>
      <c r="M974">
        <v>0</v>
      </c>
      <c r="N974" s="21" t="s">
        <v>86</v>
      </c>
    </row>
    <row r="975" spans="1:14">
      <c r="A975" t="str">
        <f>IFERROR(_xlfn.XLOOKUP(B975,Cuentas!$C$1:$C$521,Cuentas!$A$1:$A$521),"")</f>
        <v>Yuldor</v>
      </c>
      <c r="B975" t="s">
        <v>1136</v>
      </c>
      <c r="C975" t="s">
        <v>1137</v>
      </c>
      <c r="D975" t="s">
        <v>16</v>
      </c>
      <c r="E975" t="s">
        <v>7</v>
      </c>
      <c r="F975" t="s">
        <v>1142</v>
      </c>
      <c r="G975" t="s">
        <v>1142</v>
      </c>
      <c r="H975" s="2">
        <v>45574</v>
      </c>
      <c r="I975" s="2">
        <v>45604</v>
      </c>
      <c r="J975" t="s">
        <v>20</v>
      </c>
      <c r="K975" s="21">
        <v>3892.25</v>
      </c>
      <c r="L975" s="21">
        <v>-333.65</v>
      </c>
      <c r="M975">
        <v>0</v>
      </c>
      <c r="N975" s="21">
        <v>-333.65</v>
      </c>
    </row>
    <row r="976" spans="1:14">
      <c r="A976" t="str">
        <f>IFERROR(_xlfn.XLOOKUP(B976,Cuentas!$C$1:$C$521,Cuentas!$A$1:$A$521),"")</f>
        <v>Yuldor</v>
      </c>
      <c r="B976" t="s">
        <v>1136</v>
      </c>
      <c r="C976" t="s">
        <v>1137</v>
      </c>
      <c r="D976" t="s">
        <v>16</v>
      </c>
      <c r="E976" t="s">
        <v>5502</v>
      </c>
      <c r="F976" t="s">
        <v>1143</v>
      </c>
      <c r="G976" t="s">
        <v>1142</v>
      </c>
      <c r="I976" s="2">
        <v>45593</v>
      </c>
      <c r="J976" t="s">
        <v>20</v>
      </c>
      <c r="K976" s="21">
        <v>-333.65</v>
      </c>
      <c r="L976" s="21" t="s">
        <v>86</v>
      </c>
      <c r="M976">
        <v>0</v>
      </c>
      <c r="N976" s="21" t="s">
        <v>86</v>
      </c>
    </row>
    <row r="977" spans="1:14">
      <c r="A977" t="str">
        <f>IFERROR(_xlfn.XLOOKUP(B977,Cuentas!$C$1:$C$521,Cuentas!$A$1:$A$521),"")</f>
        <v>Yuldor</v>
      </c>
      <c r="B977" t="s">
        <v>1136</v>
      </c>
      <c r="C977" t="s">
        <v>1137</v>
      </c>
      <c r="D977" t="s">
        <v>16</v>
      </c>
      <c r="E977" t="s">
        <v>5502</v>
      </c>
      <c r="F977" t="s">
        <v>1144</v>
      </c>
      <c r="G977" t="s">
        <v>1142</v>
      </c>
      <c r="I977" s="2">
        <v>45631</v>
      </c>
      <c r="J977" t="s">
        <v>20</v>
      </c>
      <c r="K977" s="21">
        <v>-333.65</v>
      </c>
      <c r="L977" s="21" t="s">
        <v>86</v>
      </c>
      <c r="M977">
        <v>0</v>
      </c>
      <c r="N977" s="21" t="s">
        <v>86</v>
      </c>
    </row>
    <row r="978" spans="1:14">
      <c r="A978" t="str">
        <f>IFERROR(_xlfn.XLOOKUP(B978,Cuentas!$C$1:$C$521,Cuentas!$A$1:$A$521),"")</f>
        <v>Yuldor</v>
      </c>
      <c r="B978" t="s">
        <v>1136</v>
      </c>
      <c r="C978" t="s">
        <v>1137</v>
      </c>
      <c r="D978" t="s">
        <v>16</v>
      </c>
      <c r="E978" t="s">
        <v>3139</v>
      </c>
      <c r="F978" t="s">
        <v>1142</v>
      </c>
      <c r="G978" t="s">
        <v>1142</v>
      </c>
      <c r="I978" s="2">
        <v>45583</v>
      </c>
      <c r="J978" t="s">
        <v>20</v>
      </c>
      <c r="K978" s="21">
        <v>-3558.6</v>
      </c>
      <c r="L978" s="21" t="s">
        <v>86</v>
      </c>
      <c r="M978">
        <v>0</v>
      </c>
      <c r="N978" s="21" t="s">
        <v>86</v>
      </c>
    </row>
    <row r="979" spans="1:14">
      <c r="A979" t="str">
        <f>IFERROR(_xlfn.XLOOKUP(B979,Cuentas!$C$1:$C$521,Cuentas!$A$1:$A$521),"")</f>
        <v>Yuldor</v>
      </c>
      <c r="B979" t="s">
        <v>1136</v>
      </c>
      <c r="C979" t="s">
        <v>1137</v>
      </c>
      <c r="D979" t="s">
        <v>16</v>
      </c>
      <c r="E979" t="s">
        <v>7</v>
      </c>
      <c r="F979" t="s">
        <v>1145</v>
      </c>
      <c r="G979" t="s">
        <v>1145</v>
      </c>
      <c r="H979" s="2">
        <v>45589</v>
      </c>
      <c r="I979" s="2">
        <v>45619</v>
      </c>
      <c r="J979" t="s">
        <v>20</v>
      </c>
      <c r="K979" s="21">
        <v>671.14</v>
      </c>
      <c r="L979" s="21">
        <v>57.54</v>
      </c>
      <c r="M979">
        <v>0</v>
      </c>
      <c r="N979" s="21">
        <v>57.54</v>
      </c>
    </row>
    <row r="980" spans="1:14">
      <c r="A980" t="str">
        <f>IFERROR(_xlfn.XLOOKUP(B980,Cuentas!$C$1:$C$521,Cuentas!$A$1:$A$521),"")</f>
        <v>Yuldor</v>
      </c>
      <c r="B980" t="s">
        <v>1136</v>
      </c>
      <c r="C980" t="s">
        <v>1137</v>
      </c>
      <c r="D980" t="s">
        <v>16</v>
      </c>
      <c r="E980" t="s">
        <v>3139</v>
      </c>
      <c r="F980" t="s">
        <v>1145</v>
      </c>
      <c r="G980" t="s">
        <v>1145</v>
      </c>
      <c r="I980" s="2">
        <v>45603</v>
      </c>
      <c r="J980" t="s">
        <v>20</v>
      </c>
      <c r="K980" s="21">
        <v>-613.6</v>
      </c>
      <c r="L980" s="21" t="s">
        <v>86</v>
      </c>
      <c r="M980">
        <v>0</v>
      </c>
      <c r="N980" s="21" t="s">
        <v>86</v>
      </c>
    </row>
    <row r="981" spans="1:14">
      <c r="A981" t="str">
        <f>IFERROR(_xlfn.XLOOKUP(B981,Cuentas!$C$1:$C$521,Cuentas!$A$1:$A$521),"")</f>
        <v>Yuldor</v>
      </c>
      <c r="B981" t="s">
        <v>1136</v>
      </c>
      <c r="C981" t="s">
        <v>1137</v>
      </c>
      <c r="D981" t="s">
        <v>16</v>
      </c>
      <c r="E981" t="s">
        <v>7</v>
      </c>
      <c r="F981" t="s">
        <v>1146</v>
      </c>
      <c r="G981" t="s">
        <v>1146</v>
      </c>
      <c r="H981" s="2">
        <v>45617</v>
      </c>
      <c r="I981" s="2">
        <v>45647</v>
      </c>
      <c r="J981" t="s">
        <v>20</v>
      </c>
      <c r="K981" s="21">
        <v>1552.29</v>
      </c>
      <c r="L981" s="21">
        <v>133.05000000000001</v>
      </c>
      <c r="M981">
        <v>0</v>
      </c>
      <c r="N981" s="21">
        <v>133.05000000000001</v>
      </c>
    </row>
    <row r="982" spans="1:14">
      <c r="A982" t="str">
        <f>IFERROR(_xlfn.XLOOKUP(B982,Cuentas!$C$1:$C$521,Cuentas!$A$1:$A$521),"")</f>
        <v>Yuldor</v>
      </c>
      <c r="B982" t="s">
        <v>1136</v>
      </c>
      <c r="C982" t="s">
        <v>1137</v>
      </c>
      <c r="D982" t="s">
        <v>16</v>
      </c>
      <c r="E982" t="s">
        <v>5502</v>
      </c>
      <c r="F982" t="s">
        <v>1147</v>
      </c>
      <c r="G982" t="s">
        <v>1146</v>
      </c>
      <c r="I982" s="2">
        <v>45636</v>
      </c>
      <c r="J982" t="s">
        <v>20</v>
      </c>
      <c r="K982" s="21">
        <v>-1113.75</v>
      </c>
      <c r="L982" s="21" t="s">
        <v>86</v>
      </c>
      <c r="M982">
        <v>0</v>
      </c>
      <c r="N982" s="21" t="s">
        <v>86</v>
      </c>
    </row>
    <row r="983" spans="1:14">
      <c r="A983" t="str">
        <f>IFERROR(_xlfn.XLOOKUP(B983,Cuentas!$C$1:$C$521,Cuentas!$A$1:$A$521),"")</f>
        <v>Yuldor</v>
      </c>
      <c r="B983" t="s">
        <v>1136</v>
      </c>
      <c r="C983" t="s">
        <v>1137</v>
      </c>
      <c r="D983" t="s">
        <v>16</v>
      </c>
      <c r="E983" t="s">
        <v>3139</v>
      </c>
      <c r="F983" t="s">
        <v>1146</v>
      </c>
      <c r="G983" t="s">
        <v>1146</v>
      </c>
      <c r="I983" s="2">
        <v>45639</v>
      </c>
      <c r="J983" t="s">
        <v>20</v>
      </c>
      <c r="K983" s="21">
        <v>-305.49</v>
      </c>
      <c r="L983" s="21" t="s">
        <v>86</v>
      </c>
      <c r="M983">
        <v>0</v>
      </c>
      <c r="N983" s="21" t="s">
        <v>86</v>
      </c>
    </row>
    <row r="984" spans="1:14">
      <c r="A984" t="str">
        <f>IFERROR(_xlfn.XLOOKUP(B984,Cuentas!$C$1:$C$521,Cuentas!$A$1:$A$521),"")</f>
        <v>Yuldor</v>
      </c>
      <c r="B984" t="s">
        <v>1136</v>
      </c>
      <c r="C984" t="s">
        <v>1137</v>
      </c>
      <c r="D984" t="s">
        <v>16</v>
      </c>
      <c r="E984" t="s">
        <v>7</v>
      </c>
      <c r="F984" t="s">
        <v>1148</v>
      </c>
      <c r="G984" t="s">
        <v>1148</v>
      </c>
      <c r="H984" s="2">
        <v>45630</v>
      </c>
      <c r="I984" s="2">
        <v>45660</v>
      </c>
      <c r="J984" t="s">
        <v>20</v>
      </c>
      <c r="K984" s="21">
        <v>556.97</v>
      </c>
      <c r="L984" s="21">
        <v>47.73</v>
      </c>
      <c r="M984">
        <v>0</v>
      </c>
      <c r="N984" s="21">
        <v>47.73</v>
      </c>
    </row>
    <row r="985" spans="1:14">
      <c r="A985" t="str">
        <f>IFERROR(_xlfn.XLOOKUP(B985,Cuentas!$C$1:$C$521,Cuentas!$A$1:$A$521),"")</f>
        <v>Yuldor</v>
      </c>
      <c r="B985" t="s">
        <v>1136</v>
      </c>
      <c r="C985" t="s">
        <v>1137</v>
      </c>
      <c r="D985" t="s">
        <v>16</v>
      </c>
      <c r="E985" t="s">
        <v>5502</v>
      </c>
      <c r="F985" t="s">
        <v>1147</v>
      </c>
      <c r="G985" t="s">
        <v>1148</v>
      </c>
      <c r="I985" s="2">
        <v>45636</v>
      </c>
      <c r="J985" t="s">
        <v>20</v>
      </c>
      <c r="K985" s="21">
        <v>-182.25</v>
      </c>
      <c r="L985" s="21" t="s">
        <v>86</v>
      </c>
      <c r="M985">
        <v>0</v>
      </c>
      <c r="N985" s="21" t="s">
        <v>86</v>
      </c>
    </row>
    <row r="986" spans="1:14">
      <c r="A986" t="str">
        <f>IFERROR(_xlfn.XLOOKUP(B986,Cuentas!$C$1:$C$521,Cuentas!$A$1:$A$521),"")</f>
        <v>Yuldor</v>
      </c>
      <c r="B986" t="s">
        <v>1136</v>
      </c>
      <c r="C986" t="s">
        <v>1137</v>
      </c>
      <c r="D986" t="s">
        <v>16</v>
      </c>
      <c r="E986" t="s">
        <v>3139</v>
      </c>
      <c r="F986" t="s">
        <v>1148</v>
      </c>
      <c r="G986" t="s">
        <v>1148</v>
      </c>
      <c r="I986" s="2">
        <v>45642</v>
      </c>
      <c r="J986" t="s">
        <v>20</v>
      </c>
      <c r="K986" s="21">
        <v>-326.99</v>
      </c>
      <c r="L986" s="21" t="s">
        <v>86</v>
      </c>
      <c r="M986">
        <v>0</v>
      </c>
      <c r="N986" s="21" t="s">
        <v>86</v>
      </c>
    </row>
    <row r="987" spans="1:14">
      <c r="A987" t="str">
        <f>IFERROR(_xlfn.XLOOKUP(B987,Cuentas!$C$1:$C$521,Cuentas!$A$1:$A$521),"")</f>
        <v>Yuldor</v>
      </c>
      <c r="B987" t="s">
        <v>1149</v>
      </c>
      <c r="C987" t="s">
        <v>1150</v>
      </c>
      <c r="D987" t="s">
        <v>16</v>
      </c>
      <c r="E987" t="s">
        <v>7</v>
      </c>
      <c r="F987" t="s">
        <v>1151</v>
      </c>
      <c r="G987" t="s">
        <v>1151</v>
      </c>
      <c r="H987" s="2">
        <v>45240</v>
      </c>
      <c r="I987" s="2">
        <v>45270</v>
      </c>
      <c r="J987" t="s">
        <v>20</v>
      </c>
      <c r="K987" s="21">
        <v>217.86</v>
      </c>
      <c r="L987" s="21">
        <v>217.86</v>
      </c>
      <c r="M987">
        <v>0</v>
      </c>
      <c r="N987" s="21">
        <v>217.86</v>
      </c>
    </row>
    <row r="988" spans="1:14">
      <c r="A988" t="str">
        <f>IFERROR(_xlfn.XLOOKUP(B988,Cuentas!$C$1:$C$521,Cuentas!$A$1:$A$521),"")</f>
        <v>Yuldor</v>
      </c>
      <c r="B988" t="s">
        <v>1149</v>
      </c>
      <c r="C988" t="s">
        <v>1150</v>
      </c>
      <c r="D988" t="s">
        <v>16</v>
      </c>
      <c r="E988" t="s">
        <v>7</v>
      </c>
      <c r="F988" t="s">
        <v>1152</v>
      </c>
      <c r="G988" t="s">
        <v>1152</v>
      </c>
      <c r="H988" s="2">
        <v>45579</v>
      </c>
      <c r="I988" s="2">
        <v>45609</v>
      </c>
      <c r="J988" t="s">
        <v>20</v>
      </c>
      <c r="K988" s="21">
        <v>2277.15</v>
      </c>
      <c r="L988" s="21">
        <v>173.58</v>
      </c>
      <c r="M988">
        <v>0</v>
      </c>
      <c r="N988" s="21">
        <v>173.58</v>
      </c>
    </row>
    <row r="989" spans="1:14">
      <c r="A989" t="str">
        <f>IFERROR(_xlfn.XLOOKUP(B989,Cuentas!$C$1:$C$521,Cuentas!$A$1:$A$521),"")</f>
        <v>Yuldor</v>
      </c>
      <c r="B989" t="s">
        <v>1149</v>
      </c>
      <c r="C989" t="s">
        <v>1150</v>
      </c>
      <c r="D989" t="s">
        <v>16</v>
      </c>
      <c r="E989" t="s">
        <v>3139</v>
      </c>
      <c r="F989" t="s">
        <v>1152</v>
      </c>
      <c r="G989" t="s">
        <v>1152</v>
      </c>
      <c r="I989" s="2">
        <v>45691</v>
      </c>
      <c r="J989" t="s">
        <v>20</v>
      </c>
      <c r="K989" s="21">
        <v>-2103.5700000000002</v>
      </c>
      <c r="L989" s="21" t="s">
        <v>86</v>
      </c>
      <c r="M989">
        <v>0</v>
      </c>
      <c r="N989" s="21" t="s">
        <v>86</v>
      </c>
    </row>
    <row r="990" spans="1:14">
      <c r="A990" t="str">
        <f>IFERROR(_xlfn.XLOOKUP(B990,Cuentas!$C$1:$C$521,Cuentas!$A$1:$A$521),"")</f>
        <v>Yuldor</v>
      </c>
      <c r="B990" t="s">
        <v>1153</v>
      </c>
      <c r="C990" t="s">
        <v>1154</v>
      </c>
      <c r="D990" t="s">
        <v>16</v>
      </c>
      <c r="E990" t="s">
        <v>5502</v>
      </c>
      <c r="F990" t="s">
        <v>1155</v>
      </c>
      <c r="G990" t="s">
        <v>19</v>
      </c>
      <c r="I990" s="2">
        <v>45519</v>
      </c>
      <c r="J990" t="s">
        <v>20</v>
      </c>
      <c r="K990" s="21">
        <v>-9.48</v>
      </c>
      <c r="L990" s="21">
        <v>-9.48</v>
      </c>
      <c r="M990">
        <v>0</v>
      </c>
      <c r="N990" s="21">
        <v>-9.48</v>
      </c>
    </row>
    <row r="991" spans="1:14">
      <c r="A991" t="str">
        <f>IFERROR(_xlfn.XLOOKUP(B991,Cuentas!$C$1:$C$521,Cuentas!$A$1:$A$521),"")</f>
        <v>Yuldor</v>
      </c>
      <c r="B991" t="s">
        <v>1156</v>
      </c>
      <c r="C991" t="s">
        <v>1157</v>
      </c>
      <c r="D991" t="s">
        <v>16</v>
      </c>
      <c r="E991" t="s">
        <v>7</v>
      </c>
      <c r="F991" t="s">
        <v>1158</v>
      </c>
      <c r="G991" t="s">
        <v>1158</v>
      </c>
      <c r="H991" s="2">
        <v>45197</v>
      </c>
      <c r="I991" s="2">
        <v>45227</v>
      </c>
      <c r="J991" t="s">
        <v>20</v>
      </c>
      <c r="K991" s="21">
        <v>9360</v>
      </c>
      <c r="L991" s="21">
        <v>9360</v>
      </c>
      <c r="M991">
        <v>0</v>
      </c>
      <c r="N991" s="21">
        <v>9360</v>
      </c>
    </row>
    <row r="992" spans="1:14">
      <c r="A992" t="str">
        <f>IFERROR(_xlfn.XLOOKUP(B992,Cuentas!$C$1:$C$521,Cuentas!$A$1:$A$521),"")</f>
        <v>Yuldor</v>
      </c>
      <c r="B992" t="s">
        <v>1156</v>
      </c>
      <c r="C992" t="s">
        <v>1157</v>
      </c>
      <c r="D992" t="s">
        <v>16</v>
      </c>
      <c r="E992" t="s">
        <v>5502</v>
      </c>
      <c r="F992" t="s">
        <v>1159</v>
      </c>
      <c r="G992" t="s">
        <v>19</v>
      </c>
      <c r="I992" s="2">
        <v>45251</v>
      </c>
      <c r="J992" t="s">
        <v>20</v>
      </c>
      <c r="K992" s="21">
        <v>-414</v>
      </c>
      <c r="L992" s="21">
        <v>-414</v>
      </c>
      <c r="M992">
        <v>0</v>
      </c>
      <c r="N992" s="21">
        <v>-414</v>
      </c>
    </row>
    <row r="993" spans="1:14">
      <c r="A993" t="str">
        <f>IFERROR(_xlfn.XLOOKUP(B993,Cuentas!$C$1:$C$521,Cuentas!$A$1:$A$521),"")</f>
        <v>Yuldor</v>
      </c>
      <c r="B993" t="s">
        <v>1156</v>
      </c>
      <c r="C993" t="s">
        <v>1157</v>
      </c>
      <c r="D993" t="s">
        <v>16</v>
      </c>
      <c r="E993" t="s">
        <v>7</v>
      </c>
      <c r="F993" t="s">
        <v>1160</v>
      </c>
      <c r="G993" t="s">
        <v>1160</v>
      </c>
      <c r="H993" s="2">
        <v>45575</v>
      </c>
      <c r="I993" s="2">
        <v>45605</v>
      </c>
      <c r="J993" t="s">
        <v>20</v>
      </c>
      <c r="K993" s="21">
        <v>19976</v>
      </c>
      <c r="L993" s="21">
        <v>9075</v>
      </c>
      <c r="M993">
        <v>0</v>
      </c>
      <c r="N993" s="21">
        <v>9075</v>
      </c>
    </row>
    <row r="994" spans="1:14">
      <c r="A994" t="str">
        <f>IFERROR(_xlfn.XLOOKUP(B994,Cuentas!$C$1:$C$521,Cuentas!$A$1:$A$521),"")</f>
        <v>Yuldor</v>
      </c>
      <c r="B994" t="s">
        <v>1156</v>
      </c>
      <c r="C994" t="s">
        <v>1157</v>
      </c>
      <c r="D994" t="s">
        <v>16</v>
      </c>
      <c r="E994" t="s">
        <v>5502</v>
      </c>
      <c r="F994" t="s">
        <v>1161</v>
      </c>
      <c r="G994" t="s">
        <v>1160</v>
      </c>
      <c r="I994" s="2">
        <v>45741</v>
      </c>
      <c r="J994" t="s">
        <v>20</v>
      </c>
      <c r="K994" s="21">
        <v>-200</v>
      </c>
      <c r="L994" s="21" t="s">
        <v>86</v>
      </c>
      <c r="M994">
        <v>13</v>
      </c>
      <c r="N994" s="21" t="s">
        <v>86</v>
      </c>
    </row>
    <row r="995" spans="1:14">
      <c r="A995" t="str">
        <f>IFERROR(_xlfn.XLOOKUP(B995,Cuentas!$C$1:$C$521,Cuentas!$A$1:$A$521),"")</f>
        <v>Yuldor</v>
      </c>
      <c r="B995" t="s">
        <v>1156</v>
      </c>
      <c r="C995" t="s">
        <v>1157</v>
      </c>
      <c r="D995" t="s">
        <v>16</v>
      </c>
      <c r="E995" t="s">
        <v>5502</v>
      </c>
      <c r="F995" t="s">
        <v>1162</v>
      </c>
      <c r="G995" t="s">
        <v>1160</v>
      </c>
      <c r="I995" s="2">
        <v>45741</v>
      </c>
      <c r="J995" t="s">
        <v>20</v>
      </c>
      <c r="K995" s="21">
        <v>-200</v>
      </c>
      <c r="L995" s="21" t="s">
        <v>86</v>
      </c>
      <c r="M995">
        <v>13</v>
      </c>
      <c r="N995" s="21" t="s">
        <v>86</v>
      </c>
    </row>
    <row r="996" spans="1:14">
      <c r="A996" t="str">
        <f>IFERROR(_xlfn.XLOOKUP(B996,Cuentas!$C$1:$C$521,Cuentas!$A$1:$A$521),"")</f>
        <v>Yuldor</v>
      </c>
      <c r="B996" t="s">
        <v>1156</v>
      </c>
      <c r="C996" t="s">
        <v>1157</v>
      </c>
      <c r="D996" t="s">
        <v>16</v>
      </c>
      <c r="E996" t="s">
        <v>3139</v>
      </c>
      <c r="F996" t="s">
        <v>1160</v>
      </c>
      <c r="G996" t="s">
        <v>1160</v>
      </c>
      <c r="I996" s="2">
        <v>45687</v>
      </c>
      <c r="J996" t="s">
        <v>20</v>
      </c>
      <c r="K996" s="21">
        <v>-10501</v>
      </c>
      <c r="L996" s="21" t="s">
        <v>86</v>
      </c>
      <c r="M996">
        <v>0</v>
      </c>
      <c r="N996" s="21" t="s">
        <v>86</v>
      </c>
    </row>
    <row r="997" spans="1:14">
      <c r="A997" t="str">
        <f>IFERROR(_xlfn.XLOOKUP(B997,Cuentas!$C$1:$C$521,Cuentas!$A$1:$A$521),"")</f>
        <v>Yuldor</v>
      </c>
      <c r="B997" t="s">
        <v>1156</v>
      </c>
      <c r="C997" t="s">
        <v>1157</v>
      </c>
      <c r="D997" t="s">
        <v>16</v>
      </c>
      <c r="E997" t="s">
        <v>7</v>
      </c>
      <c r="F997" t="s">
        <v>1163</v>
      </c>
      <c r="G997" t="s">
        <v>1163</v>
      </c>
      <c r="H997" s="2">
        <v>45615</v>
      </c>
      <c r="I997" s="2">
        <v>45645</v>
      </c>
      <c r="J997" t="s">
        <v>20</v>
      </c>
      <c r="K997" s="21">
        <v>148500</v>
      </c>
      <c r="L997" s="21">
        <v>1650</v>
      </c>
      <c r="M997">
        <v>0</v>
      </c>
      <c r="N997" s="21">
        <v>1650</v>
      </c>
    </row>
    <row r="998" spans="1:14">
      <c r="A998" t="str">
        <f>IFERROR(_xlfn.XLOOKUP(B998,Cuentas!$C$1:$C$521,Cuentas!$A$1:$A$521),"")</f>
        <v>Yuldor</v>
      </c>
      <c r="B998" t="s">
        <v>1156</v>
      </c>
      <c r="C998" t="s">
        <v>1157</v>
      </c>
      <c r="D998" t="s">
        <v>16</v>
      </c>
      <c r="E998" t="s">
        <v>5502</v>
      </c>
      <c r="F998" t="s">
        <v>1164</v>
      </c>
      <c r="G998" t="s">
        <v>1163</v>
      </c>
      <c r="I998" s="2">
        <v>45741</v>
      </c>
      <c r="J998" t="s">
        <v>20</v>
      </c>
      <c r="K998" s="21">
        <v>-200</v>
      </c>
      <c r="L998" s="21" t="s">
        <v>86</v>
      </c>
      <c r="M998">
        <v>13</v>
      </c>
      <c r="N998" s="21" t="s">
        <v>86</v>
      </c>
    </row>
    <row r="999" spans="1:14">
      <c r="A999" t="str">
        <f>IFERROR(_xlfn.XLOOKUP(B999,Cuentas!$C$1:$C$521,Cuentas!$A$1:$A$521),"")</f>
        <v>Yuldor</v>
      </c>
      <c r="B999" t="s">
        <v>1156</v>
      </c>
      <c r="C999" t="s">
        <v>1157</v>
      </c>
      <c r="D999" t="s">
        <v>16</v>
      </c>
      <c r="E999" t="s">
        <v>3139</v>
      </c>
      <c r="F999" t="s">
        <v>1163</v>
      </c>
      <c r="G999" t="s">
        <v>1163</v>
      </c>
      <c r="I999" s="2">
        <v>45652</v>
      </c>
      <c r="J999" t="s">
        <v>20</v>
      </c>
      <c r="K999" s="21">
        <v>-146650</v>
      </c>
      <c r="L999" s="21" t="s">
        <v>86</v>
      </c>
      <c r="M999">
        <v>0</v>
      </c>
      <c r="N999" s="21" t="s">
        <v>86</v>
      </c>
    </row>
    <row r="1000" spans="1:14">
      <c r="A1000" t="str">
        <f>IFERROR(_xlfn.XLOOKUP(B1000,Cuentas!$C$1:$C$521,Cuentas!$A$1:$A$521),"")</f>
        <v>Yuldor</v>
      </c>
      <c r="B1000" t="s">
        <v>1156</v>
      </c>
      <c r="C1000" t="s">
        <v>1157</v>
      </c>
      <c r="D1000" t="s">
        <v>16</v>
      </c>
      <c r="E1000" t="s">
        <v>7</v>
      </c>
      <c r="F1000" t="s">
        <v>1165</v>
      </c>
      <c r="G1000" t="s">
        <v>1165</v>
      </c>
      <c r="H1000" s="2">
        <v>45679</v>
      </c>
      <c r="I1000" s="2">
        <v>45709</v>
      </c>
      <c r="J1000" t="s">
        <v>20</v>
      </c>
      <c r="K1000" s="21">
        <v>12500</v>
      </c>
      <c r="L1000" s="21" t="s">
        <v>86</v>
      </c>
      <c r="M1000">
        <v>0</v>
      </c>
      <c r="N1000" s="21" t="s">
        <v>86</v>
      </c>
    </row>
    <row r="1001" spans="1:14">
      <c r="A1001" t="str">
        <f>IFERROR(_xlfn.XLOOKUP(B1001,Cuentas!$C$1:$C$521,Cuentas!$A$1:$A$521),"")</f>
        <v>Yuldor</v>
      </c>
      <c r="B1001" t="s">
        <v>1156</v>
      </c>
      <c r="C1001" t="s">
        <v>1157</v>
      </c>
      <c r="D1001" t="s">
        <v>16</v>
      </c>
      <c r="E1001" t="s">
        <v>5502</v>
      </c>
      <c r="F1001" t="s">
        <v>1166</v>
      </c>
      <c r="G1001" t="s">
        <v>1165</v>
      </c>
      <c r="I1001" s="2">
        <v>45741</v>
      </c>
      <c r="J1001" t="s">
        <v>20</v>
      </c>
      <c r="K1001" s="21">
        <v>-600</v>
      </c>
      <c r="L1001" s="21" t="s">
        <v>86</v>
      </c>
      <c r="M1001">
        <v>13</v>
      </c>
      <c r="N1001" s="21" t="s">
        <v>86</v>
      </c>
    </row>
    <row r="1002" spans="1:14">
      <c r="A1002" t="str">
        <f>IFERROR(_xlfn.XLOOKUP(B1002,Cuentas!$C$1:$C$521,Cuentas!$A$1:$A$521),"")</f>
        <v>Yuldor</v>
      </c>
      <c r="B1002" t="s">
        <v>1156</v>
      </c>
      <c r="C1002" t="s">
        <v>1157</v>
      </c>
      <c r="D1002" t="s">
        <v>16</v>
      </c>
      <c r="E1002" t="s">
        <v>3139</v>
      </c>
      <c r="F1002" t="s">
        <v>1165</v>
      </c>
      <c r="G1002" t="s">
        <v>1165</v>
      </c>
      <c r="I1002" s="2">
        <v>45720</v>
      </c>
      <c r="J1002" t="s">
        <v>20</v>
      </c>
      <c r="K1002" s="21">
        <v>-11900</v>
      </c>
      <c r="L1002" s="21" t="s">
        <v>86</v>
      </c>
      <c r="M1002">
        <v>10</v>
      </c>
      <c r="N1002" s="21" t="s">
        <v>86</v>
      </c>
    </row>
    <row r="1003" spans="1:14">
      <c r="A1003" t="str">
        <f>IFERROR(_xlfn.XLOOKUP(B1003,Cuentas!$C$1:$C$521,Cuentas!$A$1:$A$521),"")</f>
        <v>Yuldor</v>
      </c>
      <c r="B1003" t="s">
        <v>1156</v>
      </c>
      <c r="C1003" t="s">
        <v>1157</v>
      </c>
      <c r="D1003" t="s">
        <v>16</v>
      </c>
      <c r="E1003" t="s">
        <v>7</v>
      </c>
      <c r="F1003" t="s">
        <v>1167</v>
      </c>
      <c r="G1003" t="s">
        <v>1167</v>
      </c>
      <c r="H1003" s="2">
        <v>45687</v>
      </c>
      <c r="I1003" s="2">
        <v>45717</v>
      </c>
      <c r="J1003" t="s">
        <v>20</v>
      </c>
      <c r="K1003" s="21">
        <v>23904.85</v>
      </c>
      <c r="L1003" s="21">
        <v>23904.85</v>
      </c>
      <c r="M1003">
        <v>10</v>
      </c>
      <c r="N1003" s="21">
        <v>23904.85</v>
      </c>
    </row>
    <row r="1004" spans="1:14">
      <c r="A1004" t="str">
        <f>IFERROR(_xlfn.XLOOKUP(B1004,Cuentas!$C$1:$C$521,Cuentas!$A$1:$A$521),"")</f>
        <v>Yuldor</v>
      </c>
      <c r="B1004" t="s">
        <v>1168</v>
      </c>
      <c r="C1004" t="s">
        <v>1169</v>
      </c>
      <c r="D1004" t="s">
        <v>16</v>
      </c>
      <c r="E1004" t="s">
        <v>7</v>
      </c>
      <c r="F1004" t="s">
        <v>1170</v>
      </c>
      <c r="G1004" t="s">
        <v>1170</v>
      </c>
      <c r="H1004" s="2">
        <v>45552</v>
      </c>
      <c r="I1004" s="2">
        <v>45582</v>
      </c>
      <c r="J1004" t="s">
        <v>20</v>
      </c>
      <c r="K1004" s="21">
        <v>232</v>
      </c>
      <c r="L1004" s="21">
        <v>232</v>
      </c>
      <c r="M1004">
        <v>0</v>
      </c>
      <c r="N1004" s="21">
        <v>232</v>
      </c>
    </row>
    <row r="1005" spans="1:14">
      <c r="A1005" t="str">
        <f>IFERROR(_xlfn.XLOOKUP(B1005,Cuentas!$C$1:$C$521,Cuentas!$A$1:$A$521),"")</f>
        <v>Yuldor</v>
      </c>
      <c r="B1005" t="s">
        <v>1168</v>
      </c>
      <c r="C1005" t="s">
        <v>1169</v>
      </c>
      <c r="D1005" t="s">
        <v>16</v>
      </c>
      <c r="E1005" t="s">
        <v>7</v>
      </c>
      <c r="F1005" t="s">
        <v>1171</v>
      </c>
      <c r="G1005" t="s">
        <v>1171</v>
      </c>
      <c r="H1005" s="2">
        <v>45628</v>
      </c>
      <c r="I1005" s="2">
        <v>45658</v>
      </c>
      <c r="J1005" t="s">
        <v>20</v>
      </c>
      <c r="K1005" s="21">
        <v>142.5</v>
      </c>
      <c r="L1005" s="21">
        <v>142.5</v>
      </c>
      <c r="M1005">
        <v>0</v>
      </c>
      <c r="N1005" s="21">
        <v>142.5</v>
      </c>
    </row>
    <row r="1006" spans="1:14">
      <c r="A1006" t="str">
        <f>IFERROR(_xlfn.XLOOKUP(B1006,Cuentas!$C$1:$C$521,Cuentas!$A$1:$A$521),"")</f>
        <v>Yuldor</v>
      </c>
      <c r="B1006" t="s">
        <v>1172</v>
      </c>
      <c r="C1006" t="s">
        <v>1173</v>
      </c>
      <c r="D1006" t="s">
        <v>16</v>
      </c>
      <c r="E1006" t="s">
        <v>7</v>
      </c>
      <c r="F1006" t="s">
        <v>1174</v>
      </c>
      <c r="G1006" t="s">
        <v>1174</v>
      </c>
      <c r="H1006" s="2">
        <v>45672</v>
      </c>
      <c r="I1006" s="2">
        <v>45702</v>
      </c>
      <c r="J1006" t="s">
        <v>20</v>
      </c>
      <c r="K1006" s="21">
        <v>280</v>
      </c>
      <c r="L1006" s="21">
        <v>280</v>
      </c>
      <c r="M1006">
        <v>0</v>
      </c>
      <c r="N1006" s="21">
        <v>280</v>
      </c>
    </row>
    <row r="1007" spans="1:14">
      <c r="A1007" t="str">
        <f>IFERROR(_xlfn.XLOOKUP(B1007,Cuentas!$C$1:$C$521,Cuentas!$A$1:$A$521),"")</f>
        <v>Yuldor</v>
      </c>
      <c r="B1007" t="s">
        <v>1172</v>
      </c>
      <c r="C1007" t="s">
        <v>1173</v>
      </c>
      <c r="D1007" t="s">
        <v>16</v>
      </c>
      <c r="E1007" t="s">
        <v>7</v>
      </c>
      <c r="F1007" t="s">
        <v>1175</v>
      </c>
      <c r="G1007" t="s">
        <v>1175</v>
      </c>
      <c r="H1007" s="2">
        <v>45672</v>
      </c>
      <c r="I1007" s="2">
        <v>45702</v>
      </c>
      <c r="J1007" t="s">
        <v>20</v>
      </c>
      <c r="K1007" s="21">
        <v>212</v>
      </c>
      <c r="L1007" s="21">
        <v>212</v>
      </c>
      <c r="M1007">
        <v>0</v>
      </c>
      <c r="N1007" s="21">
        <v>212</v>
      </c>
    </row>
    <row r="1008" spans="1:14">
      <c r="A1008" t="str">
        <f>IFERROR(_xlfn.XLOOKUP(B1008,Cuentas!$C$1:$C$521,Cuentas!$A$1:$A$521),"")</f>
        <v>Yuldor</v>
      </c>
      <c r="B1008" t="s">
        <v>1172</v>
      </c>
      <c r="C1008" t="s">
        <v>1173</v>
      </c>
      <c r="D1008" t="s">
        <v>16</v>
      </c>
      <c r="E1008" t="s">
        <v>7</v>
      </c>
      <c r="F1008" t="s">
        <v>1176</v>
      </c>
      <c r="G1008" t="s">
        <v>1176</v>
      </c>
      <c r="H1008" s="2">
        <v>45712</v>
      </c>
      <c r="I1008" s="2">
        <v>45742</v>
      </c>
      <c r="J1008" t="s">
        <v>20</v>
      </c>
      <c r="K1008" s="21">
        <v>50</v>
      </c>
      <c r="L1008" s="21">
        <v>50</v>
      </c>
      <c r="M1008">
        <v>13</v>
      </c>
      <c r="N1008" s="21">
        <v>50</v>
      </c>
    </row>
    <row r="1009" spans="1:14">
      <c r="A1009" t="str">
        <f>IFERROR(_xlfn.XLOOKUP(B1009,Cuentas!$C$1:$C$521,Cuentas!$A$1:$A$521),"")</f>
        <v>Yuldor</v>
      </c>
      <c r="B1009" t="s">
        <v>1172</v>
      </c>
      <c r="C1009" t="s">
        <v>1173</v>
      </c>
      <c r="D1009" t="s">
        <v>16</v>
      </c>
      <c r="E1009" t="s">
        <v>7</v>
      </c>
      <c r="F1009" t="s">
        <v>1177</v>
      </c>
      <c r="G1009" t="s">
        <v>1177</v>
      </c>
      <c r="H1009" s="2">
        <v>45742</v>
      </c>
      <c r="I1009" s="2">
        <v>45772</v>
      </c>
      <c r="J1009" t="s">
        <v>20</v>
      </c>
      <c r="K1009" s="21">
        <v>2837.12</v>
      </c>
      <c r="L1009" s="21">
        <v>2837.12</v>
      </c>
      <c r="M1009">
        <v>0</v>
      </c>
      <c r="N1009" s="21">
        <v>0</v>
      </c>
    </row>
    <row r="1010" spans="1:14">
      <c r="A1010" t="str">
        <f>IFERROR(_xlfn.XLOOKUP(B1010,Cuentas!$C$1:$C$521,Cuentas!$A$1:$A$521),"")</f>
        <v>Yuldor</v>
      </c>
      <c r="B1010" t="s">
        <v>1178</v>
      </c>
      <c r="C1010" t="s">
        <v>1179</v>
      </c>
      <c r="D1010" t="s">
        <v>16</v>
      </c>
      <c r="E1010" t="s">
        <v>7</v>
      </c>
      <c r="F1010" t="s">
        <v>1180</v>
      </c>
      <c r="G1010" t="s">
        <v>1180</v>
      </c>
      <c r="H1010" s="2">
        <v>45587</v>
      </c>
      <c r="I1010" s="2">
        <v>45617</v>
      </c>
      <c r="J1010" t="s">
        <v>20</v>
      </c>
      <c r="K1010" s="21">
        <v>170.05</v>
      </c>
      <c r="L1010" s="21">
        <v>10.56</v>
      </c>
      <c r="M1010">
        <v>0</v>
      </c>
      <c r="N1010" s="21">
        <v>10.56</v>
      </c>
    </row>
    <row r="1011" spans="1:14">
      <c r="A1011" t="str">
        <f>IFERROR(_xlfn.XLOOKUP(B1011,Cuentas!$C$1:$C$521,Cuentas!$A$1:$A$521),"")</f>
        <v>Yuldor</v>
      </c>
      <c r="B1011" t="s">
        <v>1178</v>
      </c>
      <c r="C1011" t="s">
        <v>1179</v>
      </c>
      <c r="D1011" t="s">
        <v>16</v>
      </c>
      <c r="E1011" t="s">
        <v>3139</v>
      </c>
      <c r="F1011" t="s">
        <v>1180</v>
      </c>
      <c r="G1011" t="s">
        <v>1180</v>
      </c>
      <c r="I1011" s="2">
        <v>45622</v>
      </c>
      <c r="J1011" t="s">
        <v>20</v>
      </c>
      <c r="K1011" s="21">
        <v>-159.49</v>
      </c>
      <c r="L1011" s="21" t="s">
        <v>86</v>
      </c>
      <c r="M1011">
        <v>0</v>
      </c>
      <c r="N1011" s="21" t="s">
        <v>86</v>
      </c>
    </row>
    <row r="1012" spans="1:14">
      <c r="A1012" t="str">
        <f>IFERROR(_xlfn.XLOOKUP(B1012,Cuentas!$C$1:$C$521,Cuentas!$A$1:$A$521),"")</f>
        <v>Yuldor</v>
      </c>
      <c r="B1012" t="s">
        <v>1178</v>
      </c>
      <c r="C1012" t="s">
        <v>1179</v>
      </c>
      <c r="D1012" t="s">
        <v>16</v>
      </c>
      <c r="E1012" t="s">
        <v>7</v>
      </c>
      <c r="F1012" t="s">
        <v>1181</v>
      </c>
      <c r="G1012" t="s">
        <v>1181</v>
      </c>
      <c r="H1012" s="2">
        <v>45694</v>
      </c>
      <c r="I1012" s="2">
        <v>45724</v>
      </c>
      <c r="J1012" t="s">
        <v>20</v>
      </c>
      <c r="K1012" s="21">
        <v>794.58</v>
      </c>
      <c r="L1012" s="21">
        <v>49.37</v>
      </c>
      <c r="M1012">
        <v>10</v>
      </c>
      <c r="N1012" s="21">
        <v>49.37</v>
      </c>
    </row>
    <row r="1013" spans="1:14">
      <c r="A1013" t="str">
        <f>IFERROR(_xlfn.XLOOKUP(B1013,Cuentas!$C$1:$C$521,Cuentas!$A$1:$A$521),"")</f>
        <v>Yuldor</v>
      </c>
      <c r="B1013" t="s">
        <v>1178</v>
      </c>
      <c r="C1013" t="s">
        <v>1179</v>
      </c>
      <c r="D1013" t="s">
        <v>16</v>
      </c>
      <c r="E1013" t="s">
        <v>3139</v>
      </c>
      <c r="F1013" t="s">
        <v>1181</v>
      </c>
      <c r="G1013" t="s">
        <v>1181</v>
      </c>
      <c r="I1013" s="2">
        <v>45730</v>
      </c>
      <c r="J1013" t="s">
        <v>20</v>
      </c>
      <c r="K1013" s="21">
        <v>-745.21</v>
      </c>
      <c r="L1013" s="21" t="s">
        <v>86</v>
      </c>
      <c r="M1013">
        <v>11</v>
      </c>
      <c r="N1013" s="21" t="s">
        <v>86</v>
      </c>
    </row>
    <row r="1014" spans="1:14">
      <c r="A1014" t="str">
        <f>IFERROR(_xlfn.XLOOKUP(B1014,Cuentas!$C$1:$C$521,Cuentas!$A$1:$A$521),"")</f>
        <v>Alexandra</v>
      </c>
      <c r="B1014" t="s">
        <v>1182</v>
      </c>
      <c r="C1014" t="s">
        <v>1183</v>
      </c>
      <c r="D1014" t="s">
        <v>16</v>
      </c>
      <c r="E1014" t="s">
        <v>5502</v>
      </c>
      <c r="F1014" t="s">
        <v>1184</v>
      </c>
      <c r="G1014" t="s">
        <v>19</v>
      </c>
      <c r="I1014" s="2">
        <v>45322</v>
      </c>
      <c r="J1014" t="s">
        <v>20</v>
      </c>
      <c r="K1014" s="21">
        <v>-1440</v>
      </c>
      <c r="L1014" s="21">
        <v>-1440</v>
      </c>
      <c r="M1014">
        <v>0</v>
      </c>
      <c r="N1014" s="21">
        <v>-1440</v>
      </c>
    </row>
    <row r="1015" spans="1:14">
      <c r="A1015" t="str">
        <f>IFERROR(_xlfn.XLOOKUP(B1015,Cuentas!$C$1:$C$521,Cuentas!$A$1:$A$521),"")</f>
        <v>Alexandra</v>
      </c>
      <c r="B1015" t="s">
        <v>1182</v>
      </c>
      <c r="C1015" t="s">
        <v>1183</v>
      </c>
      <c r="D1015" t="s">
        <v>16</v>
      </c>
      <c r="E1015" t="s">
        <v>7</v>
      </c>
      <c r="F1015" t="s">
        <v>1185</v>
      </c>
      <c r="G1015" t="s">
        <v>1185</v>
      </c>
      <c r="H1015" s="2">
        <v>45588</v>
      </c>
      <c r="I1015" s="2">
        <v>45618</v>
      </c>
      <c r="J1015" t="s">
        <v>20</v>
      </c>
      <c r="K1015" s="21">
        <v>7633</v>
      </c>
      <c r="L1015" s="21">
        <v>6086</v>
      </c>
      <c r="M1015">
        <v>0</v>
      </c>
      <c r="N1015" s="21">
        <v>6086</v>
      </c>
    </row>
    <row r="1016" spans="1:14">
      <c r="A1016" t="str">
        <f>IFERROR(_xlfn.XLOOKUP(B1016,Cuentas!$C$1:$C$521,Cuentas!$A$1:$A$521),"")</f>
        <v>Alexandra</v>
      </c>
      <c r="B1016" t="s">
        <v>1182</v>
      </c>
      <c r="C1016" t="s">
        <v>1183</v>
      </c>
      <c r="D1016" t="s">
        <v>16</v>
      </c>
      <c r="E1016" t="s">
        <v>5502</v>
      </c>
      <c r="F1016" t="s">
        <v>1186</v>
      </c>
      <c r="G1016" t="s">
        <v>1185</v>
      </c>
      <c r="I1016" s="2">
        <v>45657</v>
      </c>
      <c r="J1016" t="s">
        <v>20</v>
      </c>
      <c r="K1016" s="21">
        <v>-1547</v>
      </c>
      <c r="L1016" s="21" t="s">
        <v>86</v>
      </c>
      <c r="M1016">
        <v>0</v>
      </c>
      <c r="N1016" s="21" t="s">
        <v>86</v>
      </c>
    </row>
    <row r="1017" spans="1:14">
      <c r="A1017" t="str">
        <f>IFERROR(_xlfn.XLOOKUP(B1017,Cuentas!$C$1:$C$521,Cuentas!$A$1:$A$521),"")</f>
        <v>Alexandra</v>
      </c>
      <c r="B1017" t="s">
        <v>1182</v>
      </c>
      <c r="C1017" t="s">
        <v>1183</v>
      </c>
      <c r="D1017" t="s">
        <v>16</v>
      </c>
      <c r="E1017" t="s">
        <v>7</v>
      </c>
      <c r="F1017" t="s">
        <v>1187</v>
      </c>
      <c r="G1017" t="s">
        <v>1187</v>
      </c>
      <c r="H1017" s="2">
        <v>45588</v>
      </c>
      <c r="I1017" s="2">
        <v>45618</v>
      </c>
      <c r="J1017" t="s">
        <v>20</v>
      </c>
      <c r="K1017" s="21">
        <v>186</v>
      </c>
      <c r="L1017" s="21">
        <v>186</v>
      </c>
      <c r="M1017">
        <v>0</v>
      </c>
      <c r="N1017" s="21">
        <v>186</v>
      </c>
    </row>
    <row r="1018" spans="1:14">
      <c r="A1018" t="str">
        <f>IFERROR(_xlfn.XLOOKUP(B1018,Cuentas!$C$1:$C$521,Cuentas!$A$1:$A$521),"")</f>
        <v>Alexandra</v>
      </c>
      <c r="B1018" t="s">
        <v>1182</v>
      </c>
      <c r="C1018" t="s">
        <v>1183</v>
      </c>
      <c r="D1018" t="s">
        <v>16</v>
      </c>
      <c r="E1018" t="s">
        <v>7</v>
      </c>
      <c r="F1018" t="s">
        <v>1188</v>
      </c>
      <c r="G1018" t="s">
        <v>1188</v>
      </c>
      <c r="H1018" s="2">
        <v>45603</v>
      </c>
      <c r="I1018" s="2">
        <v>45633</v>
      </c>
      <c r="J1018" t="s">
        <v>20</v>
      </c>
      <c r="K1018" s="21">
        <v>1560</v>
      </c>
      <c r="L1018" s="21">
        <v>1560</v>
      </c>
      <c r="M1018">
        <v>0</v>
      </c>
      <c r="N1018" s="21">
        <v>1560</v>
      </c>
    </row>
    <row r="1019" spans="1:14">
      <c r="A1019" t="str">
        <f>IFERROR(_xlfn.XLOOKUP(B1019,Cuentas!$C$1:$C$521,Cuentas!$A$1:$A$521),"")</f>
        <v>Alexandra</v>
      </c>
      <c r="B1019" t="s">
        <v>1182</v>
      </c>
      <c r="C1019" t="s">
        <v>1183</v>
      </c>
      <c r="D1019" t="s">
        <v>16</v>
      </c>
      <c r="E1019" t="s">
        <v>7</v>
      </c>
      <c r="F1019" t="s">
        <v>1189</v>
      </c>
      <c r="G1019" t="s">
        <v>1189</v>
      </c>
      <c r="H1019" s="2">
        <v>45607</v>
      </c>
      <c r="I1019" s="2">
        <v>45637</v>
      </c>
      <c r="J1019" t="s">
        <v>20</v>
      </c>
      <c r="K1019" s="21">
        <v>2050</v>
      </c>
      <c r="L1019" s="21">
        <v>2050</v>
      </c>
      <c r="M1019">
        <v>0</v>
      </c>
      <c r="N1019" s="21">
        <v>2050</v>
      </c>
    </row>
    <row r="1020" spans="1:14">
      <c r="A1020" t="str">
        <f>IFERROR(_xlfn.XLOOKUP(B1020,Cuentas!$C$1:$C$521,Cuentas!$A$1:$A$521),"")</f>
        <v>Alexandra</v>
      </c>
      <c r="B1020" t="s">
        <v>1182</v>
      </c>
      <c r="C1020" t="s">
        <v>1183</v>
      </c>
      <c r="D1020" t="s">
        <v>16</v>
      </c>
      <c r="E1020" t="s">
        <v>7</v>
      </c>
      <c r="F1020" t="s">
        <v>1190</v>
      </c>
      <c r="G1020" t="s">
        <v>1190</v>
      </c>
      <c r="H1020" s="2">
        <v>45609</v>
      </c>
      <c r="I1020" s="2">
        <v>45639</v>
      </c>
      <c r="J1020" t="s">
        <v>20</v>
      </c>
      <c r="K1020" s="21">
        <v>231</v>
      </c>
      <c r="L1020" s="21">
        <v>231</v>
      </c>
      <c r="M1020">
        <v>0</v>
      </c>
      <c r="N1020" s="21">
        <v>231</v>
      </c>
    </row>
    <row r="1021" spans="1:14">
      <c r="A1021" t="str">
        <f>IFERROR(_xlfn.XLOOKUP(B1021,Cuentas!$C$1:$C$521,Cuentas!$A$1:$A$521),"")</f>
        <v>Alexandra</v>
      </c>
      <c r="B1021" t="s">
        <v>1182</v>
      </c>
      <c r="C1021" t="s">
        <v>1183</v>
      </c>
      <c r="D1021" t="s">
        <v>16</v>
      </c>
      <c r="E1021" t="s">
        <v>7</v>
      </c>
      <c r="F1021" t="s">
        <v>1191</v>
      </c>
      <c r="G1021" t="s">
        <v>1191</v>
      </c>
      <c r="H1021" s="2">
        <v>45621</v>
      </c>
      <c r="I1021" s="2">
        <v>45651</v>
      </c>
      <c r="J1021" t="s">
        <v>20</v>
      </c>
      <c r="K1021" s="21">
        <v>120</v>
      </c>
      <c r="L1021" s="21">
        <v>120</v>
      </c>
      <c r="M1021">
        <v>0</v>
      </c>
      <c r="N1021" s="21">
        <v>120</v>
      </c>
    </row>
    <row r="1022" spans="1:14">
      <c r="A1022" t="str">
        <f>IFERROR(_xlfn.XLOOKUP(B1022,Cuentas!$C$1:$C$521,Cuentas!$A$1:$A$521),"")</f>
        <v>Yuldor</v>
      </c>
      <c r="B1022" t="s">
        <v>1192</v>
      </c>
      <c r="C1022" t="s">
        <v>1193</v>
      </c>
      <c r="D1022" t="s">
        <v>16</v>
      </c>
      <c r="E1022" t="s">
        <v>7</v>
      </c>
      <c r="F1022" t="s">
        <v>1194</v>
      </c>
      <c r="G1022" t="s">
        <v>1194</v>
      </c>
      <c r="H1022" s="2">
        <v>45583</v>
      </c>
      <c r="I1022" s="2">
        <v>45613</v>
      </c>
      <c r="J1022" t="s">
        <v>20</v>
      </c>
      <c r="K1022" s="21">
        <v>391.55</v>
      </c>
      <c r="L1022" s="21">
        <v>391.55</v>
      </c>
      <c r="M1022">
        <v>0</v>
      </c>
      <c r="N1022" s="21">
        <v>391.55</v>
      </c>
    </row>
    <row r="1023" spans="1:14">
      <c r="A1023" t="str">
        <f>IFERROR(_xlfn.XLOOKUP(B1023,Cuentas!$C$1:$C$521,Cuentas!$A$1:$A$521),"")</f>
        <v>Yuldor</v>
      </c>
      <c r="B1023" t="s">
        <v>1192</v>
      </c>
      <c r="C1023" t="s">
        <v>1193</v>
      </c>
      <c r="D1023" t="s">
        <v>16</v>
      </c>
      <c r="E1023" t="s">
        <v>7</v>
      </c>
      <c r="F1023" t="s">
        <v>1195</v>
      </c>
      <c r="G1023" t="s">
        <v>1195</v>
      </c>
      <c r="H1023" s="2">
        <v>45692</v>
      </c>
      <c r="I1023" s="2">
        <v>45722</v>
      </c>
      <c r="J1023" t="s">
        <v>20</v>
      </c>
      <c r="K1023" s="21">
        <v>452.11</v>
      </c>
      <c r="L1023" s="21">
        <v>452.11</v>
      </c>
      <c r="M1023">
        <v>10</v>
      </c>
      <c r="N1023" s="21">
        <v>452.11</v>
      </c>
    </row>
    <row r="1024" spans="1:14">
      <c r="A1024" t="str">
        <f>IFERROR(_xlfn.XLOOKUP(B1024,Cuentas!$C$1:$C$521,Cuentas!$A$1:$A$521),"")</f>
        <v>Yuldor</v>
      </c>
      <c r="B1024" t="s">
        <v>1192</v>
      </c>
      <c r="C1024" t="s">
        <v>1193</v>
      </c>
      <c r="D1024" t="s">
        <v>16</v>
      </c>
      <c r="E1024" t="s">
        <v>7</v>
      </c>
      <c r="F1024" t="s">
        <v>1196</v>
      </c>
      <c r="G1024" t="s">
        <v>1196</v>
      </c>
      <c r="H1024" s="2">
        <v>45740</v>
      </c>
      <c r="I1024" s="2">
        <v>45770</v>
      </c>
      <c r="J1024" t="s">
        <v>20</v>
      </c>
      <c r="K1024" s="21">
        <v>247.55</v>
      </c>
      <c r="L1024" s="21">
        <v>247.55</v>
      </c>
      <c r="M1024">
        <v>0</v>
      </c>
      <c r="N1024" s="21">
        <v>0</v>
      </c>
    </row>
    <row r="1025" spans="1:14">
      <c r="A1025" t="str">
        <f>IFERROR(_xlfn.XLOOKUP(B1025,Cuentas!$C$1:$C$521,Cuentas!$A$1:$A$521),"")</f>
        <v>Yuldor</v>
      </c>
      <c r="B1025" t="s">
        <v>1197</v>
      </c>
      <c r="C1025" t="s">
        <v>1198</v>
      </c>
      <c r="D1025" t="s">
        <v>16</v>
      </c>
      <c r="E1025" t="s">
        <v>7</v>
      </c>
      <c r="F1025" t="s">
        <v>1199</v>
      </c>
      <c r="G1025" t="s">
        <v>1199</v>
      </c>
      <c r="H1025" s="2">
        <v>45581</v>
      </c>
      <c r="I1025" s="2">
        <v>45611</v>
      </c>
      <c r="J1025" t="s">
        <v>20</v>
      </c>
      <c r="K1025" s="21">
        <v>852.58</v>
      </c>
      <c r="L1025" s="21">
        <v>223.83</v>
      </c>
      <c r="M1025">
        <v>0</v>
      </c>
      <c r="N1025" s="21">
        <v>223.83</v>
      </c>
    </row>
    <row r="1026" spans="1:14">
      <c r="A1026" t="str">
        <f>IFERROR(_xlfn.XLOOKUP(B1026,Cuentas!$C$1:$C$521,Cuentas!$A$1:$A$521),"")</f>
        <v>Yuldor</v>
      </c>
      <c r="B1026" t="s">
        <v>1197</v>
      </c>
      <c r="C1026" t="s">
        <v>1198</v>
      </c>
      <c r="D1026" t="s">
        <v>16</v>
      </c>
      <c r="E1026" t="s">
        <v>5502</v>
      </c>
      <c r="F1026" t="s">
        <v>1200</v>
      </c>
      <c r="G1026" t="s">
        <v>1199</v>
      </c>
      <c r="I1026" s="2">
        <v>45652</v>
      </c>
      <c r="J1026" t="s">
        <v>20</v>
      </c>
      <c r="K1026" s="21">
        <v>-628.75</v>
      </c>
      <c r="L1026" s="21" t="s">
        <v>86</v>
      </c>
      <c r="M1026">
        <v>0</v>
      </c>
      <c r="N1026" s="21" t="s">
        <v>86</v>
      </c>
    </row>
    <row r="1027" spans="1:14">
      <c r="A1027" t="str">
        <f>IFERROR(_xlfn.XLOOKUP(B1027,Cuentas!$C$1:$C$521,Cuentas!$A$1:$A$521),"")</f>
        <v>Yuldor</v>
      </c>
      <c r="B1027" t="s">
        <v>1197</v>
      </c>
      <c r="C1027" t="s">
        <v>1198</v>
      </c>
      <c r="D1027" t="s">
        <v>16</v>
      </c>
      <c r="E1027" t="s">
        <v>7</v>
      </c>
      <c r="F1027" t="s">
        <v>1201</v>
      </c>
      <c r="G1027" t="s">
        <v>1201</v>
      </c>
      <c r="H1027" s="2">
        <v>45723</v>
      </c>
      <c r="I1027" s="2">
        <v>45753</v>
      </c>
      <c r="J1027" t="s">
        <v>20</v>
      </c>
      <c r="K1027" s="21">
        <v>1218</v>
      </c>
      <c r="L1027" s="21">
        <v>1218</v>
      </c>
      <c r="M1027">
        <v>0</v>
      </c>
      <c r="N1027" s="21">
        <v>0</v>
      </c>
    </row>
    <row r="1028" spans="1:14">
      <c r="A1028" t="str">
        <f>IFERROR(_xlfn.XLOOKUP(B1028,Cuentas!$C$1:$C$521,Cuentas!$A$1:$A$521),"")</f>
        <v>Yuldor</v>
      </c>
      <c r="B1028" t="s">
        <v>1202</v>
      </c>
      <c r="C1028" t="s">
        <v>1203</v>
      </c>
      <c r="D1028" t="s">
        <v>16</v>
      </c>
      <c r="E1028" t="s">
        <v>3139</v>
      </c>
      <c r="F1028" t="s">
        <v>19</v>
      </c>
      <c r="G1028" t="s">
        <v>19</v>
      </c>
      <c r="I1028" s="2">
        <v>45555</v>
      </c>
      <c r="J1028" t="s">
        <v>20</v>
      </c>
      <c r="K1028" s="21">
        <v>-5</v>
      </c>
      <c r="L1028" s="21">
        <v>-5</v>
      </c>
      <c r="M1028">
        <v>0</v>
      </c>
      <c r="N1028" s="21">
        <v>-5</v>
      </c>
    </row>
    <row r="1029" spans="1:14">
      <c r="A1029" t="str">
        <f>IFERROR(_xlfn.XLOOKUP(B1029,Cuentas!$C$1:$C$521,Cuentas!$A$1:$A$521),"")</f>
        <v>Yuldor</v>
      </c>
      <c r="B1029" t="s">
        <v>1202</v>
      </c>
      <c r="C1029" t="s">
        <v>1203</v>
      </c>
      <c r="D1029" t="s">
        <v>16</v>
      </c>
      <c r="E1029" t="s">
        <v>7</v>
      </c>
      <c r="F1029" t="s">
        <v>1204</v>
      </c>
      <c r="G1029" t="s">
        <v>1204</v>
      </c>
      <c r="H1029" s="2">
        <v>45657</v>
      </c>
      <c r="I1029" s="2">
        <v>45687</v>
      </c>
      <c r="J1029" t="s">
        <v>20</v>
      </c>
      <c r="K1029" s="21">
        <v>483.11</v>
      </c>
      <c r="L1029" s="21">
        <v>483.11</v>
      </c>
      <c r="M1029">
        <v>0</v>
      </c>
      <c r="N1029" s="21">
        <v>483.11</v>
      </c>
    </row>
    <row r="1030" spans="1:14">
      <c r="A1030" t="str">
        <f>IFERROR(_xlfn.XLOOKUP(B1030,Cuentas!$C$1:$C$521,Cuentas!$A$1:$A$521),"")</f>
        <v>Yuldor</v>
      </c>
      <c r="B1030" t="s">
        <v>1205</v>
      </c>
      <c r="C1030" t="s">
        <v>1206</v>
      </c>
      <c r="D1030" t="s">
        <v>16</v>
      </c>
      <c r="E1030" t="s">
        <v>5502</v>
      </c>
      <c r="F1030" t="s">
        <v>1207</v>
      </c>
      <c r="G1030" t="s">
        <v>19</v>
      </c>
      <c r="I1030" s="2">
        <v>45720</v>
      </c>
      <c r="J1030" t="s">
        <v>20</v>
      </c>
      <c r="K1030" s="21">
        <v>-720</v>
      </c>
      <c r="L1030" s="21">
        <v>-720</v>
      </c>
      <c r="M1030">
        <v>10</v>
      </c>
      <c r="N1030" s="21">
        <v>-720</v>
      </c>
    </row>
    <row r="1031" spans="1:14">
      <c r="A1031" t="str">
        <f>IFERROR(_xlfn.XLOOKUP(B1031,Cuentas!$C$1:$C$521,Cuentas!$A$1:$A$521),"")</f>
        <v>Nicolas</v>
      </c>
      <c r="B1031" t="s">
        <v>1208</v>
      </c>
      <c r="C1031" t="s">
        <v>1209</v>
      </c>
      <c r="D1031" t="s">
        <v>213</v>
      </c>
      <c r="E1031" t="s">
        <v>7</v>
      </c>
      <c r="F1031" t="s">
        <v>1210</v>
      </c>
      <c r="G1031" t="s">
        <v>1210</v>
      </c>
      <c r="H1031" s="2">
        <v>45672</v>
      </c>
      <c r="I1031" s="2">
        <v>45672</v>
      </c>
      <c r="J1031" t="s">
        <v>20</v>
      </c>
      <c r="K1031" s="21">
        <v>1055.26</v>
      </c>
      <c r="L1031" s="21">
        <v>1055.26</v>
      </c>
      <c r="M1031">
        <v>0</v>
      </c>
      <c r="N1031" s="21">
        <v>1055.26</v>
      </c>
    </row>
    <row r="1032" spans="1:14">
      <c r="A1032" t="str">
        <f>IFERROR(_xlfn.XLOOKUP(B1032,Cuentas!$C$1:$C$521,Cuentas!$A$1:$A$521),"")</f>
        <v>Alexandra</v>
      </c>
      <c r="B1032" t="s">
        <v>1211</v>
      </c>
      <c r="C1032" t="s">
        <v>1212</v>
      </c>
      <c r="D1032" t="s">
        <v>16</v>
      </c>
      <c r="E1032" t="s">
        <v>3139</v>
      </c>
      <c r="F1032" t="s">
        <v>19</v>
      </c>
      <c r="G1032" t="s">
        <v>19</v>
      </c>
      <c r="I1032" s="2">
        <v>44823</v>
      </c>
      <c r="J1032" t="s">
        <v>20</v>
      </c>
      <c r="K1032" s="21">
        <v>-2408</v>
      </c>
      <c r="L1032" s="21">
        <v>-2408</v>
      </c>
      <c r="M1032">
        <v>0</v>
      </c>
      <c r="N1032" s="21">
        <v>-2408</v>
      </c>
    </row>
    <row r="1033" spans="1:14">
      <c r="A1033" t="str">
        <f>IFERROR(_xlfn.XLOOKUP(B1033,Cuentas!$C$1:$C$521,Cuentas!$A$1:$A$521),"")</f>
        <v>Alexandra</v>
      </c>
      <c r="B1033" t="s">
        <v>1211</v>
      </c>
      <c r="C1033" t="s">
        <v>1212</v>
      </c>
      <c r="D1033" t="s">
        <v>16</v>
      </c>
      <c r="E1033" t="s">
        <v>7</v>
      </c>
      <c r="F1033" t="s">
        <v>1213</v>
      </c>
      <c r="G1033" t="s">
        <v>1213</v>
      </c>
      <c r="H1033" s="2">
        <v>45734</v>
      </c>
      <c r="I1033" s="2">
        <v>45764</v>
      </c>
      <c r="J1033" t="s">
        <v>20</v>
      </c>
      <c r="K1033" s="21">
        <v>1791.08</v>
      </c>
      <c r="L1033" s="21">
        <v>1791.08</v>
      </c>
      <c r="M1033">
        <v>0</v>
      </c>
      <c r="N1033" s="21">
        <v>0</v>
      </c>
    </row>
    <row r="1034" spans="1:14">
      <c r="A1034" t="str">
        <f>IFERROR(_xlfn.XLOOKUP(B1034,Cuentas!$C$1:$C$521,Cuentas!$A$1:$A$521),"")</f>
        <v>Yuldor</v>
      </c>
      <c r="B1034" t="s">
        <v>1214</v>
      </c>
      <c r="C1034" t="s">
        <v>1215</v>
      </c>
      <c r="D1034" t="s">
        <v>1216</v>
      </c>
      <c r="E1034" t="s">
        <v>7</v>
      </c>
      <c r="F1034" t="s">
        <v>1217</v>
      </c>
      <c r="G1034" t="s">
        <v>1217</v>
      </c>
      <c r="H1034" s="2">
        <v>45306</v>
      </c>
      <c r="I1034" s="2">
        <v>45396</v>
      </c>
      <c r="J1034" t="s">
        <v>20</v>
      </c>
      <c r="K1034" s="21">
        <v>27132</v>
      </c>
      <c r="L1034" s="21">
        <v>6753.86</v>
      </c>
      <c r="M1034">
        <v>0</v>
      </c>
      <c r="N1034" s="21">
        <v>6753.86</v>
      </c>
    </row>
    <row r="1035" spans="1:14">
      <c r="A1035" t="str">
        <f>IFERROR(_xlfn.XLOOKUP(B1035,Cuentas!$C$1:$C$521,Cuentas!$A$1:$A$521),"")</f>
        <v>Yuldor</v>
      </c>
      <c r="B1035" t="s">
        <v>1214</v>
      </c>
      <c r="C1035" t="s">
        <v>1215</v>
      </c>
      <c r="D1035" t="s">
        <v>1216</v>
      </c>
      <c r="E1035" t="s">
        <v>5502</v>
      </c>
      <c r="F1035" t="s">
        <v>1218</v>
      </c>
      <c r="G1035" t="s">
        <v>1217</v>
      </c>
      <c r="I1035" s="2">
        <v>45253</v>
      </c>
      <c r="J1035" t="s">
        <v>20</v>
      </c>
      <c r="K1035" s="21">
        <v>-500</v>
      </c>
      <c r="L1035" s="21" t="s">
        <v>86</v>
      </c>
      <c r="M1035">
        <v>0</v>
      </c>
      <c r="N1035" s="21" t="s">
        <v>86</v>
      </c>
    </row>
    <row r="1036" spans="1:14">
      <c r="A1036" t="str">
        <f>IFERROR(_xlfn.XLOOKUP(B1036,Cuentas!$C$1:$C$521,Cuentas!$A$1:$A$521),"")</f>
        <v>Yuldor</v>
      </c>
      <c r="B1036" t="s">
        <v>1214</v>
      </c>
      <c r="C1036" t="s">
        <v>1215</v>
      </c>
      <c r="D1036" t="s">
        <v>1216</v>
      </c>
      <c r="E1036" t="s">
        <v>3139</v>
      </c>
      <c r="F1036" t="s">
        <v>1217</v>
      </c>
      <c r="G1036" t="s">
        <v>1217</v>
      </c>
      <c r="I1036" s="2">
        <v>45336</v>
      </c>
      <c r="J1036" t="s">
        <v>20</v>
      </c>
      <c r="K1036" s="21">
        <v>-19878.14</v>
      </c>
      <c r="L1036" s="21" t="s">
        <v>86</v>
      </c>
      <c r="M1036">
        <v>0</v>
      </c>
      <c r="N1036" s="21" t="s">
        <v>86</v>
      </c>
    </row>
    <row r="1037" spans="1:14">
      <c r="A1037" t="str">
        <f>IFERROR(_xlfn.XLOOKUP(B1037,Cuentas!$C$1:$C$521,Cuentas!$A$1:$A$521),"")</f>
        <v>Yuldor</v>
      </c>
      <c r="B1037" t="s">
        <v>1214</v>
      </c>
      <c r="C1037" t="s">
        <v>1215</v>
      </c>
      <c r="D1037" t="s">
        <v>1216</v>
      </c>
      <c r="E1037" t="s">
        <v>7</v>
      </c>
      <c r="F1037" t="s">
        <v>1219</v>
      </c>
      <c r="G1037" t="s">
        <v>1219</v>
      </c>
      <c r="H1037" s="2">
        <v>45447</v>
      </c>
      <c r="I1037" s="2">
        <v>45537</v>
      </c>
      <c r="J1037" t="s">
        <v>20</v>
      </c>
      <c r="K1037" s="21">
        <v>10516.6</v>
      </c>
      <c r="L1037" s="21">
        <v>157.07</v>
      </c>
      <c r="M1037">
        <v>0</v>
      </c>
      <c r="N1037" s="21">
        <v>157.07</v>
      </c>
    </row>
    <row r="1038" spans="1:14">
      <c r="A1038" t="str">
        <f>IFERROR(_xlfn.XLOOKUP(B1038,Cuentas!$C$1:$C$521,Cuentas!$A$1:$A$521),"")</f>
        <v>Yuldor</v>
      </c>
      <c r="B1038" t="s">
        <v>1214</v>
      </c>
      <c r="C1038" t="s">
        <v>1215</v>
      </c>
      <c r="D1038" t="s">
        <v>1216</v>
      </c>
      <c r="E1038" t="s">
        <v>3139</v>
      </c>
      <c r="F1038" t="s">
        <v>1219</v>
      </c>
      <c r="G1038" t="s">
        <v>1219</v>
      </c>
      <c r="I1038" s="2">
        <v>45545</v>
      </c>
      <c r="J1038" t="s">
        <v>20</v>
      </c>
      <c r="K1038" s="21">
        <v>-10112.040000000001</v>
      </c>
      <c r="L1038" s="21" t="s">
        <v>86</v>
      </c>
      <c r="M1038">
        <v>0</v>
      </c>
      <c r="N1038" s="21" t="s">
        <v>86</v>
      </c>
    </row>
    <row r="1039" spans="1:14">
      <c r="A1039" t="str">
        <f>IFERROR(_xlfn.XLOOKUP(B1039,Cuentas!$C$1:$C$521,Cuentas!$A$1:$A$521),"")</f>
        <v>Yuldor</v>
      </c>
      <c r="B1039" t="s">
        <v>1214</v>
      </c>
      <c r="C1039" t="s">
        <v>1215</v>
      </c>
      <c r="D1039" t="s">
        <v>1216</v>
      </c>
      <c r="E1039" t="s">
        <v>3139</v>
      </c>
      <c r="F1039" t="s">
        <v>1219</v>
      </c>
      <c r="G1039" t="s">
        <v>1219</v>
      </c>
      <c r="I1039" s="2">
        <v>45621</v>
      </c>
      <c r="J1039" t="s">
        <v>20</v>
      </c>
      <c r="K1039" s="21">
        <v>-145</v>
      </c>
      <c r="L1039" s="21" t="s">
        <v>86</v>
      </c>
      <c r="M1039">
        <v>0</v>
      </c>
      <c r="N1039" s="21" t="s">
        <v>86</v>
      </c>
    </row>
    <row r="1040" spans="1:14">
      <c r="A1040" t="str">
        <f>IFERROR(_xlfn.XLOOKUP(B1040,Cuentas!$C$1:$C$521,Cuentas!$A$1:$A$521),"")</f>
        <v>Yuldor</v>
      </c>
      <c r="B1040" t="s">
        <v>1214</v>
      </c>
      <c r="C1040" t="s">
        <v>1215</v>
      </c>
      <c r="D1040" t="s">
        <v>1216</v>
      </c>
      <c r="E1040" t="s">
        <v>3139</v>
      </c>
      <c r="F1040" t="s">
        <v>1219</v>
      </c>
      <c r="G1040" t="s">
        <v>1219</v>
      </c>
      <c r="I1040" s="2">
        <v>45701</v>
      </c>
      <c r="J1040" t="s">
        <v>20</v>
      </c>
      <c r="K1040" s="21">
        <v>-102.49</v>
      </c>
      <c r="L1040" s="21" t="s">
        <v>86</v>
      </c>
      <c r="M1040">
        <v>0</v>
      </c>
      <c r="N1040" s="21" t="s">
        <v>86</v>
      </c>
    </row>
    <row r="1041" spans="1:14">
      <c r="A1041" t="str">
        <f>IFERROR(_xlfn.XLOOKUP(B1041,Cuentas!$C$1:$C$521,Cuentas!$A$1:$A$521),"")</f>
        <v>Yuldor</v>
      </c>
      <c r="B1041" t="s">
        <v>1214</v>
      </c>
      <c r="C1041" t="s">
        <v>1215</v>
      </c>
      <c r="D1041" t="s">
        <v>1216</v>
      </c>
      <c r="E1041" t="s">
        <v>7</v>
      </c>
      <c r="F1041" t="s">
        <v>1220</v>
      </c>
      <c r="G1041" t="s">
        <v>1220</v>
      </c>
      <c r="H1041" s="2">
        <v>45464</v>
      </c>
      <c r="I1041" s="2">
        <v>45554</v>
      </c>
      <c r="J1041" t="s">
        <v>20</v>
      </c>
      <c r="K1041" s="21">
        <v>7210</v>
      </c>
      <c r="L1041" s="21">
        <v>842.47</v>
      </c>
      <c r="M1041">
        <v>0</v>
      </c>
      <c r="N1041" s="21">
        <v>842.47</v>
      </c>
    </row>
    <row r="1042" spans="1:14">
      <c r="A1042" t="str">
        <f>IFERROR(_xlfn.XLOOKUP(B1042,Cuentas!$C$1:$C$521,Cuentas!$A$1:$A$521),"")</f>
        <v>Yuldor</v>
      </c>
      <c r="B1042" t="s">
        <v>1214</v>
      </c>
      <c r="C1042" t="s">
        <v>1215</v>
      </c>
      <c r="D1042" t="s">
        <v>1216</v>
      </c>
      <c r="E1042" t="s">
        <v>3139</v>
      </c>
      <c r="F1042" t="s">
        <v>1220</v>
      </c>
      <c r="G1042" t="s">
        <v>1220</v>
      </c>
      <c r="I1042" s="2">
        <v>45561</v>
      </c>
      <c r="J1042" t="s">
        <v>20</v>
      </c>
      <c r="K1042" s="21">
        <v>-6367.53</v>
      </c>
      <c r="L1042" s="21" t="s">
        <v>86</v>
      </c>
      <c r="M1042">
        <v>0</v>
      </c>
      <c r="N1042" s="21" t="s">
        <v>86</v>
      </c>
    </row>
    <row r="1043" spans="1:14">
      <c r="A1043" t="str">
        <f>IFERROR(_xlfn.XLOOKUP(B1043,Cuentas!$C$1:$C$521,Cuentas!$A$1:$A$521),"")</f>
        <v>Yuldor</v>
      </c>
      <c r="B1043" t="s">
        <v>1214</v>
      </c>
      <c r="C1043" t="s">
        <v>1215</v>
      </c>
      <c r="D1043" t="s">
        <v>1216</v>
      </c>
      <c r="E1043" t="s">
        <v>7</v>
      </c>
      <c r="F1043" t="s">
        <v>1221</v>
      </c>
      <c r="G1043" t="s">
        <v>1221</v>
      </c>
      <c r="H1043" s="2">
        <v>45531</v>
      </c>
      <c r="I1043" s="2">
        <v>45621</v>
      </c>
      <c r="J1043" t="s">
        <v>20</v>
      </c>
      <c r="K1043" s="21">
        <v>19443.5</v>
      </c>
      <c r="L1043" s="21">
        <v>300</v>
      </c>
      <c r="M1043">
        <v>0</v>
      </c>
      <c r="N1043" s="21">
        <v>300</v>
      </c>
    </row>
    <row r="1044" spans="1:14">
      <c r="A1044" t="str">
        <f>IFERROR(_xlfn.XLOOKUP(B1044,Cuentas!$C$1:$C$521,Cuentas!$A$1:$A$521),"")</f>
        <v>Yuldor</v>
      </c>
      <c r="B1044" t="s">
        <v>1214</v>
      </c>
      <c r="C1044" t="s">
        <v>1215</v>
      </c>
      <c r="D1044" t="s">
        <v>1216</v>
      </c>
      <c r="E1044" t="s">
        <v>3139</v>
      </c>
      <c r="F1044" t="s">
        <v>1221</v>
      </c>
      <c r="G1044" t="s">
        <v>1221</v>
      </c>
      <c r="I1044" s="2">
        <v>45629</v>
      </c>
      <c r="J1044" t="s">
        <v>20</v>
      </c>
      <c r="K1044" s="21">
        <v>-19143.5</v>
      </c>
      <c r="L1044" s="21" t="s">
        <v>86</v>
      </c>
      <c r="M1044">
        <v>0</v>
      </c>
      <c r="N1044" s="21" t="s">
        <v>86</v>
      </c>
    </row>
    <row r="1045" spans="1:14">
      <c r="A1045" t="str">
        <f>IFERROR(_xlfn.XLOOKUP(B1045,Cuentas!$C$1:$C$521,Cuentas!$A$1:$A$521),"")</f>
        <v>Yuldor</v>
      </c>
      <c r="B1045" t="s">
        <v>1214</v>
      </c>
      <c r="C1045" t="s">
        <v>1215</v>
      </c>
      <c r="D1045" t="s">
        <v>1216</v>
      </c>
      <c r="E1045" t="s">
        <v>7</v>
      </c>
      <c r="F1045" t="s">
        <v>1222</v>
      </c>
      <c r="G1045" t="s">
        <v>1222</v>
      </c>
      <c r="H1045" s="2">
        <v>45565</v>
      </c>
      <c r="I1045" s="2">
        <v>45655</v>
      </c>
      <c r="J1045" t="s">
        <v>20</v>
      </c>
      <c r="K1045" s="21">
        <v>18529.900000000001</v>
      </c>
      <c r="L1045" s="21">
        <v>355.69</v>
      </c>
      <c r="M1045">
        <v>0</v>
      </c>
      <c r="N1045" s="21">
        <v>355.69</v>
      </c>
    </row>
    <row r="1046" spans="1:14">
      <c r="A1046" t="str">
        <f>IFERROR(_xlfn.XLOOKUP(B1046,Cuentas!$C$1:$C$521,Cuentas!$A$1:$A$521),"")</f>
        <v>Yuldor</v>
      </c>
      <c r="B1046" t="s">
        <v>1214</v>
      </c>
      <c r="C1046" t="s">
        <v>1215</v>
      </c>
      <c r="D1046" t="s">
        <v>1216</v>
      </c>
      <c r="E1046" t="s">
        <v>5502</v>
      </c>
      <c r="F1046" t="s">
        <v>1223</v>
      </c>
      <c r="G1046" t="s">
        <v>1222</v>
      </c>
      <c r="I1046" s="2">
        <v>45597</v>
      </c>
      <c r="J1046" t="s">
        <v>20</v>
      </c>
      <c r="K1046" s="21">
        <v>-420</v>
      </c>
      <c r="L1046" s="21" t="s">
        <v>86</v>
      </c>
      <c r="M1046">
        <v>0</v>
      </c>
      <c r="N1046" s="21" t="s">
        <v>86</v>
      </c>
    </row>
    <row r="1047" spans="1:14">
      <c r="A1047" t="str">
        <f>IFERROR(_xlfn.XLOOKUP(B1047,Cuentas!$C$1:$C$521,Cuentas!$A$1:$A$521),"")</f>
        <v>Yuldor</v>
      </c>
      <c r="B1047" t="s">
        <v>1214</v>
      </c>
      <c r="C1047" t="s">
        <v>1215</v>
      </c>
      <c r="D1047" t="s">
        <v>1216</v>
      </c>
      <c r="E1047" t="s">
        <v>3139</v>
      </c>
      <c r="F1047" t="s">
        <v>1222</v>
      </c>
      <c r="G1047" t="s">
        <v>1222</v>
      </c>
      <c r="I1047" s="2">
        <v>45665</v>
      </c>
      <c r="J1047" t="s">
        <v>20</v>
      </c>
      <c r="K1047" s="21">
        <v>-17754.21</v>
      </c>
      <c r="L1047" s="21" t="s">
        <v>86</v>
      </c>
      <c r="M1047">
        <v>0</v>
      </c>
      <c r="N1047" s="21" t="s">
        <v>86</v>
      </c>
    </row>
    <row r="1048" spans="1:14">
      <c r="A1048" t="str">
        <f>IFERROR(_xlfn.XLOOKUP(B1048,Cuentas!$C$1:$C$521,Cuentas!$A$1:$A$521),"")</f>
        <v>Yuldor</v>
      </c>
      <c r="B1048" t="s">
        <v>1214</v>
      </c>
      <c r="C1048" t="s">
        <v>1215</v>
      </c>
      <c r="D1048" t="s">
        <v>1216</v>
      </c>
      <c r="E1048" t="s">
        <v>7</v>
      </c>
      <c r="F1048" t="s">
        <v>1224</v>
      </c>
      <c r="G1048" t="s">
        <v>1224</v>
      </c>
      <c r="H1048" s="2">
        <v>45567</v>
      </c>
      <c r="I1048" s="2">
        <v>45657</v>
      </c>
      <c r="J1048" t="s">
        <v>20</v>
      </c>
      <c r="K1048" s="21">
        <v>1568.8</v>
      </c>
      <c r="L1048" s="21">
        <v>683.96</v>
      </c>
      <c r="M1048">
        <v>0</v>
      </c>
      <c r="N1048" s="21">
        <v>683.96</v>
      </c>
    </row>
    <row r="1049" spans="1:14">
      <c r="A1049" t="str">
        <f>IFERROR(_xlfn.XLOOKUP(B1049,Cuentas!$C$1:$C$521,Cuentas!$A$1:$A$521),"")</f>
        <v>Yuldor</v>
      </c>
      <c r="B1049" t="s">
        <v>1214</v>
      </c>
      <c r="C1049" t="s">
        <v>1215</v>
      </c>
      <c r="D1049" t="s">
        <v>1216</v>
      </c>
      <c r="E1049" t="s">
        <v>3139</v>
      </c>
      <c r="F1049" t="s">
        <v>1224</v>
      </c>
      <c r="G1049" t="s">
        <v>1224</v>
      </c>
      <c r="I1049" s="2">
        <v>45643</v>
      </c>
      <c r="J1049" t="s">
        <v>20</v>
      </c>
      <c r="K1049" s="21">
        <v>-884.84</v>
      </c>
      <c r="L1049" s="21" t="s">
        <v>86</v>
      </c>
      <c r="M1049">
        <v>0</v>
      </c>
      <c r="N1049" s="21" t="s">
        <v>86</v>
      </c>
    </row>
    <row r="1050" spans="1:14">
      <c r="A1050" t="str">
        <f>IFERROR(_xlfn.XLOOKUP(B1050,Cuentas!$C$1:$C$521,Cuentas!$A$1:$A$521),"")</f>
        <v>Yuldor</v>
      </c>
      <c r="B1050" t="s">
        <v>1214</v>
      </c>
      <c r="C1050" t="s">
        <v>1215</v>
      </c>
      <c r="D1050" t="s">
        <v>1216</v>
      </c>
      <c r="E1050" t="s">
        <v>7</v>
      </c>
      <c r="F1050" t="s">
        <v>1225</v>
      </c>
      <c r="G1050" t="s">
        <v>1225</v>
      </c>
      <c r="H1050" s="2">
        <v>45608</v>
      </c>
      <c r="I1050" s="2">
        <v>45698</v>
      </c>
      <c r="J1050" t="s">
        <v>20</v>
      </c>
      <c r="K1050" s="21">
        <v>14115.35</v>
      </c>
      <c r="L1050" s="21">
        <v>1684.13</v>
      </c>
      <c r="M1050">
        <v>0</v>
      </c>
      <c r="N1050" s="21">
        <v>1684.13</v>
      </c>
    </row>
    <row r="1051" spans="1:14">
      <c r="A1051" t="str">
        <f>IFERROR(_xlfn.XLOOKUP(B1051,Cuentas!$C$1:$C$521,Cuentas!$A$1:$A$521),"")</f>
        <v>Yuldor</v>
      </c>
      <c r="B1051" t="s">
        <v>1214</v>
      </c>
      <c r="C1051" t="s">
        <v>1215</v>
      </c>
      <c r="D1051" t="s">
        <v>1216</v>
      </c>
      <c r="E1051" t="s">
        <v>5502</v>
      </c>
      <c r="F1051" t="s">
        <v>1226</v>
      </c>
      <c r="G1051" t="s">
        <v>1225</v>
      </c>
      <c r="I1051" s="2">
        <v>45424</v>
      </c>
      <c r="J1051" t="s">
        <v>20</v>
      </c>
      <c r="K1051" s="21">
        <v>-511.93</v>
      </c>
      <c r="L1051" s="21" t="s">
        <v>86</v>
      </c>
      <c r="M1051">
        <v>0</v>
      </c>
      <c r="N1051" s="21" t="s">
        <v>86</v>
      </c>
    </row>
    <row r="1052" spans="1:14">
      <c r="A1052" t="str">
        <f>IFERROR(_xlfn.XLOOKUP(B1052,Cuentas!$C$1:$C$521,Cuentas!$A$1:$A$521),"")</f>
        <v>Yuldor</v>
      </c>
      <c r="B1052" t="s">
        <v>1214</v>
      </c>
      <c r="C1052" t="s">
        <v>1215</v>
      </c>
      <c r="D1052" t="s">
        <v>1216</v>
      </c>
      <c r="E1052" t="s">
        <v>3139</v>
      </c>
      <c r="F1052" t="s">
        <v>1225</v>
      </c>
      <c r="G1052" t="s">
        <v>1225</v>
      </c>
      <c r="I1052" s="2">
        <v>45701</v>
      </c>
      <c r="J1052" t="s">
        <v>20</v>
      </c>
      <c r="K1052" s="21">
        <v>-11919.29</v>
      </c>
      <c r="L1052" s="21" t="s">
        <v>86</v>
      </c>
      <c r="M1052">
        <v>0</v>
      </c>
      <c r="N1052" s="21" t="s">
        <v>86</v>
      </c>
    </row>
    <row r="1053" spans="1:14">
      <c r="A1053" t="str">
        <f>IFERROR(_xlfn.XLOOKUP(B1053,Cuentas!$C$1:$C$521,Cuentas!$A$1:$A$521),"")</f>
        <v>Yuldor</v>
      </c>
      <c r="B1053" t="s">
        <v>1214</v>
      </c>
      <c r="C1053" t="s">
        <v>1215</v>
      </c>
      <c r="D1053" t="s">
        <v>1216</v>
      </c>
      <c r="E1053" t="s">
        <v>7</v>
      </c>
      <c r="F1053" t="s">
        <v>1227</v>
      </c>
      <c r="G1053" t="s">
        <v>1227</v>
      </c>
      <c r="H1053" s="2">
        <v>45621</v>
      </c>
      <c r="I1053" s="2">
        <v>45711</v>
      </c>
      <c r="J1053" t="s">
        <v>20</v>
      </c>
      <c r="K1053" s="21">
        <v>7785</v>
      </c>
      <c r="L1053" s="21">
        <v>200</v>
      </c>
      <c r="M1053">
        <v>0</v>
      </c>
      <c r="N1053" s="21">
        <v>200</v>
      </c>
    </row>
    <row r="1054" spans="1:14">
      <c r="A1054" t="str">
        <f>IFERROR(_xlfn.XLOOKUP(B1054,Cuentas!$C$1:$C$521,Cuentas!$A$1:$A$521),"")</f>
        <v>Yuldor</v>
      </c>
      <c r="B1054" t="s">
        <v>1214</v>
      </c>
      <c r="C1054" t="s">
        <v>1215</v>
      </c>
      <c r="D1054" t="s">
        <v>1216</v>
      </c>
      <c r="E1054" t="s">
        <v>3139</v>
      </c>
      <c r="F1054" t="s">
        <v>1227</v>
      </c>
      <c r="G1054" t="s">
        <v>1227</v>
      </c>
      <c r="I1054" s="2">
        <v>45714</v>
      </c>
      <c r="J1054" t="s">
        <v>20</v>
      </c>
      <c r="K1054" s="21">
        <v>-7585</v>
      </c>
      <c r="L1054" s="21" t="s">
        <v>86</v>
      </c>
      <c r="M1054">
        <v>0</v>
      </c>
      <c r="N1054" s="21" t="s">
        <v>86</v>
      </c>
    </row>
    <row r="1055" spans="1:14">
      <c r="A1055" t="str">
        <f>IFERROR(_xlfn.XLOOKUP(B1055,Cuentas!$C$1:$C$521,Cuentas!$A$1:$A$521),"")</f>
        <v>Yuldor</v>
      </c>
      <c r="B1055" t="s">
        <v>1214</v>
      </c>
      <c r="C1055" t="s">
        <v>1215</v>
      </c>
      <c r="D1055" t="s">
        <v>1216</v>
      </c>
      <c r="E1055" t="s">
        <v>7</v>
      </c>
      <c r="F1055" t="s">
        <v>1228</v>
      </c>
      <c r="G1055" t="s">
        <v>1228</v>
      </c>
      <c r="H1055" s="2">
        <v>45622</v>
      </c>
      <c r="I1055" s="2">
        <v>45712</v>
      </c>
      <c r="J1055" t="s">
        <v>20</v>
      </c>
      <c r="K1055" s="21">
        <v>12230.2</v>
      </c>
      <c r="L1055" s="21">
        <v>267</v>
      </c>
      <c r="M1055">
        <v>0</v>
      </c>
      <c r="N1055" s="21">
        <v>267</v>
      </c>
    </row>
    <row r="1056" spans="1:14">
      <c r="A1056" t="str">
        <f>IFERROR(_xlfn.XLOOKUP(B1056,Cuentas!$C$1:$C$521,Cuentas!$A$1:$A$521),"")</f>
        <v>Yuldor</v>
      </c>
      <c r="B1056" t="s">
        <v>1214</v>
      </c>
      <c r="C1056" t="s">
        <v>1215</v>
      </c>
      <c r="D1056" t="s">
        <v>1216</v>
      </c>
      <c r="E1056" t="s">
        <v>3139</v>
      </c>
      <c r="F1056" t="s">
        <v>1228</v>
      </c>
      <c r="G1056" t="s">
        <v>1228</v>
      </c>
      <c r="I1056" s="2">
        <v>45721</v>
      </c>
      <c r="J1056" t="s">
        <v>20</v>
      </c>
      <c r="K1056" s="21">
        <v>-11963.2</v>
      </c>
      <c r="L1056" s="21" t="s">
        <v>86</v>
      </c>
      <c r="M1056">
        <v>10</v>
      </c>
      <c r="N1056" s="21" t="s">
        <v>86</v>
      </c>
    </row>
    <row r="1057" spans="1:14">
      <c r="A1057" t="str">
        <f>IFERROR(_xlfn.XLOOKUP(B1057,Cuentas!$C$1:$C$521,Cuentas!$A$1:$A$521),"")</f>
        <v>Yuldor</v>
      </c>
      <c r="B1057" t="s">
        <v>1214</v>
      </c>
      <c r="C1057" t="s">
        <v>1215</v>
      </c>
      <c r="D1057" t="s">
        <v>1216</v>
      </c>
      <c r="E1057" t="s">
        <v>7</v>
      </c>
      <c r="F1057" t="s">
        <v>1229</v>
      </c>
      <c r="G1057" t="s">
        <v>1229</v>
      </c>
      <c r="H1057" s="2">
        <v>45636</v>
      </c>
      <c r="I1057" s="2">
        <v>45726</v>
      </c>
      <c r="J1057" t="s">
        <v>20</v>
      </c>
      <c r="K1057" s="21">
        <v>15076.8</v>
      </c>
      <c r="L1057" s="21">
        <v>1260.33</v>
      </c>
      <c r="M1057">
        <v>11</v>
      </c>
      <c r="N1057" s="21">
        <v>1260.33</v>
      </c>
    </row>
    <row r="1058" spans="1:14">
      <c r="A1058" t="str">
        <f>IFERROR(_xlfn.XLOOKUP(B1058,Cuentas!$C$1:$C$521,Cuentas!$A$1:$A$521),"")</f>
        <v>Yuldor</v>
      </c>
      <c r="B1058" t="s">
        <v>1214</v>
      </c>
      <c r="C1058" t="s">
        <v>1215</v>
      </c>
      <c r="D1058" t="s">
        <v>1216</v>
      </c>
      <c r="E1058" t="s">
        <v>3139</v>
      </c>
      <c r="F1058" t="s">
        <v>1229</v>
      </c>
      <c r="G1058" t="s">
        <v>1229</v>
      </c>
      <c r="I1058" s="2">
        <v>45727</v>
      </c>
      <c r="J1058" t="s">
        <v>20</v>
      </c>
      <c r="K1058" s="21">
        <v>-13816.47</v>
      </c>
      <c r="L1058" s="21" t="s">
        <v>86</v>
      </c>
      <c r="M1058">
        <v>11</v>
      </c>
      <c r="N1058" s="21" t="s">
        <v>86</v>
      </c>
    </row>
    <row r="1059" spans="1:14">
      <c r="A1059" t="str">
        <f>IFERROR(_xlfn.XLOOKUP(B1059,Cuentas!$C$1:$C$521,Cuentas!$A$1:$A$521),"")</f>
        <v>Yuldor</v>
      </c>
      <c r="B1059" t="s">
        <v>1214</v>
      </c>
      <c r="C1059" t="s">
        <v>1215</v>
      </c>
      <c r="D1059" t="s">
        <v>1216</v>
      </c>
      <c r="E1059" t="s">
        <v>7</v>
      </c>
      <c r="F1059" t="s">
        <v>1230</v>
      </c>
      <c r="G1059" t="s">
        <v>1230</v>
      </c>
      <c r="H1059" s="2">
        <v>45645</v>
      </c>
      <c r="I1059" s="2">
        <v>45735</v>
      </c>
      <c r="J1059" t="s">
        <v>20</v>
      </c>
      <c r="K1059" s="21">
        <v>7740</v>
      </c>
      <c r="L1059" s="21">
        <v>7740</v>
      </c>
      <c r="M1059">
        <v>12</v>
      </c>
      <c r="N1059" s="21">
        <v>7740</v>
      </c>
    </row>
    <row r="1060" spans="1:14">
      <c r="A1060" t="str">
        <f>IFERROR(_xlfn.XLOOKUP(B1060,Cuentas!$C$1:$C$521,Cuentas!$A$1:$A$521),"")</f>
        <v>Yuldor</v>
      </c>
      <c r="B1060" t="s">
        <v>1214</v>
      </c>
      <c r="C1060" t="s">
        <v>1215</v>
      </c>
      <c r="D1060" t="s">
        <v>1216</v>
      </c>
      <c r="E1060" t="s">
        <v>7</v>
      </c>
      <c r="F1060" t="s">
        <v>1231</v>
      </c>
      <c r="G1060" t="s">
        <v>1231</v>
      </c>
      <c r="H1060" s="2">
        <v>45652</v>
      </c>
      <c r="I1060" s="2">
        <v>45742</v>
      </c>
      <c r="J1060" t="s">
        <v>20</v>
      </c>
      <c r="K1060" s="21">
        <v>8924</v>
      </c>
      <c r="L1060" s="21">
        <v>8924</v>
      </c>
      <c r="M1060">
        <v>13</v>
      </c>
      <c r="N1060" s="21">
        <v>8924</v>
      </c>
    </row>
    <row r="1061" spans="1:14">
      <c r="A1061" t="str">
        <f>IFERROR(_xlfn.XLOOKUP(B1061,Cuentas!$C$1:$C$521,Cuentas!$A$1:$A$521),"")</f>
        <v>Yuldor</v>
      </c>
      <c r="B1061" t="s">
        <v>1214</v>
      </c>
      <c r="C1061" t="s">
        <v>1215</v>
      </c>
      <c r="D1061" t="s">
        <v>1216</v>
      </c>
      <c r="E1061" t="s">
        <v>7</v>
      </c>
      <c r="F1061" t="s">
        <v>1232</v>
      </c>
      <c r="G1061" t="s">
        <v>1232</v>
      </c>
      <c r="H1061" s="2">
        <v>45653</v>
      </c>
      <c r="I1061" s="2">
        <v>45743</v>
      </c>
      <c r="J1061" t="s">
        <v>20</v>
      </c>
      <c r="K1061" s="21">
        <v>4462</v>
      </c>
      <c r="L1061" s="21">
        <v>4462</v>
      </c>
      <c r="M1061">
        <v>13</v>
      </c>
      <c r="N1061" s="21">
        <v>4462</v>
      </c>
    </row>
    <row r="1062" spans="1:14">
      <c r="A1062" t="str">
        <f>IFERROR(_xlfn.XLOOKUP(B1062,Cuentas!$C$1:$C$521,Cuentas!$A$1:$A$521),"")</f>
        <v>Yuldor</v>
      </c>
      <c r="B1062" t="s">
        <v>1214</v>
      </c>
      <c r="C1062" t="s">
        <v>1215</v>
      </c>
      <c r="D1062" t="s">
        <v>1216</v>
      </c>
      <c r="E1062" t="s">
        <v>7</v>
      </c>
      <c r="F1062" t="s">
        <v>1233</v>
      </c>
      <c r="G1062" t="s">
        <v>1233</v>
      </c>
      <c r="H1062" s="2">
        <v>45657</v>
      </c>
      <c r="I1062" s="2">
        <v>45747</v>
      </c>
      <c r="J1062" t="s">
        <v>20</v>
      </c>
      <c r="K1062" s="21">
        <v>23720.400000000001</v>
      </c>
      <c r="L1062" s="21">
        <v>23720.400000000001</v>
      </c>
      <c r="M1062">
        <v>13</v>
      </c>
      <c r="N1062" s="21">
        <v>23720.400000000001</v>
      </c>
    </row>
    <row r="1063" spans="1:14">
      <c r="A1063" t="str">
        <f>IFERROR(_xlfn.XLOOKUP(B1063,Cuentas!$C$1:$C$521,Cuentas!$A$1:$A$521),"")</f>
        <v>Yuldor</v>
      </c>
      <c r="B1063" t="s">
        <v>1214</v>
      </c>
      <c r="C1063" t="s">
        <v>1215</v>
      </c>
      <c r="D1063" t="s">
        <v>1216</v>
      </c>
      <c r="E1063" t="s">
        <v>7</v>
      </c>
      <c r="F1063" t="s">
        <v>1234</v>
      </c>
      <c r="G1063" t="s">
        <v>1234</v>
      </c>
      <c r="H1063" s="2">
        <v>45660</v>
      </c>
      <c r="I1063" s="2">
        <v>45750</v>
      </c>
      <c r="J1063" t="s">
        <v>20</v>
      </c>
      <c r="K1063" s="21">
        <v>13044.7</v>
      </c>
      <c r="L1063" s="21">
        <v>13044.7</v>
      </c>
      <c r="M1063">
        <v>0</v>
      </c>
      <c r="N1063" s="21">
        <v>0</v>
      </c>
    </row>
    <row r="1064" spans="1:14">
      <c r="A1064" t="str">
        <f>IFERROR(_xlfn.XLOOKUP(B1064,Cuentas!$C$1:$C$521,Cuentas!$A$1:$A$521),"")</f>
        <v>Yuldor</v>
      </c>
      <c r="B1064" t="s">
        <v>1214</v>
      </c>
      <c r="C1064" t="s">
        <v>1215</v>
      </c>
      <c r="D1064" t="s">
        <v>1216</v>
      </c>
      <c r="E1064" t="s">
        <v>7</v>
      </c>
      <c r="F1064" t="s">
        <v>1235</v>
      </c>
      <c r="G1064" t="s">
        <v>1235</v>
      </c>
      <c r="H1064" s="2">
        <v>45660</v>
      </c>
      <c r="I1064" s="2">
        <v>45750</v>
      </c>
      <c r="J1064" t="s">
        <v>20</v>
      </c>
      <c r="K1064" s="21">
        <v>7740</v>
      </c>
      <c r="L1064" s="21">
        <v>7740</v>
      </c>
      <c r="M1064">
        <v>0</v>
      </c>
      <c r="N1064" s="21">
        <v>0</v>
      </c>
    </row>
    <row r="1065" spans="1:14">
      <c r="A1065" t="str">
        <f>IFERROR(_xlfn.XLOOKUP(B1065,Cuentas!$C$1:$C$521,Cuentas!$A$1:$A$521),"")</f>
        <v>Yuldor</v>
      </c>
      <c r="B1065" t="s">
        <v>1214</v>
      </c>
      <c r="C1065" t="s">
        <v>1215</v>
      </c>
      <c r="D1065" t="s">
        <v>1216</v>
      </c>
      <c r="E1065" t="s">
        <v>7</v>
      </c>
      <c r="F1065" t="s">
        <v>1236</v>
      </c>
      <c r="G1065" t="s">
        <v>1236</v>
      </c>
      <c r="H1065" s="2">
        <v>45660</v>
      </c>
      <c r="I1065" s="2">
        <v>45750</v>
      </c>
      <c r="J1065" t="s">
        <v>20</v>
      </c>
      <c r="K1065" s="21">
        <v>18581.55</v>
      </c>
      <c r="L1065" s="21">
        <v>18581.55</v>
      </c>
      <c r="M1065">
        <v>0</v>
      </c>
      <c r="N1065" s="21">
        <v>0</v>
      </c>
    </row>
    <row r="1066" spans="1:14">
      <c r="A1066" t="str">
        <f>IFERROR(_xlfn.XLOOKUP(B1066,Cuentas!$C$1:$C$521,Cuentas!$A$1:$A$521),"")</f>
        <v>Yuldor</v>
      </c>
      <c r="B1066" t="s">
        <v>1214</v>
      </c>
      <c r="C1066" t="s">
        <v>1215</v>
      </c>
      <c r="D1066" t="s">
        <v>1216</v>
      </c>
      <c r="E1066" t="s">
        <v>7</v>
      </c>
      <c r="F1066" t="s">
        <v>1237</v>
      </c>
      <c r="G1066" t="s">
        <v>1237</v>
      </c>
      <c r="H1066" s="2">
        <v>45660</v>
      </c>
      <c r="I1066" s="2">
        <v>45750</v>
      </c>
      <c r="J1066" t="s">
        <v>20</v>
      </c>
      <c r="K1066" s="21">
        <v>7735</v>
      </c>
      <c r="L1066" s="21">
        <v>7735</v>
      </c>
      <c r="M1066">
        <v>0</v>
      </c>
      <c r="N1066" s="21">
        <v>0</v>
      </c>
    </row>
    <row r="1067" spans="1:14">
      <c r="A1067" t="str">
        <f>IFERROR(_xlfn.XLOOKUP(B1067,Cuentas!$C$1:$C$521,Cuentas!$A$1:$A$521),"")</f>
        <v>Yuldor</v>
      </c>
      <c r="B1067" t="s">
        <v>1214</v>
      </c>
      <c r="C1067" t="s">
        <v>1215</v>
      </c>
      <c r="D1067" t="s">
        <v>1216</v>
      </c>
      <c r="E1067" t="s">
        <v>7</v>
      </c>
      <c r="F1067" t="s">
        <v>1238</v>
      </c>
      <c r="G1067" t="s">
        <v>1238</v>
      </c>
      <c r="H1067" s="2">
        <v>45663</v>
      </c>
      <c r="I1067" s="2">
        <v>45753</v>
      </c>
      <c r="J1067" t="s">
        <v>20</v>
      </c>
      <c r="K1067" s="21">
        <v>9337</v>
      </c>
      <c r="L1067" s="21">
        <v>9337</v>
      </c>
      <c r="M1067">
        <v>0</v>
      </c>
      <c r="N1067" s="21">
        <v>0</v>
      </c>
    </row>
    <row r="1068" spans="1:14">
      <c r="A1068" t="str">
        <f>IFERROR(_xlfn.XLOOKUP(B1068,Cuentas!$C$1:$C$521,Cuentas!$A$1:$A$521),"")</f>
        <v>Yuldor</v>
      </c>
      <c r="B1068" t="s">
        <v>1214</v>
      </c>
      <c r="C1068" t="s">
        <v>1215</v>
      </c>
      <c r="D1068" t="s">
        <v>1216</v>
      </c>
      <c r="E1068" t="s">
        <v>7</v>
      </c>
      <c r="F1068" t="s">
        <v>1239</v>
      </c>
      <c r="G1068" t="s">
        <v>1239</v>
      </c>
      <c r="H1068" s="2">
        <v>45663</v>
      </c>
      <c r="I1068" s="2">
        <v>45753</v>
      </c>
      <c r="J1068" t="s">
        <v>20</v>
      </c>
      <c r="K1068" s="21">
        <v>9924.6</v>
      </c>
      <c r="L1068" s="21">
        <v>9924.6</v>
      </c>
      <c r="M1068">
        <v>0</v>
      </c>
      <c r="N1068" s="21">
        <v>0</v>
      </c>
    </row>
    <row r="1069" spans="1:14">
      <c r="A1069" t="str">
        <f>IFERROR(_xlfn.XLOOKUP(B1069,Cuentas!$C$1:$C$521,Cuentas!$A$1:$A$521),"")</f>
        <v>Yuldor</v>
      </c>
      <c r="B1069" t="s">
        <v>1214</v>
      </c>
      <c r="C1069" t="s">
        <v>1215</v>
      </c>
      <c r="D1069" t="s">
        <v>1216</v>
      </c>
      <c r="E1069" t="s">
        <v>7</v>
      </c>
      <c r="F1069" t="s">
        <v>1240</v>
      </c>
      <c r="G1069" t="s">
        <v>1240</v>
      </c>
      <c r="H1069" s="2">
        <v>45670</v>
      </c>
      <c r="I1069" s="2">
        <v>45760</v>
      </c>
      <c r="J1069" t="s">
        <v>20</v>
      </c>
      <c r="K1069" s="21">
        <v>33948</v>
      </c>
      <c r="L1069" s="21">
        <v>33948</v>
      </c>
      <c r="M1069">
        <v>0</v>
      </c>
      <c r="N1069" s="21">
        <v>0</v>
      </c>
    </row>
    <row r="1070" spans="1:14">
      <c r="A1070" t="str">
        <f>IFERROR(_xlfn.XLOOKUP(B1070,Cuentas!$C$1:$C$521,Cuentas!$A$1:$A$521),"")</f>
        <v>Yuldor</v>
      </c>
      <c r="B1070" t="s">
        <v>1214</v>
      </c>
      <c r="C1070" t="s">
        <v>1215</v>
      </c>
      <c r="D1070" t="s">
        <v>1216</v>
      </c>
      <c r="E1070" t="s">
        <v>7</v>
      </c>
      <c r="F1070" t="s">
        <v>1241</v>
      </c>
      <c r="G1070" t="s">
        <v>1241</v>
      </c>
      <c r="H1070" s="2">
        <v>45670</v>
      </c>
      <c r="I1070" s="2">
        <v>45760</v>
      </c>
      <c r="J1070" t="s">
        <v>20</v>
      </c>
      <c r="K1070" s="21">
        <v>63438</v>
      </c>
      <c r="L1070" s="21">
        <v>63438</v>
      </c>
      <c r="M1070">
        <v>0</v>
      </c>
      <c r="N1070" s="21">
        <v>0</v>
      </c>
    </row>
    <row r="1071" spans="1:14">
      <c r="A1071" t="str">
        <f>IFERROR(_xlfn.XLOOKUP(B1071,Cuentas!$C$1:$C$521,Cuentas!$A$1:$A$521),"")</f>
        <v>Yuldor</v>
      </c>
      <c r="B1071" t="s">
        <v>1214</v>
      </c>
      <c r="C1071" t="s">
        <v>1215</v>
      </c>
      <c r="D1071" t="s">
        <v>1216</v>
      </c>
      <c r="E1071" t="s">
        <v>7</v>
      </c>
      <c r="F1071" t="s">
        <v>1242</v>
      </c>
      <c r="G1071" t="s">
        <v>1242</v>
      </c>
      <c r="H1071" s="2">
        <v>45671</v>
      </c>
      <c r="I1071" s="2">
        <v>45761</v>
      </c>
      <c r="J1071" t="s">
        <v>20</v>
      </c>
      <c r="K1071" s="21">
        <v>14444.6</v>
      </c>
      <c r="L1071" s="21">
        <v>14444.6</v>
      </c>
      <c r="M1071">
        <v>0</v>
      </c>
      <c r="N1071" s="21">
        <v>0</v>
      </c>
    </row>
    <row r="1072" spans="1:14">
      <c r="A1072" t="str">
        <f>IFERROR(_xlfn.XLOOKUP(B1072,Cuentas!$C$1:$C$521,Cuentas!$A$1:$A$521),"")</f>
        <v>Yuldor</v>
      </c>
      <c r="B1072" t="s">
        <v>1214</v>
      </c>
      <c r="C1072" t="s">
        <v>1215</v>
      </c>
      <c r="D1072" t="s">
        <v>1216</v>
      </c>
      <c r="E1072" t="s">
        <v>7</v>
      </c>
      <c r="F1072" t="s">
        <v>1243</v>
      </c>
      <c r="G1072" t="s">
        <v>1243</v>
      </c>
      <c r="H1072" s="2">
        <v>45671</v>
      </c>
      <c r="I1072" s="2">
        <v>45761</v>
      </c>
      <c r="J1072" t="s">
        <v>20</v>
      </c>
      <c r="K1072" s="21">
        <v>289</v>
      </c>
      <c r="L1072" s="21">
        <v>289</v>
      </c>
      <c r="M1072">
        <v>0</v>
      </c>
      <c r="N1072" s="21">
        <v>0</v>
      </c>
    </row>
    <row r="1073" spans="1:14">
      <c r="A1073" t="str">
        <f>IFERROR(_xlfn.XLOOKUP(B1073,Cuentas!$C$1:$C$521,Cuentas!$A$1:$A$521),"")</f>
        <v>Yuldor</v>
      </c>
      <c r="B1073" t="s">
        <v>1214</v>
      </c>
      <c r="C1073" t="s">
        <v>1215</v>
      </c>
      <c r="D1073" t="s">
        <v>1216</v>
      </c>
      <c r="E1073" t="s">
        <v>7</v>
      </c>
      <c r="F1073" t="s">
        <v>1244</v>
      </c>
      <c r="G1073" t="s">
        <v>1244</v>
      </c>
      <c r="H1073" s="2">
        <v>45672</v>
      </c>
      <c r="I1073" s="2">
        <v>45762</v>
      </c>
      <c r="J1073" t="s">
        <v>20</v>
      </c>
      <c r="K1073" s="21">
        <v>33562</v>
      </c>
      <c r="L1073" s="21">
        <v>33562</v>
      </c>
      <c r="M1073">
        <v>0</v>
      </c>
      <c r="N1073" s="21">
        <v>0</v>
      </c>
    </row>
    <row r="1074" spans="1:14">
      <c r="A1074" t="str">
        <f>IFERROR(_xlfn.XLOOKUP(B1074,Cuentas!$C$1:$C$521,Cuentas!$A$1:$A$521),"")</f>
        <v>Yuldor</v>
      </c>
      <c r="B1074" t="s">
        <v>1214</v>
      </c>
      <c r="C1074" t="s">
        <v>1215</v>
      </c>
      <c r="D1074" t="s">
        <v>1216</v>
      </c>
      <c r="E1074" t="s">
        <v>7</v>
      </c>
      <c r="F1074" t="s">
        <v>1245</v>
      </c>
      <c r="G1074" t="s">
        <v>1245</v>
      </c>
      <c r="H1074" s="2">
        <v>45672</v>
      </c>
      <c r="I1074" s="2">
        <v>45762</v>
      </c>
      <c r="J1074" t="s">
        <v>20</v>
      </c>
      <c r="K1074" s="21">
        <v>27482.400000000001</v>
      </c>
      <c r="L1074" s="21">
        <v>27482.400000000001</v>
      </c>
      <c r="M1074">
        <v>0</v>
      </c>
      <c r="N1074" s="21">
        <v>0</v>
      </c>
    </row>
    <row r="1075" spans="1:14">
      <c r="A1075" t="str">
        <f>IFERROR(_xlfn.XLOOKUP(B1075,Cuentas!$C$1:$C$521,Cuentas!$A$1:$A$521),"")</f>
        <v>Yuldor</v>
      </c>
      <c r="B1075" t="s">
        <v>1214</v>
      </c>
      <c r="C1075" t="s">
        <v>1215</v>
      </c>
      <c r="D1075" t="s">
        <v>1216</v>
      </c>
      <c r="E1075" t="s">
        <v>7</v>
      </c>
      <c r="F1075" t="s">
        <v>1246</v>
      </c>
      <c r="G1075" t="s">
        <v>1246</v>
      </c>
      <c r="H1075" s="2">
        <v>45672</v>
      </c>
      <c r="I1075" s="2">
        <v>45762</v>
      </c>
      <c r="J1075" t="s">
        <v>20</v>
      </c>
      <c r="K1075" s="21">
        <v>2880</v>
      </c>
      <c r="L1075" s="21">
        <v>2880</v>
      </c>
      <c r="M1075">
        <v>0</v>
      </c>
      <c r="N1075" s="21">
        <v>0</v>
      </c>
    </row>
    <row r="1076" spans="1:14">
      <c r="A1076" t="str">
        <f>IFERROR(_xlfn.XLOOKUP(B1076,Cuentas!$C$1:$C$521,Cuentas!$A$1:$A$521),"")</f>
        <v>Yuldor</v>
      </c>
      <c r="B1076" t="s">
        <v>1214</v>
      </c>
      <c r="C1076" t="s">
        <v>1215</v>
      </c>
      <c r="D1076" t="s">
        <v>1216</v>
      </c>
      <c r="E1076" t="s">
        <v>7</v>
      </c>
      <c r="F1076" t="s">
        <v>1247</v>
      </c>
      <c r="G1076" t="s">
        <v>1247</v>
      </c>
      <c r="H1076" s="2">
        <v>45673</v>
      </c>
      <c r="I1076" s="2">
        <v>45763</v>
      </c>
      <c r="J1076" t="s">
        <v>20</v>
      </c>
      <c r="K1076" s="21">
        <v>19200</v>
      </c>
      <c r="L1076" s="21">
        <v>19200</v>
      </c>
      <c r="M1076">
        <v>0</v>
      </c>
      <c r="N1076" s="21">
        <v>0</v>
      </c>
    </row>
    <row r="1077" spans="1:14">
      <c r="A1077" t="str">
        <f>IFERROR(_xlfn.XLOOKUP(B1077,Cuentas!$C$1:$C$521,Cuentas!$A$1:$A$521),"")</f>
        <v>Yuldor</v>
      </c>
      <c r="B1077" t="s">
        <v>1214</v>
      </c>
      <c r="C1077" t="s">
        <v>1215</v>
      </c>
      <c r="D1077" t="s">
        <v>1216</v>
      </c>
      <c r="E1077" t="s">
        <v>7</v>
      </c>
      <c r="F1077" t="s">
        <v>1248</v>
      </c>
      <c r="G1077" t="s">
        <v>1248</v>
      </c>
      <c r="H1077" s="2">
        <v>45674</v>
      </c>
      <c r="I1077" s="2">
        <v>45764</v>
      </c>
      <c r="J1077" t="s">
        <v>20</v>
      </c>
      <c r="K1077" s="21">
        <v>4109.7</v>
      </c>
      <c r="L1077" s="21">
        <v>4109.7</v>
      </c>
      <c r="M1077">
        <v>0</v>
      </c>
      <c r="N1077" s="21">
        <v>0</v>
      </c>
    </row>
    <row r="1078" spans="1:14">
      <c r="A1078" t="str">
        <f>IFERROR(_xlfn.XLOOKUP(B1078,Cuentas!$C$1:$C$521,Cuentas!$A$1:$A$521),"")</f>
        <v>Yuldor</v>
      </c>
      <c r="B1078" t="s">
        <v>1214</v>
      </c>
      <c r="C1078" t="s">
        <v>1215</v>
      </c>
      <c r="D1078" t="s">
        <v>1216</v>
      </c>
      <c r="E1078" t="s">
        <v>7</v>
      </c>
      <c r="F1078" t="s">
        <v>1249</v>
      </c>
      <c r="G1078" t="s">
        <v>1249</v>
      </c>
      <c r="H1078" s="2">
        <v>45677</v>
      </c>
      <c r="I1078" s="2">
        <v>45767</v>
      </c>
      <c r="J1078" t="s">
        <v>20</v>
      </c>
      <c r="K1078" s="21">
        <v>15780</v>
      </c>
      <c r="L1078" s="21">
        <v>15780</v>
      </c>
      <c r="M1078">
        <v>0</v>
      </c>
      <c r="N1078" s="21">
        <v>0</v>
      </c>
    </row>
    <row r="1079" spans="1:14">
      <c r="A1079" t="str">
        <f>IFERROR(_xlfn.XLOOKUP(B1079,Cuentas!$C$1:$C$521,Cuentas!$A$1:$A$521),"")</f>
        <v>Yuldor</v>
      </c>
      <c r="B1079" t="s">
        <v>1214</v>
      </c>
      <c r="C1079" t="s">
        <v>1215</v>
      </c>
      <c r="D1079" t="s">
        <v>1216</v>
      </c>
      <c r="E1079" t="s">
        <v>7</v>
      </c>
      <c r="F1079" t="s">
        <v>1250</v>
      </c>
      <c r="G1079" t="s">
        <v>1250</v>
      </c>
      <c r="H1079" s="2">
        <v>45677</v>
      </c>
      <c r="I1079" s="2">
        <v>45767</v>
      </c>
      <c r="J1079" t="s">
        <v>20</v>
      </c>
      <c r="K1079" s="21">
        <v>11792</v>
      </c>
      <c r="L1079" s="21">
        <v>11792</v>
      </c>
      <c r="M1079">
        <v>0</v>
      </c>
      <c r="N1079" s="21">
        <v>0</v>
      </c>
    </row>
    <row r="1080" spans="1:14">
      <c r="A1080" t="str">
        <f>IFERROR(_xlfn.XLOOKUP(B1080,Cuentas!$C$1:$C$521,Cuentas!$A$1:$A$521),"")</f>
        <v>Yuldor</v>
      </c>
      <c r="B1080" t="s">
        <v>1214</v>
      </c>
      <c r="C1080" t="s">
        <v>1215</v>
      </c>
      <c r="D1080" t="s">
        <v>1216</v>
      </c>
      <c r="E1080" t="s">
        <v>7</v>
      </c>
      <c r="F1080" t="s">
        <v>1251</v>
      </c>
      <c r="G1080" t="s">
        <v>1251</v>
      </c>
      <c r="H1080" s="2">
        <v>45677</v>
      </c>
      <c r="I1080" s="2">
        <v>45767</v>
      </c>
      <c r="J1080" t="s">
        <v>20</v>
      </c>
      <c r="K1080" s="21">
        <v>18326</v>
      </c>
      <c r="L1080" s="21">
        <v>18326</v>
      </c>
      <c r="M1080">
        <v>0</v>
      </c>
      <c r="N1080" s="21">
        <v>0</v>
      </c>
    </row>
    <row r="1081" spans="1:14">
      <c r="A1081" t="str">
        <f>IFERROR(_xlfn.XLOOKUP(B1081,Cuentas!$C$1:$C$521,Cuentas!$A$1:$A$521),"")</f>
        <v>Yuldor</v>
      </c>
      <c r="B1081" t="s">
        <v>1214</v>
      </c>
      <c r="C1081" t="s">
        <v>1215</v>
      </c>
      <c r="D1081" t="s">
        <v>1216</v>
      </c>
      <c r="E1081" t="s">
        <v>7</v>
      </c>
      <c r="F1081" t="s">
        <v>1252</v>
      </c>
      <c r="G1081" t="s">
        <v>1252</v>
      </c>
      <c r="H1081" s="2">
        <v>45678</v>
      </c>
      <c r="I1081" s="2">
        <v>45768</v>
      </c>
      <c r="J1081" t="s">
        <v>20</v>
      </c>
      <c r="K1081" s="21">
        <v>12597.6</v>
      </c>
      <c r="L1081" s="21">
        <v>12597.6</v>
      </c>
      <c r="M1081">
        <v>0</v>
      </c>
      <c r="N1081" s="21">
        <v>0</v>
      </c>
    </row>
    <row r="1082" spans="1:14">
      <c r="A1082" t="str">
        <f>IFERROR(_xlfn.XLOOKUP(B1082,Cuentas!$C$1:$C$521,Cuentas!$A$1:$A$521),"")</f>
        <v>Yuldor</v>
      </c>
      <c r="B1082" t="s">
        <v>1214</v>
      </c>
      <c r="C1082" t="s">
        <v>1215</v>
      </c>
      <c r="D1082" t="s">
        <v>1216</v>
      </c>
      <c r="E1082" t="s">
        <v>7</v>
      </c>
      <c r="F1082" t="s">
        <v>1253</v>
      </c>
      <c r="G1082" t="s">
        <v>1253</v>
      </c>
      <c r="H1082" s="2">
        <v>45678</v>
      </c>
      <c r="I1082" s="2">
        <v>45768</v>
      </c>
      <c r="J1082" t="s">
        <v>20</v>
      </c>
      <c r="K1082" s="21">
        <v>17762.099999999999</v>
      </c>
      <c r="L1082" s="21">
        <v>17762.099999999999</v>
      </c>
      <c r="M1082">
        <v>0</v>
      </c>
      <c r="N1082" s="21">
        <v>0</v>
      </c>
    </row>
    <row r="1083" spans="1:14">
      <c r="A1083" t="str">
        <f>IFERROR(_xlfn.XLOOKUP(B1083,Cuentas!$C$1:$C$521,Cuentas!$A$1:$A$521),"")</f>
        <v>Yuldor</v>
      </c>
      <c r="B1083" t="s">
        <v>1214</v>
      </c>
      <c r="C1083" t="s">
        <v>1215</v>
      </c>
      <c r="D1083" t="s">
        <v>1216</v>
      </c>
      <c r="E1083" t="s">
        <v>7</v>
      </c>
      <c r="F1083" t="s">
        <v>1254</v>
      </c>
      <c r="G1083" t="s">
        <v>1254</v>
      </c>
      <c r="H1083" s="2">
        <v>45680</v>
      </c>
      <c r="I1083" s="2">
        <v>45770</v>
      </c>
      <c r="J1083" t="s">
        <v>20</v>
      </c>
      <c r="K1083" s="21">
        <v>97000</v>
      </c>
      <c r="L1083" s="21">
        <v>97000</v>
      </c>
      <c r="M1083">
        <v>0</v>
      </c>
      <c r="N1083" s="21">
        <v>0</v>
      </c>
    </row>
    <row r="1084" spans="1:14">
      <c r="A1084" t="str">
        <f>IFERROR(_xlfn.XLOOKUP(B1084,Cuentas!$C$1:$C$521,Cuentas!$A$1:$A$521),"")</f>
        <v>Yuldor</v>
      </c>
      <c r="B1084" t="s">
        <v>1214</v>
      </c>
      <c r="C1084" t="s">
        <v>1215</v>
      </c>
      <c r="D1084" t="s">
        <v>1216</v>
      </c>
      <c r="E1084" t="s">
        <v>7</v>
      </c>
      <c r="F1084" t="s">
        <v>1255</v>
      </c>
      <c r="G1084" t="s">
        <v>1255</v>
      </c>
      <c r="H1084" s="2">
        <v>45681</v>
      </c>
      <c r="I1084" s="2">
        <v>45771</v>
      </c>
      <c r="J1084" t="s">
        <v>20</v>
      </c>
      <c r="K1084" s="21">
        <v>578</v>
      </c>
      <c r="L1084" s="21">
        <v>578</v>
      </c>
      <c r="M1084">
        <v>0</v>
      </c>
      <c r="N1084" s="21">
        <v>0</v>
      </c>
    </row>
    <row r="1085" spans="1:14">
      <c r="A1085" t="str">
        <f>IFERROR(_xlfn.XLOOKUP(B1085,Cuentas!$C$1:$C$521,Cuentas!$A$1:$A$521),"")</f>
        <v>Yuldor</v>
      </c>
      <c r="B1085" t="s">
        <v>1214</v>
      </c>
      <c r="C1085" t="s">
        <v>1215</v>
      </c>
      <c r="D1085" t="s">
        <v>1216</v>
      </c>
      <c r="E1085" t="s">
        <v>7</v>
      </c>
      <c r="F1085" t="s">
        <v>1256</v>
      </c>
      <c r="G1085" t="s">
        <v>1256</v>
      </c>
      <c r="H1085" s="2">
        <v>45681</v>
      </c>
      <c r="I1085" s="2">
        <v>45771</v>
      </c>
      <c r="J1085" t="s">
        <v>20</v>
      </c>
      <c r="K1085" s="21">
        <v>7740</v>
      </c>
      <c r="L1085" s="21">
        <v>7740</v>
      </c>
      <c r="M1085">
        <v>0</v>
      </c>
      <c r="N1085" s="21">
        <v>0</v>
      </c>
    </row>
    <row r="1086" spans="1:14">
      <c r="A1086" t="str">
        <f>IFERROR(_xlfn.XLOOKUP(B1086,Cuentas!$C$1:$C$521,Cuentas!$A$1:$A$521),"")</f>
        <v>Yuldor</v>
      </c>
      <c r="B1086" t="s">
        <v>1214</v>
      </c>
      <c r="C1086" t="s">
        <v>1215</v>
      </c>
      <c r="D1086" t="s">
        <v>1216</v>
      </c>
      <c r="E1086" t="s">
        <v>7</v>
      </c>
      <c r="F1086" t="s">
        <v>1257</v>
      </c>
      <c r="G1086" t="s">
        <v>1257</v>
      </c>
      <c r="H1086" s="2">
        <v>45685</v>
      </c>
      <c r="I1086" s="2">
        <v>45775</v>
      </c>
      <c r="J1086" t="s">
        <v>20</v>
      </c>
      <c r="K1086" s="21">
        <v>6660</v>
      </c>
      <c r="L1086" s="21">
        <v>6660</v>
      </c>
      <c r="M1086">
        <v>0</v>
      </c>
      <c r="N1086" s="21">
        <v>0</v>
      </c>
    </row>
    <row r="1087" spans="1:14">
      <c r="A1087" t="str">
        <f>IFERROR(_xlfn.XLOOKUP(B1087,Cuentas!$C$1:$C$521,Cuentas!$A$1:$A$521),"")</f>
        <v>Yuldor</v>
      </c>
      <c r="B1087" t="s">
        <v>1214</v>
      </c>
      <c r="C1087" t="s">
        <v>1215</v>
      </c>
      <c r="D1087" t="s">
        <v>1216</v>
      </c>
      <c r="E1087" t="s">
        <v>7</v>
      </c>
      <c r="F1087" t="s">
        <v>1258</v>
      </c>
      <c r="G1087" t="s">
        <v>1258</v>
      </c>
      <c r="H1087" s="2">
        <v>45685</v>
      </c>
      <c r="I1087" s="2">
        <v>45775</v>
      </c>
      <c r="J1087" t="s">
        <v>20</v>
      </c>
      <c r="K1087" s="21">
        <v>289</v>
      </c>
      <c r="L1087" s="21">
        <v>289</v>
      </c>
      <c r="M1087">
        <v>0</v>
      </c>
      <c r="N1087" s="21">
        <v>0</v>
      </c>
    </row>
    <row r="1088" spans="1:14">
      <c r="A1088" t="str">
        <f>IFERROR(_xlfn.XLOOKUP(B1088,Cuentas!$C$1:$C$521,Cuentas!$A$1:$A$521),"")</f>
        <v>Yuldor</v>
      </c>
      <c r="B1088" t="s">
        <v>1214</v>
      </c>
      <c r="C1088" t="s">
        <v>1215</v>
      </c>
      <c r="D1088" t="s">
        <v>1216</v>
      </c>
      <c r="E1088" t="s">
        <v>7</v>
      </c>
      <c r="F1088" t="s">
        <v>1259</v>
      </c>
      <c r="G1088" t="s">
        <v>1259</v>
      </c>
      <c r="H1088" s="2">
        <v>45686</v>
      </c>
      <c r="I1088" s="2">
        <v>45776</v>
      </c>
      <c r="J1088" t="s">
        <v>20</v>
      </c>
      <c r="K1088" s="21">
        <v>16578.099999999999</v>
      </c>
      <c r="L1088" s="21">
        <v>16578.099999999999</v>
      </c>
      <c r="M1088">
        <v>0</v>
      </c>
      <c r="N1088" s="21">
        <v>0</v>
      </c>
    </row>
    <row r="1089" spans="1:14">
      <c r="A1089" t="str">
        <f>IFERROR(_xlfn.XLOOKUP(B1089,Cuentas!$C$1:$C$521,Cuentas!$A$1:$A$521),"")</f>
        <v>Yuldor</v>
      </c>
      <c r="B1089" t="s">
        <v>1214</v>
      </c>
      <c r="C1089" t="s">
        <v>1215</v>
      </c>
      <c r="D1089" t="s">
        <v>1216</v>
      </c>
      <c r="E1089" t="s">
        <v>7</v>
      </c>
      <c r="F1089" t="s">
        <v>1260</v>
      </c>
      <c r="G1089" t="s">
        <v>1260</v>
      </c>
      <c r="H1089" s="2">
        <v>45686</v>
      </c>
      <c r="I1089" s="2">
        <v>45776</v>
      </c>
      <c r="J1089" t="s">
        <v>20</v>
      </c>
      <c r="K1089" s="21">
        <v>16611</v>
      </c>
      <c r="L1089" s="21">
        <v>16611</v>
      </c>
      <c r="M1089">
        <v>0</v>
      </c>
      <c r="N1089" s="21">
        <v>0</v>
      </c>
    </row>
    <row r="1090" spans="1:14">
      <c r="A1090" t="str">
        <f>IFERROR(_xlfn.XLOOKUP(B1090,Cuentas!$C$1:$C$521,Cuentas!$A$1:$A$521),"")</f>
        <v>Yuldor</v>
      </c>
      <c r="B1090" t="s">
        <v>1214</v>
      </c>
      <c r="C1090" t="s">
        <v>1215</v>
      </c>
      <c r="D1090" t="s">
        <v>1216</v>
      </c>
      <c r="E1090" t="s">
        <v>7</v>
      </c>
      <c r="F1090" t="s">
        <v>1261</v>
      </c>
      <c r="G1090" t="s">
        <v>1261</v>
      </c>
      <c r="H1090" s="2">
        <v>45687</v>
      </c>
      <c r="I1090" s="2">
        <v>45777</v>
      </c>
      <c r="J1090" t="s">
        <v>20</v>
      </c>
      <c r="K1090" s="21">
        <v>9118</v>
      </c>
      <c r="L1090" s="21">
        <v>9118</v>
      </c>
      <c r="M1090">
        <v>0</v>
      </c>
      <c r="N1090" s="21">
        <v>0</v>
      </c>
    </row>
    <row r="1091" spans="1:14">
      <c r="A1091" t="str">
        <f>IFERROR(_xlfn.XLOOKUP(B1091,Cuentas!$C$1:$C$521,Cuentas!$A$1:$A$521),"")</f>
        <v>Yuldor</v>
      </c>
      <c r="B1091" t="s">
        <v>1214</v>
      </c>
      <c r="C1091" t="s">
        <v>1215</v>
      </c>
      <c r="D1091" t="s">
        <v>1216</v>
      </c>
      <c r="E1091" t="s">
        <v>7</v>
      </c>
      <c r="F1091" t="s">
        <v>1262</v>
      </c>
      <c r="G1091" t="s">
        <v>1262</v>
      </c>
      <c r="H1091" s="2">
        <v>45691</v>
      </c>
      <c r="I1091" s="2">
        <v>45781</v>
      </c>
      <c r="J1091" t="s">
        <v>20</v>
      </c>
      <c r="K1091" s="21">
        <v>6834.6</v>
      </c>
      <c r="L1091" s="21">
        <v>6834.6</v>
      </c>
      <c r="M1091">
        <v>0</v>
      </c>
      <c r="N1091" s="21">
        <v>0</v>
      </c>
    </row>
    <row r="1092" spans="1:14">
      <c r="A1092" t="str">
        <f>IFERROR(_xlfn.XLOOKUP(B1092,Cuentas!$C$1:$C$521,Cuentas!$A$1:$A$521),"")</f>
        <v>Yuldor</v>
      </c>
      <c r="B1092" t="s">
        <v>1214</v>
      </c>
      <c r="C1092" t="s">
        <v>1215</v>
      </c>
      <c r="D1092" t="s">
        <v>1216</v>
      </c>
      <c r="E1092" t="s">
        <v>7</v>
      </c>
      <c r="F1092" t="s">
        <v>1263</v>
      </c>
      <c r="G1092" t="s">
        <v>1263</v>
      </c>
      <c r="H1092" s="2">
        <v>45691</v>
      </c>
      <c r="I1092" s="2">
        <v>45781</v>
      </c>
      <c r="J1092" t="s">
        <v>20</v>
      </c>
      <c r="K1092" s="21">
        <v>7210</v>
      </c>
      <c r="L1092" s="21">
        <v>7210</v>
      </c>
      <c r="M1092">
        <v>0</v>
      </c>
      <c r="N1092" s="21">
        <v>0</v>
      </c>
    </row>
    <row r="1093" spans="1:14">
      <c r="A1093" t="str">
        <f>IFERROR(_xlfn.XLOOKUP(B1093,Cuentas!$C$1:$C$521,Cuentas!$A$1:$A$521),"")</f>
        <v>Yuldor</v>
      </c>
      <c r="B1093" t="s">
        <v>1214</v>
      </c>
      <c r="C1093" t="s">
        <v>1215</v>
      </c>
      <c r="D1093" t="s">
        <v>1216</v>
      </c>
      <c r="E1093" t="s">
        <v>7</v>
      </c>
      <c r="F1093" t="s">
        <v>1264</v>
      </c>
      <c r="G1093" t="s">
        <v>1264</v>
      </c>
      <c r="H1093" s="2">
        <v>45691</v>
      </c>
      <c r="I1093" s="2">
        <v>45781</v>
      </c>
      <c r="J1093" t="s">
        <v>20</v>
      </c>
      <c r="K1093" s="21">
        <v>14444.2</v>
      </c>
      <c r="L1093" s="21">
        <v>14444.2</v>
      </c>
      <c r="M1093">
        <v>0</v>
      </c>
      <c r="N1093" s="21">
        <v>0</v>
      </c>
    </row>
    <row r="1094" spans="1:14">
      <c r="A1094" t="str">
        <f>IFERROR(_xlfn.XLOOKUP(B1094,Cuentas!$C$1:$C$521,Cuentas!$A$1:$A$521),"")</f>
        <v>Yuldor</v>
      </c>
      <c r="B1094" t="s">
        <v>1214</v>
      </c>
      <c r="C1094" t="s">
        <v>1215</v>
      </c>
      <c r="D1094" t="s">
        <v>1216</v>
      </c>
      <c r="E1094" t="s">
        <v>7</v>
      </c>
      <c r="F1094" t="s">
        <v>1265</v>
      </c>
      <c r="G1094" t="s">
        <v>1265</v>
      </c>
      <c r="H1094" s="2">
        <v>45695</v>
      </c>
      <c r="I1094" s="2">
        <v>45785</v>
      </c>
      <c r="J1094" t="s">
        <v>20</v>
      </c>
      <c r="K1094" s="21">
        <v>3357.2</v>
      </c>
      <c r="L1094" s="21">
        <v>3357.2</v>
      </c>
      <c r="M1094">
        <v>0</v>
      </c>
      <c r="N1094" s="21">
        <v>0</v>
      </c>
    </row>
    <row r="1095" spans="1:14">
      <c r="A1095" t="str">
        <f>IFERROR(_xlfn.XLOOKUP(B1095,Cuentas!$C$1:$C$521,Cuentas!$A$1:$A$521),"")</f>
        <v>Yuldor</v>
      </c>
      <c r="B1095" t="s">
        <v>1214</v>
      </c>
      <c r="C1095" t="s">
        <v>1215</v>
      </c>
      <c r="D1095" t="s">
        <v>1216</v>
      </c>
      <c r="E1095" t="s">
        <v>7</v>
      </c>
      <c r="F1095" t="s">
        <v>1266</v>
      </c>
      <c r="G1095" t="s">
        <v>1266</v>
      </c>
      <c r="H1095" s="2">
        <v>45698</v>
      </c>
      <c r="I1095" s="2">
        <v>45788</v>
      </c>
      <c r="J1095" t="s">
        <v>20</v>
      </c>
      <c r="K1095" s="21">
        <v>7210</v>
      </c>
      <c r="L1095" s="21">
        <v>7210</v>
      </c>
      <c r="M1095">
        <v>0</v>
      </c>
      <c r="N1095" s="21">
        <v>0</v>
      </c>
    </row>
    <row r="1096" spans="1:14">
      <c r="A1096" t="str">
        <f>IFERROR(_xlfn.XLOOKUP(B1096,Cuentas!$C$1:$C$521,Cuentas!$A$1:$A$521),"")</f>
        <v>Yuldor</v>
      </c>
      <c r="B1096" t="s">
        <v>1214</v>
      </c>
      <c r="C1096" t="s">
        <v>1215</v>
      </c>
      <c r="D1096" t="s">
        <v>1216</v>
      </c>
      <c r="E1096" t="s">
        <v>7</v>
      </c>
      <c r="F1096" t="s">
        <v>1267</v>
      </c>
      <c r="G1096" t="s">
        <v>1267</v>
      </c>
      <c r="H1096" s="2">
        <v>45705</v>
      </c>
      <c r="I1096" s="2">
        <v>45795</v>
      </c>
      <c r="J1096" t="s">
        <v>20</v>
      </c>
      <c r="K1096" s="21">
        <v>4800</v>
      </c>
      <c r="L1096" s="21">
        <v>4800</v>
      </c>
      <c r="M1096">
        <v>0</v>
      </c>
      <c r="N1096" s="21">
        <v>0</v>
      </c>
    </row>
    <row r="1097" spans="1:14">
      <c r="A1097" t="str">
        <f>IFERROR(_xlfn.XLOOKUP(B1097,Cuentas!$C$1:$C$521,Cuentas!$A$1:$A$521),"")</f>
        <v>Yuldor</v>
      </c>
      <c r="B1097" t="s">
        <v>1214</v>
      </c>
      <c r="C1097" t="s">
        <v>1215</v>
      </c>
      <c r="D1097" t="s">
        <v>1216</v>
      </c>
      <c r="E1097" t="s">
        <v>7</v>
      </c>
      <c r="F1097" t="s">
        <v>1268</v>
      </c>
      <c r="G1097" t="s">
        <v>1268</v>
      </c>
      <c r="H1097" s="2">
        <v>45708</v>
      </c>
      <c r="I1097" s="2">
        <v>45798</v>
      </c>
      <c r="J1097" t="s">
        <v>20</v>
      </c>
      <c r="K1097" s="21">
        <v>19023.099999999999</v>
      </c>
      <c r="L1097" s="21">
        <v>19023.099999999999</v>
      </c>
      <c r="M1097">
        <v>0</v>
      </c>
      <c r="N1097" s="21">
        <v>0</v>
      </c>
    </row>
    <row r="1098" spans="1:14">
      <c r="A1098" t="str">
        <f>IFERROR(_xlfn.XLOOKUP(B1098,Cuentas!$C$1:$C$521,Cuentas!$A$1:$A$521),"")</f>
        <v>Yuldor</v>
      </c>
      <c r="B1098" t="s">
        <v>1214</v>
      </c>
      <c r="C1098" t="s">
        <v>1215</v>
      </c>
      <c r="D1098" t="s">
        <v>1216</v>
      </c>
      <c r="E1098" t="s">
        <v>7</v>
      </c>
      <c r="F1098" t="s">
        <v>1269</v>
      </c>
      <c r="G1098" t="s">
        <v>1269</v>
      </c>
      <c r="H1098" s="2">
        <v>45708</v>
      </c>
      <c r="I1098" s="2">
        <v>45798</v>
      </c>
      <c r="J1098" t="s">
        <v>20</v>
      </c>
      <c r="K1098" s="21">
        <v>7740</v>
      </c>
      <c r="L1098" s="21">
        <v>7740</v>
      </c>
      <c r="M1098">
        <v>0</v>
      </c>
      <c r="N1098" s="21">
        <v>0</v>
      </c>
    </row>
    <row r="1099" spans="1:14">
      <c r="A1099" t="str">
        <f>IFERROR(_xlfn.XLOOKUP(B1099,Cuentas!$C$1:$C$521,Cuentas!$A$1:$A$521),"")</f>
        <v>Yuldor</v>
      </c>
      <c r="B1099" t="s">
        <v>1214</v>
      </c>
      <c r="C1099" t="s">
        <v>1215</v>
      </c>
      <c r="D1099" t="s">
        <v>1216</v>
      </c>
      <c r="E1099" t="s">
        <v>7</v>
      </c>
      <c r="F1099" t="s">
        <v>1270</v>
      </c>
      <c r="G1099" t="s">
        <v>1270</v>
      </c>
      <c r="H1099" s="2">
        <v>45714</v>
      </c>
      <c r="I1099" s="2">
        <v>45804</v>
      </c>
      <c r="J1099" t="s">
        <v>20</v>
      </c>
      <c r="K1099" s="21">
        <v>7142</v>
      </c>
      <c r="L1099" s="21">
        <v>7142</v>
      </c>
      <c r="M1099">
        <v>0</v>
      </c>
      <c r="N1099" s="21">
        <v>0</v>
      </c>
    </row>
    <row r="1100" spans="1:14">
      <c r="A1100" t="str">
        <f>IFERROR(_xlfn.XLOOKUP(B1100,Cuentas!$C$1:$C$521,Cuentas!$A$1:$A$521),"")</f>
        <v>Yuldor</v>
      </c>
      <c r="B1100" t="s">
        <v>1214</v>
      </c>
      <c r="C1100" t="s">
        <v>1215</v>
      </c>
      <c r="D1100" t="s">
        <v>1216</v>
      </c>
      <c r="E1100" t="s">
        <v>7</v>
      </c>
      <c r="F1100" t="s">
        <v>1271</v>
      </c>
      <c r="G1100" t="s">
        <v>1271</v>
      </c>
      <c r="H1100" s="2">
        <v>45715</v>
      </c>
      <c r="I1100" s="2">
        <v>45805</v>
      </c>
      <c r="J1100" t="s">
        <v>20</v>
      </c>
      <c r="K1100" s="21">
        <v>16523</v>
      </c>
      <c r="L1100" s="21">
        <v>16523</v>
      </c>
      <c r="M1100">
        <v>0</v>
      </c>
      <c r="N1100" s="21">
        <v>0</v>
      </c>
    </row>
    <row r="1101" spans="1:14">
      <c r="A1101" t="str">
        <f>IFERROR(_xlfn.XLOOKUP(B1101,Cuentas!$C$1:$C$521,Cuentas!$A$1:$A$521),"")</f>
        <v>Yuldor</v>
      </c>
      <c r="B1101" t="s">
        <v>1214</v>
      </c>
      <c r="C1101" t="s">
        <v>1215</v>
      </c>
      <c r="D1101" t="s">
        <v>1216</v>
      </c>
      <c r="E1101" t="s">
        <v>7</v>
      </c>
      <c r="F1101" t="s">
        <v>1272</v>
      </c>
      <c r="G1101" t="s">
        <v>1272</v>
      </c>
      <c r="H1101" s="2">
        <v>45715</v>
      </c>
      <c r="I1101" s="2">
        <v>45805</v>
      </c>
      <c r="J1101" t="s">
        <v>20</v>
      </c>
      <c r="K1101" s="21">
        <v>3136.5</v>
      </c>
      <c r="L1101" s="21">
        <v>3136.5</v>
      </c>
      <c r="M1101">
        <v>0</v>
      </c>
      <c r="N1101" s="21">
        <v>0</v>
      </c>
    </row>
    <row r="1102" spans="1:14">
      <c r="A1102" t="str">
        <f>IFERROR(_xlfn.XLOOKUP(B1102,Cuentas!$C$1:$C$521,Cuentas!$A$1:$A$521),"")</f>
        <v>Yuldor</v>
      </c>
      <c r="B1102" t="s">
        <v>1214</v>
      </c>
      <c r="C1102" t="s">
        <v>1215</v>
      </c>
      <c r="D1102" t="s">
        <v>1216</v>
      </c>
      <c r="E1102" t="s">
        <v>7</v>
      </c>
      <c r="F1102" t="s">
        <v>1273</v>
      </c>
      <c r="G1102" t="s">
        <v>1273</v>
      </c>
      <c r="H1102" s="2">
        <v>45723</v>
      </c>
      <c r="I1102" s="2">
        <v>45813</v>
      </c>
      <c r="J1102" t="s">
        <v>20</v>
      </c>
      <c r="K1102" s="21">
        <v>13481.2</v>
      </c>
      <c r="L1102" s="21">
        <v>13481.2</v>
      </c>
      <c r="M1102">
        <v>0</v>
      </c>
      <c r="N1102" s="21">
        <v>0</v>
      </c>
    </row>
    <row r="1103" spans="1:14">
      <c r="A1103" t="str">
        <f>IFERROR(_xlfn.XLOOKUP(B1103,Cuentas!$C$1:$C$521,Cuentas!$A$1:$A$521),"")</f>
        <v>Yuldor</v>
      </c>
      <c r="B1103" t="s">
        <v>1214</v>
      </c>
      <c r="C1103" t="s">
        <v>1215</v>
      </c>
      <c r="D1103" t="s">
        <v>1216</v>
      </c>
      <c r="E1103" t="s">
        <v>7</v>
      </c>
      <c r="F1103" t="s">
        <v>1274</v>
      </c>
      <c r="G1103" t="s">
        <v>1274</v>
      </c>
      <c r="H1103" s="2">
        <v>45727</v>
      </c>
      <c r="I1103" s="2">
        <v>45817</v>
      </c>
      <c r="J1103" t="s">
        <v>20</v>
      </c>
      <c r="K1103" s="21">
        <v>289</v>
      </c>
      <c r="L1103" s="21">
        <v>289</v>
      </c>
      <c r="M1103">
        <v>0</v>
      </c>
      <c r="N1103" s="21">
        <v>0</v>
      </c>
    </row>
    <row r="1104" spans="1:14">
      <c r="A1104" t="str">
        <f>IFERROR(_xlfn.XLOOKUP(B1104,Cuentas!$C$1:$C$521,Cuentas!$A$1:$A$521),"")</f>
        <v>Yuldor</v>
      </c>
      <c r="B1104" t="s">
        <v>1214</v>
      </c>
      <c r="C1104" t="s">
        <v>1215</v>
      </c>
      <c r="D1104" t="s">
        <v>1216</v>
      </c>
      <c r="E1104" t="s">
        <v>7</v>
      </c>
      <c r="F1104" t="s">
        <v>1275</v>
      </c>
      <c r="G1104" t="s">
        <v>1275</v>
      </c>
      <c r="H1104" s="2">
        <v>45733</v>
      </c>
      <c r="I1104" s="2">
        <v>45823</v>
      </c>
      <c r="J1104" t="s">
        <v>20</v>
      </c>
      <c r="K1104" s="21">
        <v>17038.599999999999</v>
      </c>
      <c r="L1104" s="21">
        <v>17038.599999999999</v>
      </c>
      <c r="M1104">
        <v>0</v>
      </c>
      <c r="N1104" s="21">
        <v>0</v>
      </c>
    </row>
    <row r="1105" spans="1:14">
      <c r="A1105" t="str">
        <f>IFERROR(_xlfn.XLOOKUP(B1105,Cuentas!$C$1:$C$521,Cuentas!$A$1:$A$521),"")</f>
        <v>Yuldor</v>
      </c>
      <c r="B1105" t="s">
        <v>1214</v>
      </c>
      <c r="C1105" t="s">
        <v>1215</v>
      </c>
      <c r="D1105" t="s">
        <v>1216</v>
      </c>
      <c r="E1105" t="s">
        <v>7</v>
      </c>
      <c r="F1105" t="s">
        <v>1276</v>
      </c>
      <c r="G1105" t="s">
        <v>1276</v>
      </c>
      <c r="H1105" s="2">
        <v>45735</v>
      </c>
      <c r="I1105" s="2">
        <v>45825</v>
      </c>
      <c r="J1105" t="s">
        <v>20</v>
      </c>
      <c r="K1105" s="21">
        <v>736</v>
      </c>
      <c r="L1105" s="21">
        <v>736</v>
      </c>
      <c r="M1105">
        <v>0</v>
      </c>
      <c r="N1105" s="21">
        <v>0</v>
      </c>
    </row>
    <row r="1106" spans="1:14">
      <c r="A1106" t="str">
        <f>IFERROR(_xlfn.XLOOKUP(B1106,Cuentas!$C$1:$C$521,Cuentas!$A$1:$A$521),"")</f>
        <v>Yuldor</v>
      </c>
      <c r="B1106" t="s">
        <v>1214</v>
      </c>
      <c r="C1106" t="s">
        <v>1215</v>
      </c>
      <c r="D1106" t="s">
        <v>1216</v>
      </c>
      <c r="E1106" t="s">
        <v>7</v>
      </c>
      <c r="F1106" t="s">
        <v>1277</v>
      </c>
      <c r="G1106" t="s">
        <v>1277</v>
      </c>
      <c r="H1106" s="2">
        <v>45736</v>
      </c>
      <c r="I1106" s="2">
        <v>45826</v>
      </c>
      <c r="J1106" t="s">
        <v>20</v>
      </c>
      <c r="K1106" s="21">
        <v>7735</v>
      </c>
      <c r="L1106" s="21">
        <v>7735</v>
      </c>
      <c r="M1106">
        <v>0</v>
      </c>
      <c r="N1106" s="21">
        <v>0</v>
      </c>
    </row>
    <row r="1107" spans="1:14">
      <c r="A1107" t="str">
        <f>IFERROR(_xlfn.XLOOKUP(B1107,Cuentas!$C$1:$C$521,Cuentas!$A$1:$A$521),"")</f>
        <v>Yuldor</v>
      </c>
      <c r="B1107" t="s">
        <v>1214</v>
      </c>
      <c r="C1107" t="s">
        <v>1215</v>
      </c>
      <c r="D1107" t="s">
        <v>1216</v>
      </c>
      <c r="E1107" t="s">
        <v>7</v>
      </c>
      <c r="F1107" t="s">
        <v>1278</v>
      </c>
      <c r="G1107" t="s">
        <v>1278</v>
      </c>
      <c r="H1107" s="2">
        <v>45736</v>
      </c>
      <c r="I1107" s="2">
        <v>45826</v>
      </c>
      <c r="J1107" t="s">
        <v>20</v>
      </c>
      <c r="K1107" s="21">
        <v>13284</v>
      </c>
      <c r="L1107" s="21">
        <v>13284</v>
      </c>
      <c r="M1107">
        <v>0</v>
      </c>
      <c r="N1107" s="21">
        <v>0</v>
      </c>
    </row>
    <row r="1108" spans="1:14">
      <c r="A1108" t="str">
        <f>IFERROR(_xlfn.XLOOKUP(B1108,Cuentas!$C$1:$C$521,Cuentas!$A$1:$A$521),"")</f>
        <v>Yuldor</v>
      </c>
      <c r="B1108" t="s">
        <v>1214</v>
      </c>
      <c r="C1108" t="s">
        <v>1215</v>
      </c>
      <c r="D1108" t="s">
        <v>1216</v>
      </c>
      <c r="E1108" t="s">
        <v>7</v>
      </c>
      <c r="F1108" t="s">
        <v>1279</v>
      </c>
      <c r="G1108" t="s">
        <v>1279</v>
      </c>
      <c r="H1108" s="2">
        <v>45736</v>
      </c>
      <c r="I1108" s="2">
        <v>45826</v>
      </c>
      <c r="J1108" t="s">
        <v>20</v>
      </c>
      <c r="K1108" s="21">
        <v>9291.2000000000007</v>
      </c>
      <c r="L1108" s="21">
        <v>9291.2000000000007</v>
      </c>
      <c r="M1108">
        <v>0</v>
      </c>
      <c r="N1108" s="21">
        <v>0</v>
      </c>
    </row>
    <row r="1109" spans="1:14">
      <c r="A1109" t="str">
        <f>IFERROR(_xlfn.XLOOKUP(B1109,Cuentas!$C$1:$C$521,Cuentas!$A$1:$A$521),"")</f>
        <v>Yuldor</v>
      </c>
      <c r="B1109" t="s">
        <v>1214</v>
      </c>
      <c r="C1109" t="s">
        <v>1215</v>
      </c>
      <c r="D1109" t="s">
        <v>1216</v>
      </c>
      <c r="E1109" t="s">
        <v>7</v>
      </c>
      <c r="F1109" t="s">
        <v>1280</v>
      </c>
      <c r="G1109" t="s">
        <v>1280</v>
      </c>
      <c r="H1109" s="2">
        <v>45737</v>
      </c>
      <c r="I1109" s="2">
        <v>45827</v>
      </c>
      <c r="J1109" t="s">
        <v>20</v>
      </c>
      <c r="K1109" s="21">
        <v>11316</v>
      </c>
      <c r="L1109" s="21">
        <v>11316</v>
      </c>
      <c r="M1109">
        <v>0</v>
      </c>
      <c r="N1109" s="21">
        <v>0</v>
      </c>
    </row>
    <row r="1110" spans="1:14">
      <c r="A1110" t="str">
        <f>IFERROR(_xlfn.XLOOKUP(B1110,Cuentas!$C$1:$C$521,Cuentas!$A$1:$A$521),"")</f>
        <v>Yuldor</v>
      </c>
      <c r="B1110" t="s">
        <v>1214</v>
      </c>
      <c r="C1110" t="s">
        <v>1215</v>
      </c>
      <c r="D1110" t="s">
        <v>1216</v>
      </c>
      <c r="E1110" t="s">
        <v>7</v>
      </c>
      <c r="F1110" t="s">
        <v>1281</v>
      </c>
      <c r="G1110" t="s">
        <v>1281</v>
      </c>
      <c r="H1110" s="2">
        <v>45741</v>
      </c>
      <c r="I1110" s="2">
        <v>45831</v>
      </c>
      <c r="J1110" t="s">
        <v>20</v>
      </c>
      <c r="K1110" s="21">
        <v>24057</v>
      </c>
      <c r="L1110" s="21">
        <v>24057</v>
      </c>
      <c r="M1110">
        <v>0</v>
      </c>
      <c r="N1110" s="21">
        <v>0</v>
      </c>
    </row>
    <row r="1111" spans="1:14">
      <c r="A1111" t="str">
        <f>IFERROR(_xlfn.XLOOKUP(B1111,Cuentas!$C$1:$C$521,Cuentas!$A$1:$A$521),"")</f>
        <v>Yuldor</v>
      </c>
      <c r="B1111" t="s">
        <v>1214</v>
      </c>
      <c r="C1111" t="s">
        <v>1215</v>
      </c>
      <c r="D1111" t="s">
        <v>1216</v>
      </c>
      <c r="E1111" t="s">
        <v>7</v>
      </c>
      <c r="F1111" t="s">
        <v>1282</v>
      </c>
      <c r="G1111" t="s">
        <v>1282</v>
      </c>
      <c r="H1111" s="2">
        <v>45741</v>
      </c>
      <c r="I1111" s="2">
        <v>45831</v>
      </c>
      <c r="J1111" t="s">
        <v>20</v>
      </c>
      <c r="K1111" s="21">
        <v>35696</v>
      </c>
      <c r="L1111" s="21">
        <v>35696</v>
      </c>
      <c r="M1111">
        <v>0</v>
      </c>
      <c r="N1111" s="21">
        <v>0</v>
      </c>
    </row>
    <row r="1112" spans="1:14">
      <c r="A1112" t="str">
        <f>IFERROR(_xlfn.XLOOKUP(B1112,Cuentas!$C$1:$C$521,Cuentas!$A$1:$A$521),"")</f>
        <v>Yuldor</v>
      </c>
      <c r="B1112" t="s">
        <v>1214</v>
      </c>
      <c r="C1112" t="s">
        <v>1215</v>
      </c>
      <c r="D1112" t="s">
        <v>1216</v>
      </c>
      <c r="E1112" t="s">
        <v>7</v>
      </c>
      <c r="F1112" t="s">
        <v>1283</v>
      </c>
      <c r="G1112" t="s">
        <v>1283</v>
      </c>
      <c r="H1112" s="2">
        <v>45742</v>
      </c>
      <c r="I1112" s="2">
        <v>45832</v>
      </c>
      <c r="J1112" t="s">
        <v>20</v>
      </c>
      <c r="K1112" s="21">
        <v>7740</v>
      </c>
      <c r="L1112" s="21">
        <v>7740</v>
      </c>
      <c r="M1112">
        <v>0</v>
      </c>
      <c r="N1112" s="21">
        <v>0</v>
      </c>
    </row>
    <row r="1113" spans="1:14">
      <c r="A1113" t="str">
        <f>IFERROR(_xlfn.XLOOKUP(B1113,Cuentas!$C$1:$C$521,Cuentas!$A$1:$A$521),"")</f>
        <v>Yuldor</v>
      </c>
      <c r="B1113" t="s">
        <v>1284</v>
      </c>
      <c r="C1113" t="s">
        <v>1285</v>
      </c>
      <c r="D1113" t="s">
        <v>16</v>
      </c>
      <c r="E1113" t="s">
        <v>3139</v>
      </c>
      <c r="F1113" t="s">
        <v>19</v>
      </c>
      <c r="G1113" t="s">
        <v>19</v>
      </c>
      <c r="I1113" s="2">
        <v>45706</v>
      </c>
      <c r="J1113" t="s">
        <v>20</v>
      </c>
      <c r="K1113" s="21">
        <v>-4277.5</v>
      </c>
      <c r="L1113" s="21">
        <v>-4277.5</v>
      </c>
      <c r="M1113">
        <v>0</v>
      </c>
      <c r="N1113" s="21">
        <v>-4277.5</v>
      </c>
    </row>
    <row r="1114" spans="1:14">
      <c r="A1114" t="str">
        <f>IFERROR(_xlfn.XLOOKUP(B1114,Cuentas!$C$1:$C$521,Cuentas!$A$1:$A$521),"")</f>
        <v>Yuldor</v>
      </c>
      <c r="B1114" t="s">
        <v>1284</v>
      </c>
      <c r="C1114" t="s">
        <v>1285</v>
      </c>
      <c r="D1114" t="s">
        <v>16</v>
      </c>
      <c r="E1114" t="s">
        <v>7</v>
      </c>
      <c r="F1114" t="s">
        <v>1286</v>
      </c>
      <c r="G1114" t="s">
        <v>1286</v>
      </c>
      <c r="H1114" s="2">
        <v>45714</v>
      </c>
      <c r="I1114" s="2">
        <v>45744</v>
      </c>
      <c r="J1114" t="s">
        <v>20</v>
      </c>
      <c r="K1114" s="21">
        <v>37660</v>
      </c>
      <c r="L1114" s="21">
        <v>37660</v>
      </c>
      <c r="M1114">
        <v>13</v>
      </c>
      <c r="N1114" s="21">
        <v>37660</v>
      </c>
    </row>
    <row r="1115" spans="1:14">
      <c r="A1115" t="str">
        <f>IFERROR(_xlfn.XLOOKUP(B1115,Cuentas!$C$1:$C$521,Cuentas!$A$1:$A$521),"")</f>
        <v>Yuldor</v>
      </c>
      <c r="B1115" t="s">
        <v>1284</v>
      </c>
      <c r="C1115" t="s">
        <v>1285</v>
      </c>
      <c r="D1115" t="s">
        <v>16</v>
      </c>
      <c r="E1115" t="s">
        <v>7</v>
      </c>
      <c r="F1115" t="s">
        <v>1287</v>
      </c>
      <c r="G1115" t="s">
        <v>1287</v>
      </c>
      <c r="H1115" s="2">
        <v>45714</v>
      </c>
      <c r="I1115" s="2">
        <v>45744</v>
      </c>
      <c r="J1115" t="s">
        <v>20</v>
      </c>
      <c r="K1115" s="21">
        <v>17630</v>
      </c>
      <c r="L1115" s="21">
        <v>17630</v>
      </c>
      <c r="M1115">
        <v>13</v>
      </c>
      <c r="N1115" s="21">
        <v>17630</v>
      </c>
    </row>
    <row r="1116" spans="1:14">
      <c r="A1116" t="str">
        <f>IFERROR(_xlfn.XLOOKUP(B1116,Cuentas!$C$1:$C$521,Cuentas!$A$1:$A$521),"")</f>
        <v>Nicolas</v>
      </c>
      <c r="B1116" t="s">
        <v>1288</v>
      </c>
      <c r="C1116" t="s">
        <v>1289</v>
      </c>
      <c r="D1116" t="s">
        <v>213</v>
      </c>
      <c r="E1116" t="s">
        <v>3139</v>
      </c>
      <c r="F1116" t="s">
        <v>19</v>
      </c>
      <c r="G1116" t="s">
        <v>19</v>
      </c>
      <c r="I1116" s="2">
        <v>45638</v>
      </c>
      <c r="J1116" t="s">
        <v>20</v>
      </c>
      <c r="K1116" s="21">
        <v>-1101.18</v>
      </c>
      <c r="L1116" s="21">
        <v>-1101.18</v>
      </c>
      <c r="M1116">
        <v>0</v>
      </c>
      <c r="N1116" s="21">
        <v>-1101.18</v>
      </c>
    </row>
    <row r="1117" spans="1:14">
      <c r="A1117" t="str">
        <f>IFERROR(_xlfn.XLOOKUP(B1117,Cuentas!$C$1:$C$521,Cuentas!$A$1:$A$521),"")</f>
        <v>Nicolas</v>
      </c>
      <c r="B1117" t="s">
        <v>1288</v>
      </c>
      <c r="C1117" t="s">
        <v>1289</v>
      </c>
      <c r="D1117" t="s">
        <v>213</v>
      </c>
      <c r="E1117" t="s">
        <v>7</v>
      </c>
      <c r="F1117" t="s">
        <v>1290</v>
      </c>
      <c r="G1117" t="s">
        <v>1290</v>
      </c>
      <c r="H1117" s="2">
        <v>45659</v>
      </c>
      <c r="I1117" s="2">
        <v>45659</v>
      </c>
      <c r="J1117" t="s">
        <v>20</v>
      </c>
      <c r="K1117" s="21">
        <v>1123.1600000000001</v>
      </c>
      <c r="L1117" s="21">
        <v>1123.1600000000001</v>
      </c>
      <c r="M1117">
        <v>0</v>
      </c>
      <c r="N1117" s="21">
        <v>1123.1600000000001</v>
      </c>
    </row>
    <row r="1118" spans="1:14">
      <c r="A1118" t="str">
        <f>IFERROR(_xlfn.XLOOKUP(B1118,Cuentas!$C$1:$C$521,Cuentas!$A$1:$A$521),"")</f>
        <v>Yuldor</v>
      </c>
      <c r="B1118" t="s">
        <v>1291</v>
      </c>
      <c r="C1118" t="s">
        <v>1292</v>
      </c>
      <c r="D1118" t="s">
        <v>16</v>
      </c>
      <c r="E1118" t="s">
        <v>7</v>
      </c>
      <c r="F1118" t="s">
        <v>1293</v>
      </c>
      <c r="G1118" t="s">
        <v>1293</v>
      </c>
      <c r="H1118" s="2">
        <v>45596</v>
      </c>
      <c r="I1118" s="2">
        <v>45626</v>
      </c>
      <c r="J1118" t="s">
        <v>20</v>
      </c>
      <c r="K1118" s="21">
        <v>515.29</v>
      </c>
      <c r="L1118" s="21">
        <v>515.29</v>
      </c>
      <c r="M1118">
        <v>0</v>
      </c>
      <c r="N1118" s="21">
        <v>515.29</v>
      </c>
    </row>
    <row r="1119" spans="1:14">
      <c r="A1119" t="str">
        <f>IFERROR(_xlfn.XLOOKUP(B1119,Cuentas!$C$1:$C$521,Cuentas!$A$1:$A$521),"")</f>
        <v>Yuldor</v>
      </c>
      <c r="B1119" t="s">
        <v>1291</v>
      </c>
      <c r="C1119" t="s">
        <v>1292</v>
      </c>
      <c r="D1119" t="s">
        <v>16</v>
      </c>
      <c r="E1119" t="s">
        <v>7</v>
      </c>
      <c r="F1119" t="s">
        <v>1294</v>
      </c>
      <c r="G1119" t="s">
        <v>1294</v>
      </c>
      <c r="H1119" s="2">
        <v>45687</v>
      </c>
      <c r="I1119" s="2">
        <v>45717</v>
      </c>
      <c r="J1119" t="s">
        <v>20</v>
      </c>
      <c r="K1119" s="21">
        <v>896.52</v>
      </c>
      <c r="L1119" s="21">
        <v>896.52</v>
      </c>
      <c r="M1119">
        <v>10</v>
      </c>
      <c r="N1119" s="21">
        <v>896.52</v>
      </c>
    </row>
    <row r="1120" spans="1:14">
      <c r="A1120" t="str">
        <f>IFERROR(_xlfn.XLOOKUP(B1120,Cuentas!$C$1:$C$521,Cuentas!$A$1:$A$521),"")</f>
        <v>Yuldor</v>
      </c>
      <c r="B1120" t="s">
        <v>1295</v>
      </c>
      <c r="C1120" t="s">
        <v>1296</v>
      </c>
      <c r="D1120" t="s">
        <v>213</v>
      </c>
      <c r="E1120" t="s">
        <v>7</v>
      </c>
      <c r="F1120" t="s">
        <v>1297</v>
      </c>
      <c r="G1120" t="s">
        <v>1297</v>
      </c>
      <c r="H1120" s="2">
        <v>45689</v>
      </c>
      <c r="I1120" s="2">
        <v>45689</v>
      </c>
      <c r="J1120" t="s">
        <v>20</v>
      </c>
      <c r="K1120" s="21">
        <v>650.55999999999995</v>
      </c>
      <c r="L1120" s="21">
        <v>608</v>
      </c>
      <c r="M1120">
        <v>0</v>
      </c>
      <c r="N1120" s="21">
        <v>608</v>
      </c>
    </row>
    <row r="1121" spans="1:14">
      <c r="A1121" t="str">
        <f>IFERROR(_xlfn.XLOOKUP(B1121,Cuentas!$C$1:$C$521,Cuentas!$A$1:$A$521),"")</f>
        <v>Yuldor</v>
      </c>
      <c r="B1121" t="s">
        <v>1295</v>
      </c>
      <c r="C1121" t="s">
        <v>1296</v>
      </c>
      <c r="D1121" t="s">
        <v>213</v>
      </c>
      <c r="E1121" t="s">
        <v>5502</v>
      </c>
      <c r="F1121" t="s">
        <v>1298</v>
      </c>
      <c r="G1121" t="s">
        <v>1297</v>
      </c>
      <c r="I1121" s="2">
        <v>45716</v>
      </c>
      <c r="J1121" t="s">
        <v>20</v>
      </c>
      <c r="K1121" s="21">
        <v>-42.56</v>
      </c>
      <c r="L1121" s="21" t="s">
        <v>86</v>
      </c>
      <c r="M1121">
        <v>0</v>
      </c>
      <c r="N1121" s="21" t="s">
        <v>86</v>
      </c>
    </row>
    <row r="1122" spans="1:14">
      <c r="A1122" t="str">
        <f>IFERROR(_xlfn.XLOOKUP(B1122,Cuentas!$C$1:$C$521,Cuentas!$A$1:$A$521),"")</f>
        <v>Yuldor</v>
      </c>
      <c r="B1122" t="s">
        <v>1299</v>
      </c>
      <c r="C1122" t="s">
        <v>1300</v>
      </c>
      <c r="D1122" t="s">
        <v>16</v>
      </c>
      <c r="E1122" t="s">
        <v>7</v>
      </c>
      <c r="F1122" t="s">
        <v>1301</v>
      </c>
      <c r="G1122" t="s">
        <v>1301</v>
      </c>
      <c r="H1122" s="2">
        <v>45709</v>
      </c>
      <c r="I1122" s="2">
        <v>45739</v>
      </c>
      <c r="J1122" t="s">
        <v>20</v>
      </c>
      <c r="K1122" s="21">
        <v>170</v>
      </c>
      <c r="L1122" s="21">
        <v>170</v>
      </c>
      <c r="M1122">
        <v>13</v>
      </c>
      <c r="N1122" s="21">
        <v>170</v>
      </c>
    </row>
    <row r="1123" spans="1:14">
      <c r="A1123" t="str">
        <f>IFERROR(_xlfn.XLOOKUP(B1123,Cuentas!$C$1:$C$521,Cuentas!$A$1:$A$521),"")</f>
        <v>Yuldor</v>
      </c>
      <c r="B1123" t="s">
        <v>1299</v>
      </c>
      <c r="C1123" t="s">
        <v>1300</v>
      </c>
      <c r="D1123" t="s">
        <v>16</v>
      </c>
      <c r="E1123" t="s">
        <v>7</v>
      </c>
      <c r="F1123" t="s">
        <v>1302</v>
      </c>
      <c r="G1123" t="s">
        <v>1302</v>
      </c>
      <c r="H1123" s="2">
        <v>45716</v>
      </c>
      <c r="I1123" s="2">
        <v>45746</v>
      </c>
      <c r="J1123" t="s">
        <v>20</v>
      </c>
      <c r="K1123" s="21">
        <v>105.6</v>
      </c>
      <c r="L1123" s="21">
        <v>105.6</v>
      </c>
      <c r="M1123">
        <v>13</v>
      </c>
      <c r="N1123" s="21">
        <v>105.6</v>
      </c>
    </row>
    <row r="1124" spans="1:14">
      <c r="A1124" t="str">
        <f>IFERROR(_xlfn.XLOOKUP(B1124,Cuentas!$C$1:$C$521,Cuentas!$A$1:$A$521),"")</f>
        <v>Yuldor</v>
      </c>
      <c r="B1124" t="s">
        <v>1299</v>
      </c>
      <c r="C1124" t="s">
        <v>1300</v>
      </c>
      <c r="D1124" t="s">
        <v>16</v>
      </c>
      <c r="E1124" t="s">
        <v>7</v>
      </c>
      <c r="F1124" t="s">
        <v>1303</v>
      </c>
      <c r="G1124" t="s">
        <v>1303</v>
      </c>
      <c r="H1124" s="2">
        <v>45723</v>
      </c>
      <c r="I1124" s="2">
        <v>45753</v>
      </c>
      <c r="J1124" t="s">
        <v>20</v>
      </c>
      <c r="K1124" s="21">
        <v>330.48</v>
      </c>
      <c r="L1124" s="21">
        <v>330.48</v>
      </c>
      <c r="M1124">
        <v>0</v>
      </c>
      <c r="N1124" s="21">
        <v>0</v>
      </c>
    </row>
    <row r="1125" spans="1:14">
      <c r="A1125" t="str">
        <f>IFERROR(_xlfn.XLOOKUP(B1125,Cuentas!$C$1:$C$521,Cuentas!$A$1:$A$521),"")</f>
        <v>Alexandra</v>
      </c>
      <c r="B1125" t="s">
        <v>1304</v>
      </c>
      <c r="C1125" t="s">
        <v>1305</v>
      </c>
      <c r="D1125" t="s">
        <v>16</v>
      </c>
      <c r="E1125" t="s">
        <v>7</v>
      </c>
      <c r="F1125" t="s">
        <v>1306</v>
      </c>
      <c r="G1125" t="s">
        <v>1306</v>
      </c>
      <c r="H1125" s="2">
        <v>45723</v>
      </c>
      <c r="I1125" s="2">
        <v>45753</v>
      </c>
      <c r="J1125" t="s">
        <v>20</v>
      </c>
      <c r="K1125" s="21">
        <v>145</v>
      </c>
      <c r="L1125" s="21">
        <v>145</v>
      </c>
      <c r="M1125">
        <v>0</v>
      </c>
      <c r="N1125" s="21">
        <v>0</v>
      </c>
    </row>
    <row r="1126" spans="1:14">
      <c r="A1126" t="str">
        <f>IFERROR(_xlfn.XLOOKUP(B1126,Cuentas!$C$1:$C$521,Cuentas!$A$1:$A$521),"")</f>
        <v/>
      </c>
      <c r="B1126" t="s">
        <v>1307</v>
      </c>
      <c r="C1126" t="s">
        <v>1308</v>
      </c>
      <c r="D1126" t="s">
        <v>16</v>
      </c>
      <c r="E1126" t="s">
        <v>7</v>
      </c>
      <c r="F1126" t="s">
        <v>1309</v>
      </c>
      <c r="G1126" t="s">
        <v>1309</v>
      </c>
      <c r="H1126" s="2">
        <v>45736</v>
      </c>
      <c r="I1126" s="2">
        <v>45766</v>
      </c>
      <c r="J1126" t="s">
        <v>20</v>
      </c>
      <c r="K1126" s="21">
        <v>85326.98</v>
      </c>
      <c r="L1126" s="21">
        <v>85326.98</v>
      </c>
      <c r="M1126">
        <v>0</v>
      </c>
      <c r="N1126" s="21">
        <v>0</v>
      </c>
    </row>
    <row r="1127" spans="1:14">
      <c r="A1127" t="str">
        <f>IFERROR(_xlfn.XLOOKUP(B1127,Cuentas!$C$1:$C$521,Cuentas!$A$1:$A$521),"")</f>
        <v>Nicolas</v>
      </c>
      <c r="B1127" t="s">
        <v>1310</v>
      </c>
      <c r="C1127" t="s">
        <v>1311</v>
      </c>
      <c r="D1127" t="s">
        <v>16</v>
      </c>
      <c r="E1127" t="s">
        <v>3139</v>
      </c>
      <c r="F1127" t="s">
        <v>19</v>
      </c>
      <c r="G1127" t="s">
        <v>19</v>
      </c>
      <c r="I1127" s="2">
        <v>45622</v>
      </c>
      <c r="J1127" t="s">
        <v>20</v>
      </c>
      <c r="K1127" s="21">
        <v>-103.32</v>
      </c>
      <c r="L1127" s="21">
        <v>-103.32</v>
      </c>
      <c r="M1127">
        <v>0</v>
      </c>
      <c r="N1127" s="21">
        <v>-103.32</v>
      </c>
    </row>
    <row r="1128" spans="1:14">
      <c r="A1128" t="str">
        <f>IFERROR(_xlfn.XLOOKUP(B1128,Cuentas!$C$1:$C$521,Cuentas!$A$1:$A$521),"")</f>
        <v>Nicolas</v>
      </c>
      <c r="B1128" t="s">
        <v>1310</v>
      </c>
      <c r="C1128" t="s">
        <v>1311</v>
      </c>
      <c r="D1128" t="s">
        <v>16</v>
      </c>
      <c r="E1128" t="s">
        <v>3139</v>
      </c>
      <c r="F1128" t="s">
        <v>19</v>
      </c>
      <c r="G1128" t="s">
        <v>19</v>
      </c>
      <c r="I1128" s="2">
        <v>45730</v>
      </c>
      <c r="J1128" t="s">
        <v>20</v>
      </c>
      <c r="K1128" s="21">
        <v>-21.91</v>
      </c>
      <c r="L1128" s="21">
        <v>-21.91</v>
      </c>
      <c r="M1128">
        <v>11</v>
      </c>
      <c r="N1128" s="21">
        <v>-21.91</v>
      </c>
    </row>
    <row r="1129" spans="1:14">
      <c r="A1129" t="str">
        <f>IFERROR(_xlfn.XLOOKUP(B1129,Cuentas!$C$1:$C$521,Cuentas!$A$1:$A$521),"")</f>
        <v>Alexandra</v>
      </c>
      <c r="B1129" t="s">
        <v>1312</v>
      </c>
      <c r="C1129" t="s">
        <v>1313</v>
      </c>
      <c r="D1129" t="s">
        <v>16</v>
      </c>
      <c r="E1129" t="s">
        <v>7</v>
      </c>
      <c r="F1129" t="s">
        <v>1314</v>
      </c>
      <c r="G1129" t="s">
        <v>1314</v>
      </c>
      <c r="H1129" s="2">
        <v>45607</v>
      </c>
      <c r="I1129" s="2">
        <v>45637</v>
      </c>
      <c r="J1129" t="s">
        <v>20</v>
      </c>
      <c r="K1129" s="21">
        <v>289</v>
      </c>
      <c r="L1129" s="21">
        <v>289</v>
      </c>
      <c r="M1129">
        <v>0</v>
      </c>
      <c r="N1129" s="21">
        <v>289</v>
      </c>
    </row>
    <row r="1130" spans="1:14">
      <c r="A1130" t="str">
        <f>IFERROR(_xlfn.XLOOKUP(B1130,Cuentas!$C$1:$C$521,Cuentas!$A$1:$A$521),"")</f>
        <v>Alexandra</v>
      </c>
      <c r="B1130" t="s">
        <v>1312</v>
      </c>
      <c r="C1130" t="s">
        <v>1313</v>
      </c>
      <c r="D1130" t="s">
        <v>16</v>
      </c>
      <c r="E1130" t="s">
        <v>7</v>
      </c>
      <c r="F1130" t="s">
        <v>1315</v>
      </c>
      <c r="G1130" t="s">
        <v>1315</v>
      </c>
      <c r="H1130" s="2">
        <v>45727</v>
      </c>
      <c r="I1130" s="2">
        <v>45757</v>
      </c>
      <c r="J1130" t="s">
        <v>20</v>
      </c>
      <c r="K1130" s="21">
        <v>2880.6</v>
      </c>
      <c r="L1130" s="21">
        <v>2880.6</v>
      </c>
      <c r="M1130">
        <v>0</v>
      </c>
      <c r="N1130" s="21">
        <v>0</v>
      </c>
    </row>
    <row r="1131" spans="1:14">
      <c r="A1131" t="str">
        <f>IFERROR(_xlfn.XLOOKUP(B1131,Cuentas!$C$1:$C$521,Cuentas!$A$1:$A$521),"")</f>
        <v>Alexandra</v>
      </c>
      <c r="B1131" t="s">
        <v>1312</v>
      </c>
      <c r="C1131" t="s">
        <v>1313</v>
      </c>
      <c r="D1131" t="s">
        <v>16</v>
      </c>
      <c r="E1131" t="s">
        <v>7</v>
      </c>
      <c r="F1131" t="s">
        <v>1316</v>
      </c>
      <c r="G1131" t="s">
        <v>1316</v>
      </c>
      <c r="H1131" s="2">
        <v>45733</v>
      </c>
      <c r="I1131" s="2">
        <v>45763</v>
      </c>
      <c r="J1131" t="s">
        <v>20</v>
      </c>
      <c r="K1131" s="21">
        <v>333.84</v>
      </c>
      <c r="L1131" s="21">
        <v>333.84</v>
      </c>
      <c r="M1131">
        <v>0</v>
      </c>
      <c r="N1131" s="21">
        <v>0</v>
      </c>
    </row>
    <row r="1132" spans="1:14">
      <c r="A1132" t="str">
        <f>IFERROR(_xlfn.XLOOKUP(B1132,Cuentas!$C$1:$C$521,Cuentas!$A$1:$A$521),"")</f>
        <v>Nicolas</v>
      </c>
      <c r="B1132" t="s">
        <v>1317</v>
      </c>
      <c r="C1132" t="s">
        <v>1318</v>
      </c>
      <c r="D1132" t="s">
        <v>213</v>
      </c>
      <c r="E1132" t="s">
        <v>3139</v>
      </c>
      <c r="F1132" t="s">
        <v>19</v>
      </c>
      <c r="G1132" t="s">
        <v>19</v>
      </c>
      <c r="I1132" s="2">
        <v>45545</v>
      </c>
      <c r="J1132" t="s">
        <v>20</v>
      </c>
      <c r="K1132" s="21">
        <v>-18.45</v>
      </c>
      <c r="L1132" s="21">
        <v>-18.45</v>
      </c>
      <c r="M1132">
        <v>0</v>
      </c>
      <c r="N1132" s="21">
        <v>-18.45</v>
      </c>
    </row>
    <row r="1133" spans="1:14">
      <c r="A1133" t="str">
        <f>IFERROR(_xlfn.XLOOKUP(B1133,Cuentas!$C$1:$C$521,Cuentas!$A$1:$A$521),"")</f>
        <v>Nicolas</v>
      </c>
      <c r="B1133" t="s">
        <v>1319</v>
      </c>
      <c r="C1133" t="s">
        <v>1320</v>
      </c>
      <c r="D1133" t="s">
        <v>213</v>
      </c>
      <c r="E1133" t="s">
        <v>7</v>
      </c>
      <c r="F1133" t="s">
        <v>1321</v>
      </c>
      <c r="G1133" t="s">
        <v>1321</v>
      </c>
      <c r="H1133" s="2">
        <v>45677</v>
      </c>
      <c r="I1133" s="2">
        <v>45677</v>
      </c>
      <c r="J1133" t="s">
        <v>20</v>
      </c>
      <c r="K1133" s="21">
        <v>2499.36</v>
      </c>
      <c r="L1133" s="21">
        <v>1464.36</v>
      </c>
      <c r="M1133">
        <v>0</v>
      </c>
      <c r="N1133" s="21">
        <v>1464.36</v>
      </c>
    </row>
    <row r="1134" spans="1:14">
      <c r="A1134" t="str">
        <f>IFERROR(_xlfn.XLOOKUP(B1134,Cuentas!$C$1:$C$521,Cuentas!$A$1:$A$521),"")</f>
        <v>Nicolas</v>
      </c>
      <c r="B1134" t="s">
        <v>1319</v>
      </c>
      <c r="C1134" t="s">
        <v>1320</v>
      </c>
      <c r="D1134" t="s">
        <v>213</v>
      </c>
      <c r="E1134" t="s">
        <v>3139</v>
      </c>
      <c r="F1134" t="s">
        <v>1321</v>
      </c>
      <c r="G1134" t="s">
        <v>1321</v>
      </c>
      <c r="I1134" s="2">
        <v>45558</v>
      </c>
      <c r="J1134" t="s">
        <v>20</v>
      </c>
      <c r="K1134" s="21">
        <v>-1035</v>
      </c>
      <c r="L1134" s="21" t="s">
        <v>86</v>
      </c>
      <c r="M1134">
        <v>0</v>
      </c>
      <c r="N1134" s="21" t="s">
        <v>86</v>
      </c>
    </row>
    <row r="1135" spans="1:14">
      <c r="A1135" t="str">
        <f>IFERROR(_xlfn.XLOOKUP(B1135,Cuentas!$C$1:$C$521,Cuentas!$A$1:$A$521),"")</f>
        <v>Alexandra</v>
      </c>
      <c r="B1135" t="s">
        <v>1322</v>
      </c>
      <c r="C1135" t="s">
        <v>1323</v>
      </c>
      <c r="D1135" t="s">
        <v>16</v>
      </c>
      <c r="E1135" t="s">
        <v>7</v>
      </c>
      <c r="F1135" t="s">
        <v>1324</v>
      </c>
      <c r="G1135" t="s">
        <v>1324</v>
      </c>
      <c r="H1135" s="2">
        <v>45665</v>
      </c>
      <c r="I1135" s="2">
        <v>45695</v>
      </c>
      <c r="J1135" t="s">
        <v>20</v>
      </c>
      <c r="K1135" s="21">
        <v>54.57</v>
      </c>
      <c r="L1135" s="21">
        <v>-3.57</v>
      </c>
      <c r="M1135">
        <v>0</v>
      </c>
      <c r="N1135" s="21">
        <v>-3.57</v>
      </c>
    </row>
    <row r="1136" spans="1:14">
      <c r="A1136" t="str">
        <f>IFERROR(_xlfn.XLOOKUP(B1136,Cuentas!$C$1:$C$521,Cuentas!$A$1:$A$521),"")</f>
        <v>Alexandra</v>
      </c>
      <c r="B1136" t="s">
        <v>1322</v>
      </c>
      <c r="C1136" t="s">
        <v>1323</v>
      </c>
      <c r="D1136" t="s">
        <v>16</v>
      </c>
      <c r="E1136" t="s">
        <v>5502</v>
      </c>
      <c r="F1136" t="s">
        <v>1325</v>
      </c>
      <c r="G1136" t="s">
        <v>1324</v>
      </c>
      <c r="I1136" s="2">
        <v>45688</v>
      </c>
      <c r="J1136" t="s">
        <v>20</v>
      </c>
      <c r="K1136" s="21">
        <v>-3.57</v>
      </c>
      <c r="L1136" s="21" t="s">
        <v>86</v>
      </c>
      <c r="M1136">
        <v>0</v>
      </c>
      <c r="N1136" s="21" t="s">
        <v>86</v>
      </c>
    </row>
    <row r="1137" spans="1:14">
      <c r="A1137" t="str">
        <f>IFERROR(_xlfn.XLOOKUP(B1137,Cuentas!$C$1:$C$521,Cuentas!$A$1:$A$521),"")</f>
        <v>Alexandra</v>
      </c>
      <c r="B1137" t="s">
        <v>1322</v>
      </c>
      <c r="C1137" t="s">
        <v>1323</v>
      </c>
      <c r="D1137" t="s">
        <v>16</v>
      </c>
      <c r="E1137" t="s">
        <v>3139</v>
      </c>
      <c r="F1137" t="s">
        <v>1324</v>
      </c>
      <c r="G1137" t="s">
        <v>1324</v>
      </c>
      <c r="I1137" s="2">
        <v>45671</v>
      </c>
      <c r="J1137" t="s">
        <v>20</v>
      </c>
      <c r="K1137" s="21">
        <v>-54.57</v>
      </c>
      <c r="L1137" s="21" t="s">
        <v>86</v>
      </c>
      <c r="M1137">
        <v>0</v>
      </c>
      <c r="N1137" s="21" t="s">
        <v>86</v>
      </c>
    </row>
    <row r="1138" spans="1:14">
      <c r="A1138" t="str">
        <f>IFERROR(_xlfn.XLOOKUP(B1138,Cuentas!$C$1:$C$521,Cuentas!$A$1:$A$521),"")</f>
        <v>Yuldor</v>
      </c>
      <c r="B1138" t="s">
        <v>1326</v>
      </c>
      <c r="C1138" t="s">
        <v>1327</v>
      </c>
      <c r="D1138" t="s">
        <v>16</v>
      </c>
      <c r="E1138" t="s">
        <v>7</v>
      </c>
      <c r="F1138" t="s">
        <v>1328</v>
      </c>
      <c r="G1138" t="s">
        <v>1328</v>
      </c>
      <c r="H1138" s="2">
        <v>45516</v>
      </c>
      <c r="I1138" s="2">
        <v>45546</v>
      </c>
      <c r="J1138" t="s">
        <v>20</v>
      </c>
      <c r="K1138" s="21">
        <v>908</v>
      </c>
      <c r="L1138" s="21">
        <v>908</v>
      </c>
      <c r="M1138">
        <v>0</v>
      </c>
      <c r="N1138" s="21">
        <v>908</v>
      </c>
    </row>
    <row r="1139" spans="1:14">
      <c r="A1139" t="str">
        <f>IFERROR(_xlfn.XLOOKUP(B1139,Cuentas!$C$1:$C$521,Cuentas!$A$1:$A$521),"")</f>
        <v>Nicolas</v>
      </c>
      <c r="B1139" t="s">
        <v>1329</v>
      </c>
      <c r="C1139" t="s">
        <v>1330</v>
      </c>
      <c r="D1139" t="s">
        <v>16</v>
      </c>
      <c r="E1139" t="s">
        <v>7</v>
      </c>
      <c r="F1139" t="s">
        <v>1331</v>
      </c>
      <c r="G1139" t="s">
        <v>1331</v>
      </c>
      <c r="H1139" s="2">
        <v>45188</v>
      </c>
      <c r="I1139" s="2">
        <v>45218</v>
      </c>
      <c r="J1139" t="s">
        <v>20</v>
      </c>
      <c r="K1139" s="21">
        <v>960.35</v>
      </c>
      <c r="L1139" s="21">
        <v>960.35</v>
      </c>
      <c r="M1139">
        <v>0</v>
      </c>
      <c r="N1139" s="21">
        <v>960.35</v>
      </c>
    </row>
    <row r="1140" spans="1:14">
      <c r="A1140" t="str">
        <f>IFERROR(_xlfn.XLOOKUP(B1140,Cuentas!$C$1:$C$521,Cuentas!$A$1:$A$521),"")</f>
        <v>Nicolas</v>
      </c>
      <c r="B1140" t="s">
        <v>1329</v>
      </c>
      <c r="C1140" t="s">
        <v>1330</v>
      </c>
      <c r="D1140" t="s">
        <v>16</v>
      </c>
      <c r="E1140" t="s">
        <v>7</v>
      </c>
      <c r="F1140" t="s">
        <v>1332</v>
      </c>
      <c r="G1140" t="s">
        <v>1332</v>
      </c>
      <c r="H1140" s="2">
        <v>45204</v>
      </c>
      <c r="I1140" s="2">
        <v>45234</v>
      </c>
      <c r="J1140" t="s">
        <v>20</v>
      </c>
      <c r="K1140" s="21">
        <v>1055.67</v>
      </c>
      <c r="L1140" s="21">
        <v>1055.67</v>
      </c>
      <c r="M1140">
        <v>0</v>
      </c>
      <c r="N1140" s="21">
        <v>1055.67</v>
      </c>
    </row>
    <row r="1141" spans="1:14">
      <c r="A1141" t="str">
        <f>IFERROR(_xlfn.XLOOKUP(B1141,Cuentas!$C$1:$C$521,Cuentas!$A$1:$A$521),"")</f>
        <v>Nicolas</v>
      </c>
      <c r="B1141" t="s">
        <v>1329</v>
      </c>
      <c r="C1141" t="s">
        <v>1330</v>
      </c>
      <c r="D1141" t="s">
        <v>16</v>
      </c>
      <c r="E1141" t="s">
        <v>7</v>
      </c>
      <c r="F1141" t="s">
        <v>1333</v>
      </c>
      <c r="G1141" t="s">
        <v>1333</v>
      </c>
      <c r="H1141" s="2">
        <v>45245</v>
      </c>
      <c r="I1141" s="2">
        <v>45275</v>
      </c>
      <c r="J1141" t="s">
        <v>20</v>
      </c>
      <c r="K1141" s="21">
        <v>358.73</v>
      </c>
      <c r="L1141" s="21">
        <v>358.73</v>
      </c>
      <c r="M1141">
        <v>0</v>
      </c>
      <c r="N1141" s="21">
        <v>358.73</v>
      </c>
    </row>
    <row r="1142" spans="1:14">
      <c r="A1142" t="str">
        <f>IFERROR(_xlfn.XLOOKUP(B1142,Cuentas!$C$1:$C$521,Cuentas!$A$1:$A$521),"")</f>
        <v>Nicolas</v>
      </c>
      <c r="B1142" t="s">
        <v>1329</v>
      </c>
      <c r="C1142" t="s">
        <v>1330</v>
      </c>
      <c r="D1142" t="s">
        <v>16</v>
      </c>
      <c r="E1142" t="s">
        <v>7</v>
      </c>
      <c r="F1142" t="s">
        <v>1334</v>
      </c>
      <c r="G1142" t="s">
        <v>1334</v>
      </c>
      <c r="H1142" s="2">
        <v>45258</v>
      </c>
      <c r="I1142" s="2">
        <v>45288</v>
      </c>
      <c r="J1142" t="s">
        <v>20</v>
      </c>
      <c r="K1142" s="21">
        <v>515.73</v>
      </c>
      <c r="L1142" s="21">
        <v>515.73</v>
      </c>
      <c r="M1142">
        <v>0</v>
      </c>
      <c r="N1142" s="21">
        <v>515.73</v>
      </c>
    </row>
    <row r="1143" spans="1:14">
      <c r="A1143" t="str">
        <f>IFERROR(_xlfn.XLOOKUP(B1143,Cuentas!$C$1:$C$521,Cuentas!$A$1:$A$521),"")</f>
        <v>Nicolas</v>
      </c>
      <c r="B1143" t="s">
        <v>1329</v>
      </c>
      <c r="C1143" t="s">
        <v>1330</v>
      </c>
      <c r="D1143" t="s">
        <v>16</v>
      </c>
      <c r="E1143" t="s">
        <v>7</v>
      </c>
      <c r="F1143" t="s">
        <v>1335</v>
      </c>
      <c r="G1143" t="s">
        <v>1335</v>
      </c>
      <c r="H1143" s="2">
        <v>45301</v>
      </c>
      <c r="I1143" s="2">
        <v>45331</v>
      </c>
      <c r="J1143" t="s">
        <v>1335</v>
      </c>
      <c r="K1143" s="21">
        <v>300.38</v>
      </c>
      <c r="L1143" s="21">
        <v>0.02</v>
      </c>
      <c r="M1143">
        <v>0</v>
      </c>
      <c r="N1143" s="21">
        <v>0.02</v>
      </c>
    </row>
    <row r="1144" spans="1:14">
      <c r="A1144" t="str">
        <f>IFERROR(_xlfn.XLOOKUP(B1144,Cuentas!$C$1:$C$521,Cuentas!$A$1:$A$521),"")</f>
        <v>Nicolas</v>
      </c>
      <c r="B1144" t="s">
        <v>1329</v>
      </c>
      <c r="C1144" t="s">
        <v>1330</v>
      </c>
      <c r="D1144" t="s">
        <v>16</v>
      </c>
      <c r="E1144" t="s">
        <v>3139</v>
      </c>
      <c r="F1144" t="s">
        <v>1335</v>
      </c>
      <c r="G1144" t="s">
        <v>1335</v>
      </c>
      <c r="I1144" s="2">
        <v>45572</v>
      </c>
      <c r="J1144" t="s">
        <v>20</v>
      </c>
      <c r="K1144" s="21">
        <v>-300.36</v>
      </c>
      <c r="L1144" s="21" t="s">
        <v>86</v>
      </c>
      <c r="M1144">
        <v>0</v>
      </c>
      <c r="N1144" s="21" t="s">
        <v>86</v>
      </c>
    </row>
    <row r="1145" spans="1:14">
      <c r="A1145" t="str">
        <f>IFERROR(_xlfn.XLOOKUP(B1145,Cuentas!$C$1:$C$521,Cuentas!$A$1:$A$521),"")</f>
        <v>Nicolas</v>
      </c>
      <c r="B1145" t="s">
        <v>1329</v>
      </c>
      <c r="C1145" t="s">
        <v>1330</v>
      </c>
      <c r="D1145" t="s">
        <v>16</v>
      </c>
      <c r="E1145" t="s">
        <v>5502</v>
      </c>
      <c r="F1145" t="s">
        <v>1336</v>
      </c>
      <c r="G1145" t="s">
        <v>19</v>
      </c>
      <c r="I1145" s="2">
        <v>45518</v>
      </c>
      <c r="J1145" t="s">
        <v>20</v>
      </c>
      <c r="K1145" s="21">
        <v>-40.96</v>
      </c>
      <c r="L1145" s="21">
        <v>-40.96</v>
      </c>
      <c r="M1145">
        <v>0</v>
      </c>
      <c r="N1145" s="21">
        <v>-40.96</v>
      </c>
    </row>
    <row r="1146" spans="1:14">
      <c r="A1146" t="str">
        <f>IFERROR(_xlfn.XLOOKUP(B1146,Cuentas!$C$1:$C$521,Cuentas!$A$1:$A$521),"")</f>
        <v>Nicolas</v>
      </c>
      <c r="B1146" t="s">
        <v>1329</v>
      </c>
      <c r="C1146" t="s">
        <v>1330</v>
      </c>
      <c r="D1146" t="s">
        <v>16</v>
      </c>
      <c r="E1146" t="s">
        <v>5502</v>
      </c>
      <c r="F1146" t="s">
        <v>1337</v>
      </c>
      <c r="G1146" t="s">
        <v>19</v>
      </c>
      <c r="I1146" s="2">
        <v>45519</v>
      </c>
      <c r="J1146" t="s">
        <v>20</v>
      </c>
      <c r="K1146" s="21">
        <v>-57.22</v>
      </c>
      <c r="L1146" s="21">
        <v>-57.22</v>
      </c>
      <c r="M1146">
        <v>0</v>
      </c>
      <c r="N1146" s="21">
        <v>-57.22</v>
      </c>
    </row>
    <row r="1147" spans="1:14">
      <c r="A1147" t="str">
        <f>IFERROR(_xlfn.XLOOKUP(B1147,Cuentas!$C$1:$C$521,Cuentas!$A$1:$A$521),"")</f>
        <v>Nicolas</v>
      </c>
      <c r="B1147" t="s">
        <v>1329</v>
      </c>
      <c r="C1147" t="s">
        <v>1330</v>
      </c>
      <c r="D1147" t="s">
        <v>16</v>
      </c>
      <c r="E1147" t="s">
        <v>5502</v>
      </c>
      <c r="F1147" t="s">
        <v>1338</v>
      </c>
      <c r="G1147" t="s">
        <v>19</v>
      </c>
      <c r="I1147" s="2">
        <v>45519</v>
      </c>
      <c r="J1147" t="s">
        <v>20</v>
      </c>
      <c r="K1147" s="21">
        <v>-28.03</v>
      </c>
      <c r="L1147" s="21">
        <v>-28.03</v>
      </c>
      <c r="M1147">
        <v>0</v>
      </c>
      <c r="N1147" s="21">
        <v>-28.03</v>
      </c>
    </row>
    <row r="1148" spans="1:14">
      <c r="A1148" t="str">
        <f>IFERROR(_xlfn.XLOOKUP(B1148,Cuentas!$C$1:$C$521,Cuentas!$A$1:$A$521),"")</f>
        <v>Nicolas</v>
      </c>
      <c r="B1148" t="s">
        <v>1329</v>
      </c>
      <c r="C1148" t="s">
        <v>1330</v>
      </c>
      <c r="D1148" t="s">
        <v>16</v>
      </c>
      <c r="E1148" t="s">
        <v>5502</v>
      </c>
      <c r="F1148" t="s">
        <v>1339</v>
      </c>
      <c r="G1148" t="s">
        <v>19</v>
      </c>
      <c r="I1148" s="2">
        <v>45519</v>
      </c>
      <c r="J1148" t="s">
        <v>20</v>
      </c>
      <c r="K1148" s="21">
        <v>-29.04</v>
      </c>
      <c r="L1148" s="21">
        <v>-29.04</v>
      </c>
      <c r="M1148">
        <v>0</v>
      </c>
      <c r="N1148" s="21">
        <v>-29.04</v>
      </c>
    </row>
    <row r="1149" spans="1:14">
      <c r="A1149" t="str">
        <f>IFERROR(_xlfn.XLOOKUP(B1149,Cuentas!$C$1:$C$521,Cuentas!$A$1:$A$521),"")</f>
        <v>Nicolas</v>
      </c>
      <c r="B1149" t="s">
        <v>1329</v>
      </c>
      <c r="C1149" t="s">
        <v>1330</v>
      </c>
      <c r="D1149" t="s">
        <v>16</v>
      </c>
      <c r="E1149" t="s">
        <v>3139</v>
      </c>
      <c r="F1149" t="s">
        <v>19</v>
      </c>
      <c r="G1149" t="s">
        <v>19</v>
      </c>
      <c r="I1149" s="2">
        <v>45569</v>
      </c>
      <c r="J1149" t="s">
        <v>20</v>
      </c>
      <c r="K1149" s="21">
        <v>-88.27</v>
      </c>
      <c r="L1149" s="21">
        <v>-88.27</v>
      </c>
      <c r="M1149">
        <v>0</v>
      </c>
      <c r="N1149" s="21">
        <v>-88.27</v>
      </c>
    </row>
    <row r="1150" spans="1:14">
      <c r="A1150" t="str">
        <f>IFERROR(_xlfn.XLOOKUP(B1150,Cuentas!$C$1:$C$521,Cuentas!$A$1:$A$521),"")</f>
        <v>Nicolas</v>
      </c>
      <c r="B1150" t="s">
        <v>1329</v>
      </c>
      <c r="C1150" t="s">
        <v>1330</v>
      </c>
      <c r="D1150" t="s">
        <v>16</v>
      </c>
      <c r="E1150" t="s">
        <v>3139</v>
      </c>
      <c r="F1150" t="s">
        <v>19</v>
      </c>
      <c r="G1150" t="s">
        <v>19</v>
      </c>
      <c r="I1150" s="2">
        <v>45572</v>
      </c>
      <c r="J1150" t="s">
        <v>20</v>
      </c>
      <c r="K1150" s="21">
        <v>-228.93</v>
      </c>
      <c r="L1150" s="21">
        <v>-228.93</v>
      </c>
      <c r="M1150">
        <v>0</v>
      </c>
      <c r="N1150" s="21">
        <v>-228.93</v>
      </c>
    </row>
    <row r="1151" spans="1:14">
      <c r="A1151" t="str">
        <f>IFERROR(_xlfn.XLOOKUP(B1151,Cuentas!$C$1:$C$521,Cuentas!$A$1:$A$521),"")</f>
        <v>Nicolas</v>
      </c>
      <c r="B1151" t="s">
        <v>1329</v>
      </c>
      <c r="C1151" t="s">
        <v>1330</v>
      </c>
      <c r="D1151" t="s">
        <v>16</v>
      </c>
      <c r="E1151" t="s">
        <v>7</v>
      </c>
      <c r="F1151" t="s">
        <v>1340</v>
      </c>
      <c r="G1151" t="s">
        <v>1340</v>
      </c>
      <c r="H1151" s="2">
        <v>45555</v>
      </c>
      <c r="I1151" s="2">
        <v>45585</v>
      </c>
      <c r="J1151" t="s">
        <v>20</v>
      </c>
      <c r="K1151" s="21">
        <v>251.92</v>
      </c>
      <c r="L1151" s="21">
        <v>251.92</v>
      </c>
      <c r="M1151">
        <v>0</v>
      </c>
      <c r="N1151" s="21">
        <v>251.92</v>
      </c>
    </row>
    <row r="1152" spans="1:14">
      <c r="A1152" t="str">
        <f>IFERROR(_xlfn.XLOOKUP(B1152,Cuentas!$C$1:$C$521,Cuentas!$A$1:$A$521),"")</f>
        <v>Nicolas</v>
      </c>
      <c r="B1152" t="s">
        <v>1329</v>
      </c>
      <c r="C1152" t="s">
        <v>1330</v>
      </c>
      <c r="D1152" t="s">
        <v>16</v>
      </c>
      <c r="E1152" t="s">
        <v>7</v>
      </c>
      <c r="F1152" t="s">
        <v>1341</v>
      </c>
      <c r="G1152" t="s">
        <v>1341</v>
      </c>
      <c r="H1152" s="2">
        <v>45587</v>
      </c>
      <c r="I1152" s="2">
        <v>45617</v>
      </c>
      <c r="J1152" t="s">
        <v>20</v>
      </c>
      <c r="K1152" s="21">
        <v>486.92</v>
      </c>
      <c r="L1152" s="21">
        <v>486.92</v>
      </c>
      <c r="M1152">
        <v>0</v>
      </c>
      <c r="N1152" s="21">
        <v>486.92</v>
      </c>
    </row>
    <row r="1153" spans="1:14">
      <c r="A1153" t="str">
        <f>IFERROR(_xlfn.XLOOKUP(B1153,Cuentas!$C$1:$C$521,Cuentas!$A$1:$A$521),"")</f>
        <v>Nicolas</v>
      </c>
      <c r="B1153" t="s">
        <v>1329</v>
      </c>
      <c r="C1153" t="s">
        <v>1330</v>
      </c>
      <c r="D1153" t="s">
        <v>16</v>
      </c>
      <c r="E1153" t="s">
        <v>7</v>
      </c>
      <c r="F1153" t="s">
        <v>1342</v>
      </c>
      <c r="G1153" t="s">
        <v>1342</v>
      </c>
      <c r="H1153" s="2">
        <v>45596</v>
      </c>
      <c r="I1153" s="2">
        <v>45626</v>
      </c>
      <c r="J1153" t="s">
        <v>20</v>
      </c>
      <c r="K1153" s="21">
        <v>377.88</v>
      </c>
      <c r="L1153" s="21">
        <v>377.88</v>
      </c>
      <c r="M1153">
        <v>0</v>
      </c>
      <c r="N1153" s="21">
        <v>377.88</v>
      </c>
    </row>
    <row r="1154" spans="1:14">
      <c r="A1154" t="str">
        <f>IFERROR(_xlfn.XLOOKUP(B1154,Cuentas!$C$1:$C$521,Cuentas!$A$1:$A$521),"")</f>
        <v>Nicolas</v>
      </c>
      <c r="B1154" t="s">
        <v>1329</v>
      </c>
      <c r="C1154" t="s">
        <v>1330</v>
      </c>
      <c r="D1154" t="s">
        <v>16</v>
      </c>
      <c r="E1154" t="s">
        <v>7</v>
      </c>
      <c r="F1154" t="s">
        <v>1343</v>
      </c>
      <c r="G1154" t="s">
        <v>1343</v>
      </c>
      <c r="H1154" s="2">
        <v>45607</v>
      </c>
      <c r="I1154" s="2">
        <v>45637</v>
      </c>
      <c r="J1154" t="s">
        <v>20</v>
      </c>
      <c r="K1154" s="21">
        <v>271</v>
      </c>
      <c r="L1154" s="21">
        <v>271</v>
      </c>
      <c r="M1154">
        <v>0</v>
      </c>
      <c r="N1154" s="21">
        <v>271</v>
      </c>
    </row>
    <row r="1155" spans="1:14">
      <c r="A1155" t="str">
        <f>IFERROR(_xlfn.XLOOKUP(B1155,Cuentas!$C$1:$C$521,Cuentas!$A$1:$A$521),"")</f>
        <v>Nicolas</v>
      </c>
      <c r="B1155" t="s">
        <v>1329</v>
      </c>
      <c r="C1155" t="s">
        <v>1330</v>
      </c>
      <c r="D1155" t="s">
        <v>16</v>
      </c>
      <c r="E1155" t="s">
        <v>7</v>
      </c>
      <c r="F1155" t="s">
        <v>1344</v>
      </c>
      <c r="G1155" t="s">
        <v>1344</v>
      </c>
      <c r="H1155" s="2">
        <v>45618</v>
      </c>
      <c r="I1155" s="2">
        <v>45648</v>
      </c>
      <c r="J1155" t="s">
        <v>20</v>
      </c>
      <c r="K1155" s="21">
        <v>231.35</v>
      </c>
      <c r="L1155" s="21">
        <v>231.35</v>
      </c>
      <c r="M1155">
        <v>0</v>
      </c>
      <c r="N1155" s="21">
        <v>231.35</v>
      </c>
    </row>
    <row r="1156" spans="1:14">
      <c r="A1156" t="str">
        <f>IFERROR(_xlfn.XLOOKUP(B1156,Cuentas!$C$1:$C$521,Cuentas!$A$1:$A$521),"")</f>
        <v>Nicolas</v>
      </c>
      <c r="B1156" t="s">
        <v>1329</v>
      </c>
      <c r="C1156" t="s">
        <v>1330</v>
      </c>
      <c r="D1156" t="s">
        <v>16</v>
      </c>
      <c r="E1156" t="s">
        <v>7</v>
      </c>
      <c r="F1156" t="s">
        <v>1345</v>
      </c>
      <c r="G1156" t="s">
        <v>1345</v>
      </c>
      <c r="H1156" s="2">
        <v>45637</v>
      </c>
      <c r="I1156" s="2">
        <v>45667</v>
      </c>
      <c r="J1156" t="s">
        <v>20</v>
      </c>
      <c r="K1156" s="21">
        <v>516.22</v>
      </c>
      <c r="L1156" s="21">
        <v>516.22</v>
      </c>
      <c r="M1156">
        <v>0</v>
      </c>
      <c r="N1156" s="21">
        <v>516.22</v>
      </c>
    </row>
    <row r="1157" spans="1:14">
      <c r="A1157" t="str">
        <f>IFERROR(_xlfn.XLOOKUP(B1157,Cuentas!$C$1:$C$521,Cuentas!$A$1:$A$521),"")</f>
        <v>Nicolas</v>
      </c>
      <c r="B1157" t="s">
        <v>1329</v>
      </c>
      <c r="C1157" t="s">
        <v>1330</v>
      </c>
      <c r="D1157" t="s">
        <v>16</v>
      </c>
      <c r="E1157" t="s">
        <v>7</v>
      </c>
      <c r="F1157" t="s">
        <v>1346</v>
      </c>
      <c r="G1157" t="s">
        <v>1346</v>
      </c>
      <c r="H1157" s="2">
        <v>45716</v>
      </c>
      <c r="I1157" s="2">
        <v>45746</v>
      </c>
      <c r="J1157" t="s">
        <v>20</v>
      </c>
      <c r="K1157" s="21">
        <v>486.14</v>
      </c>
      <c r="L1157" s="21">
        <v>486.14</v>
      </c>
      <c r="M1157">
        <v>13</v>
      </c>
      <c r="N1157" s="21">
        <v>486.14</v>
      </c>
    </row>
    <row r="1158" spans="1:14">
      <c r="A1158" t="str">
        <f>IFERROR(_xlfn.XLOOKUP(B1158,Cuentas!$C$1:$C$521,Cuentas!$A$1:$A$521),"")</f>
        <v>Alexandra</v>
      </c>
      <c r="B1158" t="s">
        <v>1347</v>
      </c>
      <c r="C1158" t="s">
        <v>1348</v>
      </c>
      <c r="D1158" t="s">
        <v>16</v>
      </c>
      <c r="E1158" t="s">
        <v>7</v>
      </c>
      <c r="F1158" t="s">
        <v>1349</v>
      </c>
      <c r="G1158" t="s">
        <v>1349</v>
      </c>
      <c r="H1158" s="2">
        <v>45687</v>
      </c>
      <c r="I1158" s="2">
        <v>45717</v>
      </c>
      <c r="J1158" t="s">
        <v>20</v>
      </c>
      <c r="K1158" s="21">
        <v>302</v>
      </c>
      <c r="L1158" s="21">
        <v>302</v>
      </c>
      <c r="M1158">
        <v>10</v>
      </c>
      <c r="N1158" s="21">
        <v>302</v>
      </c>
    </row>
    <row r="1159" spans="1:14">
      <c r="A1159" t="str">
        <f>IFERROR(_xlfn.XLOOKUP(B1159,Cuentas!$C$1:$C$521,Cuentas!$A$1:$A$521),"")</f>
        <v>Alexandra</v>
      </c>
      <c r="B1159" t="s">
        <v>1347</v>
      </c>
      <c r="C1159" t="s">
        <v>1348</v>
      </c>
      <c r="D1159" t="s">
        <v>16</v>
      </c>
      <c r="E1159" t="s">
        <v>7</v>
      </c>
      <c r="F1159" t="s">
        <v>1350</v>
      </c>
      <c r="G1159" t="s">
        <v>1350</v>
      </c>
      <c r="H1159" s="2">
        <v>45692</v>
      </c>
      <c r="I1159" s="2">
        <v>45722</v>
      </c>
      <c r="J1159" t="s">
        <v>20</v>
      </c>
      <c r="K1159" s="21">
        <v>245</v>
      </c>
      <c r="L1159" s="21">
        <v>245</v>
      </c>
      <c r="M1159">
        <v>10</v>
      </c>
      <c r="N1159" s="21">
        <v>245</v>
      </c>
    </row>
    <row r="1160" spans="1:14">
      <c r="A1160" t="str">
        <f>IFERROR(_xlfn.XLOOKUP(B1160,Cuentas!$C$1:$C$521,Cuentas!$A$1:$A$521),"")</f>
        <v>Alexandra</v>
      </c>
      <c r="B1160" t="s">
        <v>1347</v>
      </c>
      <c r="C1160" t="s">
        <v>1348</v>
      </c>
      <c r="D1160" t="s">
        <v>16</v>
      </c>
      <c r="E1160" t="s">
        <v>7</v>
      </c>
      <c r="F1160" t="s">
        <v>1351</v>
      </c>
      <c r="G1160" t="s">
        <v>1351</v>
      </c>
      <c r="H1160" s="2">
        <v>45712</v>
      </c>
      <c r="I1160" s="2">
        <v>45742</v>
      </c>
      <c r="J1160" t="s">
        <v>20</v>
      </c>
      <c r="K1160" s="21">
        <v>260</v>
      </c>
      <c r="L1160" s="21">
        <v>260</v>
      </c>
      <c r="M1160">
        <v>13</v>
      </c>
      <c r="N1160" s="21">
        <v>260</v>
      </c>
    </row>
    <row r="1161" spans="1:14">
      <c r="A1161" t="str">
        <f>IFERROR(_xlfn.XLOOKUP(B1161,Cuentas!$C$1:$C$521,Cuentas!$A$1:$A$521),"")</f>
        <v>Alexandra</v>
      </c>
      <c r="B1161" t="s">
        <v>1347</v>
      </c>
      <c r="C1161" t="s">
        <v>1348</v>
      </c>
      <c r="D1161" t="s">
        <v>16</v>
      </c>
      <c r="E1161" t="s">
        <v>7</v>
      </c>
      <c r="F1161" t="s">
        <v>1352</v>
      </c>
      <c r="G1161" t="s">
        <v>1352</v>
      </c>
      <c r="H1161" s="2">
        <v>45716</v>
      </c>
      <c r="I1161" s="2">
        <v>45746</v>
      </c>
      <c r="J1161" t="s">
        <v>20</v>
      </c>
      <c r="K1161" s="21">
        <v>538</v>
      </c>
      <c r="L1161" s="21">
        <v>538</v>
      </c>
      <c r="M1161">
        <v>13</v>
      </c>
      <c r="N1161" s="21">
        <v>538</v>
      </c>
    </row>
    <row r="1162" spans="1:14">
      <c r="A1162" t="str">
        <f>IFERROR(_xlfn.XLOOKUP(B1162,Cuentas!$C$1:$C$521,Cuentas!$A$1:$A$521),"")</f>
        <v>Alexandra</v>
      </c>
      <c r="B1162" t="s">
        <v>1347</v>
      </c>
      <c r="C1162" t="s">
        <v>1348</v>
      </c>
      <c r="D1162" t="s">
        <v>16</v>
      </c>
      <c r="E1162" t="s">
        <v>7</v>
      </c>
      <c r="F1162" t="s">
        <v>1353</v>
      </c>
      <c r="G1162" t="s">
        <v>1353</v>
      </c>
      <c r="H1162" s="2">
        <v>45722</v>
      </c>
      <c r="I1162" s="2">
        <v>45752</v>
      </c>
      <c r="J1162" t="s">
        <v>20</v>
      </c>
      <c r="K1162" s="21">
        <v>274</v>
      </c>
      <c r="L1162" s="21">
        <v>274</v>
      </c>
      <c r="M1162">
        <v>0</v>
      </c>
      <c r="N1162" s="21">
        <v>0</v>
      </c>
    </row>
    <row r="1163" spans="1:14">
      <c r="A1163" t="str">
        <f>IFERROR(_xlfn.XLOOKUP(B1163,Cuentas!$C$1:$C$521,Cuentas!$A$1:$A$521),"")</f>
        <v>Yuldor</v>
      </c>
      <c r="B1163" t="s">
        <v>1354</v>
      </c>
      <c r="C1163" t="s">
        <v>1355</v>
      </c>
      <c r="D1163" t="s">
        <v>16</v>
      </c>
      <c r="E1163" t="s">
        <v>7</v>
      </c>
      <c r="F1163" t="s">
        <v>1356</v>
      </c>
      <c r="G1163" t="s">
        <v>1356</v>
      </c>
      <c r="H1163" s="2">
        <v>45359</v>
      </c>
      <c r="I1163" s="2">
        <v>45389</v>
      </c>
      <c r="J1163" t="s">
        <v>20</v>
      </c>
      <c r="K1163" s="21">
        <v>152.83000000000001</v>
      </c>
      <c r="L1163" s="21">
        <v>152.83000000000001</v>
      </c>
      <c r="M1163">
        <v>0</v>
      </c>
      <c r="N1163" s="21">
        <v>152.83000000000001</v>
      </c>
    </row>
    <row r="1164" spans="1:14">
      <c r="A1164" t="str">
        <f>IFERROR(_xlfn.XLOOKUP(B1164,Cuentas!$C$1:$C$521,Cuentas!$A$1:$A$521),"")</f>
        <v>Yuldor</v>
      </c>
      <c r="B1164" t="s">
        <v>1354</v>
      </c>
      <c r="C1164" t="s">
        <v>1355</v>
      </c>
      <c r="D1164" t="s">
        <v>16</v>
      </c>
      <c r="E1164" t="s">
        <v>7</v>
      </c>
      <c r="F1164" t="s">
        <v>1357</v>
      </c>
      <c r="G1164" t="s">
        <v>1357</v>
      </c>
      <c r="H1164" s="2">
        <v>45362</v>
      </c>
      <c r="I1164" s="2">
        <v>45392</v>
      </c>
      <c r="J1164" t="s">
        <v>20</v>
      </c>
      <c r="K1164" s="21">
        <v>19.96</v>
      </c>
      <c r="L1164" s="21">
        <v>19.96</v>
      </c>
      <c r="M1164">
        <v>0</v>
      </c>
      <c r="N1164" s="21">
        <v>19.96</v>
      </c>
    </row>
    <row r="1165" spans="1:14">
      <c r="A1165" t="str">
        <f>IFERROR(_xlfn.XLOOKUP(B1165,Cuentas!$C$1:$C$521,Cuentas!$A$1:$A$521),"")</f>
        <v>Yuldor</v>
      </c>
      <c r="B1165" t="s">
        <v>1354</v>
      </c>
      <c r="C1165" t="s">
        <v>1355</v>
      </c>
      <c r="D1165" t="s">
        <v>16</v>
      </c>
      <c r="E1165" t="s">
        <v>7</v>
      </c>
      <c r="F1165" t="s">
        <v>1358</v>
      </c>
      <c r="G1165" t="s">
        <v>1358</v>
      </c>
      <c r="H1165" s="2">
        <v>45365</v>
      </c>
      <c r="I1165" s="2">
        <v>45395</v>
      </c>
      <c r="J1165" t="s">
        <v>20</v>
      </c>
      <c r="K1165" s="21">
        <v>22.05</v>
      </c>
      <c r="L1165" s="21">
        <v>22.05</v>
      </c>
      <c r="M1165">
        <v>0</v>
      </c>
      <c r="N1165" s="21">
        <v>22.05</v>
      </c>
    </row>
    <row r="1166" spans="1:14">
      <c r="A1166" t="str">
        <f>IFERROR(_xlfn.XLOOKUP(B1166,Cuentas!$C$1:$C$521,Cuentas!$A$1:$A$521),"")</f>
        <v>Yuldor</v>
      </c>
      <c r="B1166" t="s">
        <v>1354</v>
      </c>
      <c r="C1166" t="s">
        <v>1355</v>
      </c>
      <c r="D1166" t="s">
        <v>16</v>
      </c>
      <c r="E1166" t="s">
        <v>7</v>
      </c>
      <c r="F1166" t="s">
        <v>1359</v>
      </c>
      <c r="G1166" t="s">
        <v>1359</v>
      </c>
      <c r="H1166" s="2">
        <v>45617</v>
      </c>
      <c r="I1166" s="2">
        <v>45647</v>
      </c>
      <c r="J1166" t="s">
        <v>20</v>
      </c>
      <c r="K1166" s="21">
        <v>1286.48</v>
      </c>
      <c r="L1166" s="21">
        <v>72.819999999999993</v>
      </c>
      <c r="M1166">
        <v>0</v>
      </c>
      <c r="N1166" s="21">
        <v>72.819999999999993</v>
      </c>
    </row>
    <row r="1167" spans="1:14">
      <c r="A1167" t="str">
        <f>IFERROR(_xlfn.XLOOKUP(B1167,Cuentas!$C$1:$C$521,Cuentas!$A$1:$A$521),"")</f>
        <v>Yuldor</v>
      </c>
      <c r="B1167" t="s">
        <v>1354</v>
      </c>
      <c r="C1167" t="s">
        <v>1355</v>
      </c>
      <c r="D1167" t="s">
        <v>16</v>
      </c>
      <c r="E1167" t="s">
        <v>3139</v>
      </c>
      <c r="F1167" t="s">
        <v>1359</v>
      </c>
      <c r="G1167" t="s">
        <v>1359</v>
      </c>
      <c r="I1167" s="2">
        <v>45653</v>
      </c>
      <c r="J1167" t="s">
        <v>20</v>
      </c>
      <c r="K1167" s="21">
        <v>-1213.6600000000001</v>
      </c>
      <c r="L1167" s="21" t="s">
        <v>86</v>
      </c>
      <c r="M1167">
        <v>0</v>
      </c>
      <c r="N1167" s="21" t="s">
        <v>86</v>
      </c>
    </row>
    <row r="1168" spans="1:14">
      <c r="A1168" t="str">
        <f>IFERROR(_xlfn.XLOOKUP(B1168,Cuentas!$C$1:$C$521,Cuentas!$A$1:$A$521),"")</f>
        <v>Yuldor</v>
      </c>
      <c r="B1168" t="s">
        <v>1354</v>
      </c>
      <c r="C1168" t="s">
        <v>1355</v>
      </c>
      <c r="D1168" t="s">
        <v>16</v>
      </c>
      <c r="E1168" t="s">
        <v>7</v>
      </c>
      <c r="F1168" t="s">
        <v>1360</v>
      </c>
      <c r="G1168" t="s">
        <v>1360</v>
      </c>
      <c r="H1168" s="2">
        <v>45618</v>
      </c>
      <c r="I1168" s="2">
        <v>45648</v>
      </c>
      <c r="J1168" t="s">
        <v>20</v>
      </c>
      <c r="K1168" s="21">
        <v>561.95000000000005</v>
      </c>
      <c r="L1168" s="21">
        <v>31.81</v>
      </c>
      <c r="M1168">
        <v>0</v>
      </c>
      <c r="N1168" s="21">
        <v>31.81</v>
      </c>
    </row>
    <row r="1169" spans="1:14">
      <c r="A1169" t="str">
        <f>IFERROR(_xlfn.XLOOKUP(B1169,Cuentas!$C$1:$C$521,Cuentas!$A$1:$A$521),"")</f>
        <v>Yuldor</v>
      </c>
      <c r="B1169" t="s">
        <v>1354</v>
      </c>
      <c r="C1169" t="s">
        <v>1355</v>
      </c>
      <c r="D1169" t="s">
        <v>16</v>
      </c>
      <c r="E1169" t="s">
        <v>3139</v>
      </c>
      <c r="F1169" t="s">
        <v>1360</v>
      </c>
      <c r="G1169" t="s">
        <v>1360</v>
      </c>
      <c r="I1169" s="2">
        <v>45653</v>
      </c>
      <c r="J1169" t="s">
        <v>20</v>
      </c>
      <c r="K1169" s="21">
        <v>-530.14</v>
      </c>
      <c r="L1169" s="21" t="s">
        <v>86</v>
      </c>
      <c r="M1169">
        <v>0</v>
      </c>
      <c r="N1169" s="21" t="s">
        <v>86</v>
      </c>
    </row>
    <row r="1170" spans="1:14">
      <c r="A1170" t="str">
        <f>IFERROR(_xlfn.XLOOKUP(B1170,Cuentas!$C$1:$C$521,Cuentas!$A$1:$A$521),"")</f>
        <v>Alexandra</v>
      </c>
      <c r="B1170" t="s">
        <v>1361</v>
      </c>
      <c r="C1170" t="s">
        <v>1362</v>
      </c>
      <c r="D1170" t="s">
        <v>16</v>
      </c>
      <c r="E1170" t="s">
        <v>5502</v>
      </c>
      <c r="F1170" t="s">
        <v>1363</v>
      </c>
      <c r="G1170" t="s">
        <v>19</v>
      </c>
      <c r="I1170" s="2">
        <v>45380</v>
      </c>
      <c r="J1170" t="s">
        <v>20</v>
      </c>
      <c r="K1170" s="21">
        <v>-47.84</v>
      </c>
      <c r="L1170" s="21">
        <v>-47.84</v>
      </c>
      <c r="M1170">
        <v>0</v>
      </c>
      <c r="N1170" s="21">
        <v>-47.84</v>
      </c>
    </row>
    <row r="1171" spans="1:14">
      <c r="A1171" t="str">
        <f>IFERROR(_xlfn.XLOOKUP(B1171,Cuentas!$C$1:$C$521,Cuentas!$A$1:$A$521),"")</f>
        <v>Alexandra</v>
      </c>
      <c r="B1171" t="s">
        <v>1361</v>
      </c>
      <c r="C1171" t="s">
        <v>1362</v>
      </c>
      <c r="D1171" t="s">
        <v>16</v>
      </c>
      <c r="E1171" t="s">
        <v>5502</v>
      </c>
      <c r="F1171" t="s">
        <v>1364</v>
      </c>
      <c r="G1171" t="s">
        <v>19</v>
      </c>
      <c r="I1171" s="2">
        <v>45382</v>
      </c>
      <c r="J1171" t="s">
        <v>20</v>
      </c>
      <c r="K1171" s="21">
        <v>-148.5</v>
      </c>
      <c r="L1171" s="21">
        <v>-148.5</v>
      </c>
      <c r="M1171">
        <v>0</v>
      </c>
      <c r="N1171" s="21">
        <v>-148.5</v>
      </c>
    </row>
    <row r="1172" spans="1:14">
      <c r="A1172" t="str">
        <f>IFERROR(_xlfn.XLOOKUP(B1172,Cuentas!$C$1:$C$521,Cuentas!$A$1:$A$521),"")</f>
        <v>Nicolas</v>
      </c>
      <c r="B1172" t="s">
        <v>1365</v>
      </c>
      <c r="C1172" t="s">
        <v>1366</v>
      </c>
      <c r="D1172" t="s">
        <v>213</v>
      </c>
      <c r="E1172" t="s">
        <v>7</v>
      </c>
      <c r="F1172" t="s">
        <v>1367</v>
      </c>
      <c r="G1172" t="s">
        <v>1367</v>
      </c>
      <c r="H1172" s="2">
        <v>45663</v>
      </c>
      <c r="I1172" s="2">
        <v>45663</v>
      </c>
      <c r="J1172" t="s">
        <v>20</v>
      </c>
      <c r="K1172" s="21">
        <v>160.5</v>
      </c>
      <c r="L1172" s="21">
        <v>150</v>
      </c>
      <c r="M1172">
        <v>0</v>
      </c>
      <c r="N1172" s="21">
        <v>150</v>
      </c>
    </row>
    <row r="1173" spans="1:14">
      <c r="A1173" t="str">
        <f>IFERROR(_xlfn.XLOOKUP(B1173,Cuentas!$C$1:$C$521,Cuentas!$A$1:$A$521),"")</f>
        <v>Nicolas</v>
      </c>
      <c r="B1173" t="s">
        <v>1365</v>
      </c>
      <c r="C1173" t="s">
        <v>1366</v>
      </c>
      <c r="D1173" t="s">
        <v>213</v>
      </c>
      <c r="E1173" t="s">
        <v>5502</v>
      </c>
      <c r="F1173" t="s">
        <v>1368</v>
      </c>
      <c r="G1173" t="s">
        <v>1367</v>
      </c>
      <c r="I1173" s="2">
        <v>45688</v>
      </c>
      <c r="J1173" t="s">
        <v>20</v>
      </c>
      <c r="K1173" s="21">
        <v>-10.5</v>
      </c>
      <c r="L1173" s="21" t="s">
        <v>86</v>
      </c>
      <c r="M1173">
        <v>0</v>
      </c>
      <c r="N1173" s="21" t="s">
        <v>86</v>
      </c>
    </row>
    <row r="1174" spans="1:14">
      <c r="A1174" t="str">
        <f>IFERROR(_xlfn.XLOOKUP(B1174,Cuentas!$C$1:$C$521,Cuentas!$A$1:$A$521),"")</f>
        <v>Nicolas</v>
      </c>
      <c r="B1174" t="s">
        <v>1365</v>
      </c>
      <c r="C1174" t="s">
        <v>1366</v>
      </c>
      <c r="D1174" t="s">
        <v>213</v>
      </c>
      <c r="E1174" t="s">
        <v>7</v>
      </c>
      <c r="F1174" t="s">
        <v>1369</v>
      </c>
      <c r="G1174" t="s">
        <v>1369</v>
      </c>
      <c r="H1174" s="2">
        <v>45670</v>
      </c>
      <c r="I1174" s="2">
        <v>45670</v>
      </c>
      <c r="J1174" t="s">
        <v>20</v>
      </c>
      <c r="K1174" s="21">
        <v>809.95</v>
      </c>
      <c r="L1174" s="21">
        <v>756.96</v>
      </c>
      <c r="M1174">
        <v>0</v>
      </c>
      <c r="N1174" s="21">
        <v>756.96</v>
      </c>
    </row>
    <row r="1175" spans="1:14">
      <c r="A1175" t="str">
        <f>IFERROR(_xlfn.XLOOKUP(B1175,Cuentas!$C$1:$C$521,Cuentas!$A$1:$A$521),"")</f>
        <v>Nicolas</v>
      </c>
      <c r="B1175" t="s">
        <v>1365</v>
      </c>
      <c r="C1175" t="s">
        <v>1366</v>
      </c>
      <c r="D1175" t="s">
        <v>213</v>
      </c>
      <c r="E1175" t="s">
        <v>5502</v>
      </c>
      <c r="F1175" t="s">
        <v>1370</v>
      </c>
      <c r="G1175" t="s">
        <v>1369</v>
      </c>
      <c r="I1175" s="2">
        <v>45688</v>
      </c>
      <c r="J1175" t="s">
        <v>20</v>
      </c>
      <c r="K1175" s="21">
        <v>-52.99</v>
      </c>
      <c r="L1175" s="21" t="s">
        <v>86</v>
      </c>
      <c r="M1175">
        <v>0</v>
      </c>
      <c r="N1175" s="21" t="s">
        <v>86</v>
      </c>
    </row>
    <row r="1176" spans="1:14">
      <c r="A1176" t="str">
        <f>IFERROR(_xlfn.XLOOKUP(B1176,Cuentas!$C$1:$C$521,Cuentas!$A$1:$A$521),"")</f>
        <v>Nicolas</v>
      </c>
      <c r="B1176" t="s">
        <v>1365</v>
      </c>
      <c r="C1176" t="s">
        <v>1366</v>
      </c>
      <c r="D1176" t="s">
        <v>213</v>
      </c>
      <c r="E1176" t="s">
        <v>5502</v>
      </c>
      <c r="F1176" t="s">
        <v>1371</v>
      </c>
      <c r="G1176" t="s">
        <v>19</v>
      </c>
      <c r="I1176" s="2">
        <v>45716</v>
      </c>
      <c r="J1176" t="s">
        <v>20</v>
      </c>
      <c r="K1176" s="21">
        <v>-25.2</v>
      </c>
      <c r="L1176" s="21">
        <v>-25.2</v>
      </c>
      <c r="M1176">
        <v>0</v>
      </c>
      <c r="N1176" s="21">
        <v>-25.2</v>
      </c>
    </row>
    <row r="1177" spans="1:14">
      <c r="A1177" t="str">
        <f>IFERROR(_xlfn.XLOOKUP(B1177,Cuentas!$C$1:$C$521,Cuentas!$A$1:$A$521),"")</f>
        <v>Alexandra</v>
      </c>
      <c r="B1177" t="s">
        <v>1372</v>
      </c>
      <c r="C1177" t="s">
        <v>1373</v>
      </c>
      <c r="D1177" t="s">
        <v>16</v>
      </c>
      <c r="E1177" t="s">
        <v>5502</v>
      </c>
      <c r="F1177" t="s">
        <v>1374</v>
      </c>
      <c r="G1177" t="s">
        <v>19</v>
      </c>
      <c r="I1177" s="2">
        <v>45716</v>
      </c>
      <c r="J1177" t="s">
        <v>20</v>
      </c>
      <c r="K1177" s="21">
        <v>-53.73</v>
      </c>
      <c r="L1177" s="21">
        <v>-53.73</v>
      </c>
      <c r="M1177">
        <v>0</v>
      </c>
      <c r="N1177" s="21">
        <v>-53.73</v>
      </c>
    </row>
    <row r="1178" spans="1:14">
      <c r="A1178" t="str">
        <f>IFERROR(_xlfn.XLOOKUP(B1178,Cuentas!$C$1:$C$521,Cuentas!$A$1:$A$521),"")</f>
        <v>Nicolas</v>
      </c>
      <c r="B1178" t="s">
        <v>1375</v>
      </c>
      <c r="C1178" t="s">
        <v>1376</v>
      </c>
      <c r="D1178" t="s">
        <v>16</v>
      </c>
      <c r="E1178" t="s">
        <v>3139</v>
      </c>
      <c r="F1178" t="s">
        <v>19</v>
      </c>
      <c r="G1178" t="s">
        <v>19</v>
      </c>
      <c r="I1178" s="2">
        <v>45523</v>
      </c>
      <c r="J1178" t="s">
        <v>20</v>
      </c>
      <c r="K1178" s="21">
        <v>-1</v>
      </c>
      <c r="L1178" s="21">
        <v>-1</v>
      </c>
      <c r="M1178">
        <v>0</v>
      </c>
      <c r="N1178" s="21">
        <v>-1</v>
      </c>
    </row>
    <row r="1179" spans="1:14">
      <c r="A1179" t="str">
        <f>IFERROR(_xlfn.XLOOKUP(B1179,Cuentas!$C$1:$C$521,Cuentas!$A$1:$A$521),"")</f>
        <v>Nicolas</v>
      </c>
      <c r="B1179" t="s">
        <v>1375</v>
      </c>
      <c r="C1179" t="s">
        <v>1376</v>
      </c>
      <c r="D1179" t="s">
        <v>16</v>
      </c>
      <c r="E1179" t="s">
        <v>7</v>
      </c>
      <c r="F1179" t="s">
        <v>1377</v>
      </c>
      <c r="G1179" t="s">
        <v>1377</v>
      </c>
      <c r="H1179" s="2">
        <v>45552</v>
      </c>
      <c r="I1179" s="2">
        <v>45582</v>
      </c>
      <c r="J1179" t="s">
        <v>20</v>
      </c>
      <c r="K1179" s="21">
        <v>4472</v>
      </c>
      <c r="L1179" s="21">
        <v>4472</v>
      </c>
      <c r="M1179">
        <v>0</v>
      </c>
      <c r="N1179" s="21">
        <v>4472</v>
      </c>
    </row>
    <row r="1180" spans="1:14">
      <c r="A1180" t="str">
        <f>IFERROR(_xlfn.XLOOKUP(B1180,Cuentas!$C$1:$C$521,Cuentas!$A$1:$A$521),"")</f>
        <v>Nicolas</v>
      </c>
      <c r="B1180" t="s">
        <v>1375</v>
      </c>
      <c r="C1180" t="s">
        <v>1376</v>
      </c>
      <c r="D1180" t="s">
        <v>16</v>
      </c>
      <c r="E1180" t="s">
        <v>7</v>
      </c>
      <c r="F1180" t="s">
        <v>1378</v>
      </c>
      <c r="G1180" t="s">
        <v>1378</v>
      </c>
      <c r="H1180" s="2">
        <v>45554</v>
      </c>
      <c r="I1180" s="2">
        <v>45584</v>
      </c>
      <c r="J1180" t="s">
        <v>20</v>
      </c>
      <c r="K1180" s="21">
        <v>2800</v>
      </c>
      <c r="L1180" s="21">
        <v>2800</v>
      </c>
      <c r="M1180">
        <v>0</v>
      </c>
      <c r="N1180" s="21">
        <v>2800</v>
      </c>
    </row>
    <row r="1181" spans="1:14">
      <c r="A1181" t="str">
        <f>IFERROR(_xlfn.XLOOKUP(B1181,Cuentas!$C$1:$C$521,Cuentas!$A$1:$A$521),"")</f>
        <v>Nicolas</v>
      </c>
      <c r="B1181" t="s">
        <v>1375</v>
      </c>
      <c r="C1181" t="s">
        <v>1376</v>
      </c>
      <c r="D1181" t="s">
        <v>16</v>
      </c>
      <c r="E1181" t="s">
        <v>7</v>
      </c>
      <c r="F1181" t="s">
        <v>1379</v>
      </c>
      <c r="G1181" t="s">
        <v>1379</v>
      </c>
      <c r="H1181" s="2">
        <v>45565</v>
      </c>
      <c r="I1181" s="2">
        <v>45595</v>
      </c>
      <c r="J1181" t="s">
        <v>20</v>
      </c>
      <c r="K1181" s="21">
        <v>1800</v>
      </c>
      <c r="L1181" s="21">
        <v>1800</v>
      </c>
      <c r="M1181">
        <v>0</v>
      </c>
      <c r="N1181" s="21">
        <v>1800</v>
      </c>
    </row>
    <row r="1182" spans="1:14">
      <c r="A1182" t="str">
        <f>IFERROR(_xlfn.XLOOKUP(B1182,Cuentas!$C$1:$C$521,Cuentas!$A$1:$A$521),"")</f>
        <v>Nicolas</v>
      </c>
      <c r="B1182" t="s">
        <v>1375</v>
      </c>
      <c r="C1182" t="s">
        <v>1376</v>
      </c>
      <c r="D1182" t="s">
        <v>16</v>
      </c>
      <c r="E1182" t="s">
        <v>7</v>
      </c>
      <c r="F1182" t="s">
        <v>1380</v>
      </c>
      <c r="G1182" t="s">
        <v>1380</v>
      </c>
      <c r="H1182" s="2">
        <v>45608</v>
      </c>
      <c r="I1182" s="2">
        <v>45638</v>
      </c>
      <c r="J1182" t="s">
        <v>20</v>
      </c>
      <c r="K1182" s="21">
        <v>2290.04</v>
      </c>
      <c r="L1182" s="21">
        <v>2290.04</v>
      </c>
      <c r="M1182">
        <v>0</v>
      </c>
      <c r="N1182" s="21">
        <v>2290.04</v>
      </c>
    </row>
    <row r="1183" spans="1:14">
      <c r="A1183" t="str">
        <f>IFERROR(_xlfn.XLOOKUP(B1183,Cuentas!$C$1:$C$521,Cuentas!$A$1:$A$521),"")</f>
        <v>Nicolas</v>
      </c>
      <c r="B1183" t="s">
        <v>1375</v>
      </c>
      <c r="C1183" t="s">
        <v>1376</v>
      </c>
      <c r="D1183" t="s">
        <v>16</v>
      </c>
      <c r="E1183" t="s">
        <v>7</v>
      </c>
      <c r="F1183" t="s">
        <v>1381</v>
      </c>
      <c r="G1183" t="s">
        <v>1381</v>
      </c>
      <c r="H1183" s="2">
        <v>45652</v>
      </c>
      <c r="I1183" s="2">
        <v>45682</v>
      </c>
      <c r="J1183" t="s">
        <v>20</v>
      </c>
      <c r="K1183" s="21">
        <v>9560.2000000000007</v>
      </c>
      <c r="L1183" s="21">
        <v>9560.2000000000007</v>
      </c>
      <c r="M1183">
        <v>0</v>
      </c>
      <c r="N1183" s="21">
        <v>9560.2000000000007</v>
      </c>
    </row>
    <row r="1184" spans="1:14">
      <c r="A1184" t="str">
        <f>IFERROR(_xlfn.XLOOKUP(B1184,Cuentas!$C$1:$C$521,Cuentas!$A$1:$A$521),"")</f>
        <v>Nicolas</v>
      </c>
      <c r="B1184" t="s">
        <v>1382</v>
      </c>
      <c r="C1184" t="s">
        <v>1383</v>
      </c>
      <c r="D1184" t="s">
        <v>213</v>
      </c>
      <c r="E1184" t="s">
        <v>7</v>
      </c>
      <c r="F1184" t="s">
        <v>1384</v>
      </c>
      <c r="G1184" t="s">
        <v>1384</v>
      </c>
      <c r="H1184" s="2">
        <v>45677</v>
      </c>
      <c r="I1184" s="2">
        <v>45677</v>
      </c>
      <c r="J1184" t="s">
        <v>20</v>
      </c>
      <c r="K1184" s="21">
        <v>520</v>
      </c>
      <c r="L1184" s="21">
        <v>520</v>
      </c>
      <c r="M1184">
        <v>0</v>
      </c>
      <c r="N1184" s="21">
        <v>520</v>
      </c>
    </row>
    <row r="1185" spans="1:14">
      <c r="A1185" t="str">
        <f>IFERROR(_xlfn.XLOOKUP(B1185,Cuentas!$C$1:$C$521,Cuentas!$A$1:$A$521),"")</f>
        <v>Nicolas</v>
      </c>
      <c r="B1185" t="s">
        <v>1382</v>
      </c>
      <c r="C1185" t="s">
        <v>1383</v>
      </c>
      <c r="D1185" t="s">
        <v>213</v>
      </c>
      <c r="E1185" t="s">
        <v>7</v>
      </c>
      <c r="F1185" t="s">
        <v>1385</v>
      </c>
      <c r="G1185" t="s">
        <v>1385</v>
      </c>
      <c r="H1185" s="2">
        <v>45740</v>
      </c>
      <c r="I1185" s="2">
        <v>45740</v>
      </c>
      <c r="J1185" t="s">
        <v>20</v>
      </c>
      <c r="K1185" s="21">
        <v>2618.8000000000002</v>
      </c>
      <c r="L1185" s="21">
        <v>2618.8000000000002</v>
      </c>
      <c r="M1185">
        <v>13</v>
      </c>
      <c r="N1185" s="21">
        <v>2618.8000000000002</v>
      </c>
    </row>
    <row r="1186" spans="1:14">
      <c r="A1186" t="str">
        <f>IFERROR(_xlfn.XLOOKUP(B1186,Cuentas!$C$1:$C$521,Cuentas!$A$1:$A$521),"")</f>
        <v>Alexandra</v>
      </c>
      <c r="B1186" t="s">
        <v>1386</v>
      </c>
      <c r="C1186" t="s">
        <v>1387</v>
      </c>
      <c r="D1186" t="s">
        <v>16</v>
      </c>
      <c r="E1186" t="s">
        <v>7</v>
      </c>
      <c r="F1186" t="s">
        <v>1388</v>
      </c>
      <c r="G1186" t="s">
        <v>1388</v>
      </c>
      <c r="H1186" s="2">
        <v>45698</v>
      </c>
      <c r="I1186" s="2">
        <v>45728</v>
      </c>
      <c r="J1186" t="s">
        <v>20</v>
      </c>
      <c r="K1186" s="21">
        <v>2956.32</v>
      </c>
      <c r="L1186" s="21">
        <v>2956.32</v>
      </c>
      <c r="M1186">
        <v>11</v>
      </c>
      <c r="N1186" s="21">
        <v>2956.32</v>
      </c>
    </row>
    <row r="1187" spans="1:14">
      <c r="A1187" t="str">
        <f>IFERROR(_xlfn.XLOOKUP(B1187,Cuentas!$C$1:$C$521,Cuentas!$A$1:$A$521),"")</f>
        <v>Alexandra</v>
      </c>
      <c r="B1187" t="s">
        <v>1386</v>
      </c>
      <c r="C1187" t="s">
        <v>1387</v>
      </c>
      <c r="D1187" t="s">
        <v>16</v>
      </c>
      <c r="E1187" t="s">
        <v>7</v>
      </c>
      <c r="F1187" t="s">
        <v>1389</v>
      </c>
      <c r="G1187" t="s">
        <v>1389</v>
      </c>
      <c r="H1187" s="2">
        <v>45719</v>
      </c>
      <c r="I1187" s="2">
        <v>45749</v>
      </c>
      <c r="J1187" t="s">
        <v>20</v>
      </c>
      <c r="K1187" s="21">
        <v>9456</v>
      </c>
      <c r="L1187" s="21">
        <v>9456</v>
      </c>
      <c r="M1187">
        <v>0</v>
      </c>
      <c r="N1187" s="21">
        <v>0</v>
      </c>
    </row>
    <row r="1188" spans="1:14">
      <c r="A1188" t="str">
        <f>IFERROR(_xlfn.XLOOKUP(B1188,Cuentas!$C$1:$C$521,Cuentas!$A$1:$A$521),"")</f>
        <v>Alexandra</v>
      </c>
      <c r="B1188" t="s">
        <v>1386</v>
      </c>
      <c r="C1188" t="s">
        <v>1387</v>
      </c>
      <c r="D1188" t="s">
        <v>16</v>
      </c>
      <c r="E1188" t="s">
        <v>7</v>
      </c>
      <c r="F1188" t="s">
        <v>1390</v>
      </c>
      <c r="G1188" t="s">
        <v>1390</v>
      </c>
      <c r="H1188" s="2">
        <v>45740</v>
      </c>
      <c r="I1188" s="2">
        <v>45770</v>
      </c>
      <c r="J1188" t="s">
        <v>20</v>
      </c>
      <c r="K1188" s="21">
        <v>5537.25</v>
      </c>
      <c r="L1188" s="21">
        <v>5537.25</v>
      </c>
      <c r="M1188">
        <v>0</v>
      </c>
      <c r="N1188" s="21">
        <v>0</v>
      </c>
    </row>
    <row r="1189" spans="1:14">
      <c r="A1189" t="str">
        <f>IFERROR(_xlfn.XLOOKUP(B1189,Cuentas!$C$1:$C$521,Cuentas!$A$1:$A$521),"")</f>
        <v>Yuldor</v>
      </c>
      <c r="B1189" t="s">
        <v>1391</v>
      </c>
      <c r="C1189" t="s">
        <v>1392</v>
      </c>
      <c r="D1189" t="s">
        <v>16</v>
      </c>
      <c r="E1189" t="s">
        <v>7</v>
      </c>
      <c r="F1189" t="s">
        <v>1393</v>
      </c>
      <c r="G1189" t="s">
        <v>1393</v>
      </c>
      <c r="H1189" s="2">
        <v>45740</v>
      </c>
      <c r="I1189" s="2">
        <v>45770</v>
      </c>
      <c r="J1189" t="s">
        <v>20</v>
      </c>
      <c r="K1189" s="21">
        <v>3240</v>
      </c>
      <c r="L1189" s="21">
        <v>3240</v>
      </c>
      <c r="M1189">
        <v>0</v>
      </c>
      <c r="N1189" s="21">
        <v>0</v>
      </c>
    </row>
    <row r="1190" spans="1:14">
      <c r="A1190" t="str">
        <f>IFERROR(_xlfn.XLOOKUP(B1190,Cuentas!$C$1:$C$521,Cuentas!$A$1:$A$521),"")</f>
        <v>Alexandra</v>
      </c>
      <c r="B1190" t="s">
        <v>1394</v>
      </c>
      <c r="C1190" t="s">
        <v>1395</v>
      </c>
      <c r="D1190" t="s">
        <v>16</v>
      </c>
      <c r="E1190" t="s">
        <v>7</v>
      </c>
      <c r="F1190" t="s">
        <v>1396</v>
      </c>
      <c r="G1190" t="s">
        <v>1396</v>
      </c>
      <c r="H1190" s="2">
        <v>45553</v>
      </c>
      <c r="I1190" s="2">
        <v>45583</v>
      </c>
      <c r="J1190" t="s">
        <v>20</v>
      </c>
      <c r="K1190" s="21">
        <v>12233.75</v>
      </c>
      <c r="L1190" s="21">
        <v>-2038.7</v>
      </c>
      <c r="M1190">
        <v>0</v>
      </c>
      <c r="N1190" s="21">
        <v>-2038.7</v>
      </c>
    </row>
    <row r="1191" spans="1:14">
      <c r="A1191" t="str">
        <f>IFERROR(_xlfn.XLOOKUP(B1191,Cuentas!$C$1:$C$521,Cuentas!$A$1:$A$521),"")</f>
        <v>Alexandra</v>
      </c>
      <c r="B1191" t="s">
        <v>1394</v>
      </c>
      <c r="C1191" t="s">
        <v>1395</v>
      </c>
      <c r="D1191" t="s">
        <v>16</v>
      </c>
      <c r="E1191" t="s">
        <v>5502</v>
      </c>
      <c r="F1191" t="s">
        <v>1397</v>
      </c>
      <c r="G1191" t="s">
        <v>1396</v>
      </c>
      <c r="I1191" s="2">
        <v>45623</v>
      </c>
      <c r="J1191" t="s">
        <v>20</v>
      </c>
      <c r="K1191" s="21">
        <v>-2038.7</v>
      </c>
      <c r="L1191" s="21" t="s">
        <v>86</v>
      </c>
      <c r="M1191">
        <v>0</v>
      </c>
      <c r="N1191" s="21" t="s">
        <v>86</v>
      </c>
    </row>
    <row r="1192" spans="1:14">
      <c r="A1192" t="str">
        <f>IFERROR(_xlfn.XLOOKUP(B1192,Cuentas!$C$1:$C$521,Cuentas!$A$1:$A$521),"")</f>
        <v>Alexandra</v>
      </c>
      <c r="B1192" t="s">
        <v>1394</v>
      </c>
      <c r="C1192" t="s">
        <v>1395</v>
      </c>
      <c r="D1192" t="s">
        <v>16</v>
      </c>
      <c r="E1192" t="s">
        <v>3139</v>
      </c>
      <c r="F1192" t="s">
        <v>1396</v>
      </c>
      <c r="G1192" t="s">
        <v>1396</v>
      </c>
      <c r="I1192" s="2">
        <v>45587</v>
      </c>
      <c r="J1192" t="s">
        <v>20</v>
      </c>
      <c r="K1192" s="21">
        <v>-12233.75</v>
      </c>
      <c r="L1192" s="21" t="s">
        <v>86</v>
      </c>
      <c r="M1192">
        <v>0</v>
      </c>
      <c r="N1192" s="21" t="s">
        <v>86</v>
      </c>
    </row>
    <row r="1193" spans="1:14">
      <c r="A1193" t="str">
        <f>IFERROR(_xlfn.XLOOKUP(B1193,Cuentas!$C$1:$C$521,Cuentas!$A$1:$A$521),"")</f>
        <v>Yuldor</v>
      </c>
      <c r="B1193" t="s">
        <v>1398</v>
      </c>
      <c r="C1193" t="s">
        <v>1399</v>
      </c>
      <c r="D1193" t="s">
        <v>16</v>
      </c>
      <c r="E1193" t="s">
        <v>7</v>
      </c>
      <c r="F1193" t="s">
        <v>1400</v>
      </c>
      <c r="G1193" t="s">
        <v>1400</v>
      </c>
      <c r="H1193" s="2">
        <v>45728</v>
      </c>
      <c r="I1193" s="2">
        <v>45758</v>
      </c>
      <c r="J1193" t="s">
        <v>20</v>
      </c>
      <c r="K1193" s="21">
        <v>833.6</v>
      </c>
      <c r="L1193" s="21">
        <v>833.6</v>
      </c>
      <c r="M1193">
        <v>0</v>
      </c>
      <c r="N1193" s="21">
        <v>0</v>
      </c>
    </row>
    <row r="1194" spans="1:14">
      <c r="A1194" t="str">
        <f>IFERROR(_xlfn.XLOOKUP(B1194,Cuentas!$C$1:$C$521,Cuentas!$A$1:$A$521),"")</f>
        <v>Yuldor</v>
      </c>
      <c r="B1194" t="s">
        <v>1401</v>
      </c>
      <c r="C1194" t="s">
        <v>1402</v>
      </c>
      <c r="D1194" t="s">
        <v>16</v>
      </c>
      <c r="E1194" t="s">
        <v>7</v>
      </c>
      <c r="F1194" t="s">
        <v>1403</v>
      </c>
      <c r="G1194" t="s">
        <v>1403</v>
      </c>
      <c r="H1194" s="2">
        <v>45350</v>
      </c>
      <c r="I1194" s="2">
        <v>45380</v>
      </c>
      <c r="J1194" t="s">
        <v>20</v>
      </c>
      <c r="K1194" s="21">
        <v>29.71</v>
      </c>
      <c r="L1194" s="21">
        <v>29.71</v>
      </c>
      <c r="M1194">
        <v>0</v>
      </c>
      <c r="N1194" s="21">
        <v>29.71</v>
      </c>
    </row>
    <row r="1195" spans="1:14">
      <c r="A1195" t="str">
        <f>IFERROR(_xlfn.XLOOKUP(B1195,Cuentas!$C$1:$C$521,Cuentas!$A$1:$A$521),"")</f>
        <v>Yuldor</v>
      </c>
      <c r="B1195" t="s">
        <v>1401</v>
      </c>
      <c r="C1195" t="s">
        <v>1402</v>
      </c>
      <c r="D1195" t="s">
        <v>16</v>
      </c>
      <c r="E1195" t="s">
        <v>7</v>
      </c>
      <c r="F1195" t="s">
        <v>1404</v>
      </c>
      <c r="G1195" t="s">
        <v>1404</v>
      </c>
      <c r="H1195" s="2">
        <v>45730</v>
      </c>
      <c r="I1195" s="2">
        <v>45760</v>
      </c>
      <c r="J1195" t="s">
        <v>20</v>
      </c>
      <c r="K1195" s="21">
        <v>240</v>
      </c>
      <c r="L1195" s="21">
        <v>240</v>
      </c>
      <c r="M1195">
        <v>0</v>
      </c>
      <c r="N1195" s="21">
        <v>0</v>
      </c>
    </row>
    <row r="1196" spans="1:14">
      <c r="A1196" t="str">
        <f>IFERROR(_xlfn.XLOOKUP(B1196,Cuentas!$C$1:$C$521,Cuentas!$A$1:$A$521),"")</f>
        <v>Yuldor</v>
      </c>
      <c r="B1196" t="s">
        <v>1405</v>
      </c>
      <c r="C1196" t="s">
        <v>1406</v>
      </c>
      <c r="D1196" t="s">
        <v>16</v>
      </c>
      <c r="E1196" t="s">
        <v>7</v>
      </c>
      <c r="F1196" t="s">
        <v>1407</v>
      </c>
      <c r="G1196" t="s">
        <v>1407</v>
      </c>
      <c r="H1196" s="2">
        <v>45708</v>
      </c>
      <c r="I1196" s="2">
        <v>45738</v>
      </c>
      <c r="J1196" t="s">
        <v>20</v>
      </c>
      <c r="K1196" s="21">
        <v>97.65</v>
      </c>
      <c r="L1196" s="21">
        <v>97.65</v>
      </c>
      <c r="M1196">
        <v>12</v>
      </c>
      <c r="N1196" s="21">
        <v>97.65</v>
      </c>
    </row>
    <row r="1197" spans="1:14">
      <c r="A1197" t="str">
        <f>IFERROR(_xlfn.XLOOKUP(B1197,Cuentas!$C$1:$C$521,Cuentas!$A$1:$A$521),"")</f>
        <v>Yuldor</v>
      </c>
      <c r="B1197" t="s">
        <v>1405</v>
      </c>
      <c r="C1197" t="s">
        <v>1406</v>
      </c>
      <c r="D1197" t="s">
        <v>16</v>
      </c>
      <c r="E1197" t="s">
        <v>7</v>
      </c>
      <c r="F1197" t="s">
        <v>1408</v>
      </c>
      <c r="G1197" t="s">
        <v>1408</v>
      </c>
      <c r="H1197" s="2">
        <v>45720</v>
      </c>
      <c r="I1197" s="2">
        <v>45750</v>
      </c>
      <c r="J1197" t="s">
        <v>20</v>
      </c>
      <c r="K1197" s="21">
        <v>378.57</v>
      </c>
      <c r="L1197" s="21">
        <v>378.57</v>
      </c>
      <c r="M1197">
        <v>0</v>
      </c>
      <c r="N1197" s="21">
        <v>0</v>
      </c>
    </row>
    <row r="1198" spans="1:14">
      <c r="A1198" t="str">
        <f>IFERROR(_xlfn.XLOOKUP(B1198,Cuentas!$C$1:$C$521,Cuentas!$A$1:$A$521),"")</f>
        <v>Yuldor</v>
      </c>
      <c r="B1198" t="s">
        <v>1409</v>
      </c>
      <c r="C1198" t="s">
        <v>1410</v>
      </c>
      <c r="D1198" t="s">
        <v>1216</v>
      </c>
      <c r="E1198" t="s">
        <v>7</v>
      </c>
      <c r="F1198" t="s">
        <v>1411</v>
      </c>
      <c r="G1198" t="s">
        <v>1411</v>
      </c>
      <c r="H1198" s="2">
        <v>45194</v>
      </c>
      <c r="I1198" s="2">
        <v>45224</v>
      </c>
      <c r="J1198" t="s">
        <v>20</v>
      </c>
      <c r="K1198" s="21">
        <v>36.229999999999997</v>
      </c>
      <c r="L1198" s="21">
        <v>36.229999999999997</v>
      </c>
      <c r="M1198">
        <v>0</v>
      </c>
      <c r="N1198" s="21">
        <v>36.229999999999997</v>
      </c>
    </row>
    <row r="1199" spans="1:14">
      <c r="A1199" t="str">
        <f>IFERROR(_xlfn.XLOOKUP(B1199,Cuentas!$C$1:$C$521,Cuentas!$A$1:$A$521),"")</f>
        <v>Yuldor</v>
      </c>
      <c r="B1199" t="s">
        <v>1409</v>
      </c>
      <c r="C1199" t="s">
        <v>1410</v>
      </c>
      <c r="D1199" t="s">
        <v>1216</v>
      </c>
      <c r="E1199" t="s">
        <v>7</v>
      </c>
      <c r="F1199" t="s">
        <v>1412</v>
      </c>
      <c r="G1199" t="s">
        <v>1412</v>
      </c>
      <c r="H1199" s="2">
        <v>45210</v>
      </c>
      <c r="I1199" s="2">
        <v>45240</v>
      </c>
      <c r="J1199" t="s">
        <v>20</v>
      </c>
      <c r="K1199" s="21">
        <v>321.2</v>
      </c>
      <c r="L1199" s="21">
        <v>321.2</v>
      </c>
      <c r="M1199">
        <v>0</v>
      </c>
      <c r="N1199" s="21">
        <v>321.2</v>
      </c>
    </row>
    <row r="1200" spans="1:14">
      <c r="A1200" t="str">
        <f>IFERROR(_xlfn.XLOOKUP(B1200,Cuentas!$C$1:$C$521,Cuentas!$A$1:$A$521),"")</f>
        <v>Yuldor</v>
      </c>
      <c r="B1200" t="s">
        <v>1409</v>
      </c>
      <c r="C1200" t="s">
        <v>1410</v>
      </c>
      <c r="D1200" t="s">
        <v>1216</v>
      </c>
      <c r="E1200" t="s">
        <v>7</v>
      </c>
      <c r="F1200" t="s">
        <v>1413</v>
      </c>
      <c r="G1200" t="s">
        <v>1413</v>
      </c>
      <c r="H1200" s="2">
        <v>45215</v>
      </c>
      <c r="I1200" s="2">
        <v>45245</v>
      </c>
      <c r="J1200" t="s">
        <v>20</v>
      </c>
      <c r="K1200" s="21">
        <v>1281.1500000000001</v>
      </c>
      <c r="L1200" s="21">
        <v>1281.1500000000001</v>
      </c>
      <c r="M1200">
        <v>0</v>
      </c>
      <c r="N1200" s="21">
        <v>1281.1500000000001</v>
      </c>
    </row>
    <row r="1201" spans="1:14">
      <c r="A1201" t="str">
        <f>IFERROR(_xlfn.XLOOKUP(B1201,Cuentas!$C$1:$C$521,Cuentas!$A$1:$A$521),"")</f>
        <v>Yuldor</v>
      </c>
      <c r="B1201" t="s">
        <v>1409</v>
      </c>
      <c r="C1201" t="s">
        <v>1410</v>
      </c>
      <c r="D1201" t="s">
        <v>1216</v>
      </c>
      <c r="E1201" t="s">
        <v>7</v>
      </c>
      <c r="F1201" t="s">
        <v>1414</v>
      </c>
      <c r="G1201" t="s">
        <v>1414</v>
      </c>
      <c r="H1201" s="2">
        <v>45568</v>
      </c>
      <c r="I1201" s="2">
        <v>45598</v>
      </c>
      <c r="J1201" t="s">
        <v>20</v>
      </c>
      <c r="K1201" s="21">
        <v>283.5</v>
      </c>
      <c r="L1201" s="21">
        <v>21</v>
      </c>
      <c r="M1201">
        <v>0</v>
      </c>
      <c r="N1201" s="21">
        <v>21</v>
      </c>
    </row>
    <row r="1202" spans="1:14">
      <c r="A1202" t="str">
        <f>IFERROR(_xlfn.XLOOKUP(B1202,Cuentas!$C$1:$C$521,Cuentas!$A$1:$A$521),"")</f>
        <v>Yuldor</v>
      </c>
      <c r="B1202" t="s">
        <v>1409</v>
      </c>
      <c r="C1202" t="s">
        <v>1410</v>
      </c>
      <c r="D1202" t="s">
        <v>1216</v>
      </c>
      <c r="E1202" t="s">
        <v>3139</v>
      </c>
      <c r="F1202" t="s">
        <v>1414</v>
      </c>
      <c r="G1202" t="s">
        <v>1414</v>
      </c>
      <c r="I1202" s="2">
        <v>45672</v>
      </c>
      <c r="J1202" t="s">
        <v>20</v>
      </c>
      <c r="K1202" s="21">
        <v>-262.5</v>
      </c>
      <c r="L1202" s="21" t="s">
        <v>86</v>
      </c>
      <c r="M1202">
        <v>0</v>
      </c>
      <c r="N1202" s="21" t="s">
        <v>86</v>
      </c>
    </row>
    <row r="1203" spans="1:14">
      <c r="A1203" t="str">
        <f>IFERROR(_xlfn.XLOOKUP(B1203,Cuentas!$C$1:$C$521,Cuentas!$A$1:$A$521),"")</f>
        <v>Yuldor</v>
      </c>
      <c r="B1203" t="s">
        <v>1409</v>
      </c>
      <c r="C1203" t="s">
        <v>1410</v>
      </c>
      <c r="D1203" t="s">
        <v>1216</v>
      </c>
      <c r="E1203" t="s">
        <v>7</v>
      </c>
      <c r="F1203" t="s">
        <v>1415</v>
      </c>
      <c r="G1203" t="s">
        <v>1415</v>
      </c>
      <c r="H1203" s="2">
        <v>45583</v>
      </c>
      <c r="I1203" s="2">
        <v>45613</v>
      </c>
      <c r="J1203" t="s">
        <v>20</v>
      </c>
      <c r="K1203" s="21">
        <v>1663.72</v>
      </c>
      <c r="L1203" s="21">
        <v>119.67</v>
      </c>
      <c r="M1203">
        <v>0</v>
      </c>
      <c r="N1203" s="21">
        <v>119.67</v>
      </c>
    </row>
    <row r="1204" spans="1:14">
      <c r="A1204" t="str">
        <f>IFERROR(_xlfn.XLOOKUP(B1204,Cuentas!$C$1:$C$521,Cuentas!$A$1:$A$521),"")</f>
        <v>Yuldor</v>
      </c>
      <c r="B1204" t="s">
        <v>1409</v>
      </c>
      <c r="C1204" t="s">
        <v>1410</v>
      </c>
      <c r="D1204" t="s">
        <v>1216</v>
      </c>
      <c r="E1204" t="s">
        <v>3139</v>
      </c>
      <c r="F1204" t="s">
        <v>1415</v>
      </c>
      <c r="G1204" t="s">
        <v>1415</v>
      </c>
      <c r="I1204" s="2">
        <v>45672</v>
      </c>
      <c r="J1204" t="s">
        <v>20</v>
      </c>
      <c r="K1204" s="21">
        <v>-1544.05</v>
      </c>
      <c r="L1204" s="21" t="s">
        <v>86</v>
      </c>
      <c r="M1204">
        <v>0</v>
      </c>
      <c r="N1204" s="21" t="s">
        <v>86</v>
      </c>
    </row>
    <row r="1205" spans="1:14">
      <c r="A1205" t="str">
        <f>IFERROR(_xlfn.XLOOKUP(B1205,Cuentas!$C$1:$C$521,Cuentas!$A$1:$A$521),"")</f>
        <v>Yuldor</v>
      </c>
      <c r="B1205" t="s">
        <v>1409</v>
      </c>
      <c r="C1205" t="s">
        <v>1410</v>
      </c>
      <c r="D1205" t="s">
        <v>1216</v>
      </c>
      <c r="E1205" t="s">
        <v>7</v>
      </c>
      <c r="F1205" t="s">
        <v>1416</v>
      </c>
      <c r="G1205" t="s">
        <v>1416</v>
      </c>
      <c r="H1205" s="2">
        <v>45594</v>
      </c>
      <c r="I1205" s="2">
        <v>45624</v>
      </c>
      <c r="J1205" t="s">
        <v>20</v>
      </c>
      <c r="K1205" s="21">
        <v>1058.0899999999999</v>
      </c>
      <c r="L1205" s="21">
        <v>1058.0899999999999</v>
      </c>
      <c r="M1205">
        <v>0</v>
      </c>
      <c r="N1205" s="21">
        <v>1058.0899999999999</v>
      </c>
    </row>
    <row r="1206" spans="1:14">
      <c r="A1206" t="str">
        <f>IFERROR(_xlfn.XLOOKUP(B1206,Cuentas!$C$1:$C$521,Cuentas!$A$1:$A$521),"")</f>
        <v>Yuldor</v>
      </c>
      <c r="B1206" t="s">
        <v>1409</v>
      </c>
      <c r="C1206" t="s">
        <v>1410</v>
      </c>
      <c r="D1206" t="s">
        <v>1216</v>
      </c>
      <c r="E1206" t="s">
        <v>3139</v>
      </c>
      <c r="F1206" t="s">
        <v>19</v>
      </c>
      <c r="G1206" t="s">
        <v>19</v>
      </c>
      <c r="I1206" s="2">
        <v>45649</v>
      </c>
      <c r="J1206" t="s">
        <v>20</v>
      </c>
      <c r="K1206" s="21">
        <v>-1087.93</v>
      </c>
      <c r="L1206" s="21">
        <v>-1087.93</v>
      </c>
      <c r="M1206">
        <v>0</v>
      </c>
      <c r="N1206" s="21">
        <v>-1087.93</v>
      </c>
    </row>
    <row r="1207" spans="1:14">
      <c r="A1207" t="str">
        <f>IFERROR(_xlfn.XLOOKUP(B1207,Cuentas!$C$1:$C$521,Cuentas!$A$1:$A$521),"")</f>
        <v>Yuldor</v>
      </c>
      <c r="B1207" t="s">
        <v>1409</v>
      </c>
      <c r="C1207" t="s">
        <v>1410</v>
      </c>
      <c r="D1207" t="s">
        <v>1216</v>
      </c>
      <c r="E1207" t="s">
        <v>7</v>
      </c>
      <c r="F1207" t="s">
        <v>1417</v>
      </c>
      <c r="G1207" t="s">
        <v>1417</v>
      </c>
      <c r="H1207" s="2">
        <v>45618</v>
      </c>
      <c r="I1207" s="2">
        <v>45708</v>
      </c>
      <c r="J1207" t="s">
        <v>20</v>
      </c>
      <c r="K1207" s="21">
        <v>350.85</v>
      </c>
      <c r="L1207" s="21">
        <v>73.7</v>
      </c>
      <c r="M1207">
        <v>0</v>
      </c>
      <c r="N1207" s="21">
        <v>73.7</v>
      </c>
    </row>
    <row r="1208" spans="1:14">
      <c r="A1208" t="str">
        <f>IFERROR(_xlfn.XLOOKUP(B1208,Cuentas!$C$1:$C$521,Cuentas!$A$1:$A$521),"")</f>
        <v>Yuldor</v>
      </c>
      <c r="B1208" t="s">
        <v>1409</v>
      </c>
      <c r="C1208" t="s">
        <v>1410</v>
      </c>
      <c r="D1208" t="s">
        <v>1216</v>
      </c>
      <c r="E1208" t="s">
        <v>3139</v>
      </c>
      <c r="F1208" t="s">
        <v>1417</v>
      </c>
      <c r="G1208" t="s">
        <v>1417</v>
      </c>
      <c r="I1208" s="2">
        <v>45708</v>
      </c>
      <c r="J1208" t="s">
        <v>20</v>
      </c>
      <c r="K1208" s="21">
        <v>-277.14999999999998</v>
      </c>
      <c r="L1208" s="21" t="s">
        <v>86</v>
      </c>
      <c r="M1208">
        <v>0</v>
      </c>
      <c r="N1208" s="21" t="s">
        <v>86</v>
      </c>
    </row>
    <row r="1209" spans="1:14">
      <c r="A1209" t="str">
        <f>IFERROR(_xlfn.XLOOKUP(B1209,Cuentas!$C$1:$C$521,Cuentas!$A$1:$A$521),"")</f>
        <v>Yuldor</v>
      </c>
      <c r="B1209" t="s">
        <v>1409</v>
      </c>
      <c r="C1209" t="s">
        <v>1410</v>
      </c>
      <c r="D1209" t="s">
        <v>1216</v>
      </c>
      <c r="E1209" t="s">
        <v>7</v>
      </c>
      <c r="F1209" t="s">
        <v>1418</v>
      </c>
      <c r="G1209" t="s">
        <v>1418</v>
      </c>
      <c r="H1209" s="2">
        <v>45660</v>
      </c>
      <c r="I1209" s="2">
        <v>45750</v>
      </c>
      <c r="J1209" t="s">
        <v>20</v>
      </c>
      <c r="K1209" s="21">
        <v>2178.75</v>
      </c>
      <c r="L1209" s="21">
        <v>2178.75</v>
      </c>
      <c r="M1209">
        <v>0</v>
      </c>
      <c r="N1209" s="21">
        <v>0</v>
      </c>
    </row>
    <row r="1210" spans="1:14">
      <c r="A1210" t="str">
        <f>IFERROR(_xlfn.XLOOKUP(B1210,Cuentas!$C$1:$C$521,Cuentas!$A$1:$A$521),"")</f>
        <v>Yuldor</v>
      </c>
      <c r="B1210" t="s">
        <v>1409</v>
      </c>
      <c r="C1210" t="s">
        <v>1410</v>
      </c>
      <c r="D1210" t="s">
        <v>1216</v>
      </c>
      <c r="E1210" t="s">
        <v>7</v>
      </c>
      <c r="F1210" t="s">
        <v>1419</v>
      </c>
      <c r="G1210" t="s">
        <v>1419</v>
      </c>
      <c r="H1210" s="2">
        <v>45699</v>
      </c>
      <c r="I1210" s="2">
        <v>45789</v>
      </c>
      <c r="J1210" t="s">
        <v>20</v>
      </c>
      <c r="K1210" s="21">
        <v>428.27</v>
      </c>
      <c r="L1210" s="21">
        <v>396.54</v>
      </c>
      <c r="M1210">
        <v>0</v>
      </c>
      <c r="N1210" s="21">
        <v>0</v>
      </c>
    </row>
    <row r="1211" spans="1:14">
      <c r="A1211" t="str">
        <f>IFERROR(_xlfn.XLOOKUP(B1211,Cuentas!$C$1:$C$521,Cuentas!$A$1:$A$521),"")</f>
        <v>Yuldor</v>
      </c>
      <c r="B1211" t="s">
        <v>1409</v>
      </c>
      <c r="C1211" t="s">
        <v>1410</v>
      </c>
      <c r="D1211" t="s">
        <v>1216</v>
      </c>
      <c r="E1211" t="s">
        <v>5502</v>
      </c>
      <c r="F1211" t="s">
        <v>1420</v>
      </c>
      <c r="G1211" t="s">
        <v>1419</v>
      </c>
      <c r="I1211" s="2">
        <v>45716</v>
      </c>
      <c r="J1211" t="s">
        <v>20</v>
      </c>
      <c r="K1211" s="21">
        <v>-34.26</v>
      </c>
      <c r="L1211" s="21" t="s">
        <v>86</v>
      </c>
      <c r="M1211">
        <v>0</v>
      </c>
      <c r="N1211" s="21" t="s">
        <v>86</v>
      </c>
    </row>
    <row r="1212" spans="1:14">
      <c r="A1212" t="str">
        <f>IFERROR(_xlfn.XLOOKUP(B1212,Cuentas!$C$1:$C$521,Cuentas!$A$1:$A$521),"")</f>
        <v>Yuldor</v>
      </c>
      <c r="B1212" t="s">
        <v>1409</v>
      </c>
      <c r="C1212" t="s">
        <v>1410</v>
      </c>
      <c r="D1212" t="s">
        <v>1216</v>
      </c>
      <c r="E1212" t="s">
        <v>5502</v>
      </c>
      <c r="F1212" t="s">
        <v>1421</v>
      </c>
      <c r="G1212" t="s">
        <v>1419</v>
      </c>
      <c r="I1212" s="2">
        <v>45716</v>
      </c>
      <c r="J1212" t="s">
        <v>20</v>
      </c>
      <c r="K1212" s="21">
        <v>-31.73</v>
      </c>
      <c r="L1212" s="21" t="s">
        <v>86</v>
      </c>
      <c r="M1212">
        <v>0</v>
      </c>
      <c r="N1212" s="21" t="s">
        <v>86</v>
      </c>
    </row>
    <row r="1213" spans="1:14">
      <c r="A1213" t="str">
        <f>IFERROR(_xlfn.XLOOKUP(B1213,Cuentas!$C$1:$C$521,Cuentas!$A$1:$A$521),"")</f>
        <v>Yuldor</v>
      </c>
      <c r="B1213" t="s">
        <v>1409</v>
      </c>
      <c r="C1213" t="s">
        <v>1410</v>
      </c>
      <c r="D1213" t="s">
        <v>1216</v>
      </c>
      <c r="E1213" t="s">
        <v>5504</v>
      </c>
      <c r="F1213" t="s">
        <v>1423</v>
      </c>
      <c r="G1213" t="s">
        <v>1419</v>
      </c>
      <c r="H1213" s="2">
        <v>45716</v>
      </c>
      <c r="I1213" s="2">
        <v>45716</v>
      </c>
      <c r="J1213" t="s">
        <v>20</v>
      </c>
      <c r="K1213" s="21">
        <v>34.26</v>
      </c>
      <c r="L1213" s="21" t="s">
        <v>86</v>
      </c>
      <c r="M1213">
        <v>0</v>
      </c>
      <c r="N1213" s="21" t="s">
        <v>86</v>
      </c>
    </row>
    <row r="1214" spans="1:14">
      <c r="A1214" t="str">
        <f>IFERROR(_xlfn.XLOOKUP(B1214,Cuentas!$C$1:$C$521,Cuentas!$A$1:$A$521),"")</f>
        <v>Yuldor</v>
      </c>
      <c r="B1214" t="s">
        <v>1409</v>
      </c>
      <c r="C1214" t="s">
        <v>1410</v>
      </c>
      <c r="D1214" t="s">
        <v>1216</v>
      </c>
      <c r="E1214" t="s">
        <v>7</v>
      </c>
      <c r="F1214" t="s">
        <v>1424</v>
      </c>
      <c r="G1214" t="s">
        <v>1424</v>
      </c>
      <c r="H1214" s="2">
        <v>45729</v>
      </c>
      <c r="I1214" s="2">
        <v>45819</v>
      </c>
      <c r="J1214" t="s">
        <v>20</v>
      </c>
      <c r="K1214" s="21">
        <v>974.44</v>
      </c>
      <c r="L1214" s="21">
        <v>974.44</v>
      </c>
      <c r="M1214">
        <v>0</v>
      </c>
      <c r="N1214" s="21">
        <v>0</v>
      </c>
    </row>
    <row r="1215" spans="1:14">
      <c r="A1215" t="str">
        <f>IFERROR(_xlfn.XLOOKUP(B1215,Cuentas!$C$1:$C$521,Cuentas!$A$1:$A$521),"")</f>
        <v>Yuldor</v>
      </c>
      <c r="B1215" t="s">
        <v>1409</v>
      </c>
      <c r="C1215" t="s">
        <v>1410</v>
      </c>
      <c r="D1215" t="s">
        <v>1216</v>
      </c>
      <c r="E1215" t="s">
        <v>7</v>
      </c>
      <c r="F1215" t="s">
        <v>1425</v>
      </c>
      <c r="G1215" t="s">
        <v>1425</v>
      </c>
      <c r="H1215" s="2">
        <v>45729</v>
      </c>
      <c r="I1215" s="2">
        <v>45819</v>
      </c>
      <c r="J1215" t="s">
        <v>20</v>
      </c>
      <c r="K1215" s="21">
        <v>110.75</v>
      </c>
      <c r="L1215" s="21">
        <v>110.75</v>
      </c>
      <c r="M1215">
        <v>0</v>
      </c>
      <c r="N1215" s="21">
        <v>0</v>
      </c>
    </row>
    <row r="1216" spans="1:14">
      <c r="A1216" t="str">
        <f>IFERROR(_xlfn.XLOOKUP(B1216,Cuentas!$C$1:$C$521,Cuentas!$A$1:$A$521),"")</f>
        <v>Yuldor</v>
      </c>
      <c r="B1216" t="s">
        <v>1409</v>
      </c>
      <c r="C1216" t="s">
        <v>1410</v>
      </c>
      <c r="D1216" t="s">
        <v>1216</v>
      </c>
      <c r="E1216" t="s">
        <v>7</v>
      </c>
      <c r="F1216" t="s">
        <v>1426</v>
      </c>
      <c r="G1216" t="s">
        <v>1426</v>
      </c>
      <c r="H1216" s="2">
        <v>45733</v>
      </c>
      <c r="I1216" s="2">
        <v>45823</v>
      </c>
      <c r="J1216" t="s">
        <v>20</v>
      </c>
      <c r="K1216" s="21">
        <v>996.03</v>
      </c>
      <c r="L1216" s="21">
        <v>996.03</v>
      </c>
      <c r="M1216">
        <v>0</v>
      </c>
      <c r="N1216" s="21">
        <v>0</v>
      </c>
    </row>
    <row r="1217" spans="1:14">
      <c r="A1217" t="str">
        <f>IFERROR(_xlfn.XLOOKUP(B1217,Cuentas!$C$1:$C$521,Cuentas!$A$1:$A$521),"")</f>
        <v>Yuldor</v>
      </c>
      <c r="B1217" t="s">
        <v>1409</v>
      </c>
      <c r="C1217" t="s">
        <v>1410</v>
      </c>
      <c r="D1217" t="s">
        <v>1216</v>
      </c>
      <c r="E1217" t="s">
        <v>7</v>
      </c>
      <c r="F1217" t="s">
        <v>1427</v>
      </c>
      <c r="G1217" t="s">
        <v>1427</v>
      </c>
      <c r="H1217" s="2">
        <v>45734</v>
      </c>
      <c r="I1217" s="2">
        <v>45824</v>
      </c>
      <c r="J1217" t="s">
        <v>20</v>
      </c>
      <c r="K1217" s="21">
        <v>119.61</v>
      </c>
      <c r="L1217" s="21">
        <v>119.61</v>
      </c>
      <c r="M1217">
        <v>0</v>
      </c>
      <c r="N1217" s="21">
        <v>0</v>
      </c>
    </row>
    <row r="1218" spans="1:14">
      <c r="A1218" t="str">
        <f>IFERROR(_xlfn.XLOOKUP(B1218,Cuentas!$C$1:$C$521,Cuentas!$A$1:$A$521),"")</f>
        <v>Yuldor</v>
      </c>
      <c r="B1218" t="s">
        <v>1409</v>
      </c>
      <c r="C1218" t="s">
        <v>1410</v>
      </c>
      <c r="D1218" t="s">
        <v>1216</v>
      </c>
      <c r="E1218" t="s">
        <v>7</v>
      </c>
      <c r="F1218" t="s">
        <v>1428</v>
      </c>
      <c r="G1218" t="s">
        <v>1428</v>
      </c>
      <c r="H1218" s="2">
        <v>45735</v>
      </c>
      <c r="I1218" s="2">
        <v>45825</v>
      </c>
      <c r="J1218" t="s">
        <v>20</v>
      </c>
      <c r="K1218" s="21">
        <v>367.91</v>
      </c>
      <c r="L1218" s="21">
        <v>367.91</v>
      </c>
      <c r="M1218">
        <v>0</v>
      </c>
      <c r="N1218" s="21">
        <v>0</v>
      </c>
    </row>
    <row r="1219" spans="1:14">
      <c r="A1219" t="str">
        <f>IFERROR(_xlfn.XLOOKUP(B1219,Cuentas!$C$1:$C$521,Cuentas!$A$1:$A$521),"")</f>
        <v>Yuldor</v>
      </c>
      <c r="B1219" t="s">
        <v>1429</v>
      </c>
      <c r="C1219" t="s">
        <v>1430</v>
      </c>
      <c r="D1219" t="s">
        <v>16</v>
      </c>
      <c r="E1219" t="s">
        <v>7</v>
      </c>
      <c r="F1219" t="s">
        <v>1431</v>
      </c>
      <c r="G1219" t="s">
        <v>1431</v>
      </c>
      <c r="H1219" s="2">
        <v>45630</v>
      </c>
      <c r="I1219" s="2">
        <v>45660</v>
      </c>
      <c r="J1219" t="s">
        <v>20</v>
      </c>
      <c r="K1219" s="21">
        <v>3531</v>
      </c>
      <c r="L1219" s="21">
        <v>60</v>
      </c>
      <c r="M1219">
        <v>0</v>
      </c>
      <c r="N1219" s="21">
        <v>60</v>
      </c>
    </row>
    <row r="1220" spans="1:14">
      <c r="A1220" t="str">
        <f>IFERROR(_xlfn.XLOOKUP(B1220,Cuentas!$C$1:$C$521,Cuentas!$A$1:$A$521),"")</f>
        <v>Yuldor</v>
      </c>
      <c r="B1220" t="s">
        <v>1429</v>
      </c>
      <c r="C1220" t="s">
        <v>1430</v>
      </c>
      <c r="D1220" t="s">
        <v>16</v>
      </c>
      <c r="E1220" t="s">
        <v>5502</v>
      </c>
      <c r="F1220" t="s">
        <v>1432</v>
      </c>
      <c r="G1220" t="s">
        <v>1431</v>
      </c>
      <c r="I1220" s="2">
        <v>45715</v>
      </c>
      <c r="J1220" t="s">
        <v>20</v>
      </c>
      <c r="K1220" s="21">
        <v>-326</v>
      </c>
      <c r="L1220" s="21" t="s">
        <v>86</v>
      </c>
      <c r="M1220">
        <v>0</v>
      </c>
      <c r="N1220" s="21" t="s">
        <v>86</v>
      </c>
    </row>
    <row r="1221" spans="1:14">
      <c r="A1221" t="str">
        <f>IFERROR(_xlfn.XLOOKUP(B1221,Cuentas!$C$1:$C$521,Cuentas!$A$1:$A$521),"")</f>
        <v>Yuldor</v>
      </c>
      <c r="B1221" t="s">
        <v>1429</v>
      </c>
      <c r="C1221" t="s">
        <v>1430</v>
      </c>
      <c r="D1221" t="s">
        <v>16</v>
      </c>
      <c r="E1221" t="s">
        <v>3139</v>
      </c>
      <c r="F1221" t="s">
        <v>1431</v>
      </c>
      <c r="G1221" t="s">
        <v>1431</v>
      </c>
      <c r="I1221" s="2">
        <v>45678</v>
      </c>
      <c r="J1221" t="s">
        <v>20</v>
      </c>
      <c r="K1221" s="21">
        <v>-3145</v>
      </c>
      <c r="L1221" s="21" t="s">
        <v>86</v>
      </c>
      <c r="M1221">
        <v>0</v>
      </c>
      <c r="N1221" s="21" t="s">
        <v>86</v>
      </c>
    </row>
    <row r="1222" spans="1:14">
      <c r="A1222" t="str">
        <f>IFERROR(_xlfn.XLOOKUP(B1222,Cuentas!$C$1:$C$521,Cuentas!$A$1:$A$521),"")</f>
        <v>Yuldor</v>
      </c>
      <c r="B1222" t="s">
        <v>1429</v>
      </c>
      <c r="C1222" t="s">
        <v>1430</v>
      </c>
      <c r="D1222" t="s">
        <v>16</v>
      </c>
      <c r="E1222" t="s">
        <v>7</v>
      </c>
      <c r="F1222" t="s">
        <v>1433</v>
      </c>
      <c r="G1222" t="s">
        <v>1433</v>
      </c>
      <c r="H1222" s="2">
        <v>45630</v>
      </c>
      <c r="I1222" s="2">
        <v>45660</v>
      </c>
      <c r="J1222" t="s">
        <v>20</v>
      </c>
      <c r="K1222" s="21">
        <v>1900</v>
      </c>
      <c r="L1222" s="21">
        <v>1900</v>
      </c>
      <c r="M1222">
        <v>0</v>
      </c>
      <c r="N1222" s="21">
        <v>1900</v>
      </c>
    </row>
    <row r="1223" spans="1:14">
      <c r="A1223" t="str">
        <f>IFERROR(_xlfn.XLOOKUP(B1223,Cuentas!$C$1:$C$521,Cuentas!$A$1:$A$521),"")</f>
        <v>Yuldor</v>
      </c>
      <c r="B1223" t="s">
        <v>1429</v>
      </c>
      <c r="C1223" t="s">
        <v>1430</v>
      </c>
      <c r="D1223" t="s">
        <v>16</v>
      </c>
      <c r="E1223" t="s">
        <v>7</v>
      </c>
      <c r="F1223" t="s">
        <v>1434</v>
      </c>
      <c r="G1223" t="s">
        <v>1434</v>
      </c>
      <c r="H1223" s="2">
        <v>45728</v>
      </c>
      <c r="I1223" s="2">
        <v>45758</v>
      </c>
      <c r="J1223" t="s">
        <v>20</v>
      </c>
      <c r="K1223" s="21">
        <v>1261</v>
      </c>
      <c r="L1223" s="21">
        <v>1261</v>
      </c>
      <c r="M1223">
        <v>0</v>
      </c>
      <c r="N1223" s="21">
        <v>0</v>
      </c>
    </row>
    <row r="1224" spans="1:14">
      <c r="A1224" t="str">
        <f>IFERROR(_xlfn.XLOOKUP(B1224,Cuentas!$C$1:$C$521,Cuentas!$A$1:$A$521),"")</f>
        <v>Yuldor</v>
      </c>
      <c r="B1224" t="s">
        <v>1429</v>
      </c>
      <c r="C1224" t="s">
        <v>1430</v>
      </c>
      <c r="D1224" t="s">
        <v>16</v>
      </c>
      <c r="E1224" t="s">
        <v>7</v>
      </c>
      <c r="F1224" t="s">
        <v>1435</v>
      </c>
      <c r="G1224" t="s">
        <v>1435</v>
      </c>
      <c r="H1224" s="2">
        <v>45728</v>
      </c>
      <c r="I1224" s="2">
        <v>45758</v>
      </c>
      <c r="J1224" t="s">
        <v>20</v>
      </c>
      <c r="K1224" s="21">
        <v>1100</v>
      </c>
      <c r="L1224" s="21">
        <v>1100</v>
      </c>
      <c r="M1224">
        <v>0</v>
      </c>
      <c r="N1224" s="21">
        <v>0</v>
      </c>
    </row>
    <row r="1225" spans="1:14">
      <c r="A1225" t="str">
        <f>IFERROR(_xlfn.XLOOKUP(B1225,Cuentas!$C$1:$C$521,Cuentas!$A$1:$A$521),"")</f>
        <v>Yuldor</v>
      </c>
      <c r="B1225" t="s">
        <v>1436</v>
      </c>
      <c r="C1225" t="s">
        <v>1437</v>
      </c>
      <c r="D1225" t="s">
        <v>213</v>
      </c>
      <c r="E1225" t="s">
        <v>7</v>
      </c>
      <c r="F1225" t="s">
        <v>1438</v>
      </c>
      <c r="G1225" t="s">
        <v>1438</v>
      </c>
      <c r="H1225" s="2">
        <v>45670</v>
      </c>
      <c r="I1225" s="2">
        <v>45670</v>
      </c>
      <c r="J1225" t="s">
        <v>20</v>
      </c>
      <c r="K1225" s="21">
        <v>540</v>
      </c>
      <c r="L1225" s="21">
        <v>540</v>
      </c>
      <c r="M1225">
        <v>0</v>
      </c>
      <c r="N1225" s="21">
        <v>540</v>
      </c>
    </row>
    <row r="1226" spans="1:14">
      <c r="A1226" t="str">
        <f>IFERROR(_xlfn.XLOOKUP(B1226,Cuentas!$C$1:$C$521,Cuentas!$A$1:$A$521),"")</f>
        <v>Yuldor</v>
      </c>
      <c r="B1226" t="s">
        <v>1436</v>
      </c>
      <c r="C1226" t="s">
        <v>1437</v>
      </c>
      <c r="D1226" t="s">
        <v>213</v>
      </c>
      <c r="E1226" t="s">
        <v>7</v>
      </c>
      <c r="F1226" t="s">
        <v>1439</v>
      </c>
      <c r="G1226" t="s">
        <v>1439</v>
      </c>
      <c r="H1226" s="2">
        <v>45670</v>
      </c>
      <c r="I1226" s="2">
        <v>45670</v>
      </c>
      <c r="J1226" t="s">
        <v>20</v>
      </c>
      <c r="K1226" s="21">
        <v>1986.6</v>
      </c>
      <c r="L1226" s="21">
        <v>1986.6</v>
      </c>
      <c r="M1226">
        <v>0</v>
      </c>
      <c r="N1226" s="21">
        <v>1986.6</v>
      </c>
    </row>
    <row r="1227" spans="1:14">
      <c r="A1227" t="str">
        <f>IFERROR(_xlfn.XLOOKUP(B1227,Cuentas!$C$1:$C$521,Cuentas!$A$1:$A$521),"")</f>
        <v>Yuldor</v>
      </c>
      <c r="B1227" t="s">
        <v>1436</v>
      </c>
      <c r="C1227" t="s">
        <v>1437</v>
      </c>
      <c r="D1227" t="s">
        <v>213</v>
      </c>
      <c r="E1227" t="s">
        <v>7</v>
      </c>
      <c r="F1227" t="s">
        <v>1440</v>
      </c>
      <c r="G1227" t="s">
        <v>1440</v>
      </c>
      <c r="H1227" s="2">
        <v>45670</v>
      </c>
      <c r="I1227" s="2">
        <v>45670</v>
      </c>
      <c r="J1227" t="s">
        <v>20</v>
      </c>
      <c r="K1227" s="21">
        <v>310</v>
      </c>
      <c r="L1227" s="21">
        <v>310</v>
      </c>
      <c r="M1227">
        <v>0</v>
      </c>
      <c r="N1227" s="21">
        <v>310</v>
      </c>
    </row>
    <row r="1228" spans="1:14">
      <c r="A1228" t="str">
        <f>IFERROR(_xlfn.XLOOKUP(B1228,Cuentas!$C$1:$C$521,Cuentas!$A$1:$A$521),"")</f>
        <v>Yuldor</v>
      </c>
      <c r="B1228" t="s">
        <v>1436</v>
      </c>
      <c r="C1228" t="s">
        <v>1437</v>
      </c>
      <c r="D1228" t="s">
        <v>213</v>
      </c>
      <c r="E1228" t="s">
        <v>7</v>
      </c>
      <c r="F1228" t="s">
        <v>1441</v>
      </c>
      <c r="G1228" t="s">
        <v>1441</v>
      </c>
      <c r="H1228" s="2">
        <v>45679</v>
      </c>
      <c r="I1228" s="2">
        <v>45679</v>
      </c>
      <c r="J1228" t="s">
        <v>20</v>
      </c>
      <c r="K1228" s="21">
        <v>3454.56</v>
      </c>
      <c r="L1228" s="21">
        <v>3454.56</v>
      </c>
      <c r="M1228">
        <v>0</v>
      </c>
      <c r="N1228" s="21">
        <v>3454.56</v>
      </c>
    </row>
    <row r="1229" spans="1:14">
      <c r="A1229" t="str">
        <f>IFERROR(_xlfn.XLOOKUP(B1229,Cuentas!$C$1:$C$521,Cuentas!$A$1:$A$521),"")</f>
        <v>Yuldor</v>
      </c>
      <c r="B1229" t="s">
        <v>1442</v>
      </c>
      <c r="C1229" t="s">
        <v>1443</v>
      </c>
      <c r="D1229" t="s">
        <v>16</v>
      </c>
      <c r="E1229" t="s">
        <v>5502</v>
      </c>
      <c r="F1229" t="s">
        <v>1444</v>
      </c>
      <c r="G1229" t="s">
        <v>19</v>
      </c>
      <c r="I1229" s="2">
        <v>45413</v>
      </c>
      <c r="J1229" t="s">
        <v>20</v>
      </c>
      <c r="K1229" s="21">
        <v>-1172</v>
      </c>
      <c r="L1229" s="21">
        <v>-1172</v>
      </c>
      <c r="M1229">
        <v>0</v>
      </c>
      <c r="N1229" s="21">
        <v>-1172</v>
      </c>
    </row>
    <row r="1230" spans="1:14">
      <c r="A1230" t="str">
        <f>IFERROR(_xlfn.XLOOKUP(B1230,Cuentas!$C$1:$C$521,Cuentas!$A$1:$A$521),"")</f>
        <v>Yuldor</v>
      </c>
      <c r="B1230" t="s">
        <v>1442</v>
      </c>
      <c r="C1230" t="s">
        <v>1443</v>
      </c>
      <c r="D1230" t="s">
        <v>16</v>
      </c>
      <c r="E1230" t="s">
        <v>7</v>
      </c>
      <c r="F1230" t="s">
        <v>1445</v>
      </c>
      <c r="G1230" t="s">
        <v>1445</v>
      </c>
      <c r="H1230" s="2">
        <v>45608</v>
      </c>
      <c r="I1230" s="2">
        <v>45638</v>
      </c>
      <c r="J1230" t="s">
        <v>20</v>
      </c>
      <c r="K1230" s="21">
        <v>1112.4000000000001</v>
      </c>
      <c r="L1230" s="21">
        <v>1112.4000000000001</v>
      </c>
      <c r="M1230">
        <v>0</v>
      </c>
      <c r="N1230" s="21">
        <v>1112.4000000000001</v>
      </c>
    </row>
    <row r="1231" spans="1:14">
      <c r="A1231" t="str">
        <f>IFERROR(_xlfn.XLOOKUP(B1231,Cuentas!$C$1:$C$521,Cuentas!$A$1:$A$521),"")</f>
        <v>Yuldor</v>
      </c>
      <c r="B1231" t="s">
        <v>1442</v>
      </c>
      <c r="C1231" t="s">
        <v>1443</v>
      </c>
      <c r="D1231" t="s">
        <v>16</v>
      </c>
      <c r="E1231" t="s">
        <v>7</v>
      </c>
      <c r="F1231" t="s">
        <v>1446</v>
      </c>
      <c r="G1231" t="s">
        <v>1446</v>
      </c>
      <c r="H1231" s="2">
        <v>45657</v>
      </c>
      <c r="I1231" s="2">
        <v>45687</v>
      </c>
      <c r="J1231" t="s">
        <v>20</v>
      </c>
      <c r="K1231" s="21">
        <v>5981</v>
      </c>
      <c r="L1231" s="21">
        <v>5981</v>
      </c>
      <c r="M1231">
        <v>0</v>
      </c>
      <c r="N1231" s="21">
        <v>5981</v>
      </c>
    </row>
    <row r="1232" spans="1:14">
      <c r="A1232" t="str">
        <f>IFERROR(_xlfn.XLOOKUP(B1232,Cuentas!$C$1:$C$521,Cuentas!$A$1:$A$521),"")</f>
        <v>Nicolas</v>
      </c>
      <c r="B1232" t="s">
        <v>1447</v>
      </c>
      <c r="C1232" t="s">
        <v>1448</v>
      </c>
      <c r="D1232" t="s">
        <v>213</v>
      </c>
      <c r="E1232" t="s">
        <v>3139</v>
      </c>
      <c r="F1232" t="s">
        <v>19</v>
      </c>
      <c r="G1232" t="s">
        <v>19</v>
      </c>
      <c r="I1232" s="2">
        <v>45625</v>
      </c>
      <c r="J1232" t="s">
        <v>20</v>
      </c>
      <c r="K1232" s="21">
        <v>-32.340000000000003</v>
      </c>
      <c r="L1232" s="21">
        <v>-32.340000000000003</v>
      </c>
      <c r="M1232">
        <v>0</v>
      </c>
      <c r="N1232" s="21">
        <v>-32.340000000000003</v>
      </c>
    </row>
    <row r="1233" spans="1:14">
      <c r="A1233" t="str">
        <f>IFERROR(_xlfn.XLOOKUP(B1233,Cuentas!$C$1:$C$521,Cuentas!$A$1:$A$521),"")</f>
        <v>Nicolas</v>
      </c>
      <c r="B1233" t="s">
        <v>1447</v>
      </c>
      <c r="C1233" t="s">
        <v>1448</v>
      </c>
      <c r="D1233" t="s">
        <v>213</v>
      </c>
      <c r="E1233" t="s">
        <v>7</v>
      </c>
      <c r="F1233" t="s">
        <v>1449</v>
      </c>
      <c r="G1233" t="s">
        <v>1449</v>
      </c>
      <c r="H1233" s="2">
        <v>45663</v>
      </c>
      <c r="I1233" s="2">
        <v>45663</v>
      </c>
      <c r="J1233" t="s">
        <v>20</v>
      </c>
      <c r="K1233" s="21">
        <v>184.58</v>
      </c>
      <c r="L1233" s="21">
        <v>184.58</v>
      </c>
      <c r="M1233">
        <v>0</v>
      </c>
      <c r="N1233" s="21">
        <v>184.58</v>
      </c>
    </row>
    <row r="1234" spans="1:14">
      <c r="A1234" t="str">
        <f>IFERROR(_xlfn.XLOOKUP(B1234,Cuentas!$C$1:$C$521,Cuentas!$A$1:$A$521),"")</f>
        <v>Nicolas</v>
      </c>
      <c r="B1234" t="s">
        <v>1447</v>
      </c>
      <c r="C1234" t="s">
        <v>1448</v>
      </c>
      <c r="D1234" t="s">
        <v>213</v>
      </c>
      <c r="E1234" t="s">
        <v>5502</v>
      </c>
      <c r="F1234" t="s">
        <v>1450</v>
      </c>
      <c r="G1234" t="s">
        <v>19</v>
      </c>
      <c r="I1234" s="2">
        <v>45720</v>
      </c>
      <c r="J1234" t="s">
        <v>20</v>
      </c>
      <c r="K1234" s="21">
        <v>-32.340000000000003</v>
      </c>
      <c r="L1234" s="21">
        <v>-32.340000000000003</v>
      </c>
      <c r="M1234">
        <v>10</v>
      </c>
      <c r="N1234" s="21">
        <v>-32.340000000000003</v>
      </c>
    </row>
    <row r="1235" spans="1:14">
      <c r="A1235" t="str">
        <f>IFERROR(_xlfn.XLOOKUP(B1235,Cuentas!$C$1:$C$521,Cuentas!$A$1:$A$521),"")</f>
        <v>Yuldor</v>
      </c>
      <c r="B1235" t="s">
        <v>1451</v>
      </c>
      <c r="C1235" t="s">
        <v>1452</v>
      </c>
      <c r="D1235" t="s">
        <v>16</v>
      </c>
      <c r="E1235" t="s">
        <v>7</v>
      </c>
      <c r="F1235" t="s">
        <v>1453</v>
      </c>
      <c r="G1235" t="s">
        <v>1453</v>
      </c>
      <c r="H1235" s="2">
        <v>45581</v>
      </c>
      <c r="I1235" s="2">
        <v>45611</v>
      </c>
      <c r="J1235" t="s">
        <v>20</v>
      </c>
      <c r="K1235" s="21">
        <v>1356</v>
      </c>
      <c r="L1235" s="21">
        <v>192</v>
      </c>
      <c r="M1235">
        <v>0</v>
      </c>
      <c r="N1235" s="21">
        <v>192</v>
      </c>
    </row>
    <row r="1236" spans="1:14">
      <c r="A1236" t="str">
        <f>IFERROR(_xlfn.XLOOKUP(B1236,Cuentas!$C$1:$C$521,Cuentas!$A$1:$A$521),"")</f>
        <v>Yuldor</v>
      </c>
      <c r="B1236" t="s">
        <v>1451</v>
      </c>
      <c r="C1236" t="s">
        <v>1452</v>
      </c>
      <c r="D1236" t="s">
        <v>16</v>
      </c>
      <c r="E1236" t="s">
        <v>3139</v>
      </c>
      <c r="F1236" t="s">
        <v>1453</v>
      </c>
      <c r="G1236" t="s">
        <v>1453</v>
      </c>
      <c r="I1236" s="2">
        <v>45615</v>
      </c>
      <c r="J1236" t="s">
        <v>20</v>
      </c>
      <c r="K1236" s="21">
        <v>-1164</v>
      </c>
      <c r="L1236" s="21" t="s">
        <v>86</v>
      </c>
      <c r="M1236">
        <v>0</v>
      </c>
      <c r="N1236" s="21" t="s">
        <v>86</v>
      </c>
    </row>
    <row r="1237" spans="1:14">
      <c r="A1237" t="str">
        <f>IFERROR(_xlfn.XLOOKUP(B1237,Cuentas!$C$1:$C$521,Cuentas!$A$1:$A$521),"")</f>
        <v>Yuldor</v>
      </c>
      <c r="B1237" t="s">
        <v>1451</v>
      </c>
      <c r="C1237" t="s">
        <v>1452</v>
      </c>
      <c r="D1237" t="s">
        <v>16</v>
      </c>
      <c r="E1237" t="s">
        <v>7</v>
      </c>
      <c r="F1237" t="s">
        <v>1454</v>
      </c>
      <c r="G1237" t="s">
        <v>1454</v>
      </c>
      <c r="H1237" s="2">
        <v>45706</v>
      </c>
      <c r="I1237" s="2">
        <v>45736</v>
      </c>
      <c r="J1237" t="s">
        <v>20</v>
      </c>
      <c r="K1237" s="21">
        <v>34670.03</v>
      </c>
      <c r="L1237" s="21">
        <v>34670.03</v>
      </c>
      <c r="M1237">
        <v>12</v>
      </c>
      <c r="N1237" s="21">
        <v>34670.03</v>
      </c>
    </row>
    <row r="1238" spans="1:14">
      <c r="A1238" t="str">
        <f>IFERROR(_xlfn.XLOOKUP(B1238,Cuentas!$C$1:$C$521,Cuentas!$A$1:$A$521),"")</f>
        <v>Yuldor</v>
      </c>
      <c r="B1238" t="s">
        <v>1451</v>
      </c>
      <c r="C1238" t="s">
        <v>1452</v>
      </c>
      <c r="D1238" t="s">
        <v>16</v>
      </c>
      <c r="E1238" t="s">
        <v>7</v>
      </c>
      <c r="F1238" t="s">
        <v>1455</v>
      </c>
      <c r="G1238" t="s">
        <v>1455</v>
      </c>
      <c r="H1238" s="2">
        <v>45707</v>
      </c>
      <c r="I1238" s="2">
        <v>45737</v>
      </c>
      <c r="J1238" t="s">
        <v>20</v>
      </c>
      <c r="K1238" s="21">
        <v>3007.6</v>
      </c>
      <c r="L1238" s="21">
        <v>3007.6</v>
      </c>
      <c r="M1238">
        <v>12</v>
      </c>
      <c r="N1238" s="21">
        <v>3007.6</v>
      </c>
    </row>
    <row r="1239" spans="1:14">
      <c r="A1239" t="str">
        <f>IFERROR(_xlfn.XLOOKUP(B1239,Cuentas!$C$1:$C$521,Cuentas!$A$1:$A$521),"")</f>
        <v>Yuldor</v>
      </c>
      <c r="B1239" t="s">
        <v>1451</v>
      </c>
      <c r="C1239" t="s">
        <v>1452</v>
      </c>
      <c r="D1239" t="s">
        <v>16</v>
      </c>
      <c r="E1239" t="s">
        <v>7</v>
      </c>
      <c r="F1239" t="s">
        <v>1456</v>
      </c>
      <c r="G1239" t="s">
        <v>1456</v>
      </c>
      <c r="H1239" s="2">
        <v>45708</v>
      </c>
      <c r="I1239" s="2">
        <v>45738</v>
      </c>
      <c r="J1239" t="s">
        <v>20</v>
      </c>
      <c r="K1239" s="21">
        <v>6156.4</v>
      </c>
      <c r="L1239" s="21">
        <v>6156.4</v>
      </c>
      <c r="M1239">
        <v>12</v>
      </c>
      <c r="N1239" s="21">
        <v>6156.4</v>
      </c>
    </row>
    <row r="1240" spans="1:14">
      <c r="A1240" t="str">
        <f>IFERROR(_xlfn.XLOOKUP(B1240,Cuentas!$C$1:$C$521,Cuentas!$A$1:$A$521),"")</f>
        <v>Yuldor</v>
      </c>
      <c r="B1240" t="s">
        <v>1451</v>
      </c>
      <c r="C1240" t="s">
        <v>1452</v>
      </c>
      <c r="D1240" t="s">
        <v>16</v>
      </c>
      <c r="E1240" t="s">
        <v>7</v>
      </c>
      <c r="F1240" t="s">
        <v>1457</v>
      </c>
      <c r="G1240" t="s">
        <v>1457</v>
      </c>
      <c r="H1240" s="2">
        <v>45708</v>
      </c>
      <c r="I1240" s="2">
        <v>45738</v>
      </c>
      <c r="J1240" t="s">
        <v>20</v>
      </c>
      <c r="K1240" s="21">
        <v>112</v>
      </c>
      <c r="L1240" s="21">
        <v>112</v>
      </c>
      <c r="M1240">
        <v>12</v>
      </c>
      <c r="N1240" s="21">
        <v>112</v>
      </c>
    </row>
    <row r="1241" spans="1:14">
      <c r="A1241" t="str">
        <f>IFERROR(_xlfn.XLOOKUP(B1241,Cuentas!$C$1:$C$521,Cuentas!$A$1:$A$521),"")</f>
        <v>Yuldor</v>
      </c>
      <c r="B1241" t="s">
        <v>1451</v>
      </c>
      <c r="C1241" t="s">
        <v>1452</v>
      </c>
      <c r="D1241" t="s">
        <v>16</v>
      </c>
      <c r="E1241" t="s">
        <v>7</v>
      </c>
      <c r="F1241" t="s">
        <v>1458</v>
      </c>
      <c r="G1241" t="s">
        <v>1458</v>
      </c>
      <c r="H1241" s="2">
        <v>45712</v>
      </c>
      <c r="I1241" s="2">
        <v>45742</v>
      </c>
      <c r="J1241" t="s">
        <v>20</v>
      </c>
      <c r="K1241" s="21">
        <v>2370</v>
      </c>
      <c r="L1241" s="21">
        <v>2370</v>
      </c>
      <c r="M1241">
        <v>13</v>
      </c>
      <c r="N1241" s="21">
        <v>2370</v>
      </c>
    </row>
    <row r="1242" spans="1:14">
      <c r="A1242" t="str">
        <f>IFERROR(_xlfn.XLOOKUP(B1242,Cuentas!$C$1:$C$521,Cuentas!$A$1:$A$521),"")</f>
        <v>Yuldor</v>
      </c>
      <c r="B1242" t="s">
        <v>1451</v>
      </c>
      <c r="C1242" t="s">
        <v>1452</v>
      </c>
      <c r="D1242" t="s">
        <v>16</v>
      </c>
      <c r="E1242" t="s">
        <v>7</v>
      </c>
      <c r="F1242" t="s">
        <v>1459</v>
      </c>
      <c r="G1242" t="s">
        <v>1459</v>
      </c>
      <c r="H1242" s="2">
        <v>45713</v>
      </c>
      <c r="I1242" s="2">
        <v>45743</v>
      </c>
      <c r="J1242" t="s">
        <v>20</v>
      </c>
      <c r="K1242" s="21">
        <v>605.20000000000005</v>
      </c>
      <c r="L1242" s="21">
        <v>605.20000000000005</v>
      </c>
      <c r="M1242">
        <v>13</v>
      </c>
      <c r="N1242" s="21">
        <v>605.20000000000005</v>
      </c>
    </row>
    <row r="1243" spans="1:14">
      <c r="A1243" t="str">
        <f>IFERROR(_xlfn.XLOOKUP(B1243,Cuentas!$C$1:$C$521,Cuentas!$A$1:$A$521),"")</f>
        <v>Yuldor</v>
      </c>
      <c r="B1243" t="s">
        <v>1451</v>
      </c>
      <c r="C1243" t="s">
        <v>1452</v>
      </c>
      <c r="D1243" t="s">
        <v>16</v>
      </c>
      <c r="E1243" t="s">
        <v>7</v>
      </c>
      <c r="F1243" t="s">
        <v>1460</v>
      </c>
      <c r="G1243" t="s">
        <v>1460</v>
      </c>
      <c r="H1243" s="2">
        <v>45722</v>
      </c>
      <c r="I1243" s="2">
        <v>45752</v>
      </c>
      <c r="J1243" t="s">
        <v>20</v>
      </c>
      <c r="K1243" s="21">
        <v>700</v>
      </c>
      <c r="L1243" s="21">
        <v>700</v>
      </c>
      <c r="M1243">
        <v>0</v>
      </c>
      <c r="N1243" s="21">
        <v>0</v>
      </c>
    </row>
    <row r="1244" spans="1:14">
      <c r="A1244" t="str">
        <f>IFERROR(_xlfn.XLOOKUP(B1244,Cuentas!$C$1:$C$521,Cuentas!$A$1:$A$521),"")</f>
        <v>Yuldor</v>
      </c>
      <c r="B1244" t="s">
        <v>1451</v>
      </c>
      <c r="C1244" t="s">
        <v>1452</v>
      </c>
      <c r="D1244" t="s">
        <v>16</v>
      </c>
      <c r="E1244" t="s">
        <v>7</v>
      </c>
      <c r="F1244" t="s">
        <v>1461</v>
      </c>
      <c r="G1244" t="s">
        <v>1461</v>
      </c>
      <c r="H1244" s="2">
        <v>45728</v>
      </c>
      <c r="I1244" s="2">
        <v>45758</v>
      </c>
      <c r="J1244" t="s">
        <v>20</v>
      </c>
      <c r="K1244" s="21">
        <v>929.6</v>
      </c>
      <c r="L1244" s="21">
        <v>929.6</v>
      </c>
      <c r="M1244">
        <v>0</v>
      </c>
      <c r="N1244" s="21">
        <v>0</v>
      </c>
    </row>
    <row r="1245" spans="1:14">
      <c r="A1245" t="str">
        <f>IFERROR(_xlfn.XLOOKUP(B1245,Cuentas!$C$1:$C$521,Cuentas!$A$1:$A$521),"")</f>
        <v>Yuldor</v>
      </c>
      <c r="B1245" t="s">
        <v>1451</v>
      </c>
      <c r="C1245" t="s">
        <v>1452</v>
      </c>
      <c r="D1245" t="s">
        <v>16</v>
      </c>
      <c r="E1245" t="s">
        <v>7</v>
      </c>
      <c r="F1245" t="s">
        <v>1462</v>
      </c>
      <c r="G1245" t="s">
        <v>1462</v>
      </c>
      <c r="H1245" s="2">
        <v>45742</v>
      </c>
      <c r="I1245" s="2">
        <v>45772</v>
      </c>
      <c r="J1245" t="s">
        <v>20</v>
      </c>
      <c r="K1245" s="21">
        <v>4740</v>
      </c>
      <c r="L1245" s="21">
        <v>4740</v>
      </c>
      <c r="M1245">
        <v>0</v>
      </c>
      <c r="N1245" s="21">
        <v>0</v>
      </c>
    </row>
    <row r="1246" spans="1:14">
      <c r="A1246" t="str">
        <f>IFERROR(_xlfn.XLOOKUP(B1246,Cuentas!$C$1:$C$521,Cuentas!$A$1:$A$521),"")</f>
        <v>Yuldor</v>
      </c>
      <c r="B1246" t="s">
        <v>1463</v>
      </c>
      <c r="C1246" t="s">
        <v>1464</v>
      </c>
      <c r="D1246" t="s">
        <v>16</v>
      </c>
      <c r="E1246" t="s">
        <v>7</v>
      </c>
      <c r="F1246" t="s">
        <v>1465</v>
      </c>
      <c r="G1246" t="s">
        <v>1465</v>
      </c>
      <c r="H1246" s="2">
        <v>45692</v>
      </c>
      <c r="I1246" s="2">
        <v>45722</v>
      </c>
      <c r="J1246" t="s">
        <v>20</v>
      </c>
      <c r="K1246" s="21">
        <v>1023.99</v>
      </c>
      <c r="L1246" s="21">
        <v>1023.99</v>
      </c>
      <c r="M1246">
        <v>10</v>
      </c>
      <c r="N1246" s="21">
        <v>1023.99</v>
      </c>
    </row>
    <row r="1247" spans="1:14">
      <c r="A1247" t="str">
        <f>IFERROR(_xlfn.XLOOKUP(B1247,Cuentas!$C$1:$C$521,Cuentas!$A$1:$A$521),"")</f>
        <v>Yuldor</v>
      </c>
      <c r="B1247" t="s">
        <v>1466</v>
      </c>
      <c r="C1247" t="s">
        <v>1467</v>
      </c>
      <c r="D1247" t="s">
        <v>16</v>
      </c>
      <c r="E1247" t="s">
        <v>7</v>
      </c>
      <c r="F1247" t="s">
        <v>1468</v>
      </c>
      <c r="G1247" t="s">
        <v>1468</v>
      </c>
      <c r="H1247" s="2">
        <v>45688</v>
      </c>
      <c r="I1247" s="2">
        <v>45718</v>
      </c>
      <c r="J1247" t="s">
        <v>20</v>
      </c>
      <c r="K1247" s="21">
        <v>64.5</v>
      </c>
      <c r="L1247" s="21">
        <v>60</v>
      </c>
      <c r="M1247">
        <v>10</v>
      </c>
      <c r="N1247" s="21">
        <v>60</v>
      </c>
    </row>
    <row r="1248" spans="1:14">
      <c r="A1248" t="str">
        <f>IFERROR(_xlfn.XLOOKUP(B1248,Cuentas!$C$1:$C$521,Cuentas!$A$1:$A$521),"")</f>
        <v>Yuldor</v>
      </c>
      <c r="B1248" t="s">
        <v>1466</v>
      </c>
      <c r="C1248" t="s">
        <v>1467</v>
      </c>
      <c r="D1248" t="s">
        <v>16</v>
      </c>
      <c r="E1248" t="s">
        <v>5502</v>
      </c>
      <c r="F1248" t="s">
        <v>1469</v>
      </c>
      <c r="G1248" t="s">
        <v>1468</v>
      </c>
      <c r="I1248" s="2">
        <v>45699</v>
      </c>
      <c r="J1248" t="s">
        <v>20</v>
      </c>
      <c r="K1248" s="21">
        <v>-4.5</v>
      </c>
      <c r="L1248" s="21" t="s">
        <v>86</v>
      </c>
      <c r="M1248">
        <v>0</v>
      </c>
      <c r="N1248" s="21" t="s">
        <v>86</v>
      </c>
    </row>
    <row r="1249" spans="1:14">
      <c r="A1249" t="str">
        <f>IFERROR(_xlfn.XLOOKUP(B1249,Cuentas!$C$1:$C$521,Cuentas!$A$1:$A$521),"")</f>
        <v>Yuldor</v>
      </c>
      <c r="B1249" t="s">
        <v>1466</v>
      </c>
      <c r="C1249" t="s">
        <v>1467</v>
      </c>
      <c r="D1249" t="s">
        <v>16</v>
      </c>
      <c r="E1249" t="s">
        <v>7</v>
      </c>
      <c r="F1249" t="s">
        <v>1470</v>
      </c>
      <c r="G1249" t="s">
        <v>1470</v>
      </c>
      <c r="H1249" s="2">
        <v>45706</v>
      </c>
      <c r="I1249" s="2">
        <v>45736</v>
      </c>
      <c r="J1249" t="s">
        <v>20</v>
      </c>
      <c r="K1249" s="21">
        <v>60</v>
      </c>
      <c r="L1249" s="21">
        <v>60</v>
      </c>
      <c r="M1249">
        <v>12</v>
      </c>
      <c r="N1249" s="21">
        <v>60</v>
      </c>
    </row>
    <row r="1250" spans="1:14">
      <c r="A1250" t="str">
        <f>IFERROR(_xlfn.XLOOKUP(B1250,Cuentas!$C$1:$C$521,Cuentas!$A$1:$A$521),"")</f>
        <v>Yuldor</v>
      </c>
      <c r="B1250" t="s">
        <v>1466</v>
      </c>
      <c r="C1250" t="s">
        <v>1467</v>
      </c>
      <c r="D1250" t="s">
        <v>16</v>
      </c>
      <c r="E1250" t="s">
        <v>7</v>
      </c>
      <c r="F1250" t="s">
        <v>1471</v>
      </c>
      <c r="G1250" t="s">
        <v>1471</v>
      </c>
      <c r="H1250" s="2">
        <v>45716</v>
      </c>
      <c r="I1250" s="2">
        <v>45746</v>
      </c>
      <c r="J1250" t="s">
        <v>20</v>
      </c>
      <c r="K1250" s="21">
        <v>64.5</v>
      </c>
      <c r="L1250" s="21">
        <v>64.5</v>
      </c>
      <c r="M1250">
        <v>13</v>
      </c>
      <c r="N1250" s="21">
        <v>64.5</v>
      </c>
    </row>
    <row r="1251" spans="1:14">
      <c r="A1251" t="str">
        <f>IFERROR(_xlfn.XLOOKUP(B1251,Cuentas!$C$1:$C$521,Cuentas!$A$1:$A$521),"")</f>
        <v>Yuldor</v>
      </c>
      <c r="B1251" t="s">
        <v>1466</v>
      </c>
      <c r="C1251" t="s">
        <v>1467</v>
      </c>
      <c r="D1251" t="s">
        <v>16</v>
      </c>
      <c r="E1251" t="s">
        <v>7</v>
      </c>
      <c r="F1251" t="s">
        <v>1472</v>
      </c>
      <c r="G1251" t="s">
        <v>1472</v>
      </c>
      <c r="H1251" s="2">
        <v>45733</v>
      </c>
      <c r="I1251" s="2">
        <v>45763</v>
      </c>
      <c r="J1251" t="s">
        <v>20</v>
      </c>
      <c r="K1251" s="21">
        <v>141</v>
      </c>
      <c r="L1251" s="21">
        <v>141</v>
      </c>
      <c r="M1251">
        <v>0</v>
      </c>
      <c r="N1251" s="21">
        <v>0</v>
      </c>
    </row>
    <row r="1252" spans="1:14">
      <c r="A1252" t="str">
        <f>IFERROR(_xlfn.XLOOKUP(B1252,Cuentas!$C$1:$C$521,Cuentas!$A$1:$A$521),"")</f>
        <v>Yuldor</v>
      </c>
      <c r="B1252" t="s">
        <v>1473</v>
      </c>
      <c r="C1252" t="s">
        <v>1474</v>
      </c>
      <c r="D1252" t="s">
        <v>16</v>
      </c>
      <c r="E1252" t="s">
        <v>7</v>
      </c>
      <c r="F1252" t="s">
        <v>1475</v>
      </c>
      <c r="G1252" t="s">
        <v>1475</v>
      </c>
      <c r="H1252" s="2">
        <v>45565</v>
      </c>
      <c r="I1252" s="2">
        <v>45595</v>
      </c>
      <c r="J1252" t="s">
        <v>20</v>
      </c>
      <c r="K1252" s="21">
        <v>21611.33</v>
      </c>
      <c r="L1252" s="21">
        <v>2126.4699999999998</v>
      </c>
      <c r="M1252">
        <v>0</v>
      </c>
      <c r="N1252" s="21">
        <v>2126.4699999999998</v>
      </c>
    </row>
    <row r="1253" spans="1:14">
      <c r="A1253" t="str">
        <f>IFERROR(_xlfn.XLOOKUP(B1253,Cuentas!$C$1:$C$521,Cuentas!$A$1:$A$521),"")</f>
        <v>Yuldor</v>
      </c>
      <c r="B1253" t="s">
        <v>1473</v>
      </c>
      <c r="C1253" t="s">
        <v>1474</v>
      </c>
      <c r="D1253" t="s">
        <v>16</v>
      </c>
      <c r="E1253" t="s">
        <v>3139</v>
      </c>
      <c r="F1253" t="s">
        <v>1475</v>
      </c>
      <c r="G1253" t="s">
        <v>1475</v>
      </c>
      <c r="I1253" s="2">
        <v>45630</v>
      </c>
      <c r="J1253" t="s">
        <v>20</v>
      </c>
      <c r="K1253" s="21">
        <v>-19484.86</v>
      </c>
      <c r="L1253" s="21" t="s">
        <v>86</v>
      </c>
      <c r="M1253">
        <v>0</v>
      </c>
      <c r="N1253" s="21" t="s">
        <v>86</v>
      </c>
    </row>
    <row r="1254" spans="1:14">
      <c r="A1254" t="str">
        <f>IFERROR(_xlfn.XLOOKUP(B1254,Cuentas!$C$1:$C$521,Cuentas!$A$1:$A$521),"")</f>
        <v>Yuldor</v>
      </c>
      <c r="B1254" t="s">
        <v>1473</v>
      </c>
      <c r="C1254" t="s">
        <v>1474</v>
      </c>
      <c r="D1254" t="s">
        <v>16</v>
      </c>
      <c r="E1254" t="s">
        <v>3139</v>
      </c>
      <c r="F1254" t="s">
        <v>19</v>
      </c>
      <c r="G1254" t="s">
        <v>19</v>
      </c>
      <c r="I1254" s="2">
        <v>45630</v>
      </c>
      <c r="J1254" t="s">
        <v>20</v>
      </c>
      <c r="K1254" s="21">
        <v>-1802.85</v>
      </c>
      <c r="L1254" s="21">
        <v>-1802.85</v>
      </c>
      <c r="M1254">
        <v>0</v>
      </c>
      <c r="N1254" s="21">
        <v>-1802.85</v>
      </c>
    </row>
    <row r="1255" spans="1:14">
      <c r="A1255" t="str">
        <f>IFERROR(_xlfn.XLOOKUP(B1255,Cuentas!$C$1:$C$521,Cuentas!$A$1:$A$521),"")</f>
        <v>Yuldor</v>
      </c>
      <c r="B1255" t="s">
        <v>1473</v>
      </c>
      <c r="C1255" t="s">
        <v>1474</v>
      </c>
      <c r="D1255" t="s">
        <v>16</v>
      </c>
      <c r="E1255" t="s">
        <v>7</v>
      </c>
      <c r="F1255" t="s">
        <v>1476</v>
      </c>
      <c r="G1255" t="s">
        <v>1476</v>
      </c>
      <c r="H1255" s="2">
        <v>45727</v>
      </c>
      <c r="I1255" s="2">
        <v>45757</v>
      </c>
      <c r="J1255" t="s">
        <v>20</v>
      </c>
      <c r="K1255" s="21">
        <v>483</v>
      </c>
      <c r="L1255" s="21">
        <v>483</v>
      </c>
      <c r="M1255">
        <v>0</v>
      </c>
      <c r="N1255" s="21">
        <v>0</v>
      </c>
    </row>
    <row r="1256" spans="1:14">
      <c r="A1256" t="str">
        <f>IFERROR(_xlfn.XLOOKUP(B1256,Cuentas!$C$1:$C$521,Cuentas!$A$1:$A$521),"")</f>
        <v>Yuldor</v>
      </c>
      <c r="B1256" t="s">
        <v>1477</v>
      </c>
      <c r="C1256" t="s">
        <v>1478</v>
      </c>
      <c r="D1256" t="s">
        <v>16</v>
      </c>
      <c r="E1256" t="s">
        <v>7</v>
      </c>
      <c r="F1256" t="s">
        <v>1479</v>
      </c>
      <c r="G1256" t="s">
        <v>1479</v>
      </c>
      <c r="H1256" s="2">
        <v>45587</v>
      </c>
      <c r="I1256" s="2">
        <v>45617</v>
      </c>
      <c r="J1256" t="s">
        <v>20</v>
      </c>
      <c r="K1256" s="21">
        <v>51.48</v>
      </c>
      <c r="L1256" s="21">
        <v>51.48</v>
      </c>
      <c r="M1256">
        <v>0</v>
      </c>
      <c r="N1256" s="21">
        <v>51.48</v>
      </c>
    </row>
    <row r="1257" spans="1:14">
      <c r="A1257" t="str">
        <f>IFERROR(_xlfn.XLOOKUP(B1257,Cuentas!$C$1:$C$521,Cuentas!$A$1:$A$521),"")</f>
        <v>Yuldor</v>
      </c>
      <c r="B1257" t="s">
        <v>1477</v>
      </c>
      <c r="C1257" t="s">
        <v>1478</v>
      </c>
      <c r="D1257" t="s">
        <v>16</v>
      </c>
      <c r="E1257" t="s">
        <v>7</v>
      </c>
      <c r="F1257" t="s">
        <v>1480</v>
      </c>
      <c r="G1257" t="s">
        <v>1480</v>
      </c>
      <c r="H1257" s="2">
        <v>45587</v>
      </c>
      <c r="I1257" s="2">
        <v>45617</v>
      </c>
      <c r="J1257" t="s">
        <v>20</v>
      </c>
      <c r="K1257" s="21">
        <v>51.48</v>
      </c>
      <c r="L1257" s="21">
        <v>51.48</v>
      </c>
      <c r="M1257">
        <v>0</v>
      </c>
      <c r="N1257" s="21">
        <v>51.48</v>
      </c>
    </row>
    <row r="1258" spans="1:14">
      <c r="A1258" t="str">
        <f>IFERROR(_xlfn.XLOOKUP(B1258,Cuentas!$C$1:$C$521,Cuentas!$A$1:$A$521),"")</f>
        <v>Yuldor</v>
      </c>
      <c r="B1258" t="s">
        <v>1477</v>
      </c>
      <c r="C1258" t="s">
        <v>1478</v>
      </c>
      <c r="D1258" t="s">
        <v>16</v>
      </c>
      <c r="E1258" t="s">
        <v>7</v>
      </c>
      <c r="F1258" t="s">
        <v>1481</v>
      </c>
      <c r="G1258" t="s">
        <v>1481</v>
      </c>
      <c r="H1258" s="2">
        <v>45716</v>
      </c>
      <c r="I1258" s="2">
        <v>45746</v>
      </c>
      <c r="J1258" t="s">
        <v>20</v>
      </c>
      <c r="K1258" s="21">
        <v>94.94</v>
      </c>
      <c r="L1258" s="21">
        <v>94.94</v>
      </c>
      <c r="M1258">
        <v>13</v>
      </c>
      <c r="N1258" s="21">
        <v>94.94</v>
      </c>
    </row>
    <row r="1259" spans="1:14">
      <c r="A1259" t="str">
        <f>IFERROR(_xlfn.XLOOKUP(B1259,Cuentas!$C$1:$C$521,Cuentas!$A$1:$A$521),"")</f>
        <v>Nicolas</v>
      </c>
      <c r="B1259" t="s">
        <v>1482</v>
      </c>
      <c r="C1259" t="s">
        <v>1483</v>
      </c>
      <c r="D1259" t="s">
        <v>213</v>
      </c>
      <c r="E1259" t="s">
        <v>5502</v>
      </c>
      <c r="F1259" t="s">
        <v>1484</v>
      </c>
      <c r="G1259" t="s">
        <v>19</v>
      </c>
      <c r="I1259" s="2">
        <v>45443</v>
      </c>
      <c r="J1259" t="s">
        <v>20</v>
      </c>
      <c r="K1259" s="21">
        <v>-14.41</v>
      </c>
      <c r="L1259" s="21">
        <v>-14.41</v>
      </c>
      <c r="M1259">
        <v>0</v>
      </c>
      <c r="N1259" s="21">
        <v>-14.41</v>
      </c>
    </row>
    <row r="1260" spans="1:14">
      <c r="A1260" t="str">
        <f>IFERROR(_xlfn.XLOOKUP(B1260,Cuentas!$C$1:$C$521,Cuentas!$A$1:$A$521),"")</f>
        <v>Yuldor</v>
      </c>
      <c r="B1260" t="s">
        <v>1485</v>
      </c>
      <c r="C1260" t="s">
        <v>1486</v>
      </c>
      <c r="D1260" t="s">
        <v>16</v>
      </c>
      <c r="E1260" t="s">
        <v>7</v>
      </c>
      <c r="F1260" t="s">
        <v>1487</v>
      </c>
      <c r="G1260" t="s">
        <v>1487</v>
      </c>
      <c r="H1260" s="2">
        <v>45386</v>
      </c>
      <c r="I1260" s="2">
        <v>45416</v>
      </c>
      <c r="J1260" t="s">
        <v>20</v>
      </c>
      <c r="K1260" s="21">
        <v>882</v>
      </c>
      <c r="L1260" s="21">
        <v>882</v>
      </c>
      <c r="M1260">
        <v>0</v>
      </c>
      <c r="N1260" s="21">
        <v>882</v>
      </c>
    </row>
    <row r="1261" spans="1:14">
      <c r="A1261" t="str">
        <f>IFERROR(_xlfn.XLOOKUP(B1261,Cuentas!$C$1:$C$521,Cuentas!$A$1:$A$521),"")</f>
        <v>Yuldor</v>
      </c>
      <c r="B1261" t="s">
        <v>1488</v>
      </c>
      <c r="C1261" t="s">
        <v>1489</v>
      </c>
      <c r="D1261" t="s">
        <v>16</v>
      </c>
      <c r="E1261" t="s">
        <v>7</v>
      </c>
      <c r="F1261" t="s">
        <v>1490</v>
      </c>
      <c r="G1261" t="s">
        <v>1490</v>
      </c>
      <c r="H1261" s="2">
        <v>45737</v>
      </c>
      <c r="I1261" s="2">
        <v>45767</v>
      </c>
      <c r="J1261" t="s">
        <v>20</v>
      </c>
      <c r="K1261" s="21">
        <v>1175</v>
      </c>
      <c r="L1261" s="21">
        <v>1175</v>
      </c>
      <c r="M1261">
        <v>0</v>
      </c>
      <c r="N1261" s="21">
        <v>0</v>
      </c>
    </row>
    <row r="1262" spans="1:14">
      <c r="A1262" t="str">
        <f>IFERROR(_xlfn.XLOOKUP(B1262,Cuentas!$C$1:$C$521,Cuentas!$A$1:$A$521),"")</f>
        <v>Yuldor</v>
      </c>
      <c r="B1262" t="s">
        <v>1488</v>
      </c>
      <c r="C1262" t="s">
        <v>1489</v>
      </c>
      <c r="D1262" t="s">
        <v>16</v>
      </c>
      <c r="E1262" t="s">
        <v>7</v>
      </c>
      <c r="F1262" t="s">
        <v>1491</v>
      </c>
      <c r="G1262" t="s">
        <v>1491</v>
      </c>
      <c r="H1262" s="2">
        <v>45737</v>
      </c>
      <c r="I1262" s="2">
        <v>45767</v>
      </c>
      <c r="J1262" t="s">
        <v>20</v>
      </c>
      <c r="K1262" s="21">
        <v>1175</v>
      </c>
      <c r="L1262" s="21">
        <v>1175</v>
      </c>
      <c r="M1262">
        <v>0</v>
      </c>
      <c r="N1262" s="21">
        <v>0</v>
      </c>
    </row>
    <row r="1263" spans="1:14">
      <c r="A1263" t="str">
        <f>IFERROR(_xlfn.XLOOKUP(B1263,Cuentas!$C$1:$C$521,Cuentas!$A$1:$A$521),"")</f>
        <v>Yuldor</v>
      </c>
      <c r="B1263" t="s">
        <v>1488</v>
      </c>
      <c r="C1263" t="s">
        <v>1489</v>
      </c>
      <c r="D1263" t="s">
        <v>16</v>
      </c>
      <c r="E1263" t="s">
        <v>7</v>
      </c>
      <c r="F1263" t="s">
        <v>1492</v>
      </c>
      <c r="G1263" t="s">
        <v>1492</v>
      </c>
      <c r="H1263" s="2">
        <v>45737</v>
      </c>
      <c r="I1263" s="2">
        <v>45767</v>
      </c>
      <c r="J1263" t="s">
        <v>20</v>
      </c>
      <c r="K1263" s="21">
        <v>1175</v>
      </c>
      <c r="L1263" s="21">
        <v>1175</v>
      </c>
      <c r="M1263">
        <v>0</v>
      </c>
      <c r="N1263" s="21">
        <v>0</v>
      </c>
    </row>
    <row r="1264" spans="1:14">
      <c r="A1264" t="str">
        <f>IFERROR(_xlfn.XLOOKUP(B1264,Cuentas!$C$1:$C$521,Cuentas!$A$1:$A$521),"")</f>
        <v>Yuldor</v>
      </c>
      <c r="B1264" t="s">
        <v>1488</v>
      </c>
      <c r="C1264" t="s">
        <v>1489</v>
      </c>
      <c r="D1264" t="s">
        <v>16</v>
      </c>
      <c r="E1264" t="s">
        <v>7</v>
      </c>
      <c r="F1264" t="s">
        <v>1493</v>
      </c>
      <c r="G1264" t="s">
        <v>1493</v>
      </c>
      <c r="H1264" s="2">
        <v>45737</v>
      </c>
      <c r="I1264" s="2">
        <v>45767</v>
      </c>
      <c r="J1264" t="s">
        <v>20</v>
      </c>
      <c r="K1264" s="21">
        <v>1355</v>
      </c>
      <c r="L1264" s="21">
        <v>1355</v>
      </c>
      <c r="M1264">
        <v>0</v>
      </c>
      <c r="N1264" s="21">
        <v>0</v>
      </c>
    </row>
    <row r="1265" spans="1:14">
      <c r="A1265" t="str">
        <f>IFERROR(_xlfn.XLOOKUP(B1265,Cuentas!$C$1:$C$521,Cuentas!$A$1:$A$521),"")</f>
        <v/>
      </c>
      <c r="B1265" t="s">
        <v>1494</v>
      </c>
      <c r="C1265" t="s">
        <v>1495</v>
      </c>
      <c r="D1265" t="s">
        <v>213</v>
      </c>
      <c r="E1265" t="s">
        <v>7</v>
      </c>
      <c r="F1265" t="s">
        <v>1496</v>
      </c>
      <c r="G1265" t="s">
        <v>1496</v>
      </c>
      <c r="H1265" s="2">
        <v>45741</v>
      </c>
      <c r="I1265" s="2">
        <v>45741</v>
      </c>
      <c r="J1265" t="s">
        <v>20</v>
      </c>
      <c r="K1265" s="21">
        <v>763.08</v>
      </c>
      <c r="L1265" s="21">
        <v>763.08</v>
      </c>
      <c r="M1265">
        <v>13</v>
      </c>
      <c r="N1265" s="21">
        <v>763.08</v>
      </c>
    </row>
    <row r="1266" spans="1:14">
      <c r="A1266" t="str">
        <f>IFERROR(_xlfn.XLOOKUP(B1266,Cuentas!$C$1:$C$521,Cuentas!$A$1:$A$521),"")</f>
        <v>Yuldor</v>
      </c>
      <c r="B1266" t="s">
        <v>1497</v>
      </c>
      <c r="C1266" t="s">
        <v>1498</v>
      </c>
      <c r="D1266" t="s">
        <v>16</v>
      </c>
      <c r="E1266" t="s">
        <v>7</v>
      </c>
      <c r="F1266" t="s">
        <v>1499</v>
      </c>
      <c r="G1266" t="s">
        <v>1499</v>
      </c>
      <c r="H1266" s="2">
        <v>45362</v>
      </c>
      <c r="I1266" s="2">
        <v>45392</v>
      </c>
      <c r="J1266" t="s">
        <v>20</v>
      </c>
      <c r="K1266" s="21">
        <v>24.37</v>
      </c>
      <c r="L1266" s="21">
        <v>24.37</v>
      </c>
      <c r="M1266">
        <v>0</v>
      </c>
      <c r="N1266" s="21">
        <v>24.37</v>
      </c>
    </row>
    <row r="1267" spans="1:14">
      <c r="A1267" t="str">
        <f>IFERROR(_xlfn.XLOOKUP(B1267,Cuentas!$C$1:$C$521,Cuentas!$A$1:$A$521),"")</f>
        <v>Yuldor</v>
      </c>
      <c r="B1267" t="s">
        <v>1497</v>
      </c>
      <c r="C1267" t="s">
        <v>1498</v>
      </c>
      <c r="D1267" t="s">
        <v>16</v>
      </c>
      <c r="E1267" t="s">
        <v>7</v>
      </c>
      <c r="F1267" t="s">
        <v>1500</v>
      </c>
      <c r="G1267" t="s">
        <v>1500</v>
      </c>
      <c r="H1267" s="2">
        <v>45572</v>
      </c>
      <c r="I1267" s="2">
        <v>45602</v>
      </c>
      <c r="J1267" t="s">
        <v>20</v>
      </c>
      <c r="K1267" s="21">
        <v>397.36</v>
      </c>
      <c r="L1267" s="21">
        <v>397.36</v>
      </c>
      <c r="M1267">
        <v>0</v>
      </c>
      <c r="N1267" s="21">
        <v>397.36</v>
      </c>
    </row>
    <row r="1268" spans="1:14">
      <c r="A1268" t="str">
        <f>IFERROR(_xlfn.XLOOKUP(B1268,Cuentas!$C$1:$C$521,Cuentas!$A$1:$A$521),"")</f>
        <v>Yuldor</v>
      </c>
      <c r="B1268" t="s">
        <v>1501</v>
      </c>
      <c r="C1268" t="s">
        <v>1502</v>
      </c>
      <c r="D1268" t="s">
        <v>213</v>
      </c>
      <c r="E1268" t="s">
        <v>3139</v>
      </c>
      <c r="F1268" t="s">
        <v>19</v>
      </c>
      <c r="G1268" t="s">
        <v>19</v>
      </c>
      <c r="I1268" s="2">
        <v>45499</v>
      </c>
      <c r="J1268" t="s">
        <v>20</v>
      </c>
      <c r="K1268" s="21">
        <v>-316.68</v>
      </c>
      <c r="L1268" s="21">
        <v>-316.68</v>
      </c>
      <c r="M1268">
        <v>0</v>
      </c>
      <c r="N1268" s="21">
        <v>-316.68</v>
      </c>
    </row>
    <row r="1269" spans="1:14">
      <c r="A1269" t="str">
        <f>IFERROR(_xlfn.XLOOKUP(B1269,Cuentas!$C$1:$C$521,Cuentas!$A$1:$A$521),"")</f>
        <v>Yuldor</v>
      </c>
      <c r="B1269" t="s">
        <v>1503</v>
      </c>
      <c r="C1269" t="s">
        <v>1504</v>
      </c>
      <c r="D1269" t="s">
        <v>16</v>
      </c>
      <c r="E1269" t="s">
        <v>7</v>
      </c>
      <c r="F1269" t="s">
        <v>1505</v>
      </c>
      <c r="G1269" t="s">
        <v>1505</v>
      </c>
      <c r="H1269" s="2">
        <v>45496</v>
      </c>
      <c r="I1269" s="2">
        <v>45526</v>
      </c>
      <c r="J1269" t="s">
        <v>20</v>
      </c>
      <c r="K1269" s="21">
        <v>1505.05</v>
      </c>
      <c r="L1269" s="21">
        <v>1505.05</v>
      </c>
      <c r="M1269">
        <v>0</v>
      </c>
      <c r="N1269" s="21">
        <v>1505.05</v>
      </c>
    </row>
    <row r="1270" spans="1:14">
      <c r="A1270" t="str">
        <f>IFERROR(_xlfn.XLOOKUP(B1270,Cuentas!$C$1:$C$521,Cuentas!$A$1:$A$521),"")</f>
        <v>Yuldor</v>
      </c>
      <c r="B1270" t="s">
        <v>1506</v>
      </c>
      <c r="C1270" t="s">
        <v>1507</v>
      </c>
      <c r="D1270" t="s">
        <v>213</v>
      </c>
      <c r="E1270" t="s">
        <v>7</v>
      </c>
      <c r="F1270" t="s">
        <v>1508</v>
      </c>
      <c r="G1270" t="s">
        <v>1508</v>
      </c>
      <c r="H1270" s="2">
        <v>45590</v>
      </c>
      <c r="I1270" s="2">
        <v>45590</v>
      </c>
      <c r="J1270" t="s">
        <v>20</v>
      </c>
      <c r="K1270" s="21">
        <v>178</v>
      </c>
      <c r="L1270" s="21">
        <v>178</v>
      </c>
      <c r="M1270">
        <v>0</v>
      </c>
      <c r="N1270" s="21">
        <v>178</v>
      </c>
    </row>
    <row r="1271" spans="1:14">
      <c r="A1271" t="str">
        <f>IFERROR(_xlfn.XLOOKUP(B1271,Cuentas!$C$1:$C$521,Cuentas!$A$1:$A$521),"")</f>
        <v>Nicolas</v>
      </c>
      <c r="B1271" t="s">
        <v>1509</v>
      </c>
      <c r="C1271" t="s">
        <v>1510</v>
      </c>
      <c r="D1271" t="s">
        <v>16</v>
      </c>
      <c r="E1271" t="s">
        <v>7</v>
      </c>
      <c r="F1271" t="s">
        <v>1511</v>
      </c>
      <c r="G1271" t="s">
        <v>1511</v>
      </c>
      <c r="H1271" s="2">
        <v>45686</v>
      </c>
      <c r="I1271" s="2">
        <v>45716</v>
      </c>
      <c r="J1271" t="s">
        <v>20</v>
      </c>
      <c r="K1271" s="21">
        <v>27280.799999999999</v>
      </c>
      <c r="L1271" s="21">
        <v>27280.799999999999</v>
      </c>
      <c r="M1271">
        <v>0</v>
      </c>
      <c r="N1271" s="21">
        <v>27280.799999999999</v>
      </c>
    </row>
    <row r="1272" spans="1:14">
      <c r="A1272" t="str">
        <f>IFERROR(_xlfn.XLOOKUP(B1272,Cuentas!$C$1:$C$521,Cuentas!$A$1:$A$521),"")</f>
        <v>Nicolas</v>
      </c>
      <c r="B1272" t="s">
        <v>1509</v>
      </c>
      <c r="C1272" t="s">
        <v>1510</v>
      </c>
      <c r="D1272" t="s">
        <v>16</v>
      </c>
      <c r="E1272" t="s">
        <v>7</v>
      </c>
      <c r="F1272" t="s">
        <v>1512</v>
      </c>
      <c r="G1272" t="s">
        <v>1512</v>
      </c>
      <c r="H1272" s="2">
        <v>45693</v>
      </c>
      <c r="I1272" s="2">
        <v>45723</v>
      </c>
      <c r="J1272" t="s">
        <v>20</v>
      </c>
      <c r="K1272" s="21">
        <v>37962</v>
      </c>
      <c r="L1272" s="21">
        <v>26733</v>
      </c>
      <c r="M1272">
        <v>10</v>
      </c>
      <c r="N1272" s="21">
        <v>26733</v>
      </c>
    </row>
    <row r="1273" spans="1:14">
      <c r="A1273" t="str">
        <f>IFERROR(_xlfn.XLOOKUP(B1273,Cuentas!$C$1:$C$521,Cuentas!$A$1:$A$521),"")</f>
        <v>Nicolas</v>
      </c>
      <c r="B1273" t="s">
        <v>1509</v>
      </c>
      <c r="C1273" t="s">
        <v>1510</v>
      </c>
      <c r="D1273" t="s">
        <v>16</v>
      </c>
      <c r="E1273" t="s">
        <v>5502</v>
      </c>
      <c r="F1273" t="s">
        <v>1513</v>
      </c>
      <c r="G1273" t="s">
        <v>1512</v>
      </c>
      <c r="I1273" s="2">
        <v>45735</v>
      </c>
      <c r="J1273" t="s">
        <v>20</v>
      </c>
      <c r="K1273" s="21">
        <v>-2610.6</v>
      </c>
      <c r="L1273" s="21" t="s">
        <v>86</v>
      </c>
      <c r="M1273">
        <v>12</v>
      </c>
      <c r="N1273" s="21" t="s">
        <v>86</v>
      </c>
    </row>
    <row r="1274" spans="1:14">
      <c r="A1274" t="str">
        <f>IFERROR(_xlfn.XLOOKUP(B1274,Cuentas!$C$1:$C$521,Cuentas!$A$1:$A$521),"")</f>
        <v>Nicolas</v>
      </c>
      <c r="B1274" t="s">
        <v>1509</v>
      </c>
      <c r="C1274" t="s">
        <v>1510</v>
      </c>
      <c r="D1274" t="s">
        <v>16</v>
      </c>
      <c r="E1274" t="s">
        <v>3139</v>
      </c>
      <c r="F1274" t="s">
        <v>1512</v>
      </c>
      <c r="G1274" t="s">
        <v>1512</v>
      </c>
      <c r="I1274" s="2">
        <v>45720</v>
      </c>
      <c r="J1274" t="s">
        <v>20</v>
      </c>
      <c r="K1274" s="21">
        <v>-8618.4</v>
      </c>
      <c r="L1274" s="21" t="s">
        <v>86</v>
      </c>
      <c r="M1274">
        <v>10</v>
      </c>
      <c r="N1274" s="21" t="s">
        <v>86</v>
      </c>
    </row>
    <row r="1275" spans="1:14">
      <c r="A1275" t="str">
        <f>IFERROR(_xlfn.XLOOKUP(B1275,Cuentas!$C$1:$C$521,Cuentas!$A$1:$A$521),"")</f>
        <v>Nicolas</v>
      </c>
      <c r="B1275" t="s">
        <v>1509</v>
      </c>
      <c r="C1275" t="s">
        <v>1510</v>
      </c>
      <c r="D1275" t="s">
        <v>16</v>
      </c>
      <c r="E1275" t="s">
        <v>7</v>
      </c>
      <c r="F1275" t="s">
        <v>1514</v>
      </c>
      <c r="G1275" t="s">
        <v>1514</v>
      </c>
      <c r="H1275" s="2">
        <v>45695</v>
      </c>
      <c r="I1275" s="2">
        <v>45725</v>
      </c>
      <c r="J1275" t="s">
        <v>20</v>
      </c>
      <c r="K1275" s="21">
        <v>3156</v>
      </c>
      <c r="L1275" s="21">
        <v>3156</v>
      </c>
      <c r="M1275">
        <v>11</v>
      </c>
      <c r="N1275" s="21">
        <v>3156</v>
      </c>
    </row>
    <row r="1276" spans="1:14">
      <c r="A1276" t="str">
        <f>IFERROR(_xlfn.XLOOKUP(B1276,Cuentas!$C$1:$C$521,Cuentas!$A$1:$A$521),"")</f>
        <v>Nicolas</v>
      </c>
      <c r="B1276" t="s">
        <v>1509</v>
      </c>
      <c r="C1276" t="s">
        <v>1510</v>
      </c>
      <c r="D1276" t="s">
        <v>16</v>
      </c>
      <c r="E1276" t="s">
        <v>7</v>
      </c>
      <c r="F1276" t="s">
        <v>1515</v>
      </c>
      <c r="G1276" t="s">
        <v>1515</v>
      </c>
      <c r="H1276" s="2">
        <v>45699</v>
      </c>
      <c r="I1276" s="2">
        <v>45729</v>
      </c>
      <c r="J1276" t="s">
        <v>20</v>
      </c>
      <c r="K1276" s="21">
        <v>9000</v>
      </c>
      <c r="L1276" s="21">
        <v>9000</v>
      </c>
      <c r="M1276">
        <v>11</v>
      </c>
      <c r="N1276" s="21">
        <v>9000</v>
      </c>
    </row>
    <row r="1277" spans="1:14">
      <c r="A1277" t="str">
        <f>IFERROR(_xlfn.XLOOKUP(B1277,Cuentas!$C$1:$C$521,Cuentas!$A$1:$A$521),"")</f>
        <v>Nicolas</v>
      </c>
      <c r="B1277" t="s">
        <v>1509</v>
      </c>
      <c r="C1277" t="s">
        <v>1510</v>
      </c>
      <c r="D1277" t="s">
        <v>16</v>
      </c>
      <c r="E1277" t="s">
        <v>7</v>
      </c>
      <c r="F1277" t="s">
        <v>1516</v>
      </c>
      <c r="G1277" t="s">
        <v>1516</v>
      </c>
      <c r="H1277" s="2">
        <v>45700</v>
      </c>
      <c r="I1277" s="2">
        <v>45730</v>
      </c>
      <c r="J1277" t="s">
        <v>20</v>
      </c>
      <c r="K1277" s="21">
        <v>13493</v>
      </c>
      <c r="L1277" s="21">
        <v>13493</v>
      </c>
      <c r="M1277">
        <v>11</v>
      </c>
      <c r="N1277" s="21">
        <v>13493</v>
      </c>
    </row>
    <row r="1278" spans="1:14">
      <c r="A1278" t="str">
        <f>IFERROR(_xlfn.XLOOKUP(B1278,Cuentas!$C$1:$C$521,Cuentas!$A$1:$A$521),"")</f>
        <v>Nicolas</v>
      </c>
      <c r="B1278" t="s">
        <v>1509</v>
      </c>
      <c r="C1278" t="s">
        <v>1510</v>
      </c>
      <c r="D1278" t="s">
        <v>16</v>
      </c>
      <c r="E1278" t="s">
        <v>7</v>
      </c>
      <c r="F1278" t="s">
        <v>1517</v>
      </c>
      <c r="G1278" t="s">
        <v>1517</v>
      </c>
      <c r="H1278" s="2">
        <v>45701</v>
      </c>
      <c r="I1278" s="2">
        <v>45731</v>
      </c>
      <c r="J1278" t="s">
        <v>20</v>
      </c>
      <c r="K1278" s="21">
        <v>2496</v>
      </c>
      <c r="L1278" s="21">
        <v>2496</v>
      </c>
      <c r="M1278">
        <v>11</v>
      </c>
      <c r="N1278" s="21">
        <v>2496</v>
      </c>
    </row>
    <row r="1279" spans="1:14">
      <c r="A1279" t="str">
        <f>IFERROR(_xlfn.XLOOKUP(B1279,Cuentas!$C$1:$C$521,Cuentas!$A$1:$A$521),"")</f>
        <v>Nicolas</v>
      </c>
      <c r="B1279" t="s">
        <v>1509</v>
      </c>
      <c r="C1279" t="s">
        <v>1510</v>
      </c>
      <c r="D1279" t="s">
        <v>16</v>
      </c>
      <c r="E1279" t="s">
        <v>7</v>
      </c>
      <c r="F1279" t="s">
        <v>1518</v>
      </c>
      <c r="G1279" t="s">
        <v>1518</v>
      </c>
      <c r="H1279" s="2">
        <v>45705</v>
      </c>
      <c r="I1279" s="2">
        <v>45735</v>
      </c>
      <c r="J1279" t="s">
        <v>20</v>
      </c>
      <c r="K1279" s="21">
        <v>20530.560000000001</v>
      </c>
      <c r="L1279" s="21">
        <v>20530.560000000001</v>
      </c>
      <c r="M1279">
        <v>12</v>
      </c>
      <c r="N1279" s="21">
        <v>20530.560000000001</v>
      </c>
    </row>
    <row r="1280" spans="1:14">
      <c r="A1280" t="str">
        <f>IFERROR(_xlfn.XLOOKUP(B1280,Cuentas!$C$1:$C$521,Cuentas!$A$1:$A$521),"")</f>
        <v>Nicolas</v>
      </c>
      <c r="B1280" t="s">
        <v>1509</v>
      </c>
      <c r="C1280" t="s">
        <v>1510</v>
      </c>
      <c r="D1280" t="s">
        <v>16</v>
      </c>
      <c r="E1280" t="s">
        <v>7</v>
      </c>
      <c r="F1280" t="s">
        <v>1519</v>
      </c>
      <c r="G1280" t="s">
        <v>1519</v>
      </c>
      <c r="H1280" s="2">
        <v>45705</v>
      </c>
      <c r="I1280" s="2">
        <v>45735</v>
      </c>
      <c r="J1280" t="s">
        <v>20</v>
      </c>
      <c r="K1280" s="21">
        <v>17279.04</v>
      </c>
      <c r="L1280" s="21">
        <v>17279.04</v>
      </c>
      <c r="M1280">
        <v>12</v>
      </c>
      <c r="N1280" s="21">
        <v>17279.04</v>
      </c>
    </row>
    <row r="1281" spans="1:14">
      <c r="A1281" t="str">
        <f>IFERROR(_xlfn.XLOOKUP(B1281,Cuentas!$C$1:$C$521,Cuentas!$A$1:$A$521),"")</f>
        <v>Nicolas</v>
      </c>
      <c r="B1281" t="s">
        <v>1509</v>
      </c>
      <c r="C1281" t="s">
        <v>1510</v>
      </c>
      <c r="D1281" t="s">
        <v>16</v>
      </c>
      <c r="E1281" t="s">
        <v>7</v>
      </c>
      <c r="F1281" t="s">
        <v>1520</v>
      </c>
      <c r="G1281" t="s">
        <v>1520</v>
      </c>
      <c r="H1281" s="2">
        <v>45715</v>
      </c>
      <c r="I1281" s="2">
        <v>45745</v>
      </c>
      <c r="J1281" t="s">
        <v>20</v>
      </c>
      <c r="K1281" s="21">
        <v>11227.14</v>
      </c>
      <c r="L1281" s="21">
        <v>11227.14</v>
      </c>
      <c r="M1281">
        <v>13</v>
      </c>
      <c r="N1281" s="21">
        <v>11227.14</v>
      </c>
    </row>
    <row r="1282" spans="1:14">
      <c r="A1282" t="str">
        <f>IFERROR(_xlfn.XLOOKUP(B1282,Cuentas!$C$1:$C$521,Cuentas!$A$1:$A$521),"")</f>
        <v>Nicolas</v>
      </c>
      <c r="B1282" t="s">
        <v>1509</v>
      </c>
      <c r="C1282" t="s">
        <v>1510</v>
      </c>
      <c r="D1282" t="s">
        <v>16</v>
      </c>
      <c r="E1282" t="s">
        <v>7</v>
      </c>
      <c r="F1282" t="s">
        <v>1521</v>
      </c>
      <c r="G1282" t="s">
        <v>1521</v>
      </c>
      <c r="H1282" s="2">
        <v>45715</v>
      </c>
      <c r="I1282" s="2">
        <v>45745</v>
      </c>
      <c r="J1282" t="s">
        <v>20</v>
      </c>
      <c r="K1282" s="21">
        <v>23079</v>
      </c>
      <c r="L1282" s="21">
        <v>23079</v>
      </c>
      <c r="M1282">
        <v>13</v>
      </c>
      <c r="N1282" s="21">
        <v>23079</v>
      </c>
    </row>
    <row r="1283" spans="1:14">
      <c r="A1283" t="str">
        <f>IFERROR(_xlfn.XLOOKUP(B1283,Cuentas!$C$1:$C$521,Cuentas!$A$1:$A$521),"")</f>
        <v>Nicolas</v>
      </c>
      <c r="B1283" t="s">
        <v>1509</v>
      </c>
      <c r="C1283" t="s">
        <v>1510</v>
      </c>
      <c r="D1283" t="s">
        <v>16</v>
      </c>
      <c r="E1283" t="s">
        <v>7</v>
      </c>
      <c r="F1283" t="s">
        <v>1522</v>
      </c>
      <c r="G1283" t="s">
        <v>1522</v>
      </c>
      <c r="H1283" s="2">
        <v>45715</v>
      </c>
      <c r="I1283" s="2">
        <v>45745</v>
      </c>
      <c r="J1283" t="s">
        <v>20</v>
      </c>
      <c r="K1283" s="21">
        <v>17034</v>
      </c>
      <c r="L1283" s="21">
        <v>17034</v>
      </c>
      <c r="M1283">
        <v>13</v>
      </c>
      <c r="N1283" s="21">
        <v>17034</v>
      </c>
    </row>
    <row r="1284" spans="1:14">
      <c r="A1284" t="str">
        <f>IFERROR(_xlfn.XLOOKUP(B1284,Cuentas!$C$1:$C$521,Cuentas!$A$1:$A$521),"")</f>
        <v>Nicolas</v>
      </c>
      <c r="B1284" t="s">
        <v>1509</v>
      </c>
      <c r="C1284" t="s">
        <v>1510</v>
      </c>
      <c r="D1284" t="s">
        <v>16</v>
      </c>
      <c r="E1284" t="s">
        <v>7</v>
      </c>
      <c r="F1284" t="s">
        <v>1523</v>
      </c>
      <c r="G1284" t="s">
        <v>1523</v>
      </c>
      <c r="H1284" s="2">
        <v>45715</v>
      </c>
      <c r="I1284" s="2">
        <v>45745</v>
      </c>
      <c r="J1284" t="s">
        <v>20</v>
      </c>
      <c r="K1284" s="21">
        <v>1491.24</v>
      </c>
      <c r="L1284" s="21">
        <v>1121.32</v>
      </c>
      <c r="M1284">
        <v>13</v>
      </c>
      <c r="N1284" s="21">
        <v>1121.32</v>
      </c>
    </row>
    <row r="1285" spans="1:14">
      <c r="A1285" t="str">
        <f>IFERROR(_xlfn.XLOOKUP(B1285,Cuentas!$C$1:$C$521,Cuentas!$A$1:$A$521),"")</f>
        <v>Nicolas</v>
      </c>
      <c r="B1285" t="s">
        <v>1509</v>
      </c>
      <c r="C1285" t="s">
        <v>1510</v>
      </c>
      <c r="D1285" t="s">
        <v>16</v>
      </c>
      <c r="E1285" t="s">
        <v>5502</v>
      </c>
      <c r="F1285" t="s">
        <v>1524</v>
      </c>
      <c r="G1285" t="s">
        <v>1523</v>
      </c>
      <c r="I1285" s="2">
        <v>45735</v>
      </c>
      <c r="J1285" t="s">
        <v>20</v>
      </c>
      <c r="K1285" s="21">
        <v>-369.92</v>
      </c>
      <c r="L1285" s="21" t="s">
        <v>86</v>
      </c>
      <c r="M1285">
        <v>12</v>
      </c>
      <c r="N1285" s="21" t="s">
        <v>86</v>
      </c>
    </row>
    <row r="1286" spans="1:14">
      <c r="A1286" t="str">
        <f>IFERROR(_xlfn.XLOOKUP(B1286,Cuentas!$C$1:$C$521,Cuentas!$A$1:$A$521),"")</f>
        <v>Nicolas</v>
      </c>
      <c r="B1286" t="s">
        <v>1509</v>
      </c>
      <c r="C1286" t="s">
        <v>1510</v>
      </c>
      <c r="D1286" t="s">
        <v>16</v>
      </c>
      <c r="E1286" t="s">
        <v>7</v>
      </c>
      <c r="F1286" t="s">
        <v>1525</v>
      </c>
      <c r="G1286" t="s">
        <v>1525</v>
      </c>
      <c r="H1286" s="2">
        <v>45715</v>
      </c>
      <c r="I1286" s="2">
        <v>45745</v>
      </c>
      <c r="J1286" t="s">
        <v>20</v>
      </c>
      <c r="K1286" s="21">
        <v>3436.38</v>
      </c>
      <c r="L1286" s="21">
        <v>3436.38</v>
      </c>
      <c r="M1286">
        <v>13</v>
      </c>
      <c r="N1286" s="21">
        <v>3436.38</v>
      </c>
    </row>
    <row r="1287" spans="1:14">
      <c r="A1287" t="str">
        <f>IFERROR(_xlfn.XLOOKUP(B1287,Cuentas!$C$1:$C$521,Cuentas!$A$1:$A$521),"")</f>
        <v>Nicolas</v>
      </c>
      <c r="B1287" t="s">
        <v>1509</v>
      </c>
      <c r="C1287" t="s">
        <v>1510</v>
      </c>
      <c r="D1287" t="s">
        <v>16</v>
      </c>
      <c r="E1287" t="s">
        <v>7</v>
      </c>
      <c r="F1287" t="s">
        <v>1526</v>
      </c>
      <c r="G1287" t="s">
        <v>1526</v>
      </c>
      <c r="H1287" s="2">
        <v>45716</v>
      </c>
      <c r="I1287" s="2">
        <v>45746</v>
      </c>
      <c r="J1287" t="s">
        <v>20</v>
      </c>
      <c r="K1287" s="21">
        <v>2500</v>
      </c>
      <c r="L1287" s="21">
        <v>2500</v>
      </c>
      <c r="M1287">
        <v>13</v>
      </c>
      <c r="N1287" s="21">
        <v>2500</v>
      </c>
    </row>
    <row r="1288" spans="1:14">
      <c r="A1288" t="str">
        <f>IFERROR(_xlfn.XLOOKUP(B1288,Cuentas!$C$1:$C$521,Cuentas!$A$1:$A$521),"")</f>
        <v>Nicolas</v>
      </c>
      <c r="B1288" t="s">
        <v>1509</v>
      </c>
      <c r="C1288" t="s">
        <v>1510</v>
      </c>
      <c r="D1288" t="s">
        <v>16</v>
      </c>
      <c r="E1288" t="s">
        <v>7</v>
      </c>
      <c r="F1288" t="s">
        <v>1527</v>
      </c>
      <c r="G1288" t="s">
        <v>1527</v>
      </c>
      <c r="H1288" s="2">
        <v>45716</v>
      </c>
      <c r="I1288" s="2">
        <v>45746</v>
      </c>
      <c r="J1288" t="s">
        <v>20</v>
      </c>
      <c r="K1288" s="21">
        <v>130</v>
      </c>
      <c r="L1288" s="21">
        <v>130</v>
      </c>
      <c r="M1288">
        <v>13</v>
      </c>
      <c r="N1288" s="21">
        <v>130</v>
      </c>
    </row>
    <row r="1289" spans="1:14">
      <c r="A1289" t="str">
        <f>IFERROR(_xlfn.XLOOKUP(B1289,Cuentas!$C$1:$C$521,Cuentas!$A$1:$A$521),"")</f>
        <v>Nicolas</v>
      </c>
      <c r="B1289" t="s">
        <v>1509</v>
      </c>
      <c r="C1289" t="s">
        <v>1510</v>
      </c>
      <c r="D1289" t="s">
        <v>16</v>
      </c>
      <c r="E1289" t="s">
        <v>7</v>
      </c>
      <c r="F1289" t="s">
        <v>1528</v>
      </c>
      <c r="G1289" t="s">
        <v>1528</v>
      </c>
      <c r="H1289" s="2">
        <v>45716</v>
      </c>
      <c r="I1289" s="2">
        <v>45746</v>
      </c>
      <c r="J1289" t="s">
        <v>20</v>
      </c>
      <c r="K1289" s="21">
        <v>924.96</v>
      </c>
      <c r="L1289" s="21">
        <v>924.96</v>
      </c>
      <c r="M1289">
        <v>13</v>
      </c>
      <c r="N1289" s="21">
        <v>924.96</v>
      </c>
    </row>
    <row r="1290" spans="1:14">
      <c r="A1290" t="str">
        <f>IFERROR(_xlfn.XLOOKUP(B1290,Cuentas!$C$1:$C$521,Cuentas!$A$1:$A$521),"")</f>
        <v>Nicolas</v>
      </c>
      <c r="B1290" t="s">
        <v>1509</v>
      </c>
      <c r="C1290" t="s">
        <v>1510</v>
      </c>
      <c r="D1290" t="s">
        <v>16</v>
      </c>
      <c r="E1290" t="s">
        <v>7</v>
      </c>
      <c r="F1290" t="s">
        <v>1529</v>
      </c>
      <c r="G1290" t="s">
        <v>1529</v>
      </c>
      <c r="H1290" s="2">
        <v>45721</v>
      </c>
      <c r="I1290" s="2">
        <v>45751</v>
      </c>
      <c r="J1290" t="s">
        <v>20</v>
      </c>
      <c r="K1290" s="21">
        <v>12960</v>
      </c>
      <c r="L1290" s="21">
        <v>12960</v>
      </c>
      <c r="M1290">
        <v>0</v>
      </c>
      <c r="N1290" s="21">
        <v>0</v>
      </c>
    </row>
    <row r="1291" spans="1:14">
      <c r="A1291" t="str">
        <f>IFERROR(_xlfn.XLOOKUP(B1291,Cuentas!$C$1:$C$521,Cuentas!$A$1:$A$521),"")</f>
        <v>Nicolas</v>
      </c>
      <c r="B1291" t="s">
        <v>1509</v>
      </c>
      <c r="C1291" t="s">
        <v>1510</v>
      </c>
      <c r="D1291" t="s">
        <v>16</v>
      </c>
      <c r="E1291" t="s">
        <v>7</v>
      </c>
      <c r="F1291" t="s">
        <v>1530</v>
      </c>
      <c r="G1291" t="s">
        <v>1530</v>
      </c>
      <c r="H1291" s="2">
        <v>45723</v>
      </c>
      <c r="I1291" s="2">
        <v>45753</v>
      </c>
      <c r="J1291" t="s">
        <v>20</v>
      </c>
      <c r="K1291" s="21">
        <v>3096.84</v>
      </c>
      <c r="L1291" s="21">
        <v>3096.84</v>
      </c>
      <c r="M1291">
        <v>0</v>
      </c>
      <c r="N1291" s="21">
        <v>0</v>
      </c>
    </row>
    <row r="1292" spans="1:14">
      <c r="A1292" t="str">
        <f>IFERROR(_xlfn.XLOOKUP(B1292,Cuentas!$C$1:$C$521,Cuentas!$A$1:$A$521),"")</f>
        <v>Nicolas</v>
      </c>
      <c r="B1292" t="s">
        <v>1509</v>
      </c>
      <c r="C1292" t="s">
        <v>1510</v>
      </c>
      <c r="D1292" t="s">
        <v>16</v>
      </c>
      <c r="E1292" t="s">
        <v>7</v>
      </c>
      <c r="F1292" t="s">
        <v>1531</v>
      </c>
      <c r="G1292" t="s">
        <v>1531</v>
      </c>
      <c r="H1292" s="2">
        <v>45723</v>
      </c>
      <c r="I1292" s="2">
        <v>45753</v>
      </c>
      <c r="J1292" t="s">
        <v>20</v>
      </c>
      <c r="K1292" s="21">
        <v>875</v>
      </c>
      <c r="L1292" s="21">
        <v>875</v>
      </c>
      <c r="M1292">
        <v>0</v>
      </c>
      <c r="N1292" s="21">
        <v>0</v>
      </c>
    </row>
    <row r="1293" spans="1:14">
      <c r="A1293" t="str">
        <f>IFERROR(_xlfn.XLOOKUP(B1293,Cuentas!$C$1:$C$521,Cuentas!$A$1:$A$521),"")</f>
        <v>Nicolas</v>
      </c>
      <c r="B1293" t="s">
        <v>1509</v>
      </c>
      <c r="C1293" t="s">
        <v>1510</v>
      </c>
      <c r="D1293" t="s">
        <v>16</v>
      </c>
      <c r="E1293" t="s">
        <v>7</v>
      </c>
      <c r="F1293" t="s">
        <v>1532</v>
      </c>
      <c r="G1293" t="s">
        <v>1532</v>
      </c>
      <c r="H1293" s="2">
        <v>45730</v>
      </c>
      <c r="I1293" s="2">
        <v>45760</v>
      </c>
      <c r="J1293" t="s">
        <v>20</v>
      </c>
      <c r="K1293" s="21">
        <v>75000</v>
      </c>
      <c r="L1293" s="21">
        <v>75000</v>
      </c>
      <c r="M1293">
        <v>0</v>
      </c>
      <c r="N1293" s="21">
        <v>0</v>
      </c>
    </row>
    <row r="1294" spans="1:14">
      <c r="A1294" t="str">
        <f>IFERROR(_xlfn.XLOOKUP(B1294,Cuentas!$C$1:$C$521,Cuentas!$A$1:$A$521),"")</f>
        <v>Nicolas</v>
      </c>
      <c r="B1294" t="s">
        <v>1509</v>
      </c>
      <c r="C1294" t="s">
        <v>1510</v>
      </c>
      <c r="D1294" t="s">
        <v>16</v>
      </c>
      <c r="E1294" t="s">
        <v>7</v>
      </c>
      <c r="F1294" t="s">
        <v>1533</v>
      </c>
      <c r="G1294" t="s">
        <v>1533</v>
      </c>
      <c r="H1294" s="2">
        <v>45730</v>
      </c>
      <c r="I1294" s="2">
        <v>45760</v>
      </c>
      <c r="J1294" t="s">
        <v>20</v>
      </c>
      <c r="K1294" s="21">
        <v>4419.6000000000004</v>
      </c>
      <c r="L1294" s="21">
        <v>4419.6000000000004</v>
      </c>
      <c r="M1294">
        <v>0</v>
      </c>
      <c r="N1294" s="21">
        <v>0</v>
      </c>
    </row>
    <row r="1295" spans="1:14">
      <c r="A1295" t="str">
        <f>IFERROR(_xlfn.XLOOKUP(B1295,Cuentas!$C$1:$C$521,Cuentas!$A$1:$A$521),"")</f>
        <v>Nicolas</v>
      </c>
      <c r="B1295" t="s">
        <v>1509</v>
      </c>
      <c r="C1295" t="s">
        <v>1510</v>
      </c>
      <c r="D1295" t="s">
        <v>16</v>
      </c>
      <c r="E1295" t="s">
        <v>7</v>
      </c>
      <c r="F1295" t="s">
        <v>1534</v>
      </c>
      <c r="G1295" t="s">
        <v>1534</v>
      </c>
      <c r="H1295" s="2">
        <v>45734</v>
      </c>
      <c r="I1295" s="2">
        <v>45764</v>
      </c>
      <c r="J1295" t="s">
        <v>20</v>
      </c>
      <c r="K1295" s="21">
        <v>9475.2000000000007</v>
      </c>
      <c r="L1295" s="21">
        <v>9475.2000000000007</v>
      </c>
      <c r="M1295">
        <v>0</v>
      </c>
      <c r="N1295" s="21">
        <v>0</v>
      </c>
    </row>
    <row r="1296" spans="1:14">
      <c r="A1296" t="str">
        <f>IFERROR(_xlfn.XLOOKUP(B1296,Cuentas!$C$1:$C$521,Cuentas!$A$1:$A$521),"")</f>
        <v>Nicolas</v>
      </c>
      <c r="B1296" t="s">
        <v>1509</v>
      </c>
      <c r="C1296" t="s">
        <v>1510</v>
      </c>
      <c r="D1296" t="s">
        <v>16</v>
      </c>
      <c r="E1296" t="s">
        <v>7</v>
      </c>
      <c r="F1296" t="s">
        <v>1535</v>
      </c>
      <c r="G1296" t="s">
        <v>1535</v>
      </c>
      <c r="H1296" s="2">
        <v>45734</v>
      </c>
      <c r="I1296" s="2">
        <v>45764</v>
      </c>
      <c r="J1296" t="s">
        <v>20</v>
      </c>
      <c r="K1296" s="21">
        <v>9475.2000000000007</v>
      </c>
      <c r="L1296" s="21">
        <v>9475.2000000000007</v>
      </c>
      <c r="M1296">
        <v>0</v>
      </c>
      <c r="N1296" s="21">
        <v>0</v>
      </c>
    </row>
    <row r="1297" spans="1:14">
      <c r="A1297" t="str">
        <f>IFERROR(_xlfn.XLOOKUP(B1297,Cuentas!$C$1:$C$521,Cuentas!$A$1:$A$521),"")</f>
        <v>Nicolas</v>
      </c>
      <c r="B1297" t="s">
        <v>1509</v>
      </c>
      <c r="C1297" t="s">
        <v>1510</v>
      </c>
      <c r="D1297" t="s">
        <v>16</v>
      </c>
      <c r="E1297" t="s">
        <v>7</v>
      </c>
      <c r="F1297" t="s">
        <v>1536</v>
      </c>
      <c r="G1297" t="s">
        <v>1536</v>
      </c>
      <c r="H1297" s="2">
        <v>45734</v>
      </c>
      <c r="I1297" s="2">
        <v>45764</v>
      </c>
      <c r="J1297" t="s">
        <v>20</v>
      </c>
      <c r="K1297" s="21">
        <v>6292.56</v>
      </c>
      <c r="L1297" s="21">
        <v>6292.56</v>
      </c>
      <c r="M1297">
        <v>0</v>
      </c>
      <c r="N1297" s="21">
        <v>0</v>
      </c>
    </row>
    <row r="1298" spans="1:14">
      <c r="A1298" t="str">
        <f>IFERROR(_xlfn.XLOOKUP(B1298,Cuentas!$C$1:$C$521,Cuentas!$A$1:$A$521),"")</f>
        <v>Nicolas</v>
      </c>
      <c r="B1298" t="s">
        <v>1509</v>
      </c>
      <c r="C1298" t="s">
        <v>1510</v>
      </c>
      <c r="D1298" t="s">
        <v>16</v>
      </c>
      <c r="E1298" t="s">
        <v>7</v>
      </c>
      <c r="F1298" t="s">
        <v>1537</v>
      </c>
      <c r="G1298" t="s">
        <v>1537</v>
      </c>
      <c r="H1298" s="2">
        <v>45734</v>
      </c>
      <c r="I1298" s="2">
        <v>45764</v>
      </c>
      <c r="J1298" t="s">
        <v>20</v>
      </c>
      <c r="K1298" s="21">
        <v>9336.06</v>
      </c>
      <c r="L1298" s="21">
        <v>9336.06</v>
      </c>
      <c r="M1298">
        <v>0</v>
      </c>
      <c r="N1298" s="21">
        <v>0</v>
      </c>
    </row>
    <row r="1299" spans="1:14">
      <c r="A1299" t="str">
        <f>IFERROR(_xlfn.XLOOKUP(B1299,Cuentas!$C$1:$C$521,Cuentas!$A$1:$A$521),"")</f>
        <v>Nicolas</v>
      </c>
      <c r="B1299" t="s">
        <v>1509</v>
      </c>
      <c r="C1299" t="s">
        <v>1510</v>
      </c>
      <c r="D1299" t="s">
        <v>16</v>
      </c>
      <c r="E1299" t="s">
        <v>7</v>
      </c>
      <c r="F1299" t="s">
        <v>1538</v>
      </c>
      <c r="G1299" t="s">
        <v>1538</v>
      </c>
      <c r="H1299" s="2">
        <v>45735</v>
      </c>
      <c r="I1299" s="2">
        <v>45765</v>
      </c>
      <c r="J1299" t="s">
        <v>20</v>
      </c>
      <c r="K1299" s="21">
        <v>18576</v>
      </c>
      <c r="L1299" s="21">
        <v>18576</v>
      </c>
      <c r="M1299">
        <v>0</v>
      </c>
      <c r="N1299" s="21">
        <v>0</v>
      </c>
    </row>
    <row r="1300" spans="1:14">
      <c r="A1300" t="str">
        <f>IFERROR(_xlfn.XLOOKUP(B1300,Cuentas!$C$1:$C$521,Cuentas!$A$1:$A$521),"")</f>
        <v>Nicolas</v>
      </c>
      <c r="B1300" t="s">
        <v>1509</v>
      </c>
      <c r="C1300" t="s">
        <v>1510</v>
      </c>
      <c r="D1300" t="s">
        <v>16</v>
      </c>
      <c r="E1300" t="s">
        <v>7</v>
      </c>
      <c r="F1300" t="s">
        <v>1539</v>
      </c>
      <c r="G1300" t="s">
        <v>1539</v>
      </c>
      <c r="H1300" s="2">
        <v>45736</v>
      </c>
      <c r="I1300" s="2">
        <v>45766</v>
      </c>
      <c r="J1300" t="s">
        <v>20</v>
      </c>
      <c r="K1300" s="21">
        <v>4071.48</v>
      </c>
      <c r="L1300" s="21">
        <v>4071.48</v>
      </c>
      <c r="M1300">
        <v>0</v>
      </c>
      <c r="N1300" s="21">
        <v>0</v>
      </c>
    </row>
    <row r="1301" spans="1:14">
      <c r="A1301" t="str">
        <f>IFERROR(_xlfn.XLOOKUP(B1301,Cuentas!$C$1:$C$521,Cuentas!$A$1:$A$521),"")</f>
        <v>Nicolas</v>
      </c>
      <c r="B1301" t="s">
        <v>1509</v>
      </c>
      <c r="C1301" t="s">
        <v>1510</v>
      </c>
      <c r="D1301" t="s">
        <v>16</v>
      </c>
      <c r="E1301" t="s">
        <v>7</v>
      </c>
      <c r="F1301" t="s">
        <v>1540</v>
      </c>
      <c r="G1301" t="s">
        <v>1540</v>
      </c>
      <c r="H1301" s="2">
        <v>45740</v>
      </c>
      <c r="I1301" s="2">
        <v>45770</v>
      </c>
      <c r="J1301" t="s">
        <v>20</v>
      </c>
      <c r="K1301" s="21">
        <v>2935</v>
      </c>
      <c r="L1301" s="21">
        <v>2935</v>
      </c>
      <c r="M1301">
        <v>0</v>
      </c>
      <c r="N1301" s="21">
        <v>0</v>
      </c>
    </row>
    <row r="1302" spans="1:14">
      <c r="A1302" t="str">
        <f>IFERROR(_xlfn.XLOOKUP(B1302,Cuentas!$C$1:$C$521,Cuentas!$A$1:$A$521),"")</f>
        <v>Nicolas</v>
      </c>
      <c r="B1302" t="s">
        <v>1509</v>
      </c>
      <c r="C1302" t="s">
        <v>1510</v>
      </c>
      <c r="D1302" t="s">
        <v>16</v>
      </c>
      <c r="E1302" t="s">
        <v>7</v>
      </c>
      <c r="F1302" t="s">
        <v>1541</v>
      </c>
      <c r="G1302" t="s">
        <v>1541</v>
      </c>
      <c r="H1302" s="2">
        <v>45742</v>
      </c>
      <c r="I1302" s="2">
        <v>45772</v>
      </c>
      <c r="J1302" t="s">
        <v>20</v>
      </c>
      <c r="K1302" s="21">
        <v>78.72</v>
      </c>
      <c r="L1302" s="21">
        <v>78.72</v>
      </c>
      <c r="M1302">
        <v>0</v>
      </c>
      <c r="N1302" s="21">
        <v>0</v>
      </c>
    </row>
    <row r="1303" spans="1:14">
      <c r="A1303" t="str">
        <f>IFERROR(_xlfn.XLOOKUP(B1303,Cuentas!$C$1:$C$521,Cuentas!$A$1:$A$521),"")</f>
        <v>Nicolas</v>
      </c>
      <c r="B1303" t="s">
        <v>1509</v>
      </c>
      <c r="C1303" t="s">
        <v>1510</v>
      </c>
      <c r="D1303" t="s">
        <v>16</v>
      </c>
      <c r="E1303" t="s">
        <v>7</v>
      </c>
      <c r="F1303" t="s">
        <v>1542</v>
      </c>
      <c r="G1303" t="s">
        <v>1542</v>
      </c>
      <c r="H1303" s="2">
        <v>45742</v>
      </c>
      <c r="I1303" s="2">
        <v>45772</v>
      </c>
      <c r="J1303" t="s">
        <v>20</v>
      </c>
      <c r="K1303" s="21">
        <v>10.48</v>
      </c>
      <c r="L1303" s="21">
        <v>10.48</v>
      </c>
      <c r="M1303">
        <v>0</v>
      </c>
      <c r="N1303" s="21">
        <v>0</v>
      </c>
    </row>
    <row r="1304" spans="1:14">
      <c r="A1304" t="str">
        <f>IFERROR(_xlfn.XLOOKUP(B1304,Cuentas!$C$1:$C$521,Cuentas!$A$1:$A$521),"")</f>
        <v>Nicolas</v>
      </c>
      <c r="B1304" t="s">
        <v>1509</v>
      </c>
      <c r="C1304" t="s">
        <v>1510</v>
      </c>
      <c r="D1304" t="s">
        <v>16</v>
      </c>
      <c r="E1304" t="s">
        <v>7</v>
      </c>
      <c r="F1304" t="s">
        <v>1543</v>
      </c>
      <c r="G1304" t="s">
        <v>1543</v>
      </c>
      <c r="H1304" s="2">
        <v>45743</v>
      </c>
      <c r="I1304" s="2">
        <v>45773</v>
      </c>
      <c r="J1304" t="s">
        <v>20</v>
      </c>
      <c r="K1304" s="21">
        <v>15.3</v>
      </c>
      <c r="L1304" s="21">
        <v>15.3</v>
      </c>
      <c r="M1304">
        <v>0</v>
      </c>
      <c r="N1304" s="21">
        <v>0</v>
      </c>
    </row>
    <row r="1305" spans="1:14">
      <c r="A1305" t="str">
        <f>IFERROR(_xlfn.XLOOKUP(B1305,Cuentas!$C$1:$C$521,Cuentas!$A$1:$A$521),"")</f>
        <v>Nicolas</v>
      </c>
      <c r="B1305" t="s">
        <v>1509</v>
      </c>
      <c r="C1305" t="s">
        <v>1510</v>
      </c>
      <c r="D1305" t="s">
        <v>16</v>
      </c>
      <c r="E1305" t="s">
        <v>7</v>
      </c>
      <c r="F1305" t="s">
        <v>1544</v>
      </c>
      <c r="G1305" t="s">
        <v>1544</v>
      </c>
      <c r="H1305" s="2">
        <v>45743</v>
      </c>
      <c r="I1305" s="2">
        <v>45773</v>
      </c>
      <c r="J1305" t="s">
        <v>20</v>
      </c>
      <c r="K1305" s="21">
        <v>439.28</v>
      </c>
      <c r="L1305" s="21">
        <v>439.28</v>
      </c>
      <c r="M1305">
        <v>0</v>
      </c>
      <c r="N1305" s="21">
        <v>0</v>
      </c>
    </row>
    <row r="1306" spans="1:14">
      <c r="A1306" t="str">
        <f>IFERROR(_xlfn.XLOOKUP(B1306,Cuentas!$C$1:$C$521,Cuentas!$A$1:$A$521),"")</f>
        <v>Yuldor</v>
      </c>
      <c r="B1306" t="s">
        <v>1545</v>
      </c>
      <c r="C1306" t="s">
        <v>1546</v>
      </c>
      <c r="D1306" t="s">
        <v>16</v>
      </c>
      <c r="E1306" t="s">
        <v>7</v>
      </c>
      <c r="F1306" t="s">
        <v>1547</v>
      </c>
      <c r="G1306" t="s">
        <v>1547</v>
      </c>
      <c r="H1306" s="2">
        <v>45686</v>
      </c>
      <c r="I1306" s="2">
        <v>45716</v>
      </c>
      <c r="J1306" t="s">
        <v>20</v>
      </c>
      <c r="K1306" s="21">
        <v>1710</v>
      </c>
      <c r="L1306" s="21">
        <v>1710</v>
      </c>
      <c r="M1306">
        <v>0</v>
      </c>
      <c r="N1306" s="21">
        <v>1710</v>
      </c>
    </row>
    <row r="1307" spans="1:14">
      <c r="A1307" t="str">
        <f>IFERROR(_xlfn.XLOOKUP(B1307,Cuentas!$C$1:$C$521,Cuentas!$A$1:$A$521),"")</f>
        <v>Yuldor</v>
      </c>
      <c r="B1307" t="s">
        <v>1545</v>
      </c>
      <c r="C1307" t="s">
        <v>1546</v>
      </c>
      <c r="D1307" t="s">
        <v>16</v>
      </c>
      <c r="E1307" t="s">
        <v>7</v>
      </c>
      <c r="F1307" t="s">
        <v>1548</v>
      </c>
      <c r="G1307" t="s">
        <v>1548</v>
      </c>
      <c r="H1307" s="2">
        <v>45687</v>
      </c>
      <c r="I1307" s="2">
        <v>45717</v>
      </c>
      <c r="J1307" t="s">
        <v>20</v>
      </c>
      <c r="K1307" s="21">
        <v>6</v>
      </c>
      <c r="L1307" s="21">
        <v>6</v>
      </c>
      <c r="M1307">
        <v>10</v>
      </c>
      <c r="N1307" s="21">
        <v>6</v>
      </c>
    </row>
    <row r="1308" spans="1:14">
      <c r="A1308" t="str">
        <f>IFERROR(_xlfn.XLOOKUP(B1308,Cuentas!$C$1:$C$521,Cuentas!$A$1:$A$521),"")</f>
        <v>Yuldor</v>
      </c>
      <c r="B1308" t="s">
        <v>1545</v>
      </c>
      <c r="C1308" t="s">
        <v>1546</v>
      </c>
      <c r="D1308" t="s">
        <v>16</v>
      </c>
      <c r="E1308" t="s">
        <v>7</v>
      </c>
      <c r="F1308" t="s">
        <v>1549</v>
      </c>
      <c r="G1308" t="s">
        <v>1549</v>
      </c>
      <c r="H1308" s="2">
        <v>45695</v>
      </c>
      <c r="I1308" s="2">
        <v>45725</v>
      </c>
      <c r="J1308" t="s">
        <v>20</v>
      </c>
      <c r="K1308" s="21">
        <v>6943</v>
      </c>
      <c r="L1308" s="21">
        <v>6943</v>
      </c>
      <c r="M1308">
        <v>11</v>
      </c>
      <c r="N1308" s="21">
        <v>6943</v>
      </c>
    </row>
    <row r="1309" spans="1:14">
      <c r="A1309" t="str">
        <f>IFERROR(_xlfn.XLOOKUP(B1309,Cuentas!$C$1:$C$521,Cuentas!$A$1:$A$521),"")</f>
        <v>Yuldor</v>
      </c>
      <c r="B1309" t="s">
        <v>1545</v>
      </c>
      <c r="C1309" t="s">
        <v>1546</v>
      </c>
      <c r="D1309" t="s">
        <v>16</v>
      </c>
      <c r="E1309" t="s">
        <v>7</v>
      </c>
      <c r="F1309" t="s">
        <v>1550</v>
      </c>
      <c r="G1309" t="s">
        <v>1550</v>
      </c>
      <c r="H1309" s="2">
        <v>45708</v>
      </c>
      <c r="I1309" s="2">
        <v>45738</v>
      </c>
      <c r="J1309" t="s">
        <v>20</v>
      </c>
      <c r="K1309" s="21">
        <v>459.6</v>
      </c>
      <c r="L1309" s="21">
        <v>459.6</v>
      </c>
      <c r="M1309">
        <v>12</v>
      </c>
      <c r="N1309" s="21">
        <v>459.6</v>
      </c>
    </row>
    <row r="1310" spans="1:14">
      <c r="A1310" t="str">
        <f>IFERROR(_xlfn.XLOOKUP(B1310,Cuentas!$C$1:$C$521,Cuentas!$A$1:$A$521),"")</f>
        <v>Yuldor</v>
      </c>
      <c r="B1310" t="s">
        <v>1545</v>
      </c>
      <c r="C1310" t="s">
        <v>1546</v>
      </c>
      <c r="D1310" t="s">
        <v>16</v>
      </c>
      <c r="E1310" t="s">
        <v>7</v>
      </c>
      <c r="F1310" t="s">
        <v>1551</v>
      </c>
      <c r="G1310" t="s">
        <v>1551</v>
      </c>
      <c r="H1310" s="2">
        <v>45709</v>
      </c>
      <c r="I1310" s="2">
        <v>45739</v>
      </c>
      <c r="J1310" t="s">
        <v>20</v>
      </c>
      <c r="K1310" s="21">
        <v>979.2</v>
      </c>
      <c r="L1310" s="21">
        <v>979.2</v>
      </c>
      <c r="M1310">
        <v>13</v>
      </c>
      <c r="N1310" s="21">
        <v>979.2</v>
      </c>
    </row>
    <row r="1311" spans="1:14">
      <c r="A1311" t="str">
        <f>IFERROR(_xlfn.XLOOKUP(B1311,Cuentas!$C$1:$C$521,Cuentas!$A$1:$A$521),"")</f>
        <v>Yuldor</v>
      </c>
      <c r="B1311" t="s">
        <v>1545</v>
      </c>
      <c r="C1311" t="s">
        <v>1546</v>
      </c>
      <c r="D1311" t="s">
        <v>16</v>
      </c>
      <c r="E1311" t="s">
        <v>7</v>
      </c>
      <c r="F1311" t="s">
        <v>1552</v>
      </c>
      <c r="G1311" t="s">
        <v>1552</v>
      </c>
      <c r="H1311" s="2">
        <v>45716</v>
      </c>
      <c r="I1311" s="2">
        <v>45746</v>
      </c>
      <c r="J1311" t="s">
        <v>20</v>
      </c>
      <c r="K1311" s="21">
        <v>650</v>
      </c>
      <c r="L1311" s="21">
        <v>650</v>
      </c>
      <c r="M1311">
        <v>13</v>
      </c>
      <c r="N1311" s="21">
        <v>650</v>
      </c>
    </row>
    <row r="1312" spans="1:14">
      <c r="A1312" t="str">
        <f>IFERROR(_xlfn.XLOOKUP(B1312,Cuentas!$C$1:$C$521,Cuentas!$A$1:$A$521),"")</f>
        <v>Yuldor</v>
      </c>
      <c r="B1312" t="s">
        <v>1553</v>
      </c>
      <c r="C1312" t="s">
        <v>1554</v>
      </c>
      <c r="D1312" t="s">
        <v>1555</v>
      </c>
      <c r="E1312" t="s">
        <v>7</v>
      </c>
      <c r="F1312" t="s">
        <v>1556</v>
      </c>
      <c r="G1312" t="s">
        <v>1556</v>
      </c>
      <c r="H1312" s="2">
        <v>45419</v>
      </c>
      <c r="I1312" s="2">
        <v>45464</v>
      </c>
      <c r="J1312" t="s">
        <v>20</v>
      </c>
      <c r="K1312" s="21">
        <v>32.979999999999997</v>
      </c>
      <c r="L1312" s="21">
        <v>32.979999999999997</v>
      </c>
      <c r="M1312">
        <v>0</v>
      </c>
      <c r="N1312" s="21">
        <v>32.979999999999997</v>
      </c>
    </row>
    <row r="1313" spans="1:14">
      <c r="A1313" t="str">
        <f>IFERROR(_xlfn.XLOOKUP(B1313,Cuentas!$C$1:$C$521,Cuentas!$A$1:$A$521),"")</f>
        <v>Yuldor</v>
      </c>
      <c r="B1313" t="s">
        <v>1553</v>
      </c>
      <c r="C1313" t="s">
        <v>1554</v>
      </c>
      <c r="D1313" t="s">
        <v>1555</v>
      </c>
      <c r="E1313" t="s">
        <v>7</v>
      </c>
      <c r="F1313" t="s">
        <v>1557</v>
      </c>
      <c r="G1313" t="s">
        <v>1557</v>
      </c>
      <c r="H1313" s="2">
        <v>45730</v>
      </c>
      <c r="I1313" s="2">
        <v>45775</v>
      </c>
      <c r="J1313" t="s">
        <v>20</v>
      </c>
      <c r="K1313" s="21">
        <v>529.67999999999995</v>
      </c>
      <c r="L1313" s="21">
        <v>529.67999999999995</v>
      </c>
      <c r="M1313">
        <v>0</v>
      </c>
      <c r="N1313" s="21">
        <v>0</v>
      </c>
    </row>
    <row r="1314" spans="1:14">
      <c r="A1314" t="str">
        <f>IFERROR(_xlfn.XLOOKUP(B1314,Cuentas!$C$1:$C$521,Cuentas!$A$1:$A$521),"")</f>
        <v>Alexandra</v>
      </c>
      <c r="B1314" t="s">
        <v>1558</v>
      </c>
      <c r="C1314" t="s">
        <v>1559</v>
      </c>
      <c r="D1314" t="s">
        <v>16</v>
      </c>
      <c r="E1314" t="s">
        <v>7</v>
      </c>
      <c r="F1314" t="s">
        <v>1560</v>
      </c>
      <c r="G1314" t="s">
        <v>1560</v>
      </c>
      <c r="H1314" s="2">
        <v>45607</v>
      </c>
      <c r="I1314" s="2">
        <v>45637</v>
      </c>
      <c r="J1314" t="s">
        <v>20</v>
      </c>
      <c r="K1314" s="21">
        <v>2264.9</v>
      </c>
      <c r="L1314" s="21">
        <v>2264.9</v>
      </c>
      <c r="M1314">
        <v>0</v>
      </c>
      <c r="N1314" s="21">
        <v>2264.9</v>
      </c>
    </row>
    <row r="1315" spans="1:14">
      <c r="A1315" t="str">
        <f>IFERROR(_xlfn.XLOOKUP(B1315,Cuentas!$C$1:$C$521,Cuentas!$A$1:$A$521),"")</f>
        <v>Alexandra</v>
      </c>
      <c r="B1315" t="s">
        <v>1561</v>
      </c>
      <c r="C1315" t="s">
        <v>1562</v>
      </c>
      <c r="D1315" t="s">
        <v>213</v>
      </c>
      <c r="E1315" t="s">
        <v>3139</v>
      </c>
      <c r="F1315" t="s">
        <v>19</v>
      </c>
      <c r="G1315" t="s">
        <v>19</v>
      </c>
      <c r="I1315" s="2">
        <v>45373</v>
      </c>
      <c r="J1315" t="s">
        <v>20</v>
      </c>
      <c r="K1315" s="21">
        <v>-299.55</v>
      </c>
      <c r="L1315" s="21">
        <v>-299.55</v>
      </c>
      <c r="M1315">
        <v>0</v>
      </c>
      <c r="N1315" s="21">
        <v>-299.55</v>
      </c>
    </row>
    <row r="1316" spans="1:14">
      <c r="A1316" t="str">
        <f>IFERROR(_xlfn.XLOOKUP(B1316,Cuentas!$C$1:$C$521,Cuentas!$A$1:$A$521),"")</f>
        <v>Nicolas</v>
      </c>
      <c r="B1316" t="s">
        <v>1563</v>
      </c>
      <c r="C1316" t="s">
        <v>1564</v>
      </c>
      <c r="D1316" t="s">
        <v>16</v>
      </c>
      <c r="E1316" t="s">
        <v>7</v>
      </c>
      <c r="F1316" t="s">
        <v>1565</v>
      </c>
      <c r="G1316" t="s">
        <v>1565</v>
      </c>
      <c r="H1316" s="2">
        <v>45685</v>
      </c>
      <c r="I1316" s="2">
        <v>45715</v>
      </c>
      <c r="J1316" t="s">
        <v>20</v>
      </c>
      <c r="K1316" s="21">
        <v>49937.3</v>
      </c>
      <c r="L1316" s="21">
        <v>49937.3</v>
      </c>
      <c r="M1316">
        <v>0</v>
      </c>
      <c r="N1316" s="21">
        <v>49937.3</v>
      </c>
    </row>
    <row r="1317" spans="1:14">
      <c r="A1317" t="str">
        <f>IFERROR(_xlfn.XLOOKUP(B1317,Cuentas!$C$1:$C$521,Cuentas!$A$1:$A$521),"")</f>
        <v>Alexandra</v>
      </c>
      <c r="B1317" t="s">
        <v>1566</v>
      </c>
      <c r="C1317" t="s">
        <v>1567</v>
      </c>
      <c r="D1317" t="s">
        <v>16</v>
      </c>
      <c r="E1317" t="s">
        <v>7</v>
      </c>
      <c r="F1317" t="s">
        <v>1568</v>
      </c>
      <c r="G1317" t="s">
        <v>1568</v>
      </c>
      <c r="H1317" s="2">
        <v>45622</v>
      </c>
      <c r="I1317" s="2">
        <v>45652</v>
      </c>
      <c r="J1317" t="s">
        <v>20</v>
      </c>
      <c r="K1317" s="21">
        <v>136.5</v>
      </c>
      <c r="L1317" s="21">
        <v>136.5</v>
      </c>
      <c r="M1317">
        <v>0</v>
      </c>
      <c r="N1317" s="21">
        <v>136.5</v>
      </c>
    </row>
    <row r="1318" spans="1:14">
      <c r="A1318" t="str">
        <f>IFERROR(_xlfn.XLOOKUP(B1318,Cuentas!$C$1:$C$521,Cuentas!$A$1:$A$521),"")</f>
        <v>Alexandra</v>
      </c>
      <c r="B1318" t="s">
        <v>1566</v>
      </c>
      <c r="C1318" t="s">
        <v>1567</v>
      </c>
      <c r="D1318" t="s">
        <v>16</v>
      </c>
      <c r="E1318" t="s">
        <v>7</v>
      </c>
      <c r="F1318" t="s">
        <v>1569</v>
      </c>
      <c r="G1318" t="s">
        <v>1569</v>
      </c>
      <c r="H1318" s="2">
        <v>45708</v>
      </c>
      <c r="I1318" s="2">
        <v>45738</v>
      </c>
      <c r="J1318" t="s">
        <v>20</v>
      </c>
      <c r="K1318" s="21">
        <v>138</v>
      </c>
      <c r="L1318" s="21">
        <v>138</v>
      </c>
      <c r="M1318">
        <v>12</v>
      </c>
      <c r="N1318" s="21">
        <v>138</v>
      </c>
    </row>
    <row r="1319" spans="1:14">
      <c r="A1319" t="str">
        <f>IFERROR(_xlfn.XLOOKUP(B1319,Cuentas!$C$1:$C$521,Cuentas!$A$1:$A$521),"")</f>
        <v>Alexandra</v>
      </c>
      <c r="B1319" t="s">
        <v>1570</v>
      </c>
      <c r="C1319" t="s">
        <v>1571</v>
      </c>
      <c r="D1319" t="s">
        <v>1216</v>
      </c>
      <c r="E1319" t="s">
        <v>7</v>
      </c>
      <c r="F1319" t="s">
        <v>1572</v>
      </c>
      <c r="G1319" t="s">
        <v>1572</v>
      </c>
      <c r="H1319" s="2">
        <v>45527</v>
      </c>
      <c r="I1319" s="2">
        <v>45617</v>
      </c>
      <c r="J1319" t="s">
        <v>20</v>
      </c>
      <c r="K1319" s="21">
        <v>93.6</v>
      </c>
      <c r="L1319" s="21">
        <v>93.6</v>
      </c>
      <c r="M1319">
        <v>0</v>
      </c>
      <c r="N1319" s="21">
        <v>93.6</v>
      </c>
    </row>
    <row r="1320" spans="1:14">
      <c r="A1320" t="str">
        <f>IFERROR(_xlfn.XLOOKUP(B1320,Cuentas!$C$1:$C$521,Cuentas!$A$1:$A$521),"")</f>
        <v>Alexandra</v>
      </c>
      <c r="B1320" t="s">
        <v>1570</v>
      </c>
      <c r="C1320" t="s">
        <v>1571</v>
      </c>
      <c r="D1320" t="s">
        <v>1216</v>
      </c>
      <c r="E1320" t="s">
        <v>7</v>
      </c>
      <c r="F1320" t="s">
        <v>1573</v>
      </c>
      <c r="G1320" t="s">
        <v>1573</v>
      </c>
      <c r="H1320" s="2">
        <v>45565</v>
      </c>
      <c r="I1320" s="2">
        <v>45655</v>
      </c>
      <c r="J1320" t="s">
        <v>20</v>
      </c>
      <c r="K1320" s="21">
        <v>9393.5</v>
      </c>
      <c r="L1320" s="21">
        <v>9393.5</v>
      </c>
      <c r="M1320">
        <v>0</v>
      </c>
      <c r="N1320" s="21">
        <v>9393.5</v>
      </c>
    </row>
    <row r="1321" spans="1:14">
      <c r="A1321" t="str">
        <f>IFERROR(_xlfn.XLOOKUP(B1321,Cuentas!$C$1:$C$521,Cuentas!$A$1:$A$521),"")</f>
        <v>Alexandra</v>
      </c>
      <c r="B1321" t="s">
        <v>1570</v>
      </c>
      <c r="C1321" t="s">
        <v>1571</v>
      </c>
      <c r="D1321" t="s">
        <v>1216</v>
      </c>
      <c r="E1321" t="s">
        <v>7</v>
      </c>
      <c r="F1321" t="s">
        <v>1574</v>
      </c>
      <c r="G1321" t="s">
        <v>1574</v>
      </c>
      <c r="H1321" s="2">
        <v>45588</v>
      </c>
      <c r="I1321" s="2">
        <v>45678</v>
      </c>
      <c r="J1321" t="s">
        <v>20</v>
      </c>
      <c r="K1321" s="21">
        <v>13572</v>
      </c>
      <c r="L1321" s="21">
        <v>13572</v>
      </c>
      <c r="M1321">
        <v>0</v>
      </c>
      <c r="N1321" s="21">
        <v>13572</v>
      </c>
    </row>
    <row r="1322" spans="1:14">
      <c r="A1322" t="str">
        <f>IFERROR(_xlfn.XLOOKUP(B1322,Cuentas!$C$1:$C$521,Cuentas!$A$1:$A$521),"")</f>
        <v>Alexandra</v>
      </c>
      <c r="B1322" t="s">
        <v>1570</v>
      </c>
      <c r="C1322" t="s">
        <v>1571</v>
      </c>
      <c r="D1322" t="s">
        <v>1216</v>
      </c>
      <c r="E1322" t="s">
        <v>7</v>
      </c>
      <c r="F1322" t="s">
        <v>1575</v>
      </c>
      <c r="G1322" t="s">
        <v>1575</v>
      </c>
      <c r="H1322" s="2">
        <v>45593</v>
      </c>
      <c r="I1322" s="2">
        <v>45683</v>
      </c>
      <c r="J1322" t="s">
        <v>20</v>
      </c>
      <c r="K1322" s="21">
        <v>8996</v>
      </c>
      <c r="L1322" s="21">
        <v>8996</v>
      </c>
      <c r="M1322">
        <v>0</v>
      </c>
      <c r="N1322" s="21">
        <v>8996</v>
      </c>
    </row>
    <row r="1323" spans="1:14">
      <c r="A1323" t="str">
        <f>IFERROR(_xlfn.XLOOKUP(B1323,Cuentas!$C$1:$C$521,Cuentas!$A$1:$A$521),"")</f>
        <v>Alexandra</v>
      </c>
      <c r="B1323" t="s">
        <v>1570</v>
      </c>
      <c r="C1323" t="s">
        <v>1571</v>
      </c>
      <c r="D1323" t="s">
        <v>1216</v>
      </c>
      <c r="E1323" t="s">
        <v>7</v>
      </c>
      <c r="F1323" t="s">
        <v>1576</v>
      </c>
      <c r="G1323" t="s">
        <v>1576</v>
      </c>
      <c r="H1323" s="2">
        <v>45603</v>
      </c>
      <c r="I1323" s="2">
        <v>45693</v>
      </c>
      <c r="J1323" t="s">
        <v>20</v>
      </c>
      <c r="K1323" s="21">
        <v>7280</v>
      </c>
      <c r="L1323" s="21">
        <v>7280</v>
      </c>
      <c r="M1323">
        <v>0</v>
      </c>
      <c r="N1323" s="21">
        <v>7280</v>
      </c>
    </row>
    <row r="1324" spans="1:14">
      <c r="A1324" t="str">
        <f>IFERROR(_xlfn.XLOOKUP(B1324,Cuentas!$C$1:$C$521,Cuentas!$A$1:$A$521),"")</f>
        <v>Yuldor</v>
      </c>
      <c r="B1324" t="s">
        <v>1577</v>
      </c>
      <c r="C1324" t="s">
        <v>1578</v>
      </c>
      <c r="D1324" t="s">
        <v>16</v>
      </c>
      <c r="E1324" t="s">
        <v>7</v>
      </c>
      <c r="F1324" t="s">
        <v>1579</v>
      </c>
      <c r="G1324" t="s">
        <v>1579</v>
      </c>
      <c r="H1324" s="2">
        <v>45670</v>
      </c>
      <c r="I1324" s="2">
        <v>45700</v>
      </c>
      <c r="J1324" t="s">
        <v>20</v>
      </c>
      <c r="K1324" s="21">
        <v>100</v>
      </c>
      <c r="L1324" s="21">
        <v>100</v>
      </c>
      <c r="M1324">
        <v>0</v>
      </c>
      <c r="N1324" s="21">
        <v>100</v>
      </c>
    </row>
    <row r="1325" spans="1:14">
      <c r="A1325" t="str">
        <f>IFERROR(_xlfn.XLOOKUP(B1325,Cuentas!$C$1:$C$521,Cuentas!$A$1:$A$521),"")</f>
        <v>Yuldor</v>
      </c>
      <c r="B1325" t="s">
        <v>1577</v>
      </c>
      <c r="C1325" t="s">
        <v>1578</v>
      </c>
      <c r="D1325" t="s">
        <v>16</v>
      </c>
      <c r="E1325" t="s">
        <v>7</v>
      </c>
      <c r="F1325" t="s">
        <v>1580</v>
      </c>
      <c r="G1325" t="s">
        <v>1580</v>
      </c>
      <c r="H1325" s="2">
        <v>45734</v>
      </c>
      <c r="I1325" s="2">
        <v>45764</v>
      </c>
      <c r="J1325" t="s">
        <v>20</v>
      </c>
      <c r="K1325" s="21">
        <v>2184</v>
      </c>
      <c r="L1325" s="21">
        <v>2184</v>
      </c>
      <c r="M1325">
        <v>0</v>
      </c>
      <c r="N1325" s="21">
        <v>0</v>
      </c>
    </row>
    <row r="1326" spans="1:14">
      <c r="A1326" t="str">
        <f>IFERROR(_xlfn.XLOOKUP(B1326,Cuentas!$C$1:$C$521,Cuentas!$A$1:$A$521),"")</f>
        <v>Yuldor</v>
      </c>
      <c r="B1326" t="s">
        <v>1581</v>
      </c>
      <c r="C1326" t="s">
        <v>1582</v>
      </c>
      <c r="D1326" t="s">
        <v>16</v>
      </c>
      <c r="E1326" t="s">
        <v>7</v>
      </c>
      <c r="F1326" t="s">
        <v>1583</v>
      </c>
      <c r="G1326" t="s">
        <v>1583</v>
      </c>
      <c r="H1326" s="2">
        <v>45689</v>
      </c>
      <c r="I1326" s="2">
        <v>45719</v>
      </c>
      <c r="J1326" t="s">
        <v>20</v>
      </c>
      <c r="K1326" s="21">
        <v>509</v>
      </c>
      <c r="L1326" s="21">
        <v>509</v>
      </c>
      <c r="M1326">
        <v>10</v>
      </c>
      <c r="N1326" s="21">
        <v>509</v>
      </c>
    </row>
    <row r="1327" spans="1:14">
      <c r="A1327" t="str">
        <f>IFERROR(_xlfn.XLOOKUP(B1327,Cuentas!$C$1:$C$521,Cuentas!$A$1:$A$521),"")</f>
        <v>Yuldor</v>
      </c>
      <c r="B1327" t="s">
        <v>1581</v>
      </c>
      <c r="C1327" t="s">
        <v>1582</v>
      </c>
      <c r="D1327" t="s">
        <v>16</v>
      </c>
      <c r="E1327" t="s">
        <v>7</v>
      </c>
      <c r="F1327" t="s">
        <v>1584</v>
      </c>
      <c r="G1327" t="s">
        <v>1584</v>
      </c>
      <c r="H1327" s="2">
        <v>45698</v>
      </c>
      <c r="I1327" s="2">
        <v>45728</v>
      </c>
      <c r="J1327" t="s">
        <v>20</v>
      </c>
      <c r="K1327" s="21">
        <v>388</v>
      </c>
      <c r="L1327" s="21">
        <v>388</v>
      </c>
      <c r="M1327">
        <v>11</v>
      </c>
      <c r="N1327" s="21">
        <v>388</v>
      </c>
    </row>
    <row r="1328" spans="1:14">
      <c r="A1328" t="str">
        <f>IFERROR(_xlfn.XLOOKUP(B1328,Cuentas!$C$1:$C$521,Cuentas!$A$1:$A$521),"")</f>
        <v>Yuldor</v>
      </c>
      <c r="B1328" t="s">
        <v>1581</v>
      </c>
      <c r="C1328" t="s">
        <v>1582</v>
      </c>
      <c r="D1328" t="s">
        <v>16</v>
      </c>
      <c r="E1328" t="s">
        <v>7</v>
      </c>
      <c r="F1328" t="s">
        <v>1585</v>
      </c>
      <c r="G1328" t="s">
        <v>1585</v>
      </c>
      <c r="H1328" s="2">
        <v>45699</v>
      </c>
      <c r="I1328" s="2">
        <v>45729</v>
      </c>
      <c r="J1328" t="s">
        <v>20</v>
      </c>
      <c r="K1328" s="21">
        <v>989.48</v>
      </c>
      <c r="L1328" s="21">
        <v>989.48</v>
      </c>
      <c r="M1328">
        <v>11</v>
      </c>
      <c r="N1328" s="21">
        <v>989.48</v>
      </c>
    </row>
    <row r="1329" spans="1:14">
      <c r="A1329" t="str">
        <f>IFERROR(_xlfn.XLOOKUP(B1329,Cuentas!$C$1:$C$521,Cuentas!$A$1:$A$521),"")</f>
        <v>Yuldor</v>
      </c>
      <c r="B1329" t="s">
        <v>1581</v>
      </c>
      <c r="C1329" t="s">
        <v>1582</v>
      </c>
      <c r="D1329" t="s">
        <v>16</v>
      </c>
      <c r="E1329" t="s">
        <v>7</v>
      </c>
      <c r="F1329" t="s">
        <v>1586</v>
      </c>
      <c r="G1329" t="s">
        <v>1586</v>
      </c>
      <c r="H1329" s="2">
        <v>45709</v>
      </c>
      <c r="I1329" s="2">
        <v>45739</v>
      </c>
      <c r="J1329" t="s">
        <v>20</v>
      </c>
      <c r="K1329" s="21">
        <v>803</v>
      </c>
      <c r="L1329" s="21">
        <v>803</v>
      </c>
      <c r="M1329">
        <v>13</v>
      </c>
      <c r="N1329" s="21">
        <v>803</v>
      </c>
    </row>
    <row r="1330" spans="1:14">
      <c r="A1330" t="str">
        <f>IFERROR(_xlfn.XLOOKUP(B1330,Cuentas!$C$1:$C$521,Cuentas!$A$1:$A$521),"")</f>
        <v>Yuldor</v>
      </c>
      <c r="B1330" t="s">
        <v>1581</v>
      </c>
      <c r="C1330" t="s">
        <v>1582</v>
      </c>
      <c r="D1330" t="s">
        <v>16</v>
      </c>
      <c r="E1330" t="s">
        <v>7</v>
      </c>
      <c r="F1330" t="s">
        <v>1587</v>
      </c>
      <c r="G1330" t="s">
        <v>1587</v>
      </c>
      <c r="H1330" s="2">
        <v>45712</v>
      </c>
      <c r="I1330" s="2">
        <v>45742</v>
      </c>
      <c r="J1330" t="s">
        <v>20</v>
      </c>
      <c r="K1330" s="21">
        <v>744.48</v>
      </c>
      <c r="L1330" s="21">
        <v>744.48</v>
      </c>
      <c r="M1330">
        <v>13</v>
      </c>
      <c r="N1330" s="21">
        <v>744.48</v>
      </c>
    </row>
    <row r="1331" spans="1:14">
      <c r="A1331" t="str">
        <f>IFERROR(_xlfn.XLOOKUP(B1331,Cuentas!$C$1:$C$521,Cuentas!$A$1:$A$521),"")</f>
        <v>Yuldor</v>
      </c>
      <c r="B1331" t="s">
        <v>1581</v>
      </c>
      <c r="C1331" t="s">
        <v>1582</v>
      </c>
      <c r="D1331" t="s">
        <v>16</v>
      </c>
      <c r="E1331" t="s">
        <v>7</v>
      </c>
      <c r="F1331" t="s">
        <v>1588</v>
      </c>
      <c r="G1331" t="s">
        <v>1588</v>
      </c>
      <c r="H1331" s="2">
        <v>45715</v>
      </c>
      <c r="I1331" s="2">
        <v>45745</v>
      </c>
      <c r="J1331" t="s">
        <v>20</v>
      </c>
      <c r="K1331" s="21">
        <v>1013</v>
      </c>
      <c r="L1331" s="21">
        <v>1013</v>
      </c>
      <c r="M1331">
        <v>13</v>
      </c>
      <c r="N1331" s="21">
        <v>1013</v>
      </c>
    </row>
    <row r="1332" spans="1:14">
      <c r="A1332" t="str">
        <f>IFERROR(_xlfn.XLOOKUP(B1332,Cuentas!$C$1:$C$521,Cuentas!$A$1:$A$521),"")</f>
        <v>Yuldor</v>
      </c>
      <c r="B1332" t="s">
        <v>1581</v>
      </c>
      <c r="C1332" t="s">
        <v>1582</v>
      </c>
      <c r="D1332" t="s">
        <v>16</v>
      </c>
      <c r="E1332" t="s">
        <v>7</v>
      </c>
      <c r="F1332" t="s">
        <v>1589</v>
      </c>
      <c r="G1332" t="s">
        <v>1589</v>
      </c>
      <c r="H1332" s="2">
        <v>45719</v>
      </c>
      <c r="I1332" s="2">
        <v>45749</v>
      </c>
      <c r="J1332" t="s">
        <v>20</v>
      </c>
      <c r="K1332" s="21">
        <v>1488.96</v>
      </c>
      <c r="L1332" s="21">
        <v>1488.96</v>
      </c>
      <c r="M1332">
        <v>0</v>
      </c>
      <c r="N1332" s="21">
        <v>0</v>
      </c>
    </row>
    <row r="1333" spans="1:14">
      <c r="A1333" t="str">
        <f>IFERROR(_xlfn.XLOOKUP(B1333,Cuentas!$C$1:$C$521,Cuentas!$A$1:$A$521),"")</f>
        <v>Yuldor</v>
      </c>
      <c r="B1333" t="s">
        <v>1581</v>
      </c>
      <c r="C1333" t="s">
        <v>1582</v>
      </c>
      <c r="D1333" t="s">
        <v>16</v>
      </c>
      <c r="E1333" t="s">
        <v>7</v>
      </c>
      <c r="F1333" t="s">
        <v>1590</v>
      </c>
      <c r="G1333" t="s">
        <v>1590</v>
      </c>
      <c r="H1333" s="2">
        <v>45720</v>
      </c>
      <c r="I1333" s="2">
        <v>45750</v>
      </c>
      <c r="J1333" t="s">
        <v>20</v>
      </c>
      <c r="K1333" s="21">
        <v>733</v>
      </c>
      <c r="L1333" s="21">
        <v>733</v>
      </c>
      <c r="M1333">
        <v>0</v>
      </c>
      <c r="N1333" s="21">
        <v>0</v>
      </c>
    </row>
    <row r="1334" spans="1:14">
      <c r="A1334" t="str">
        <f>IFERROR(_xlfn.XLOOKUP(B1334,Cuentas!$C$1:$C$521,Cuentas!$A$1:$A$521),"")</f>
        <v>Yuldor</v>
      </c>
      <c r="B1334" t="s">
        <v>1581</v>
      </c>
      <c r="C1334" t="s">
        <v>1582</v>
      </c>
      <c r="D1334" t="s">
        <v>16</v>
      </c>
      <c r="E1334" t="s">
        <v>7</v>
      </c>
      <c r="F1334" t="s">
        <v>1591</v>
      </c>
      <c r="G1334" t="s">
        <v>1591</v>
      </c>
      <c r="H1334" s="2">
        <v>45726</v>
      </c>
      <c r="I1334" s="2">
        <v>45756</v>
      </c>
      <c r="J1334" t="s">
        <v>20</v>
      </c>
      <c r="K1334" s="21">
        <v>1494.6</v>
      </c>
      <c r="L1334" s="21">
        <v>1494.6</v>
      </c>
      <c r="M1334">
        <v>0</v>
      </c>
      <c r="N1334" s="21">
        <v>0</v>
      </c>
    </row>
    <row r="1335" spans="1:14">
      <c r="A1335" t="str">
        <f>IFERROR(_xlfn.XLOOKUP(B1335,Cuentas!$C$1:$C$521,Cuentas!$A$1:$A$521),"")</f>
        <v>Yuldor</v>
      </c>
      <c r="B1335" t="s">
        <v>1581</v>
      </c>
      <c r="C1335" t="s">
        <v>1582</v>
      </c>
      <c r="D1335" t="s">
        <v>16</v>
      </c>
      <c r="E1335" t="s">
        <v>7</v>
      </c>
      <c r="F1335" t="s">
        <v>1592</v>
      </c>
      <c r="G1335" t="s">
        <v>1592</v>
      </c>
      <c r="H1335" s="2">
        <v>45733</v>
      </c>
      <c r="I1335" s="2">
        <v>45763</v>
      </c>
      <c r="J1335" t="s">
        <v>20</v>
      </c>
      <c r="K1335" s="21">
        <v>363</v>
      </c>
      <c r="L1335" s="21">
        <v>363</v>
      </c>
      <c r="M1335">
        <v>0</v>
      </c>
      <c r="N1335" s="21">
        <v>0</v>
      </c>
    </row>
    <row r="1336" spans="1:14">
      <c r="A1336" t="str">
        <f>IFERROR(_xlfn.XLOOKUP(B1336,Cuentas!$C$1:$C$521,Cuentas!$A$1:$A$521),"")</f>
        <v>Yuldor</v>
      </c>
      <c r="B1336" t="s">
        <v>1581</v>
      </c>
      <c r="C1336" t="s">
        <v>1582</v>
      </c>
      <c r="D1336" t="s">
        <v>16</v>
      </c>
      <c r="E1336" t="s">
        <v>7</v>
      </c>
      <c r="F1336" t="s">
        <v>1593</v>
      </c>
      <c r="G1336" t="s">
        <v>1593</v>
      </c>
      <c r="H1336" s="2">
        <v>45734</v>
      </c>
      <c r="I1336" s="2">
        <v>45764</v>
      </c>
      <c r="J1336" t="s">
        <v>20</v>
      </c>
      <c r="K1336" s="21">
        <v>1590.48</v>
      </c>
      <c r="L1336" s="21">
        <v>1590.48</v>
      </c>
      <c r="M1336">
        <v>0</v>
      </c>
      <c r="N1336" s="21">
        <v>0</v>
      </c>
    </row>
    <row r="1337" spans="1:14">
      <c r="A1337" t="str">
        <f>IFERROR(_xlfn.XLOOKUP(B1337,Cuentas!$C$1:$C$521,Cuentas!$A$1:$A$521),"")</f>
        <v>Yuldor</v>
      </c>
      <c r="B1337" t="s">
        <v>1581</v>
      </c>
      <c r="C1337" t="s">
        <v>1582</v>
      </c>
      <c r="D1337" t="s">
        <v>16</v>
      </c>
      <c r="E1337" t="s">
        <v>7</v>
      </c>
      <c r="F1337" t="s">
        <v>1594</v>
      </c>
      <c r="G1337" t="s">
        <v>1594</v>
      </c>
      <c r="H1337" s="2">
        <v>45740</v>
      </c>
      <c r="I1337" s="2">
        <v>45770</v>
      </c>
      <c r="J1337" t="s">
        <v>20</v>
      </c>
      <c r="K1337" s="21">
        <v>134.25</v>
      </c>
      <c r="L1337" s="21">
        <v>134.25</v>
      </c>
      <c r="M1337">
        <v>0</v>
      </c>
      <c r="N1337" s="21">
        <v>0</v>
      </c>
    </row>
    <row r="1338" spans="1:14">
      <c r="A1338" t="str">
        <f>IFERROR(_xlfn.XLOOKUP(B1338,Cuentas!$C$1:$C$521,Cuentas!$A$1:$A$521),"")</f>
        <v>Alexandra</v>
      </c>
      <c r="B1338" t="s">
        <v>1595</v>
      </c>
      <c r="C1338" t="s">
        <v>1596</v>
      </c>
      <c r="D1338" t="s">
        <v>16</v>
      </c>
      <c r="E1338" t="s">
        <v>5502</v>
      </c>
      <c r="F1338" t="s">
        <v>1597</v>
      </c>
      <c r="G1338" t="s">
        <v>19</v>
      </c>
      <c r="I1338" s="2">
        <v>45322</v>
      </c>
      <c r="J1338" t="s">
        <v>20</v>
      </c>
      <c r="K1338" s="21">
        <v>-17.760000000000002</v>
      </c>
      <c r="L1338" s="21">
        <v>-17.760000000000002</v>
      </c>
      <c r="M1338">
        <v>0</v>
      </c>
      <c r="N1338" s="21">
        <v>-17.760000000000002</v>
      </c>
    </row>
    <row r="1339" spans="1:14">
      <c r="A1339" t="str">
        <f>IFERROR(_xlfn.XLOOKUP(B1339,Cuentas!$C$1:$C$521,Cuentas!$A$1:$A$521),"")</f>
        <v>Alexandra</v>
      </c>
      <c r="B1339" t="s">
        <v>1598</v>
      </c>
      <c r="C1339" t="s">
        <v>1599</v>
      </c>
      <c r="D1339" t="s">
        <v>16</v>
      </c>
      <c r="E1339" t="s">
        <v>7</v>
      </c>
      <c r="F1339" t="s">
        <v>1600</v>
      </c>
      <c r="G1339" t="s">
        <v>1600</v>
      </c>
      <c r="H1339" s="2">
        <v>45596</v>
      </c>
      <c r="I1339" s="2">
        <v>45626</v>
      </c>
      <c r="J1339" t="s">
        <v>20</v>
      </c>
      <c r="K1339" s="21">
        <v>1300.05</v>
      </c>
      <c r="L1339" s="21">
        <v>1300.05</v>
      </c>
      <c r="M1339">
        <v>0</v>
      </c>
      <c r="N1339" s="21">
        <v>1300.05</v>
      </c>
    </row>
    <row r="1340" spans="1:14">
      <c r="A1340" t="str">
        <f>IFERROR(_xlfn.XLOOKUP(B1340,Cuentas!$C$1:$C$521,Cuentas!$A$1:$A$521),"")</f>
        <v>Alexandra</v>
      </c>
      <c r="B1340" t="s">
        <v>1598</v>
      </c>
      <c r="C1340" t="s">
        <v>1599</v>
      </c>
      <c r="D1340" t="s">
        <v>16</v>
      </c>
      <c r="E1340" t="s">
        <v>7</v>
      </c>
      <c r="F1340" t="s">
        <v>1601</v>
      </c>
      <c r="G1340" t="s">
        <v>1601</v>
      </c>
      <c r="H1340" s="2">
        <v>45597</v>
      </c>
      <c r="I1340" s="2">
        <v>45627</v>
      </c>
      <c r="J1340" t="s">
        <v>20</v>
      </c>
      <c r="K1340" s="21">
        <v>115.56</v>
      </c>
      <c r="L1340" s="21">
        <v>115.56</v>
      </c>
      <c r="M1340">
        <v>0</v>
      </c>
      <c r="N1340" s="21">
        <v>115.56</v>
      </c>
    </row>
    <row r="1341" spans="1:14">
      <c r="A1341" t="str">
        <f>IFERROR(_xlfn.XLOOKUP(B1341,Cuentas!$C$1:$C$521,Cuentas!$A$1:$A$521),"")</f>
        <v>Nicolas</v>
      </c>
      <c r="B1341" t="s">
        <v>1602</v>
      </c>
      <c r="C1341" t="s">
        <v>1603</v>
      </c>
      <c r="D1341" t="s">
        <v>16</v>
      </c>
      <c r="E1341" t="s">
        <v>7</v>
      </c>
      <c r="F1341" t="s">
        <v>1604</v>
      </c>
      <c r="G1341" t="s">
        <v>1604</v>
      </c>
      <c r="H1341" s="2">
        <v>45688</v>
      </c>
      <c r="I1341" s="2">
        <v>45718</v>
      </c>
      <c r="J1341" t="s">
        <v>20</v>
      </c>
      <c r="K1341" s="21">
        <v>640</v>
      </c>
      <c r="L1341" s="21">
        <v>640</v>
      </c>
      <c r="M1341">
        <v>10</v>
      </c>
      <c r="N1341" s="21">
        <v>640</v>
      </c>
    </row>
    <row r="1342" spans="1:14">
      <c r="A1342" t="str">
        <f>IFERROR(_xlfn.XLOOKUP(B1342,Cuentas!$C$1:$C$521,Cuentas!$A$1:$A$521),"")</f>
        <v>Nicolas</v>
      </c>
      <c r="B1342" t="s">
        <v>1602</v>
      </c>
      <c r="C1342" t="s">
        <v>1603</v>
      </c>
      <c r="D1342" t="s">
        <v>16</v>
      </c>
      <c r="E1342" t="s">
        <v>7</v>
      </c>
      <c r="F1342" t="s">
        <v>1605</v>
      </c>
      <c r="G1342" t="s">
        <v>1605</v>
      </c>
      <c r="H1342" s="2">
        <v>45702</v>
      </c>
      <c r="I1342" s="2">
        <v>45732</v>
      </c>
      <c r="J1342" t="s">
        <v>20</v>
      </c>
      <c r="K1342" s="21">
        <v>5511</v>
      </c>
      <c r="L1342" s="21">
        <v>5511</v>
      </c>
      <c r="M1342">
        <v>12</v>
      </c>
      <c r="N1342" s="21">
        <v>5511</v>
      </c>
    </row>
    <row r="1343" spans="1:14">
      <c r="A1343" t="str">
        <f>IFERROR(_xlfn.XLOOKUP(B1343,Cuentas!$C$1:$C$521,Cuentas!$A$1:$A$521),"")</f>
        <v>Nicolas</v>
      </c>
      <c r="B1343" t="s">
        <v>1602</v>
      </c>
      <c r="C1343" t="s">
        <v>1603</v>
      </c>
      <c r="D1343" t="s">
        <v>16</v>
      </c>
      <c r="E1343" t="s">
        <v>7</v>
      </c>
      <c r="F1343" t="s">
        <v>1606</v>
      </c>
      <c r="G1343" t="s">
        <v>1606</v>
      </c>
      <c r="H1343" s="2">
        <v>45709</v>
      </c>
      <c r="I1343" s="2">
        <v>45739</v>
      </c>
      <c r="J1343" t="s">
        <v>20</v>
      </c>
      <c r="K1343" s="21">
        <v>1920</v>
      </c>
      <c r="L1343" s="21">
        <v>1920</v>
      </c>
      <c r="M1343">
        <v>13</v>
      </c>
      <c r="N1343" s="21">
        <v>1920</v>
      </c>
    </row>
    <row r="1344" spans="1:14">
      <c r="A1344" t="str">
        <f>IFERROR(_xlfn.XLOOKUP(B1344,Cuentas!$C$1:$C$521,Cuentas!$A$1:$A$521),"")</f>
        <v>Nicolas</v>
      </c>
      <c r="B1344" t="s">
        <v>1602</v>
      </c>
      <c r="C1344" t="s">
        <v>1603</v>
      </c>
      <c r="D1344" t="s">
        <v>16</v>
      </c>
      <c r="E1344" t="s">
        <v>7</v>
      </c>
      <c r="F1344" t="s">
        <v>1607</v>
      </c>
      <c r="G1344" t="s">
        <v>1607</v>
      </c>
      <c r="H1344" s="2">
        <v>45709</v>
      </c>
      <c r="I1344" s="2">
        <v>45739</v>
      </c>
      <c r="J1344" t="s">
        <v>20</v>
      </c>
      <c r="K1344" s="21">
        <v>2598.6999999999998</v>
      </c>
      <c r="L1344" s="21">
        <v>2598.6999999999998</v>
      </c>
      <c r="M1344">
        <v>13</v>
      </c>
      <c r="N1344" s="21">
        <v>2598.6999999999998</v>
      </c>
    </row>
    <row r="1345" spans="1:14">
      <c r="A1345" t="str">
        <f>IFERROR(_xlfn.XLOOKUP(B1345,Cuentas!$C$1:$C$521,Cuentas!$A$1:$A$521),"")</f>
        <v>Nicolas</v>
      </c>
      <c r="B1345" t="s">
        <v>1602</v>
      </c>
      <c r="C1345" t="s">
        <v>1603</v>
      </c>
      <c r="D1345" t="s">
        <v>16</v>
      </c>
      <c r="E1345" t="s">
        <v>7</v>
      </c>
      <c r="F1345" t="s">
        <v>1608</v>
      </c>
      <c r="G1345" t="s">
        <v>1608</v>
      </c>
      <c r="H1345" s="2">
        <v>45714</v>
      </c>
      <c r="I1345" s="2">
        <v>45744</v>
      </c>
      <c r="J1345" t="s">
        <v>20</v>
      </c>
      <c r="K1345" s="21">
        <v>9140.8799999999992</v>
      </c>
      <c r="L1345" s="21">
        <v>9140.8799999999992</v>
      </c>
      <c r="M1345">
        <v>13</v>
      </c>
      <c r="N1345" s="21">
        <v>9140.8799999999992</v>
      </c>
    </row>
    <row r="1346" spans="1:14">
      <c r="A1346" t="str">
        <f>IFERROR(_xlfn.XLOOKUP(B1346,Cuentas!$C$1:$C$521,Cuentas!$A$1:$A$521),"")</f>
        <v>Nicolas</v>
      </c>
      <c r="B1346" t="s">
        <v>1602</v>
      </c>
      <c r="C1346" t="s">
        <v>1603</v>
      </c>
      <c r="D1346" t="s">
        <v>16</v>
      </c>
      <c r="E1346" t="s">
        <v>7</v>
      </c>
      <c r="F1346" t="s">
        <v>1609</v>
      </c>
      <c r="G1346" t="s">
        <v>1609</v>
      </c>
      <c r="H1346" s="2">
        <v>45716</v>
      </c>
      <c r="I1346" s="2">
        <v>45746</v>
      </c>
      <c r="J1346" t="s">
        <v>20</v>
      </c>
      <c r="K1346" s="21">
        <v>1600</v>
      </c>
      <c r="L1346" s="21">
        <v>1600</v>
      </c>
      <c r="M1346">
        <v>13</v>
      </c>
      <c r="N1346" s="21">
        <v>1600</v>
      </c>
    </row>
    <row r="1347" spans="1:14">
      <c r="A1347" t="str">
        <f>IFERROR(_xlfn.XLOOKUP(B1347,Cuentas!$C$1:$C$521,Cuentas!$A$1:$A$521),"")</f>
        <v>Nicolas</v>
      </c>
      <c r="B1347" t="s">
        <v>1602</v>
      </c>
      <c r="C1347" t="s">
        <v>1603</v>
      </c>
      <c r="D1347" t="s">
        <v>16</v>
      </c>
      <c r="E1347" t="s">
        <v>7</v>
      </c>
      <c r="F1347" t="s">
        <v>1610</v>
      </c>
      <c r="G1347" t="s">
        <v>1610</v>
      </c>
      <c r="H1347" s="2">
        <v>45716</v>
      </c>
      <c r="I1347" s="2">
        <v>45746</v>
      </c>
      <c r="J1347" t="s">
        <v>20</v>
      </c>
      <c r="K1347" s="21">
        <v>2242</v>
      </c>
      <c r="L1347" s="21">
        <v>2242</v>
      </c>
      <c r="M1347">
        <v>13</v>
      </c>
      <c r="N1347" s="21">
        <v>2242</v>
      </c>
    </row>
    <row r="1348" spans="1:14">
      <c r="A1348" t="str">
        <f>IFERROR(_xlfn.XLOOKUP(B1348,Cuentas!$C$1:$C$521,Cuentas!$A$1:$A$521),"")</f>
        <v>Nicolas</v>
      </c>
      <c r="B1348" t="s">
        <v>1602</v>
      </c>
      <c r="C1348" t="s">
        <v>1603</v>
      </c>
      <c r="D1348" t="s">
        <v>16</v>
      </c>
      <c r="E1348" t="s">
        <v>7</v>
      </c>
      <c r="F1348" t="s">
        <v>1611</v>
      </c>
      <c r="G1348" t="s">
        <v>1611</v>
      </c>
      <c r="H1348" s="2">
        <v>45723</v>
      </c>
      <c r="I1348" s="2">
        <v>45753</v>
      </c>
      <c r="J1348" t="s">
        <v>20</v>
      </c>
      <c r="K1348" s="21">
        <v>588</v>
      </c>
      <c r="L1348" s="21">
        <v>588</v>
      </c>
      <c r="M1348">
        <v>0</v>
      </c>
      <c r="N1348" s="21">
        <v>0</v>
      </c>
    </row>
    <row r="1349" spans="1:14">
      <c r="A1349" t="str">
        <f>IFERROR(_xlfn.XLOOKUP(B1349,Cuentas!$C$1:$C$521,Cuentas!$A$1:$A$521),"")</f>
        <v>Nicolas</v>
      </c>
      <c r="B1349" t="s">
        <v>1602</v>
      </c>
      <c r="C1349" t="s">
        <v>1603</v>
      </c>
      <c r="D1349" t="s">
        <v>16</v>
      </c>
      <c r="E1349" t="s">
        <v>7</v>
      </c>
      <c r="F1349" t="s">
        <v>1612</v>
      </c>
      <c r="G1349" t="s">
        <v>1612</v>
      </c>
      <c r="H1349" s="2">
        <v>45726</v>
      </c>
      <c r="I1349" s="2">
        <v>45756</v>
      </c>
      <c r="J1349" t="s">
        <v>20</v>
      </c>
      <c r="K1349" s="21">
        <v>3630</v>
      </c>
      <c r="L1349" s="21">
        <v>3630</v>
      </c>
      <c r="M1349">
        <v>0</v>
      </c>
      <c r="N1349" s="21">
        <v>0</v>
      </c>
    </row>
    <row r="1350" spans="1:14">
      <c r="A1350" t="str">
        <f>IFERROR(_xlfn.XLOOKUP(B1350,Cuentas!$C$1:$C$521,Cuentas!$A$1:$A$521),"")</f>
        <v>Nicolas</v>
      </c>
      <c r="B1350" t="s">
        <v>1602</v>
      </c>
      <c r="C1350" t="s">
        <v>1603</v>
      </c>
      <c r="D1350" t="s">
        <v>16</v>
      </c>
      <c r="E1350" t="s">
        <v>7</v>
      </c>
      <c r="F1350" t="s">
        <v>1613</v>
      </c>
      <c r="G1350" t="s">
        <v>1613</v>
      </c>
      <c r="H1350" s="2">
        <v>45733</v>
      </c>
      <c r="I1350" s="2">
        <v>45763</v>
      </c>
      <c r="J1350" t="s">
        <v>20</v>
      </c>
      <c r="K1350" s="21">
        <v>5324.4</v>
      </c>
      <c r="L1350" s="21">
        <v>5324.4</v>
      </c>
      <c r="M1350">
        <v>0</v>
      </c>
      <c r="N1350" s="21">
        <v>0</v>
      </c>
    </row>
    <row r="1351" spans="1:14">
      <c r="A1351" t="str">
        <f>IFERROR(_xlfn.XLOOKUP(B1351,Cuentas!$C$1:$C$521,Cuentas!$A$1:$A$521),"")</f>
        <v>Nicolas</v>
      </c>
      <c r="B1351" t="s">
        <v>1602</v>
      </c>
      <c r="C1351" t="s">
        <v>1603</v>
      </c>
      <c r="D1351" t="s">
        <v>16</v>
      </c>
      <c r="E1351" t="s">
        <v>7</v>
      </c>
      <c r="F1351" t="s">
        <v>1614</v>
      </c>
      <c r="G1351" t="s">
        <v>1614</v>
      </c>
      <c r="H1351" s="2">
        <v>45734</v>
      </c>
      <c r="I1351" s="2">
        <v>45764</v>
      </c>
      <c r="J1351" t="s">
        <v>20</v>
      </c>
      <c r="K1351" s="21">
        <v>15530</v>
      </c>
      <c r="L1351" s="21">
        <v>15530</v>
      </c>
      <c r="M1351">
        <v>0</v>
      </c>
      <c r="N1351" s="21">
        <v>0</v>
      </c>
    </row>
    <row r="1352" spans="1:14">
      <c r="A1352" t="str">
        <f>IFERROR(_xlfn.XLOOKUP(B1352,Cuentas!$C$1:$C$521,Cuentas!$A$1:$A$521),"")</f>
        <v>Nicolas</v>
      </c>
      <c r="B1352" t="s">
        <v>1602</v>
      </c>
      <c r="C1352" t="s">
        <v>1603</v>
      </c>
      <c r="D1352" t="s">
        <v>16</v>
      </c>
      <c r="E1352" t="s">
        <v>7</v>
      </c>
      <c r="F1352" t="s">
        <v>1615</v>
      </c>
      <c r="G1352" t="s">
        <v>1615</v>
      </c>
      <c r="H1352" s="2">
        <v>45740</v>
      </c>
      <c r="I1352" s="2">
        <v>45770</v>
      </c>
      <c r="J1352" t="s">
        <v>20</v>
      </c>
      <c r="K1352" s="21">
        <v>1784</v>
      </c>
      <c r="L1352" s="21">
        <v>1784</v>
      </c>
      <c r="M1352">
        <v>0</v>
      </c>
      <c r="N1352" s="21">
        <v>0</v>
      </c>
    </row>
    <row r="1353" spans="1:14">
      <c r="A1353" t="str">
        <f>IFERROR(_xlfn.XLOOKUP(B1353,Cuentas!$C$1:$C$521,Cuentas!$A$1:$A$521),"")</f>
        <v/>
      </c>
      <c r="B1353" t="s">
        <v>1616</v>
      </c>
      <c r="C1353" t="s">
        <v>1617</v>
      </c>
      <c r="D1353" t="s">
        <v>213</v>
      </c>
      <c r="E1353" t="s">
        <v>3139</v>
      </c>
      <c r="F1353" t="s">
        <v>19</v>
      </c>
      <c r="G1353" t="s">
        <v>19</v>
      </c>
      <c r="I1353" s="2">
        <v>45726</v>
      </c>
      <c r="J1353" t="s">
        <v>20</v>
      </c>
      <c r="K1353" s="21">
        <v>-8140</v>
      </c>
      <c r="L1353" s="21">
        <v>-8140</v>
      </c>
      <c r="M1353">
        <v>11</v>
      </c>
      <c r="N1353" s="21">
        <v>-8140</v>
      </c>
    </row>
    <row r="1354" spans="1:14">
      <c r="A1354" t="str">
        <f>IFERROR(_xlfn.XLOOKUP(B1354,Cuentas!$C$1:$C$521,Cuentas!$A$1:$A$521),"")</f>
        <v>Alexandra</v>
      </c>
      <c r="B1354" t="s">
        <v>1618</v>
      </c>
      <c r="C1354" t="s">
        <v>1619</v>
      </c>
      <c r="D1354" t="s">
        <v>16</v>
      </c>
      <c r="E1354" t="s">
        <v>5502</v>
      </c>
      <c r="F1354" t="s">
        <v>1620</v>
      </c>
      <c r="G1354" t="s">
        <v>19</v>
      </c>
      <c r="I1354" s="2">
        <v>45455</v>
      </c>
      <c r="J1354" t="s">
        <v>20</v>
      </c>
      <c r="K1354" s="21">
        <v>-4132.5</v>
      </c>
      <c r="L1354" s="21">
        <v>-4132.5</v>
      </c>
      <c r="M1354">
        <v>0</v>
      </c>
      <c r="N1354" s="21">
        <v>-4132.5</v>
      </c>
    </row>
    <row r="1355" spans="1:14">
      <c r="A1355" t="str">
        <f>IFERROR(_xlfn.XLOOKUP(B1355,Cuentas!$C$1:$C$521,Cuentas!$A$1:$A$521),"")</f>
        <v>Alexandra</v>
      </c>
      <c r="B1355" t="s">
        <v>1618</v>
      </c>
      <c r="C1355" t="s">
        <v>1619</v>
      </c>
      <c r="D1355" t="s">
        <v>16</v>
      </c>
      <c r="E1355" t="s">
        <v>5502</v>
      </c>
      <c r="F1355" t="s">
        <v>1621</v>
      </c>
      <c r="G1355" t="s">
        <v>19</v>
      </c>
      <c r="I1355" s="2">
        <v>45455</v>
      </c>
      <c r="J1355" t="s">
        <v>20</v>
      </c>
      <c r="K1355" s="21">
        <v>-15562.13</v>
      </c>
      <c r="L1355" s="21">
        <v>-15562.13</v>
      </c>
      <c r="M1355">
        <v>0</v>
      </c>
      <c r="N1355" s="21">
        <v>-15562.13</v>
      </c>
    </row>
    <row r="1356" spans="1:14">
      <c r="A1356" t="str">
        <f>IFERROR(_xlfn.XLOOKUP(B1356,Cuentas!$C$1:$C$521,Cuentas!$A$1:$A$521),"")</f>
        <v>Alexandra</v>
      </c>
      <c r="B1356" t="s">
        <v>1618</v>
      </c>
      <c r="C1356" t="s">
        <v>1619</v>
      </c>
      <c r="D1356" t="s">
        <v>16</v>
      </c>
      <c r="E1356" t="s">
        <v>7</v>
      </c>
      <c r="F1356" t="s">
        <v>1622</v>
      </c>
      <c r="G1356" t="s">
        <v>1622</v>
      </c>
      <c r="H1356" s="2">
        <v>45657</v>
      </c>
      <c r="I1356" s="2">
        <v>45687</v>
      </c>
      <c r="J1356" t="s">
        <v>20</v>
      </c>
      <c r="K1356" s="21">
        <v>41759.279999999999</v>
      </c>
      <c r="L1356" s="21">
        <v>96.96</v>
      </c>
      <c r="M1356">
        <v>0</v>
      </c>
      <c r="N1356" s="21">
        <v>96.96</v>
      </c>
    </row>
    <row r="1357" spans="1:14">
      <c r="A1357" t="str">
        <f>IFERROR(_xlfn.XLOOKUP(B1357,Cuentas!$C$1:$C$521,Cuentas!$A$1:$A$521),"")</f>
        <v>Alexandra</v>
      </c>
      <c r="B1357" t="s">
        <v>1618</v>
      </c>
      <c r="C1357" t="s">
        <v>1619</v>
      </c>
      <c r="D1357" t="s">
        <v>16</v>
      </c>
      <c r="E1357" t="s">
        <v>3139</v>
      </c>
      <c r="F1357" t="s">
        <v>1622</v>
      </c>
      <c r="G1357" t="s">
        <v>1622</v>
      </c>
      <c r="I1357" s="2">
        <v>45673</v>
      </c>
      <c r="J1357" t="s">
        <v>20</v>
      </c>
      <c r="K1357" s="21">
        <v>-41662.32</v>
      </c>
      <c r="L1357" s="21" t="s">
        <v>86</v>
      </c>
      <c r="M1357">
        <v>0</v>
      </c>
      <c r="N1357" s="21" t="s">
        <v>86</v>
      </c>
    </row>
    <row r="1358" spans="1:14">
      <c r="A1358" t="str">
        <f>IFERROR(_xlfn.XLOOKUP(B1358,Cuentas!$C$1:$C$521,Cuentas!$A$1:$A$521),"")</f>
        <v>Alexandra</v>
      </c>
      <c r="B1358" t="s">
        <v>1618</v>
      </c>
      <c r="C1358" t="s">
        <v>1619</v>
      </c>
      <c r="D1358" t="s">
        <v>16</v>
      </c>
      <c r="E1358" t="s">
        <v>7</v>
      </c>
      <c r="F1358" t="s">
        <v>1623</v>
      </c>
      <c r="G1358" t="s">
        <v>1623</v>
      </c>
      <c r="H1358" s="2">
        <v>45713</v>
      </c>
      <c r="I1358" s="2">
        <v>45743</v>
      </c>
      <c r="J1358" t="s">
        <v>20</v>
      </c>
      <c r="K1358" s="21">
        <v>42300</v>
      </c>
      <c r="L1358" s="21">
        <v>42300</v>
      </c>
      <c r="M1358">
        <v>13</v>
      </c>
      <c r="N1358" s="21">
        <v>42300</v>
      </c>
    </row>
    <row r="1359" spans="1:14">
      <c r="A1359" t="str">
        <f>IFERROR(_xlfn.XLOOKUP(B1359,Cuentas!$C$1:$C$521,Cuentas!$A$1:$A$521),"")</f>
        <v>Alexandra</v>
      </c>
      <c r="B1359" t="s">
        <v>1624</v>
      </c>
      <c r="C1359" t="s">
        <v>1625</v>
      </c>
      <c r="D1359" t="s">
        <v>16</v>
      </c>
      <c r="E1359" t="s">
        <v>7</v>
      </c>
      <c r="F1359" t="s">
        <v>1626</v>
      </c>
      <c r="G1359" t="s">
        <v>1626</v>
      </c>
      <c r="H1359" s="2">
        <v>45596</v>
      </c>
      <c r="I1359" s="2">
        <v>45626</v>
      </c>
      <c r="J1359" t="s">
        <v>20</v>
      </c>
      <c r="K1359" s="21">
        <v>1323</v>
      </c>
      <c r="L1359" s="21">
        <v>1323</v>
      </c>
      <c r="M1359">
        <v>0</v>
      </c>
      <c r="N1359" s="21">
        <v>1323</v>
      </c>
    </row>
    <row r="1360" spans="1:14">
      <c r="A1360" t="str">
        <f>IFERROR(_xlfn.XLOOKUP(B1360,Cuentas!$C$1:$C$521,Cuentas!$A$1:$A$521),"")</f>
        <v>Yuldor</v>
      </c>
      <c r="B1360" t="s">
        <v>1627</v>
      </c>
      <c r="C1360" t="s">
        <v>1628</v>
      </c>
      <c r="D1360" t="s">
        <v>16</v>
      </c>
      <c r="E1360" t="s">
        <v>7</v>
      </c>
      <c r="F1360" t="s">
        <v>1629</v>
      </c>
      <c r="G1360" t="s">
        <v>1629</v>
      </c>
      <c r="H1360" s="2">
        <v>45005</v>
      </c>
      <c r="I1360" s="2">
        <v>45035</v>
      </c>
      <c r="J1360" t="s">
        <v>20</v>
      </c>
      <c r="K1360" s="21">
        <v>208.55</v>
      </c>
      <c r="L1360" s="21">
        <v>208.55</v>
      </c>
      <c r="M1360">
        <v>0</v>
      </c>
      <c r="N1360" s="21">
        <v>208.55</v>
      </c>
    </row>
    <row r="1361" spans="1:14">
      <c r="A1361" t="str">
        <f>IFERROR(_xlfn.XLOOKUP(B1361,Cuentas!$C$1:$C$521,Cuentas!$A$1:$A$521),"")</f>
        <v>Yuldor</v>
      </c>
      <c r="B1361" t="s">
        <v>1627</v>
      </c>
      <c r="C1361" t="s">
        <v>1628</v>
      </c>
      <c r="D1361" t="s">
        <v>16</v>
      </c>
      <c r="E1361" t="s">
        <v>7</v>
      </c>
      <c r="F1361" t="s">
        <v>1630</v>
      </c>
      <c r="G1361" t="s">
        <v>1630</v>
      </c>
      <c r="H1361" s="2">
        <v>45037</v>
      </c>
      <c r="I1361" s="2">
        <v>45067</v>
      </c>
      <c r="J1361" t="s">
        <v>20</v>
      </c>
      <c r="K1361" s="21">
        <v>96.89</v>
      </c>
      <c r="L1361" s="21">
        <v>96.89</v>
      </c>
      <c r="M1361">
        <v>0</v>
      </c>
      <c r="N1361" s="21">
        <v>96.89</v>
      </c>
    </row>
    <row r="1362" spans="1:14">
      <c r="A1362" t="str">
        <f>IFERROR(_xlfn.XLOOKUP(B1362,Cuentas!$C$1:$C$521,Cuentas!$A$1:$A$521),"")</f>
        <v>Yuldor</v>
      </c>
      <c r="B1362" t="s">
        <v>1627</v>
      </c>
      <c r="C1362" t="s">
        <v>1628</v>
      </c>
      <c r="D1362" t="s">
        <v>16</v>
      </c>
      <c r="E1362" t="s">
        <v>7</v>
      </c>
      <c r="F1362" t="s">
        <v>1631</v>
      </c>
      <c r="G1362" t="s">
        <v>1631</v>
      </c>
      <c r="H1362" s="2">
        <v>45047</v>
      </c>
      <c r="I1362" s="2">
        <v>45077</v>
      </c>
      <c r="J1362" t="s">
        <v>20</v>
      </c>
      <c r="K1362" s="21">
        <v>735.28</v>
      </c>
      <c r="L1362" s="21">
        <v>735.28</v>
      </c>
      <c r="M1362">
        <v>0</v>
      </c>
      <c r="N1362" s="21">
        <v>735.28</v>
      </c>
    </row>
    <row r="1363" spans="1:14">
      <c r="A1363" t="str">
        <f>IFERROR(_xlfn.XLOOKUP(B1363,Cuentas!$C$1:$C$521,Cuentas!$A$1:$A$521),"")</f>
        <v>Yuldor</v>
      </c>
      <c r="B1363" t="s">
        <v>1627</v>
      </c>
      <c r="C1363" t="s">
        <v>1628</v>
      </c>
      <c r="D1363" t="s">
        <v>16</v>
      </c>
      <c r="E1363" t="s">
        <v>7</v>
      </c>
      <c r="F1363" t="s">
        <v>1632</v>
      </c>
      <c r="G1363" t="s">
        <v>1632</v>
      </c>
      <c r="H1363" s="2">
        <v>45048</v>
      </c>
      <c r="I1363" s="2">
        <v>45078</v>
      </c>
      <c r="J1363" t="s">
        <v>20</v>
      </c>
      <c r="K1363" s="21">
        <v>300.48</v>
      </c>
      <c r="L1363" s="21">
        <v>300.48</v>
      </c>
      <c r="M1363">
        <v>0</v>
      </c>
      <c r="N1363" s="21">
        <v>300.48</v>
      </c>
    </row>
    <row r="1364" spans="1:14">
      <c r="A1364" t="str">
        <f>IFERROR(_xlfn.XLOOKUP(B1364,Cuentas!$C$1:$C$521,Cuentas!$A$1:$A$521),"")</f>
        <v>Yuldor</v>
      </c>
      <c r="B1364" t="s">
        <v>1627</v>
      </c>
      <c r="C1364" t="s">
        <v>1628</v>
      </c>
      <c r="D1364" t="s">
        <v>16</v>
      </c>
      <c r="E1364" t="s">
        <v>7</v>
      </c>
      <c r="F1364" t="s">
        <v>1633</v>
      </c>
      <c r="G1364" t="s">
        <v>1633</v>
      </c>
      <c r="H1364" s="2">
        <v>45061</v>
      </c>
      <c r="I1364" s="2">
        <v>45091</v>
      </c>
      <c r="J1364" t="s">
        <v>20</v>
      </c>
      <c r="K1364" s="21">
        <v>96.79</v>
      </c>
      <c r="L1364" s="21">
        <v>96.79</v>
      </c>
      <c r="M1364">
        <v>0</v>
      </c>
      <c r="N1364" s="21">
        <v>96.79</v>
      </c>
    </row>
    <row r="1365" spans="1:14">
      <c r="A1365" t="str">
        <f>IFERROR(_xlfn.XLOOKUP(B1365,Cuentas!$C$1:$C$521,Cuentas!$A$1:$A$521),"")</f>
        <v>Yuldor</v>
      </c>
      <c r="B1365" t="s">
        <v>1627</v>
      </c>
      <c r="C1365" t="s">
        <v>1628</v>
      </c>
      <c r="D1365" t="s">
        <v>16</v>
      </c>
      <c r="E1365" t="s">
        <v>7</v>
      </c>
      <c r="F1365" t="s">
        <v>1634</v>
      </c>
      <c r="G1365" t="s">
        <v>1634</v>
      </c>
      <c r="H1365" s="2">
        <v>45068</v>
      </c>
      <c r="I1365" s="2">
        <v>45098</v>
      </c>
      <c r="J1365" t="s">
        <v>20</v>
      </c>
      <c r="K1365" s="21">
        <v>545.29999999999995</v>
      </c>
      <c r="L1365" s="21">
        <v>545.29999999999995</v>
      </c>
      <c r="M1365">
        <v>0</v>
      </c>
      <c r="N1365" s="21">
        <v>545.29999999999995</v>
      </c>
    </row>
    <row r="1366" spans="1:14">
      <c r="A1366" t="str">
        <f>IFERROR(_xlfn.XLOOKUP(B1366,Cuentas!$C$1:$C$521,Cuentas!$A$1:$A$521),"")</f>
        <v>Yuldor</v>
      </c>
      <c r="B1366" t="s">
        <v>1627</v>
      </c>
      <c r="C1366" t="s">
        <v>1628</v>
      </c>
      <c r="D1366" t="s">
        <v>16</v>
      </c>
      <c r="E1366" t="s">
        <v>7</v>
      </c>
      <c r="F1366" t="s">
        <v>1635</v>
      </c>
      <c r="G1366" t="s">
        <v>1635</v>
      </c>
      <c r="H1366" s="2">
        <v>45077</v>
      </c>
      <c r="I1366" s="2">
        <v>45107</v>
      </c>
      <c r="J1366" t="s">
        <v>20</v>
      </c>
      <c r="K1366" s="21">
        <v>682.22</v>
      </c>
      <c r="L1366" s="21">
        <v>682.22</v>
      </c>
      <c r="M1366">
        <v>0</v>
      </c>
      <c r="N1366" s="21">
        <v>682.22</v>
      </c>
    </row>
    <row r="1367" spans="1:14">
      <c r="A1367" t="str">
        <f>IFERROR(_xlfn.XLOOKUP(B1367,Cuentas!$C$1:$C$521,Cuentas!$A$1:$A$521),"")</f>
        <v>Yuldor</v>
      </c>
      <c r="B1367" t="s">
        <v>1627</v>
      </c>
      <c r="C1367" t="s">
        <v>1628</v>
      </c>
      <c r="D1367" t="s">
        <v>16</v>
      </c>
      <c r="E1367" t="s">
        <v>7</v>
      </c>
      <c r="F1367" t="s">
        <v>1636</v>
      </c>
      <c r="G1367" t="s">
        <v>1636</v>
      </c>
      <c r="H1367" s="2">
        <v>45091</v>
      </c>
      <c r="I1367" s="2">
        <v>45121</v>
      </c>
      <c r="J1367" t="s">
        <v>20</v>
      </c>
      <c r="K1367" s="21">
        <v>262.91000000000003</v>
      </c>
      <c r="L1367" s="21">
        <v>262.91000000000003</v>
      </c>
      <c r="M1367">
        <v>0</v>
      </c>
      <c r="N1367" s="21">
        <v>262.91000000000003</v>
      </c>
    </row>
    <row r="1368" spans="1:14">
      <c r="A1368" t="str">
        <f>IFERROR(_xlfn.XLOOKUP(B1368,Cuentas!$C$1:$C$521,Cuentas!$A$1:$A$521),"")</f>
        <v>Yuldor</v>
      </c>
      <c r="B1368" t="s">
        <v>1627</v>
      </c>
      <c r="C1368" t="s">
        <v>1628</v>
      </c>
      <c r="D1368" t="s">
        <v>16</v>
      </c>
      <c r="E1368" t="s">
        <v>7</v>
      </c>
      <c r="F1368" t="s">
        <v>1637</v>
      </c>
      <c r="G1368" t="s">
        <v>1637</v>
      </c>
      <c r="H1368" s="2">
        <v>45107</v>
      </c>
      <c r="I1368" s="2">
        <v>45137</v>
      </c>
      <c r="J1368" t="s">
        <v>20</v>
      </c>
      <c r="K1368" s="21">
        <v>262.91000000000003</v>
      </c>
      <c r="L1368" s="21">
        <v>262.91000000000003</v>
      </c>
      <c r="M1368">
        <v>0</v>
      </c>
      <c r="N1368" s="21">
        <v>262.91000000000003</v>
      </c>
    </row>
    <row r="1369" spans="1:14">
      <c r="A1369" t="str">
        <f>IFERROR(_xlfn.XLOOKUP(B1369,Cuentas!$C$1:$C$521,Cuentas!$A$1:$A$521),"")</f>
        <v>Yuldor</v>
      </c>
      <c r="B1369" t="s">
        <v>1627</v>
      </c>
      <c r="C1369" t="s">
        <v>1628</v>
      </c>
      <c r="D1369" t="s">
        <v>16</v>
      </c>
      <c r="E1369" t="s">
        <v>7</v>
      </c>
      <c r="F1369" t="s">
        <v>1638</v>
      </c>
      <c r="G1369" t="s">
        <v>1638</v>
      </c>
      <c r="H1369" s="2">
        <v>45110</v>
      </c>
      <c r="I1369" s="2">
        <v>45140</v>
      </c>
      <c r="J1369" t="s">
        <v>20</v>
      </c>
      <c r="K1369" s="21">
        <v>246.11</v>
      </c>
      <c r="L1369" s="21">
        <v>246.11</v>
      </c>
      <c r="M1369">
        <v>0</v>
      </c>
      <c r="N1369" s="21">
        <v>246.11</v>
      </c>
    </row>
    <row r="1370" spans="1:14">
      <c r="A1370" t="str">
        <f>IFERROR(_xlfn.XLOOKUP(B1370,Cuentas!$C$1:$C$521,Cuentas!$A$1:$A$521),"")</f>
        <v>Yuldor</v>
      </c>
      <c r="B1370" t="s">
        <v>1627</v>
      </c>
      <c r="C1370" t="s">
        <v>1628</v>
      </c>
      <c r="D1370" t="s">
        <v>16</v>
      </c>
      <c r="E1370" t="s">
        <v>7</v>
      </c>
      <c r="F1370" t="s">
        <v>1639</v>
      </c>
      <c r="G1370" t="s">
        <v>1639</v>
      </c>
      <c r="H1370" s="2">
        <v>45112</v>
      </c>
      <c r="I1370" s="2">
        <v>45142</v>
      </c>
      <c r="J1370" t="s">
        <v>20</v>
      </c>
      <c r="K1370" s="21">
        <v>460</v>
      </c>
      <c r="L1370" s="21">
        <v>460</v>
      </c>
      <c r="M1370">
        <v>0</v>
      </c>
      <c r="N1370" s="21">
        <v>460</v>
      </c>
    </row>
    <row r="1371" spans="1:14">
      <c r="A1371" t="str">
        <f>IFERROR(_xlfn.XLOOKUP(B1371,Cuentas!$C$1:$C$521,Cuentas!$A$1:$A$521),"")</f>
        <v>Yuldor</v>
      </c>
      <c r="B1371" t="s">
        <v>1627</v>
      </c>
      <c r="C1371" t="s">
        <v>1628</v>
      </c>
      <c r="D1371" t="s">
        <v>16</v>
      </c>
      <c r="E1371" t="s">
        <v>7</v>
      </c>
      <c r="F1371" t="s">
        <v>1640</v>
      </c>
      <c r="G1371" t="s">
        <v>1640</v>
      </c>
      <c r="H1371" s="2">
        <v>45114</v>
      </c>
      <c r="I1371" s="2">
        <v>45144</v>
      </c>
      <c r="J1371" t="s">
        <v>20</v>
      </c>
      <c r="K1371" s="21">
        <v>304.87</v>
      </c>
      <c r="L1371" s="21">
        <v>304.87</v>
      </c>
      <c r="M1371">
        <v>0</v>
      </c>
      <c r="N1371" s="21">
        <v>304.87</v>
      </c>
    </row>
    <row r="1372" spans="1:14">
      <c r="A1372" t="str">
        <f>IFERROR(_xlfn.XLOOKUP(B1372,Cuentas!$C$1:$C$521,Cuentas!$A$1:$A$521),"")</f>
        <v>Yuldor</v>
      </c>
      <c r="B1372" t="s">
        <v>1627</v>
      </c>
      <c r="C1372" t="s">
        <v>1628</v>
      </c>
      <c r="D1372" t="s">
        <v>16</v>
      </c>
      <c r="E1372" t="s">
        <v>7</v>
      </c>
      <c r="F1372" t="s">
        <v>1641</v>
      </c>
      <c r="G1372" t="s">
        <v>1641</v>
      </c>
      <c r="H1372" s="2">
        <v>45149</v>
      </c>
      <c r="I1372" s="2">
        <v>45179</v>
      </c>
      <c r="J1372" t="s">
        <v>20</v>
      </c>
      <c r="K1372" s="21">
        <v>137.12</v>
      </c>
      <c r="L1372" s="21">
        <v>137.12</v>
      </c>
      <c r="M1372">
        <v>0</v>
      </c>
      <c r="N1372" s="21">
        <v>137.12</v>
      </c>
    </row>
    <row r="1373" spans="1:14">
      <c r="A1373" t="str">
        <f>IFERROR(_xlfn.XLOOKUP(B1373,Cuentas!$C$1:$C$521,Cuentas!$A$1:$A$521),"")</f>
        <v>Yuldor</v>
      </c>
      <c r="B1373" t="s">
        <v>1627</v>
      </c>
      <c r="C1373" t="s">
        <v>1628</v>
      </c>
      <c r="D1373" t="s">
        <v>16</v>
      </c>
      <c r="E1373" t="s">
        <v>7</v>
      </c>
      <c r="F1373" t="s">
        <v>1642</v>
      </c>
      <c r="G1373" t="s">
        <v>1642</v>
      </c>
      <c r="H1373" s="2">
        <v>45154</v>
      </c>
      <c r="I1373" s="2">
        <v>45184</v>
      </c>
      <c r="J1373" t="s">
        <v>20</v>
      </c>
      <c r="K1373" s="21">
        <v>216.33</v>
      </c>
      <c r="L1373" s="21">
        <v>216.33</v>
      </c>
      <c r="M1373">
        <v>0</v>
      </c>
      <c r="N1373" s="21">
        <v>216.33</v>
      </c>
    </row>
    <row r="1374" spans="1:14">
      <c r="A1374" t="str">
        <f>IFERROR(_xlfn.XLOOKUP(B1374,Cuentas!$C$1:$C$521,Cuentas!$A$1:$A$521),"")</f>
        <v>Yuldor</v>
      </c>
      <c r="B1374" t="s">
        <v>1627</v>
      </c>
      <c r="C1374" t="s">
        <v>1628</v>
      </c>
      <c r="D1374" t="s">
        <v>16</v>
      </c>
      <c r="E1374" t="s">
        <v>7</v>
      </c>
      <c r="F1374" t="s">
        <v>1643</v>
      </c>
      <c r="G1374" t="s">
        <v>1643</v>
      </c>
      <c r="H1374" s="2">
        <v>45167</v>
      </c>
      <c r="I1374" s="2">
        <v>45197</v>
      </c>
      <c r="J1374" t="s">
        <v>20</v>
      </c>
      <c r="K1374" s="21">
        <v>176.95</v>
      </c>
      <c r="L1374" s="21">
        <v>176.95</v>
      </c>
      <c r="M1374">
        <v>0</v>
      </c>
      <c r="N1374" s="21">
        <v>176.95</v>
      </c>
    </row>
    <row r="1375" spans="1:14">
      <c r="A1375" t="str">
        <f>IFERROR(_xlfn.XLOOKUP(B1375,Cuentas!$C$1:$C$521,Cuentas!$A$1:$A$521),"")</f>
        <v>Yuldor</v>
      </c>
      <c r="B1375" t="s">
        <v>1627</v>
      </c>
      <c r="C1375" t="s">
        <v>1628</v>
      </c>
      <c r="D1375" t="s">
        <v>16</v>
      </c>
      <c r="E1375" t="s">
        <v>7</v>
      </c>
      <c r="F1375" t="s">
        <v>1644</v>
      </c>
      <c r="G1375" t="s">
        <v>1644</v>
      </c>
      <c r="H1375" s="2">
        <v>45180</v>
      </c>
      <c r="I1375" s="2">
        <v>45210</v>
      </c>
      <c r="J1375" t="s">
        <v>20</v>
      </c>
      <c r="K1375" s="21">
        <v>94.52</v>
      </c>
      <c r="L1375" s="21">
        <v>94.52</v>
      </c>
      <c r="M1375">
        <v>0</v>
      </c>
      <c r="N1375" s="21">
        <v>94.52</v>
      </c>
    </row>
    <row r="1376" spans="1:14">
      <c r="A1376" t="str">
        <f>IFERROR(_xlfn.XLOOKUP(B1376,Cuentas!$C$1:$C$521,Cuentas!$A$1:$A$521),"")</f>
        <v>Yuldor</v>
      </c>
      <c r="B1376" t="s">
        <v>1627</v>
      </c>
      <c r="C1376" t="s">
        <v>1628</v>
      </c>
      <c r="D1376" t="s">
        <v>16</v>
      </c>
      <c r="E1376" t="s">
        <v>7</v>
      </c>
      <c r="F1376" t="s">
        <v>1645</v>
      </c>
      <c r="G1376" t="s">
        <v>1645</v>
      </c>
      <c r="H1376" s="2">
        <v>45180</v>
      </c>
      <c r="I1376" s="2">
        <v>45210</v>
      </c>
      <c r="J1376" t="s">
        <v>20</v>
      </c>
      <c r="K1376" s="21">
        <v>447.93</v>
      </c>
      <c r="L1376" s="21">
        <v>447.93</v>
      </c>
      <c r="M1376">
        <v>0</v>
      </c>
      <c r="N1376" s="21">
        <v>447.93</v>
      </c>
    </row>
    <row r="1377" spans="1:14">
      <c r="A1377" t="str">
        <f>IFERROR(_xlfn.XLOOKUP(B1377,Cuentas!$C$1:$C$521,Cuentas!$A$1:$A$521),"")</f>
        <v>Yuldor</v>
      </c>
      <c r="B1377" t="s">
        <v>1627</v>
      </c>
      <c r="C1377" t="s">
        <v>1628</v>
      </c>
      <c r="D1377" t="s">
        <v>16</v>
      </c>
      <c r="E1377" t="s">
        <v>7</v>
      </c>
      <c r="F1377" t="s">
        <v>1646</v>
      </c>
      <c r="G1377" t="s">
        <v>1646</v>
      </c>
      <c r="H1377" s="2">
        <v>45194</v>
      </c>
      <c r="I1377" s="2">
        <v>45224</v>
      </c>
      <c r="J1377" t="s">
        <v>20</v>
      </c>
      <c r="K1377" s="21">
        <v>203.03</v>
      </c>
      <c r="L1377" s="21">
        <v>203.03</v>
      </c>
      <c r="M1377">
        <v>0</v>
      </c>
      <c r="N1377" s="21">
        <v>203.03</v>
      </c>
    </row>
    <row r="1378" spans="1:14">
      <c r="A1378" t="str">
        <f>IFERROR(_xlfn.XLOOKUP(B1378,Cuentas!$C$1:$C$521,Cuentas!$A$1:$A$521),"")</f>
        <v>Yuldor</v>
      </c>
      <c r="B1378" t="s">
        <v>1627</v>
      </c>
      <c r="C1378" t="s">
        <v>1628</v>
      </c>
      <c r="D1378" t="s">
        <v>16</v>
      </c>
      <c r="E1378" t="s">
        <v>7</v>
      </c>
      <c r="F1378" t="s">
        <v>1647</v>
      </c>
      <c r="G1378" t="s">
        <v>1647</v>
      </c>
      <c r="H1378" s="2">
        <v>45215</v>
      </c>
      <c r="I1378" s="2">
        <v>45245</v>
      </c>
      <c r="J1378" t="s">
        <v>20</v>
      </c>
      <c r="K1378" s="21">
        <v>303.04000000000002</v>
      </c>
      <c r="L1378" s="21">
        <v>303.04000000000002</v>
      </c>
      <c r="M1378">
        <v>0</v>
      </c>
      <c r="N1378" s="21">
        <v>303.04000000000002</v>
      </c>
    </row>
    <row r="1379" spans="1:14">
      <c r="A1379" t="str">
        <f>IFERROR(_xlfn.XLOOKUP(B1379,Cuentas!$C$1:$C$521,Cuentas!$A$1:$A$521),"")</f>
        <v>Yuldor</v>
      </c>
      <c r="B1379" t="s">
        <v>1627</v>
      </c>
      <c r="C1379" t="s">
        <v>1628</v>
      </c>
      <c r="D1379" t="s">
        <v>16</v>
      </c>
      <c r="E1379" t="s">
        <v>7</v>
      </c>
      <c r="F1379" t="s">
        <v>1648</v>
      </c>
      <c r="G1379" t="s">
        <v>1648</v>
      </c>
      <c r="H1379" s="2">
        <v>45217</v>
      </c>
      <c r="I1379" s="2">
        <v>45247</v>
      </c>
      <c r="J1379" t="s">
        <v>20</v>
      </c>
      <c r="K1379" s="21">
        <v>568.86</v>
      </c>
      <c r="L1379" s="21">
        <v>568.86</v>
      </c>
      <c r="M1379">
        <v>0</v>
      </c>
      <c r="N1379" s="21">
        <v>568.86</v>
      </c>
    </row>
    <row r="1380" spans="1:14">
      <c r="A1380" t="str">
        <f>IFERROR(_xlfn.XLOOKUP(B1380,Cuentas!$C$1:$C$521,Cuentas!$A$1:$A$521),"")</f>
        <v>Yuldor</v>
      </c>
      <c r="B1380" t="s">
        <v>1627</v>
      </c>
      <c r="C1380" t="s">
        <v>1628</v>
      </c>
      <c r="D1380" t="s">
        <v>16</v>
      </c>
      <c r="E1380" t="s">
        <v>7</v>
      </c>
      <c r="F1380" t="s">
        <v>1649</v>
      </c>
      <c r="G1380" t="s">
        <v>1649</v>
      </c>
      <c r="H1380" s="2">
        <v>45217</v>
      </c>
      <c r="I1380" s="2">
        <v>45247</v>
      </c>
      <c r="J1380" t="s">
        <v>20</v>
      </c>
      <c r="K1380" s="21">
        <v>64.41</v>
      </c>
      <c r="L1380" s="21">
        <v>64.41</v>
      </c>
      <c r="M1380">
        <v>0</v>
      </c>
      <c r="N1380" s="21">
        <v>64.41</v>
      </c>
    </row>
    <row r="1381" spans="1:14">
      <c r="A1381" t="str">
        <f>IFERROR(_xlfn.XLOOKUP(B1381,Cuentas!$C$1:$C$521,Cuentas!$A$1:$A$521),"")</f>
        <v>Yuldor</v>
      </c>
      <c r="B1381" t="s">
        <v>1627</v>
      </c>
      <c r="C1381" t="s">
        <v>1628</v>
      </c>
      <c r="D1381" t="s">
        <v>16</v>
      </c>
      <c r="E1381" t="s">
        <v>7</v>
      </c>
      <c r="F1381" t="s">
        <v>1650</v>
      </c>
      <c r="G1381" t="s">
        <v>1650</v>
      </c>
      <c r="H1381" s="2">
        <v>45217</v>
      </c>
      <c r="I1381" s="2">
        <v>45247</v>
      </c>
      <c r="J1381" t="s">
        <v>20</v>
      </c>
      <c r="K1381" s="21">
        <v>265.66000000000003</v>
      </c>
      <c r="L1381" s="21">
        <v>265.66000000000003</v>
      </c>
      <c r="M1381">
        <v>0</v>
      </c>
      <c r="N1381" s="21">
        <v>265.66000000000003</v>
      </c>
    </row>
    <row r="1382" spans="1:14">
      <c r="A1382" t="str">
        <f>IFERROR(_xlfn.XLOOKUP(B1382,Cuentas!$C$1:$C$521,Cuentas!$A$1:$A$521),"")</f>
        <v>Yuldor</v>
      </c>
      <c r="B1382" t="s">
        <v>1627</v>
      </c>
      <c r="C1382" t="s">
        <v>1628</v>
      </c>
      <c r="D1382" t="s">
        <v>16</v>
      </c>
      <c r="E1382" t="s">
        <v>7</v>
      </c>
      <c r="F1382" t="s">
        <v>1651</v>
      </c>
      <c r="G1382" t="s">
        <v>1651</v>
      </c>
      <c r="H1382" s="2">
        <v>45231</v>
      </c>
      <c r="I1382" s="2">
        <v>45261</v>
      </c>
      <c r="J1382" t="s">
        <v>20</v>
      </c>
      <c r="K1382" s="21">
        <v>417.45</v>
      </c>
      <c r="L1382" s="21">
        <v>417.45</v>
      </c>
      <c r="M1382">
        <v>0</v>
      </c>
      <c r="N1382" s="21">
        <v>417.45</v>
      </c>
    </row>
    <row r="1383" spans="1:14">
      <c r="A1383" t="str">
        <f>IFERROR(_xlfn.XLOOKUP(B1383,Cuentas!$C$1:$C$521,Cuentas!$A$1:$A$521),"")</f>
        <v>Yuldor</v>
      </c>
      <c r="B1383" t="s">
        <v>1627</v>
      </c>
      <c r="C1383" t="s">
        <v>1628</v>
      </c>
      <c r="D1383" t="s">
        <v>16</v>
      </c>
      <c r="E1383" t="s">
        <v>7</v>
      </c>
      <c r="F1383" t="s">
        <v>1652</v>
      </c>
      <c r="G1383" t="s">
        <v>1652</v>
      </c>
      <c r="H1383" s="2">
        <v>45246</v>
      </c>
      <c r="I1383" s="2">
        <v>45276</v>
      </c>
      <c r="J1383" t="s">
        <v>20</v>
      </c>
      <c r="K1383" s="21">
        <v>516.13</v>
      </c>
      <c r="L1383" s="21">
        <v>516.13</v>
      </c>
      <c r="M1383">
        <v>0</v>
      </c>
      <c r="N1383" s="21">
        <v>516.13</v>
      </c>
    </row>
    <row r="1384" spans="1:14">
      <c r="A1384" t="str">
        <f>IFERROR(_xlfn.XLOOKUP(B1384,Cuentas!$C$1:$C$521,Cuentas!$A$1:$A$521),"")</f>
        <v>Yuldor</v>
      </c>
      <c r="B1384" t="s">
        <v>1627</v>
      </c>
      <c r="C1384" t="s">
        <v>1628</v>
      </c>
      <c r="D1384" t="s">
        <v>16</v>
      </c>
      <c r="E1384" t="s">
        <v>5502</v>
      </c>
      <c r="F1384" t="s">
        <v>1653</v>
      </c>
      <c r="G1384" t="s">
        <v>19</v>
      </c>
      <c r="I1384" s="2">
        <v>45289</v>
      </c>
      <c r="J1384" t="s">
        <v>20</v>
      </c>
      <c r="K1384" s="21">
        <v>-6.15</v>
      </c>
      <c r="L1384" s="21">
        <v>-6.15</v>
      </c>
      <c r="M1384">
        <v>0</v>
      </c>
      <c r="N1384" s="21">
        <v>-6.15</v>
      </c>
    </row>
    <row r="1385" spans="1:14">
      <c r="A1385" t="str">
        <f>IFERROR(_xlfn.XLOOKUP(B1385,Cuentas!$C$1:$C$521,Cuentas!$A$1:$A$521),"")</f>
        <v>Yuldor</v>
      </c>
      <c r="B1385" t="s">
        <v>1627</v>
      </c>
      <c r="C1385" t="s">
        <v>1628</v>
      </c>
      <c r="D1385" t="s">
        <v>16</v>
      </c>
      <c r="E1385" t="s">
        <v>5502</v>
      </c>
      <c r="F1385" t="s">
        <v>1654</v>
      </c>
      <c r="G1385" t="s">
        <v>19</v>
      </c>
      <c r="I1385" s="2">
        <v>45289</v>
      </c>
      <c r="J1385" t="s">
        <v>20</v>
      </c>
      <c r="K1385" s="21">
        <v>-24.86</v>
      </c>
      <c r="L1385" s="21">
        <v>-24.86</v>
      </c>
      <c r="M1385">
        <v>0</v>
      </c>
      <c r="N1385" s="21">
        <v>-24.86</v>
      </c>
    </row>
    <row r="1386" spans="1:14">
      <c r="A1386" t="str">
        <f>IFERROR(_xlfn.XLOOKUP(B1386,Cuentas!$C$1:$C$521,Cuentas!$A$1:$A$521),"")</f>
        <v>Yuldor</v>
      </c>
      <c r="B1386" t="s">
        <v>1627</v>
      </c>
      <c r="C1386" t="s">
        <v>1628</v>
      </c>
      <c r="D1386" t="s">
        <v>16</v>
      </c>
      <c r="E1386" t="s">
        <v>7</v>
      </c>
      <c r="F1386" t="s">
        <v>1655</v>
      </c>
      <c r="G1386" t="s">
        <v>1655</v>
      </c>
      <c r="H1386" s="2">
        <v>45279</v>
      </c>
      <c r="I1386" s="2">
        <v>45309</v>
      </c>
      <c r="J1386" t="s">
        <v>20</v>
      </c>
      <c r="K1386" s="21">
        <v>176.9</v>
      </c>
      <c r="L1386" s="21">
        <v>176.9</v>
      </c>
      <c r="M1386">
        <v>0</v>
      </c>
      <c r="N1386" s="21">
        <v>176.9</v>
      </c>
    </row>
    <row r="1387" spans="1:14">
      <c r="A1387" t="str">
        <f>IFERROR(_xlfn.XLOOKUP(B1387,Cuentas!$C$1:$C$521,Cuentas!$A$1:$A$521),"")</f>
        <v>Yuldor</v>
      </c>
      <c r="B1387" t="s">
        <v>1627</v>
      </c>
      <c r="C1387" t="s">
        <v>1628</v>
      </c>
      <c r="D1387" t="s">
        <v>16</v>
      </c>
      <c r="E1387" t="s">
        <v>7</v>
      </c>
      <c r="F1387" t="s">
        <v>1656</v>
      </c>
      <c r="G1387" t="s">
        <v>1656</v>
      </c>
      <c r="H1387" s="2">
        <v>45289</v>
      </c>
      <c r="I1387" s="2">
        <v>45319</v>
      </c>
      <c r="J1387" t="s">
        <v>20</v>
      </c>
      <c r="K1387" s="21">
        <v>229.17</v>
      </c>
      <c r="L1387" s="21">
        <v>229.17</v>
      </c>
      <c r="M1387">
        <v>0</v>
      </c>
      <c r="N1387" s="21">
        <v>229.17</v>
      </c>
    </row>
    <row r="1388" spans="1:14">
      <c r="A1388" t="str">
        <f>IFERROR(_xlfn.XLOOKUP(B1388,Cuentas!$C$1:$C$521,Cuentas!$A$1:$A$521),"")</f>
        <v>Yuldor</v>
      </c>
      <c r="B1388" t="s">
        <v>1627</v>
      </c>
      <c r="C1388" t="s">
        <v>1628</v>
      </c>
      <c r="D1388" t="s">
        <v>16</v>
      </c>
      <c r="E1388" t="s">
        <v>5502</v>
      </c>
      <c r="F1388" t="s">
        <v>1657</v>
      </c>
      <c r="G1388" t="s">
        <v>19</v>
      </c>
      <c r="I1388" s="2">
        <v>45322</v>
      </c>
      <c r="J1388" t="s">
        <v>20</v>
      </c>
      <c r="K1388" s="21">
        <v>-30.87</v>
      </c>
      <c r="L1388" s="21">
        <v>-30.87</v>
      </c>
      <c r="M1388">
        <v>0</v>
      </c>
      <c r="N1388" s="21">
        <v>-30.87</v>
      </c>
    </row>
    <row r="1389" spans="1:14">
      <c r="A1389" t="str">
        <f>IFERROR(_xlfn.XLOOKUP(B1389,Cuentas!$C$1:$C$521,Cuentas!$A$1:$A$521),"")</f>
        <v>Yuldor</v>
      </c>
      <c r="B1389" t="s">
        <v>1627</v>
      </c>
      <c r="C1389" t="s">
        <v>1628</v>
      </c>
      <c r="D1389" t="s">
        <v>16</v>
      </c>
      <c r="E1389" t="s">
        <v>5502</v>
      </c>
      <c r="F1389" t="s">
        <v>1658</v>
      </c>
      <c r="G1389" t="s">
        <v>19</v>
      </c>
      <c r="I1389" s="2">
        <v>45322</v>
      </c>
      <c r="J1389" t="s">
        <v>20</v>
      </c>
      <c r="K1389" s="21">
        <v>-6.94</v>
      </c>
      <c r="L1389" s="21">
        <v>-6.94</v>
      </c>
      <c r="M1389">
        <v>0</v>
      </c>
      <c r="N1389" s="21">
        <v>-6.94</v>
      </c>
    </row>
    <row r="1390" spans="1:14">
      <c r="A1390" t="str">
        <f>IFERROR(_xlfn.XLOOKUP(B1390,Cuentas!$C$1:$C$521,Cuentas!$A$1:$A$521),"")</f>
        <v>Yuldor</v>
      </c>
      <c r="B1390" t="s">
        <v>1627</v>
      </c>
      <c r="C1390" t="s">
        <v>1628</v>
      </c>
      <c r="D1390" t="s">
        <v>16</v>
      </c>
      <c r="E1390" t="s">
        <v>5502</v>
      </c>
      <c r="F1390" t="s">
        <v>1659</v>
      </c>
      <c r="G1390" t="s">
        <v>19</v>
      </c>
      <c r="I1390" s="2">
        <v>45322</v>
      </c>
      <c r="J1390" t="s">
        <v>20</v>
      </c>
      <c r="K1390" s="21">
        <v>-13.72</v>
      </c>
      <c r="L1390" s="21">
        <v>-13.72</v>
      </c>
      <c r="M1390">
        <v>0</v>
      </c>
      <c r="N1390" s="21">
        <v>-13.72</v>
      </c>
    </row>
    <row r="1391" spans="1:14">
      <c r="A1391" t="str">
        <f>IFERROR(_xlfn.XLOOKUP(B1391,Cuentas!$C$1:$C$521,Cuentas!$A$1:$A$521),"")</f>
        <v>Yuldor</v>
      </c>
      <c r="B1391" t="s">
        <v>1627</v>
      </c>
      <c r="C1391" t="s">
        <v>1628</v>
      </c>
      <c r="D1391" t="s">
        <v>16</v>
      </c>
      <c r="E1391" t="s">
        <v>7</v>
      </c>
      <c r="F1391" t="s">
        <v>1660</v>
      </c>
      <c r="G1391" t="s">
        <v>1660</v>
      </c>
      <c r="H1391" s="2">
        <v>45294</v>
      </c>
      <c r="I1391" s="2">
        <v>45324</v>
      </c>
      <c r="J1391" t="s">
        <v>20</v>
      </c>
      <c r="K1391" s="21">
        <v>608.23</v>
      </c>
      <c r="L1391" s="21">
        <v>30.41</v>
      </c>
      <c r="M1391">
        <v>0</v>
      </c>
      <c r="N1391" s="21">
        <v>30.41</v>
      </c>
    </row>
    <row r="1392" spans="1:14">
      <c r="A1392" t="str">
        <f>IFERROR(_xlfn.XLOOKUP(B1392,Cuentas!$C$1:$C$521,Cuentas!$A$1:$A$521),"")</f>
        <v>Yuldor</v>
      </c>
      <c r="B1392" t="s">
        <v>1627</v>
      </c>
      <c r="C1392" t="s">
        <v>1628</v>
      </c>
      <c r="D1392" t="s">
        <v>16</v>
      </c>
      <c r="E1392" t="s">
        <v>3139</v>
      </c>
      <c r="F1392" t="s">
        <v>1660</v>
      </c>
      <c r="G1392" t="s">
        <v>1660</v>
      </c>
      <c r="I1392" s="2">
        <v>45576</v>
      </c>
      <c r="J1392" t="s">
        <v>20</v>
      </c>
      <c r="K1392" s="21">
        <v>-577.82000000000005</v>
      </c>
      <c r="L1392" s="21" t="s">
        <v>86</v>
      </c>
      <c r="M1392">
        <v>0</v>
      </c>
      <c r="N1392" s="21" t="s">
        <v>86</v>
      </c>
    </row>
    <row r="1393" spans="1:14">
      <c r="A1393" t="str">
        <f>IFERROR(_xlfn.XLOOKUP(B1393,Cuentas!$C$1:$C$521,Cuentas!$A$1:$A$521),"")</f>
        <v>Yuldor</v>
      </c>
      <c r="B1393" t="s">
        <v>1627</v>
      </c>
      <c r="C1393" t="s">
        <v>1628</v>
      </c>
      <c r="D1393" t="s">
        <v>16</v>
      </c>
      <c r="E1393" t="s">
        <v>7</v>
      </c>
      <c r="F1393" t="s">
        <v>1661</v>
      </c>
      <c r="G1393" t="s">
        <v>1661</v>
      </c>
      <c r="H1393" s="2">
        <v>45295</v>
      </c>
      <c r="I1393" s="2">
        <v>45325</v>
      </c>
      <c r="J1393" t="s">
        <v>20</v>
      </c>
      <c r="K1393" s="21">
        <v>1559.91</v>
      </c>
      <c r="L1393" s="21">
        <v>78</v>
      </c>
      <c r="M1393">
        <v>0</v>
      </c>
      <c r="N1393" s="21">
        <v>78</v>
      </c>
    </row>
    <row r="1394" spans="1:14">
      <c r="A1394" t="str">
        <f>IFERROR(_xlfn.XLOOKUP(B1394,Cuentas!$C$1:$C$521,Cuentas!$A$1:$A$521),"")</f>
        <v>Yuldor</v>
      </c>
      <c r="B1394" t="s">
        <v>1627</v>
      </c>
      <c r="C1394" t="s">
        <v>1628</v>
      </c>
      <c r="D1394" t="s">
        <v>16</v>
      </c>
      <c r="E1394" t="s">
        <v>3139</v>
      </c>
      <c r="F1394" t="s">
        <v>1661</v>
      </c>
      <c r="G1394" t="s">
        <v>1661</v>
      </c>
      <c r="I1394" s="2">
        <v>45576</v>
      </c>
      <c r="J1394" t="s">
        <v>20</v>
      </c>
      <c r="K1394" s="21">
        <v>-1481.91</v>
      </c>
      <c r="L1394" s="21" t="s">
        <v>86</v>
      </c>
      <c r="M1394">
        <v>0</v>
      </c>
      <c r="N1394" s="21" t="s">
        <v>86</v>
      </c>
    </row>
    <row r="1395" spans="1:14">
      <c r="A1395" t="str">
        <f>IFERROR(_xlfn.XLOOKUP(B1395,Cuentas!$C$1:$C$521,Cuentas!$A$1:$A$521),"")</f>
        <v>Yuldor</v>
      </c>
      <c r="B1395" t="s">
        <v>1627</v>
      </c>
      <c r="C1395" t="s">
        <v>1628</v>
      </c>
      <c r="D1395" t="s">
        <v>16</v>
      </c>
      <c r="E1395" t="s">
        <v>7</v>
      </c>
      <c r="F1395" t="s">
        <v>1662</v>
      </c>
      <c r="G1395" t="s">
        <v>1662</v>
      </c>
      <c r="H1395" s="2">
        <v>45296</v>
      </c>
      <c r="I1395" s="2">
        <v>45326</v>
      </c>
      <c r="J1395" t="s">
        <v>20</v>
      </c>
      <c r="K1395" s="21">
        <v>725.82</v>
      </c>
      <c r="L1395" s="21">
        <v>36.29</v>
      </c>
      <c r="M1395">
        <v>0</v>
      </c>
      <c r="N1395" s="21">
        <v>36.29</v>
      </c>
    </row>
    <row r="1396" spans="1:14">
      <c r="A1396" t="str">
        <f>IFERROR(_xlfn.XLOOKUP(B1396,Cuentas!$C$1:$C$521,Cuentas!$A$1:$A$521),"")</f>
        <v>Yuldor</v>
      </c>
      <c r="B1396" t="s">
        <v>1627</v>
      </c>
      <c r="C1396" t="s">
        <v>1628</v>
      </c>
      <c r="D1396" t="s">
        <v>16</v>
      </c>
      <c r="E1396" t="s">
        <v>3139</v>
      </c>
      <c r="F1396" t="s">
        <v>1662</v>
      </c>
      <c r="G1396" t="s">
        <v>1662</v>
      </c>
      <c r="I1396" s="2">
        <v>45576</v>
      </c>
      <c r="J1396" t="s">
        <v>20</v>
      </c>
      <c r="K1396" s="21">
        <v>-689.53</v>
      </c>
      <c r="L1396" s="21" t="s">
        <v>86</v>
      </c>
      <c r="M1396">
        <v>0</v>
      </c>
      <c r="N1396" s="21" t="s">
        <v>86</v>
      </c>
    </row>
    <row r="1397" spans="1:14">
      <c r="A1397" t="str">
        <f>IFERROR(_xlfn.XLOOKUP(B1397,Cuentas!$C$1:$C$521,Cuentas!$A$1:$A$521),"")</f>
        <v>Yuldor</v>
      </c>
      <c r="B1397" t="s">
        <v>1627</v>
      </c>
      <c r="C1397" t="s">
        <v>1628</v>
      </c>
      <c r="D1397" t="s">
        <v>16</v>
      </c>
      <c r="E1397" t="s">
        <v>7</v>
      </c>
      <c r="F1397" t="s">
        <v>1663</v>
      </c>
      <c r="G1397" t="s">
        <v>1663</v>
      </c>
      <c r="H1397" s="2">
        <v>45301</v>
      </c>
      <c r="I1397" s="2">
        <v>45331</v>
      </c>
      <c r="J1397" t="s">
        <v>20</v>
      </c>
      <c r="K1397" s="21">
        <v>95.74</v>
      </c>
      <c r="L1397" s="21">
        <v>95.74</v>
      </c>
      <c r="M1397">
        <v>0</v>
      </c>
      <c r="N1397" s="21">
        <v>95.74</v>
      </c>
    </row>
    <row r="1398" spans="1:14">
      <c r="A1398" t="str">
        <f>IFERROR(_xlfn.XLOOKUP(B1398,Cuentas!$C$1:$C$521,Cuentas!$A$1:$A$521),"")</f>
        <v>Yuldor</v>
      </c>
      <c r="B1398" t="s">
        <v>1627</v>
      </c>
      <c r="C1398" t="s">
        <v>1628</v>
      </c>
      <c r="D1398" t="s">
        <v>16</v>
      </c>
      <c r="E1398" t="s">
        <v>7</v>
      </c>
      <c r="F1398" t="s">
        <v>1664</v>
      </c>
      <c r="G1398" t="s">
        <v>1664</v>
      </c>
      <c r="H1398" s="2">
        <v>45303</v>
      </c>
      <c r="I1398" s="2">
        <v>45333</v>
      </c>
      <c r="J1398" t="s">
        <v>20</v>
      </c>
      <c r="K1398" s="21">
        <v>649.98</v>
      </c>
      <c r="L1398" s="21">
        <v>649.98</v>
      </c>
      <c r="M1398">
        <v>0</v>
      </c>
      <c r="N1398" s="21">
        <v>649.98</v>
      </c>
    </row>
    <row r="1399" spans="1:14">
      <c r="A1399" t="str">
        <f>IFERROR(_xlfn.XLOOKUP(B1399,Cuentas!$C$1:$C$521,Cuentas!$A$1:$A$521),"")</f>
        <v>Yuldor</v>
      </c>
      <c r="B1399" t="s">
        <v>1627</v>
      </c>
      <c r="C1399" t="s">
        <v>1628</v>
      </c>
      <c r="D1399" t="s">
        <v>16</v>
      </c>
      <c r="E1399" t="s">
        <v>7</v>
      </c>
      <c r="F1399" t="s">
        <v>1665</v>
      </c>
      <c r="G1399" t="s">
        <v>1665</v>
      </c>
      <c r="H1399" s="2">
        <v>45315</v>
      </c>
      <c r="I1399" s="2">
        <v>45345</v>
      </c>
      <c r="J1399" t="s">
        <v>20</v>
      </c>
      <c r="K1399" s="21">
        <v>270.68</v>
      </c>
      <c r="L1399" s="21">
        <v>270.68</v>
      </c>
      <c r="M1399">
        <v>0</v>
      </c>
      <c r="N1399" s="21">
        <v>270.68</v>
      </c>
    </row>
    <row r="1400" spans="1:14">
      <c r="A1400" t="str">
        <f>IFERROR(_xlfn.XLOOKUP(B1400,Cuentas!$C$1:$C$521,Cuentas!$A$1:$A$521),"")</f>
        <v>Yuldor</v>
      </c>
      <c r="B1400" t="s">
        <v>1627</v>
      </c>
      <c r="C1400" t="s">
        <v>1628</v>
      </c>
      <c r="D1400" t="s">
        <v>16</v>
      </c>
      <c r="E1400" t="s">
        <v>7</v>
      </c>
      <c r="F1400" t="s">
        <v>1666</v>
      </c>
      <c r="G1400" t="s">
        <v>1666</v>
      </c>
      <c r="H1400" s="2">
        <v>45320</v>
      </c>
      <c r="I1400" s="2">
        <v>45350</v>
      </c>
      <c r="J1400" t="s">
        <v>20</v>
      </c>
      <c r="K1400" s="21">
        <v>178.74</v>
      </c>
      <c r="L1400" s="21">
        <v>178.74</v>
      </c>
      <c r="M1400">
        <v>0</v>
      </c>
      <c r="N1400" s="21">
        <v>178.74</v>
      </c>
    </row>
    <row r="1401" spans="1:14">
      <c r="A1401" t="str">
        <f>IFERROR(_xlfn.XLOOKUP(B1401,Cuentas!$C$1:$C$521,Cuentas!$A$1:$A$521),"")</f>
        <v>Yuldor</v>
      </c>
      <c r="B1401" t="s">
        <v>1627</v>
      </c>
      <c r="C1401" t="s">
        <v>1628</v>
      </c>
      <c r="D1401" t="s">
        <v>16</v>
      </c>
      <c r="E1401" t="s">
        <v>5502</v>
      </c>
      <c r="F1401" t="s">
        <v>1667</v>
      </c>
      <c r="G1401" t="s">
        <v>19</v>
      </c>
      <c r="I1401" s="2">
        <v>45351</v>
      </c>
      <c r="J1401" t="s">
        <v>20</v>
      </c>
      <c r="K1401" s="21">
        <v>-99.66</v>
      </c>
      <c r="L1401" s="21">
        <v>-99.66</v>
      </c>
      <c r="M1401">
        <v>0</v>
      </c>
      <c r="N1401" s="21">
        <v>-99.66</v>
      </c>
    </row>
    <row r="1402" spans="1:14">
      <c r="A1402" t="str">
        <f>IFERROR(_xlfn.XLOOKUP(B1402,Cuentas!$C$1:$C$521,Cuentas!$A$1:$A$521),"")</f>
        <v>Yuldor</v>
      </c>
      <c r="B1402" t="s">
        <v>1627</v>
      </c>
      <c r="C1402" t="s">
        <v>1628</v>
      </c>
      <c r="D1402" t="s">
        <v>16</v>
      </c>
      <c r="E1402" t="s">
        <v>7</v>
      </c>
      <c r="F1402" t="s">
        <v>1668</v>
      </c>
      <c r="G1402" t="s">
        <v>1668</v>
      </c>
      <c r="H1402" s="2">
        <v>45321</v>
      </c>
      <c r="I1402" s="2">
        <v>45351</v>
      </c>
      <c r="J1402" t="s">
        <v>20</v>
      </c>
      <c r="K1402" s="21">
        <v>91.08</v>
      </c>
      <c r="L1402" s="21">
        <v>91.08</v>
      </c>
      <c r="M1402">
        <v>0</v>
      </c>
      <c r="N1402" s="21">
        <v>91.08</v>
      </c>
    </row>
    <row r="1403" spans="1:14">
      <c r="A1403" t="str">
        <f>IFERROR(_xlfn.XLOOKUP(B1403,Cuentas!$C$1:$C$521,Cuentas!$A$1:$A$521),"")</f>
        <v>Yuldor</v>
      </c>
      <c r="B1403" t="s">
        <v>1627</v>
      </c>
      <c r="C1403" t="s">
        <v>1628</v>
      </c>
      <c r="D1403" t="s">
        <v>16</v>
      </c>
      <c r="E1403" t="s">
        <v>7</v>
      </c>
      <c r="F1403" t="s">
        <v>1669</v>
      </c>
      <c r="G1403" t="s">
        <v>1669</v>
      </c>
      <c r="H1403" s="2">
        <v>45324</v>
      </c>
      <c r="I1403" s="2">
        <v>45354</v>
      </c>
      <c r="J1403" t="s">
        <v>20</v>
      </c>
      <c r="K1403" s="21">
        <v>270.36</v>
      </c>
      <c r="L1403" s="21">
        <v>270.36</v>
      </c>
      <c r="M1403">
        <v>0</v>
      </c>
      <c r="N1403" s="21">
        <v>270.36</v>
      </c>
    </row>
    <row r="1404" spans="1:14">
      <c r="A1404" t="str">
        <f>IFERROR(_xlfn.XLOOKUP(B1404,Cuentas!$C$1:$C$521,Cuentas!$A$1:$A$521),"")</f>
        <v>Yuldor</v>
      </c>
      <c r="B1404" t="s">
        <v>1627</v>
      </c>
      <c r="C1404" t="s">
        <v>1628</v>
      </c>
      <c r="D1404" t="s">
        <v>16</v>
      </c>
      <c r="E1404" t="s">
        <v>7</v>
      </c>
      <c r="F1404" t="s">
        <v>1670</v>
      </c>
      <c r="G1404" t="s">
        <v>1670</v>
      </c>
      <c r="H1404" s="2">
        <v>45331</v>
      </c>
      <c r="I1404" s="2">
        <v>45361</v>
      </c>
      <c r="J1404" t="s">
        <v>20</v>
      </c>
      <c r="K1404" s="21">
        <v>469.86</v>
      </c>
      <c r="L1404" s="21">
        <v>469.86</v>
      </c>
      <c r="M1404">
        <v>0</v>
      </c>
      <c r="N1404" s="21">
        <v>469.86</v>
      </c>
    </row>
    <row r="1405" spans="1:14">
      <c r="A1405" t="str">
        <f>IFERROR(_xlfn.XLOOKUP(B1405,Cuentas!$C$1:$C$521,Cuentas!$A$1:$A$521),"")</f>
        <v>Yuldor</v>
      </c>
      <c r="B1405" t="s">
        <v>1627</v>
      </c>
      <c r="C1405" t="s">
        <v>1628</v>
      </c>
      <c r="D1405" t="s">
        <v>16</v>
      </c>
      <c r="E1405" t="s">
        <v>5502</v>
      </c>
      <c r="F1405" t="s">
        <v>1671</v>
      </c>
      <c r="G1405" t="s">
        <v>19</v>
      </c>
      <c r="I1405" s="2">
        <v>45380</v>
      </c>
      <c r="J1405" t="s">
        <v>20</v>
      </c>
      <c r="K1405" s="21">
        <v>-30.02</v>
      </c>
      <c r="L1405" s="21">
        <v>-30.02</v>
      </c>
      <c r="M1405">
        <v>0</v>
      </c>
      <c r="N1405" s="21">
        <v>-30.02</v>
      </c>
    </row>
    <row r="1406" spans="1:14">
      <c r="A1406" t="str">
        <f>IFERROR(_xlfn.XLOOKUP(B1406,Cuentas!$C$1:$C$521,Cuentas!$A$1:$A$521),"")</f>
        <v>Yuldor</v>
      </c>
      <c r="B1406" t="s">
        <v>1627</v>
      </c>
      <c r="C1406" t="s">
        <v>1628</v>
      </c>
      <c r="D1406" t="s">
        <v>16</v>
      </c>
      <c r="E1406" t="s">
        <v>5502</v>
      </c>
      <c r="F1406" t="s">
        <v>1672</v>
      </c>
      <c r="G1406" t="s">
        <v>19</v>
      </c>
      <c r="I1406" s="2">
        <v>45380</v>
      </c>
      <c r="J1406" t="s">
        <v>20</v>
      </c>
      <c r="K1406" s="21">
        <v>-6.1</v>
      </c>
      <c r="L1406" s="21">
        <v>-6.1</v>
      </c>
      <c r="M1406">
        <v>0</v>
      </c>
      <c r="N1406" s="21">
        <v>-6.1</v>
      </c>
    </row>
    <row r="1407" spans="1:14">
      <c r="A1407" t="str">
        <f>IFERROR(_xlfn.XLOOKUP(B1407,Cuentas!$C$1:$C$521,Cuentas!$A$1:$A$521),"")</f>
        <v>Yuldor</v>
      </c>
      <c r="B1407" t="s">
        <v>1627</v>
      </c>
      <c r="C1407" t="s">
        <v>1628</v>
      </c>
      <c r="D1407" t="s">
        <v>16</v>
      </c>
      <c r="E1407" t="s">
        <v>7</v>
      </c>
      <c r="F1407" t="s">
        <v>1673</v>
      </c>
      <c r="G1407" t="s">
        <v>1673</v>
      </c>
      <c r="H1407" s="2">
        <v>45359</v>
      </c>
      <c r="I1407" s="2">
        <v>45389</v>
      </c>
      <c r="J1407" t="s">
        <v>20</v>
      </c>
      <c r="K1407" s="21">
        <v>258.72000000000003</v>
      </c>
      <c r="L1407" s="21">
        <v>258.72000000000003</v>
      </c>
      <c r="M1407">
        <v>0</v>
      </c>
      <c r="N1407" s="21">
        <v>258.72000000000003</v>
      </c>
    </row>
    <row r="1408" spans="1:14">
      <c r="A1408" t="str">
        <f>IFERROR(_xlfn.XLOOKUP(B1408,Cuentas!$C$1:$C$521,Cuentas!$A$1:$A$521),"")</f>
        <v>Yuldor</v>
      </c>
      <c r="B1408" t="s">
        <v>1627</v>
      </c>
      <c r="C1408" t="s">
        <v>1628</v>
      </c>
      <c r="D1408" t="s">
        <v>16</v>
      </c>
      <c r="E1408" t="s">
        <v>7</v>
      </c>
      <c r="F1408" t="s">
        <v>1674</v>
      </c>
      <c r="G1408" t="s">
        <v>1674</v>
      </c>
      <c r="H1408" s="2">
        <v>45378</v>
      </c>
      <c r="I1408" s="2">
        <v>45408</v>
      </c>
      <c r="J1408" t="s">
        <v>20</v>
      </c>
      <c r="K1408" s="21">
        <v>177.29</v>
      </c>
      <c r="L1408" s="21">
        <v>177.29</v>
      </c>
      <c r="M1408">
        <v>0</v>
      </c>
      <c r="N1408" s="21">
        <v>177.29</v>
      </c>
    </row>
    <row r="1409" spans="1:14">
      <c r="A1409" t="str">
        <f>IFERROR(_xlfn.XLOOKUP(B1409,Cuentas!$C$1:$C$521,Cuentas!$A$1:$A$521),"")</f>
        <v>Yuldor</v>
      </c>
      <c r="B1409" t="s">
        <v>1627</v>
      </c>
      <c r="C1409" t="s">
        <v>1628</v>
      </c>
      <c r="D1409" t="s">
        <v>16</v>
      </c>
      <c r="E1409" t="s">
        <v>5502</v>
      </c>
      <c r="F1409" t="s">
        <v>1675</v>
      </c>
      <c r="G1409" t="s">
        <v>19</v>
      </c>
      <c r="I1409" s="2">
        <v>45412</v>
      </c>
      <c r="J1409" t="s">
        <v>20</v>
      </c>
      <c r="K1409" s="21">
        <v>-16.53</v>
      </c>
      <c r="L1409" s="21">
        <v>-16.53</v>
      </c>
      <c r="M1409">
        <v>0</v>
      </c>
      <c r="N1409" s="21">
        <v>-16.53</v>
      </c>
    </row>
    <row r="1410" spans="1:14">
      <c r="A1410" t="str">
        <f>IFERROR(_xlfn.XLOOKUP(B1410,Cuentas!$C$1:$C$521,Cuentas!$A$1:$A$521),"")</f>
        <v>Yuldor</v>
      </c>
      <c r="B1410" t="s">
        <v>1627</v>
      </c>
      <c r="C1410" t="s">
        <v>1628</v>
      </c>
      <c r="D1410" t="s">
        <v>16</v>
      </c>
      <c r="E1410" t="s">
        <v>5502</v>
      </c>
      <c r="F1410" t="s">
        <v>1676</v>
      </c>
      <c r="G1410" t="s">
        <v>19</v>
      </c>
      <c r="I1410" s="2">
        <v>45412</v>
      </c>
      <c r="J1410" t="s">
        <v>20</v>
      </c>
      <c r="K1410" s="21">
        <v>-12.21</v>
      </c>
      <c r="L1410" s="21">
        <v>-12.21</v>
      </c>
      <c r="M1410">
        <v>0</v>
      </c>
      <c r="N1410" s="21">
        <v>-12.21</v>
      </c>
    </row>
    <row r="1411" spans="1:14">
      <c r="A1411" t="str">
        <f>IFERROR(_xlfn.XLOOKUP(B1411,Cuentas!$C$1:$C$521,Cuentas!$A$1:$A$521),"")</f>
        <v>Yuldor</v>
      </c>
      <c r="B1411" t="s">
        <v>1627</v>
      </c>
      <c r="C1411" t="s">
        <v>1628</v>
      </c>
      <c r="D1411" t="s">
        <v>16</v>
      </c>
      <c r="E1411" t="s">
        <v>5502</v>
      </c>
      <c r="F1411" t="s">
        <v>1677</v>
      </c>
      <c r="G1411" t="s">
        <v>19</v>
      </c>
      <c r="I1411" s="2">
        <v>45412</v>
      </c>
      <c r="J1411" t="s">
        <v>20</v>
      </c>
      <c r="K1411" s="21">
        <v>-6.11</v>
      </c>
      <c r="L1411" s="21">
        <v>-6.11</v>
      </c>
      <c r="M1411">
        <v>0</v>
      </c>
      <c r="N1411" s="21">
        <v>-6.11</v>
      </c>
    </row>
    <row r="1412" spans="1:14">
      <c r="A1412" t="str">
        <f>IFERROR(_xlfn.XLOOKUP(B1412,Cuentas!$C$1:$C$521,Cuentas!$A$1:$A$521),"")</f>
        <v>Yuldor</v>
      </c>
      <c r="B1412" t="s">
        <v>1627</v>
      </c>
      <c r="C1412" t="s">
        <v>1628</v>
      </c>
      <c r="D1412" t="s">
        <v>16</v>
      </c>
      <c r="E1412" t="s">
        <v>7</v>
      </c>
      <c r="F1412" t="s">
        <v>1678</v>
      </c>
      <c r="G1412" t="s">
        <v>1678</v>
      </c>
      <c r="H1412" s="2">
        <v>45413</v>
      </c>
      <c r="I1412" s="2">
        <v>45443</v>
      </c>
      <c r="J1412" t="s">
        <v>20</v>
      </c>
      <c r="K1412" s="21">
        <v>349.52</v>
      </c>
      <c r="L1412" s="21">
        <v>349.52</v>
      </c>
      <c r="M1412">
        <v>0</v>
      </c>
      <c r="N1412" s="21">
        <v>349.52</v>
      </c>
    </row>
    <row r="1413" spans="1:14">
      <c r="A1413" t="str">
        <f>IFERROR(_xlfn.XLOOKUP(B1413,Cuentas!$C$1:$C$521,Cuentas!$A$1:$A$521),"")</f>
        <v>Yuldor</v>
      </c>
      <c r="B1413" t="s">
        <v>1627</v>
      </c>
      <c r="C1413" t="s">
        <v>1628</v>
      </c>
      <c r="D1413" t="s">
        <v>16</v>
      </c>
      <c r="E1413" t="s">
        <v>7</v>
      </c>
      <c r="F1413" t="s">
        <v>1679</v>
      </c>
      <c r="G1413" t="s">
        <v>1679</v>
      </c>
      <c r="H1413" s="2">
        <v>45420</v>
      </c>
      <c r="I1413" s="2">
        <v>45450</v>
      </c>
      <c r="J1413" t="s">
        <v>20</v>
      </c>
      <c r="K1413" s="21">
        <v>330.76</v>
      </c>
      <c r="L1413" s="21">
        <v>330.76</v>
      </c>
      <c r="M1413">
        <v>0</v>
      </c>
      <c r="N1413" s="21">
        <v>330.76</v>
      </c>
    </row>
    <row r="1414" spans="1:14">
      <c r="A1414" t="str">
        <f>IFERROR(_xlfn.XLOOKUP(B1414,Cuentas!$C$1:$C$521,Cuentas!$A$1:$A$521),"")</f>
        <v>Yuldor</v>
      </c>
      <c r="B1414" t="s">
        <v>1627</v>
      </c>
      <c r="C1414" t="s">
        <v>1628</v>
      </c>
      <c r="D1414" t="s">
        <v>16</v>
      </c>
      <c r="E1414" t="s">
        <v>7</v>
      </c>
      <c r="F1414" t="s">
        <v>1680</v>
      </c>
      <c r="G1414" t="s">
        <v>1680</v>
      </c>
      <c r="H1414" s="2">
        <v>45421</v>
      </c>
      <c r="I1414" s="2">
        <v>45451</v>
      </c>
      <c r="J1414" t="s">
        <v>20</v>
      </c>
      <c r="K1414" s="21">
        <v>270.33999999999997</v>
      </c>
      <c r="L1414" s="21">
        <v>270.33999999999997</v>
      </c>
      <c r="M1414">
        <v>0</v>
      </c>
      <c r="N1414" s="21">
        <v>270.33999999999997</v>
      </c>
    </row>
    <row r="1415" spans="1:14">
      <c r="A1415" t="str">
        <f>IFERROR(_xlfn.XLOOKUP(B1415,Cuentas!$C$1:$C$521,Cuentas!$A$1:$A$521),"")</f>
        <v>Yuldor</v>
      </c>
      <c r="B1415" t="s">
        <v>1627</v>
      </c>
      <c r="C1415" t="s">
        <v>1628</v>
      </c>
      <c r="D1415" t="s">
        <v>16</v>
      </c>
      <c r="E1415" t="s">
        <v>5502</v>
      </c>
      <c r="F1415" t="s">
        <v>1681</v>
      </c>
      <c r="G1415" t="s">
        <v>19</v>
      </c>
      <c r="I1415" s="2">
        <v>45468</v>
      </c>
      <c r="J1415" t="s">
        <v>20</v>
      </c>
      <c r="K1415" s="21">
        <v>-17.27</v>
      </c>
      <c r="L1415" s="21">
        <v>-17.27</v>
      </c>
      <c r="M1415">
        <v>0</v>
      </c>
      <c r="N1415" s="21">
        <v>-17.27</v>
      </c>
    </row>
    <row r="1416" spans="1:14">
      <c r="A1416" t="str">
        <f>IFERROR(_xlfn.XLOOKUP(B1416,Cuentas!$C$1:$C$521,Cuentas!$A$1:$A$521),"")</f>
        <v>Yuldor</v>
      </c>
      <c r="B1416" t="s">
        <v>1627</v>
      </c>
      <c r="C1416" t="s">
        <v>1628</v>
      </c>
      <c r="D1416" t="s">
        <v>16</v>
      </c>
      <c r="E1416" t="s">
        <v>7</v>
      </c>
      <c r="F1416" t="s">
        <v>1682</v>
      </c>
      <c r="G1416" t="s">
        <v>1682</v>
      </c>
      <c r="H1416" s="2">
        <v>45495</v>
      </c>
      <c r="I1416" s="2">
        <v>45525</v>
      </c>
      <c r="J1416" t="s">
        <v>20</v>
      </c>
      <c r="K1416" s="21">
        <v>177.43</v>
      </c>
      <c r="L1416" s="21">
        <v>177.43</v>
      </c>
      <c r="M1416">
        <v>0</v>
      </c>
      <c r="N1416" s="21">
        <v>177.43</v>
      </c>
    </row>
    <row r="1417" spans="1:14">
      <c r="A1417" t="str">
        <f>IFERROR(_xlfn.XLOOKUP(B1417,Cuentas!$C$1:$C$521,Cuentas!$A$1:$A$521),"")</f>
        <v>Yuldor</v>
      </c>
      <c r="B1417" t="s">
        <v>1627</v>
      </c>
      <c r="C1417" t="s">
        <v>1628</v>
      </c>
      <c r="D1417" t="s">
        <v>16</v>
      </c>
      <c r="E1417" t="s">
        <v>7</v>
      </c>
      <c r="F1417" t="s">
        <v>1683</v>
      </c>
      <c r="G1417" t="s">
        <v>1683</v>
      </c>
      <c r="H1417" s="2">
        <v>45517</v>
      </c>
      <c r="I1417" s="2">
        <v>45547</v>
      </c>
      <c r="J1417" t="s">
        <v>20</v>
      </c>
      <c r="K1417" s="21">
        <v>331.81</v>
      </c>
      <c r="L1417" s="21">
        <v>331.81</v>
      </c>
      <c r="M1417">
        <v>0</v>
      </c>
      <c r="N1417" s="21">
        <v>331.81</v>
      </c>
    </row>
    <row r="1418" spans="1:14">
      <c r="A1418" t="str">
        <f>IFERROR(_xlfn.XLOOKUP(B1418,Cuentas!$C$1:$C$521,Cuentas!$A$1:$A$521),"")</f>
        <v>Yuldor</v>
      </c>
      <c r="B1418" t="s">
        <v>1627</v>
      </c>
      <c r="C1418" t="s">
        <v>1628</v>
      </c>
      <c r="D1418" t="s">
        <v>16</v>
      </c>
      <c r="E1418" t="s">
        <v>7</v>
      </c>
      <c r="F1418" t="s">
        <v>1684</v>
      </c>
      <c r="G1418" t="s">
        <v>1684</v>
      </c>
      <c r="H1418" s="2">
        <v>45555</v>
      </c>
      <c r="I1418" s="2">
        <v>45585</v>
      </c>
      <c r="J1418" t="s">
        <v>20</v>
      </c>
      <c r="K1418" s="21">
        <v>68.7</v>
      </c>
      <c r="L1418" s="21">
        <v>68.7</v>
      </c>
      <c r="M1418">
        <v>0</v>
      </c>
      <c r="N1418" s="21">
        <v>68.7</v>
      </c>
    </row>
    <row r="1419" spans="1:14">
      <c r="A1419" t="str">
        <f>IFERROR(_xlfn.XLOOKUP(B1419,Cuentas!$C$1:$C$521,Cuentas!$A$1:$A$521),"")</f>
        <v>Yuldor</v>
      </c>
      <c r="B1419" t="s">
        <v>1627</v>
      </c>
      <c r="C1419" t="s">
        <v>1628</v>
      </c>
      <c r="D1419" t="s">
        <v>16</v>
      </c>
      <c r="E1419" t="s">
        <v>7</v>
      </c>
      <c r="F1419" t="s">
        <v>1685</v>
      </c>
      <c r="G1419" t="s">
        <v>1685</v>
      </c>
      <c r="H1419" s="2">
        <v>45558</v>
      </c>
      <c r="I1419" s="2">
        <v>45588</v>
      </c>
      <c r="J1419" t="s">
        <v>20</v>
      </c>
      <c r="K1419" s="21">
        <v>213.11</v>
      </c>
      <c r="L1419" s="21">
        <v>213.11</v>
      </c>
      <c r="M1419">
        <v>0</v>
      </c>
      <c r="N1419" s="21">
        <v>213.11</v>
      </c>
    </row>
    <row r="1420" spans="1:14">
      <c r="A1420" t="str">
        <f>IFERROR(_xlfn.XLOOKUP(B1420,Cuentas!$C$1:$C$521,Cuentas!$A$1:$A$521),"")</f>
        <v>Yuldor</v>
      </c>
      <c r="B1420" t="s">
        <v>1627</v>
      </c>
      <c r="C1420" t="s">
        <v>1628</v>
      </c>
      <c r="D1420" t="s">
        <v>16</v>
      </c>
      <c r="E1420" t="s">
        <v>7</v>
      </c>
      <c r="F1420" t="s">
        <v>1686</v>
      </c>
      <c r="G1420" t="s">
        <v>1686</v>
      </c>
      <c r="H1420" s="2">
        <v>45559</v>
      </c>
      <c r="I1420" s="2">
        <v>45589</v>
      </c>
      <c r="J1420" t="s">
        <v>20</v>
      </c>
      <c r="K1420" s="21">
        <v>155.57</v>
      </c>
      <c r="L1420" s="21">
        <v>155.57</v>
      </c>
      <c r="M1420">
        <v>0</v>
      </c>
      <c r="N1420" s="21">
        <v>155.57</v>
      </c>
    </row>
    <row r="1421" spans="1:14">
      <c r="A1421" t="str">
        <f>IFERROR(_xlfn.XLOOKUP(B1421,Cuentas!$C$1:$C$521,Cuentas!$A$1:$A$521),"")</f>
        <v>Yuldor</v>
      </c>
      <c r="B1421" t="s">
        <v>1627</v>
      </c>
      <c r="C1421" t="s">
        <v>1628</v>
      </c>
      <c r="D1421" t="s">
        <v>16</v>
      </c>
      <c r="E1421" t="s">
        <v>7</v>
      </c>
      <c r="F1421" t="s">
        <v>1687</v>
      </c>
      <c r="G1421" t="s">
        <v>1687</v>
      </c>
      <c r="H1421" s="2">
        <v>45562</v>
      </c>
      <c r="I1421" s="2">
        <v>45592</v>
      </c>
      <c r="J1421" t="s">
        <v>20</v>
      </c>
      <c r="K1421" s="21">
        <v>173.11</v>
      </c>
      <c r="L1421" s="21">
        <v>173.11</v>
      </c>
      <c r="M1421">
        <v>0</v>
      </c>
      <c r="N1421" s="21">
        <v>173.11</v>
      </c>
    </row>
    <row r="1422" spans="1:14">
      <c r="A1422" t="str">
        <f>IFERROR(_xlfn.XLOOKUP(B1422,Cuentas!$C$1:$C$521,Cuentas!$A$1:$A$521),"")</f>
        <v>Yuldor</v>
      </c>
      <c r="B1422" t="s">
        <v>1627</v>
      </c>
      <c r="C1422" t="s">
        <v>1628</v>
      </c>
      <c r="D1422" t="s">
        <v>16</v>
      </c>
      <c r="E1422" t="s">
        <v>7</v>
      </c>
      <c r="F1422" t="s">
        <v>1688</v>
      </c>
      <c r="G1422" t="s">
        <v>1688</v>
      </c>
      <c r="H1422" s="2">
        <v>45562</v>
      </c>
      <c r="I1422" s="2">
        <v>45592</v>
      </c>
      <c r="J1422" t="s">
        <v>20</v>
      </c>
      <c r="K1422" s="21">
        <v>275</v>
      </c>
      <c r="L1422" s="21">
        <v>275</v>
      </c>
      <c r="M1422">
        <v>0</v>
      </c>
      <c r="N1422" s="21">
        <v>275</v>
      </c>
    </row>
    <row r="1423" spans="1:14">
      <c r="A1423" t="str">
        <f>IFERROR(_xlfn.XLOOKUP(B1423,Cuentas!$C$1:$C$521,Cuentas!$A$1:$A$521),"")</f>
        <v>Yuldor</v>
      </c>
      <c r="B1423" t="s">
        <v>1627</v>
      </c>
      <c r="C1423" t="s">
        <v>1628</v>
      </c>
      <c r="D1423" t="s">
        <v>16</v>
      </c>
      <c r="E1423" t="s">
        <v>7</v>
      </c>
      <c r="F1423" t="s">
        <v>1689</v>
      </c>
      <c r="G1423" t="s">
        <v>1689</v>
      </c>
      <c r="H1423" s="2">
        <v>45572</v>
      </c>
      <c r="I1423" s="2">
        <v>45602</v>
      </c>
      <c r="J1423" t="s">
        <v>20</v>
      </c>
      <c r="K1423" s="21">
        <v>67.97</v>
      </c>
      <c r="L1423" s="21">
        <v>67.97</v>
      </c>
      <c r="M1423">
        <v>0</v>
      </c>
      <c r="N1423" s="21">
        <v>67.97</v>
      </c>
    </row>
    <row r="1424" spans="1:14">
      <c r="A1424" t="str">
        <f>IFERROR(_xlfn.XLOOKUP(B1424,Cuentas!$C$1:$C$521,Cuentas!$A$1:$A$521),"")</f>
        <v>Yuldor</v>
      </c>
      <c r="B1424" t="s">
        <v>1627</v>
      </c>
      <c r="C1424" t="s">
        <v>1628</v>
      </c>
      <c r="D1424" t="s">
        <v>16</v>
      </c>
      <c r="E1424" t="s">
        <v>7</v>
      </c>
      <c r="F1424" t="s">
        <v>1690</v>
      </c>
      <c r="G1424" t="s">
        <v>1690</v>
      </c>
      <c r="H1424" s="2">
        <v>45589</v>
      </c>
      <c r="I1424" s="2">
        <v>45619</v>
      </c>
      <c r="J1424" t="s">
        <v>20</v>
      </c>
      <c r="K1424" s="21">
        <v>100.72</v>
      </c>
      <c r="L1424" s="21">
        <v>100.72</v>
      </c>
      <c r="M1424">
        <v>0</v>
      </c>
      <c r="N1424" s="21">
        <v>100.72</v>
      </c>
    </row>
    <row r="1425" spans="1:14">
      <c r="A1425" t="str">
        <f>IFERROR(_xlfn.XLOOKUP(B1425,Cuentas!$C$1:$C$521,Cuentas!$A$1:$A$521),"")</f>
        <v>Yuldor</v>
      </c>
      <c r="B1425" t="s">
        <v>1627</v>
      </c>
      <c r="C1425" t="s">
        <v>1628</v>
      </c>
      <c r="D1425" t="s">
        <v>16</v>
      </c>
      <c r="E1425" t="s">
        <v>7</v>
      </c>
      <c r="F1425" t="s">
        <v>1691</v>
      </c>
      <c r="G1425" t="s">
        <v>1691</v>
      </c>
      <c r="H1425" s="2">
        <v>45594</v>
      </c>
      <c r="I1425" s="2">
        <v>45624</v>
      </c>
      <c r="J1425" t="s">
        <v>20</v>
      </c>
      <c r="K1425" s="21">
        <v>242.54</v>
      </c>
      <c r="L1425" s="21">
        <v>242.54</v>
      </c>
      <c r="M1425">
        <v>0</v>
      </c>
      <c r="N1425" s="21">
        <v>242.54</v>
      </c>
    </row>
    <row r="1426" spans="1:14">
      <c r="A1426" t="str">
        <f>IFERROR(_xlfn.XLOOKUP(B1426,Cuentas!$C$1:$C$521,Cuentas!$A$1:$A$521),"")</f>
        <v>Yuldor</v>
      </c>
      <c r="B1426" t="s">
        <v>1627</v>
      </c>
      <c r="C1426" t="s">
        <v>1628</v>
      </c>
      <c r="D1426" t="s">
        <v>16</v>
      </c>
      <c r="E1426" t="s">
        <v>7</v>
      </c>
      <c r="F1426" t="s">
        <v>1692</v>
      </c>
      <c r="G1426" t="s">
        <v>1692</v>
      </c>
      <c r="H1426" s="2">
        <v>45594</v>
      </c>
      <c r="I1426" s="2">
        <v>45624</v>
      </c>
      <c r="J1426" t="s">
        <v>20</v>
      </c>
      <c r="K1426" s="21">
        <v>376.36</v>
      </c>
      <c r="L1426" s="21">
        <v>376.36</v>
      </c>
      <c r="M1426">
        <v>0</v>
      </c>
      <c r="N1426" s="21">
        <v>376.36</v>
      </c>
    </row>
    <row r="1427" spans="1:14">
      <c r="A1427" t="str">
        <f>IFERROR(_xlfn.XLOOKUP(B1427,Cuentas!$C$1:$C$521,Cuentas!$A$1:$A$521),"")</f>
        <v>Yuldor</v>
      </c>
      <c r="B1427" t="s">
        <v>1627</v>
      </c>
      <c r="C1427" t="s">
        <v>1628</v>
      </c>
      <c r="D1427" t="s">
        <v>16</v>
      </c>
      <c r="E1427" t="s">
        <v>7</v>
      </c>
      <c r="F1427" t="s">
        <v>1693</v>
      </c>
      <c r="G1427" t="s">
        <v>1693</v>
      </c>
      <c r="H1427" s="2">
        <v>45594</v>
      </c>
      <c r="I1427" s="2">
        <v>45624</v>
      </c>
      <c r="J1427" t="s">
        <v>20</v>
      </c>
      <c r="K1427" s="21">
        <v>489.46</v>
      </c>
      <c r="L1427" s="21">
        <v>489.46</v>
      </c>
      <c r="M1427">
        <v>0</v>
      </c>
      <c r="N1427" s="21">
        <v>489.46</v>
      </c>
    </row>
    <row r="1428" spans="1:14">
      <c r="A1428" t="str">
        <f>IFERROR(_xlfn.XLOOKUP(B1428,Cuentas!$C$1:$C$521,Cuentas!$A$1:$A$521),"")</f>
        <v>Yuldor</v>
      </c>
      <c r="B1428" t="s">
        <v>1627</v>
      </c>
      <c r="C1428" t="s">
        <v>1628</v>
      </c>
      <c r="D1428" t="s">
        <v>16</v>
      </c>
      <c r="E1428" t="s">
        <v>7</v>
      </c>
      <c r="F1428" t="s">
        <v>1694</v>
      </c>
      <c r="G1428" t="s">
        <v>1694</v>
      </c>
      <c r="H1428" s="2">
        <v>45596</v>
      </c>
      <c r="I1428" s="2">
        <v>45626</v>
      </c>
      <c r="J1428" t="s">
        <v>20</v>
      </c>
      <c r="K1428" s="21">
        <v>257.81</v>
      </c>
      <c r="L1428" s="21">
        <v>257.81</v>
      </c>
      <c r="M1428">
        <v>0</v>
      </c>
      <c r="N1428" s="21">
        <v>257.81</v>
      </c>
    </row>
    <row r="1429" spans="1:14">
      <c r="A1429" t="str">
        <f>IFERROR(_xlfn.XLOOKUP(B1429,Cuentas!$C$1:$C$521,Cuentas!$A$1:$A$521),"")</f>
        <v>Yuldor</v>
      </c>
      <c r="B1429" t="s">
        <v>1627</v>
      </c>
      <c r="C1429" t="s">
        <v>1628</v>
      </c>
      <c r="D1429" t="s">
        <v>16</v>
      </c>
      <c r="E1429" t="s">
        <v>7</v>
      </c>
      <c r="F1429" t="s">
        <v>1695</v>
      </c>
      <c r="G1429" t="s">
        <v>1695</v>
      </c>
      <c r="H1429" s="2">
        <v>45596</v>
      </c>
      <c r="I1429" s="2">
        <v>45626</v>
      </c>
      <c r="J1429" t="s">
        <v>20</v>
      </c>
      <c r="K1429" s="21">
        <v>692.26</v>
      </c>
      <c r="L1429" s="21">
        <v>692.26</v>
      </c>
      <c r="M1429">
        <v>0</v>
      </c>
      <c r="N1429" s="21">
        <v>692.26</v>
      </c>
    </row>
    <row r="1430" spans="1:14">
      <c r="A1430" t="str">
        <f>IFERROR(_xlfn.XLOOKUP(B1430,Cuentas!$C$1:$C$521,Cuentas!$A$1:$A$521),"")</f>
        <v>Yuldor</v>
      </c>
      <c r="B1430" t="s">
        <v>1627</v>
      </c>
      <c r="C1430" t="s">
        <v>1628</v>
      </c>
      <c r="D1430" t="s">
        <v>16</v>
      </c>
      <c r="E1430" t="s">
        <v>7</v>
      </c>
      <c r="F1430" t="s">
        <v>1696</v>
      </c>
      <c r="G1430" t="s">
        <v>1696</v>
      </c>
      <c r="H1430" s="2">
        <v>45597</v>
      </c>
      <c r="I1430" s="2">
        <v>45627</v>
      </c>
      <c r="J1430" t="s">
        <v>20</v>
      </c>
      <c r="K1430" s="21">
        <v>602.39</v>
      </c>
      <c r="L1430" s="21">
        <v>602.39</v>
      </c>
      <c r="M1430">
        <v>0</v>
      </c>
      <c r="N1430" s="21">
        <v>602.39</v>
      </c>
    </row>
    <row r="1431" spans="1:14">
      <c r="A1431" t="str">
        <f>IFERROR(_xlfn.XLOOKUP(B1431,Cuentas!$C$1:$C$521,Cuentas!$A$1:$A$521),"")</f>
        <v>Yuldor</v>
      </c>
      <c r="B1431" t="s">
        <v>1627</v>
      </c>
      <c r="C1431" t="s">
        <v>1628</v>
      </c>
      <c r="D1431" t="s">
        <v>16</v>
      </c>
      <c r="E1431" t="s">
        <v>7</v>
      </c>
      <c r="F1431" t="s">
        <v>1697</v>
      </c>
      <c r="G1431" t="s">
        <v>1697</v>
      </c>
      <c r="H1431" s="2">
        <v>45600</v>
      </c>
      <c r="I1431" s="2">
        <v>45630</v>
      </c>
      <c r="J1431" t="s">
        <v>20</v>
      </c>
      <c r="K1431" s="21">
        <v>253.03</v>
      </c>
      <c r="L1431" s="21">
        <v>253.03</v>
      </c>
      <c r="M1431">
        <v>0</v>
      </c>
      <c r="N1431" s="21">
        <v>253.03</v>
      </c>
    </row>
    <row r="1432" spans="1:14">
      <c r="A1432" t="str">
        <f>IFERROR(_xlfn.XLOOKUP(B1432,Cuentas!$C$1:$C$521,Cuentas!$A$1:$A$521),"")</f>
        <v>Yuldor</v>
      </c>
      <c r="B1432" t="s">
        <v>1627</v>
      </c>
      <c r="C1432" t="s">
        <v>1628</v>
      </c>
      <c r="D1432" t="s">
        <v>16</v>
      </c>
      <c r="E1432" t="s">
        <v>7</v>
      </c>
      <c r="F1432" t="s">
        <v>1698</v>
      </c>
      <c r="G1432" t="s">
        <v>1698</v>
      </c>
      <c r="H1432" s="2">
        <v>45600</v>
      </c>
      <c r="I1432" s="2">
        <v>45630</v>
      </c>
      <c r="J1432" t="s">
        <v>20</v>
      </c>
      <c r="K1432" s="21">
        <v>441.81</v>
      </c>
      <c r="L1432" s="21">
        <v>441.81</v>
      </c>
      <c r="M1432">
        <v>0</v>
      </c>
      <c r="N1432" s="21">
        <v>441.81</v>
      </c>
    </row>
    <row r="1433" spans="1:14">
      <c r="A1433" t="str">
        <f>IFERROR(_xlfn.XLOOKUP(B1433,Cuentas!$C$1:$C$521,Cuentas!$A$1:$A$521),"")</f>
        <v>Yuldor</v>
      </c>
      <c r="B1433" t="s">
        <v>1627</v>
      </c>
      <c r="C1433" t="s">
        <v>1628</v>
      </c>
      <c r="D1433" t="s">
        <v>16</v>
      </c>
      <c r="E1433" t="s">
        <v>7</v>
      </c>
      <c r="F1433" t="s">
        <v>1699</v>
      </c>
      <c r="G1433" t="s">
        <v>1699</v>
      </c>
      <c r="H1433" s="2">
        <v>45602</v>
      </c>
      <c r="I1433" s="2">
        <v>45632</v>
      </c>
      <c r="J1433" t="s">
        <v>20</v>
      </c>
      <c r="K1433" s="21">
        <v>170.6</v>
      </c>
      <c r="L1433" s="21">
        <v>170.6</v>
      </c>
      <c r="M1433">
        <v>0</v>
      </c>
      <c r="N1433" s="21">
        <v>170.6</v>
      </c>
    </row>
    <row r="1434" spans="1:14">
      <c r="A1434" t="str">
        <f>IFERROR(_xlfn.XLOOKUP(B1434,Cuentas!$C$1:$C$521,Cuentas!$A$1:$A$521),"")</f>
        <v>Yuldor</v>
      </c>
      <c r="B1434" t="s">
        <v>1627</v>
      </c>
      <c r="C1434" t="s">
        <v>1628</v>
      </c>
      <c r="D1434" t="s">
        <v>16</v>
      </c>
      <c r="E1434" t="s">
        <v>7</v>
      </c>
      <c r="F1434" t="s">
        <v>1700</v>
      </c>
      <c r="G1434" t="s">
        <v>1700</v>
      </c>
      <c r="H1434" s="2">
        <v>45602</v>
      </c>
      <c r="I1434" s="2">
        <v>45632</v>
      </c>
      <c r="J1434" t="s">
        <v>20</v>
      </c>
      <c r="K1434" s="21">
        <v>426.14</v>
      </c>
      <c r="L1434" s="21">
        <v>426.14</v>
      </c>
      <c r="M1434">
        <v>0</v>
      </c>
      <c r="N1434" s="21">
        <v>426.14</v>
      </c>
    </row>
    <row r="1435" spans="1:14">
      <c r="A1435" t="str">
        <f>IFERROR(_xlfn.XLOOKUP(B1435,Cuentas!$C$1:$C$521,Cuentas!$A$1:$A$521),"")</f>
        <v>Yuldor</v>
      </c>
      <c r="B1435" t="s">
        <v>1627</v>
      </c>
      <c r="C1435" t="s">
        <v>1628</v>
      </c>
      <c r="D1435" t="s">
        <v>16</v>
      </c>
      <c r="E1435" t="s">
        <v>7</v>
      </c>
      <c r="F1435" t="s">
        <v>1701</v>
      </c>
      <c r="G1435" t="s">
        <v>1701</v>
      </c>
      <c r="H1435" s="2">
        <v>45602</v>
      </c>
      <c r="I1435" s="2">
        <v>45632</v>
      </c>
      <c r="J1435" t="s">
        <v>20</v>
      </c>
      <c r="K1435" s="21">
        <v>93.56</v>
      </c>
      <c r="L1435" s="21">
        <v>93.56</v>
      </c>
      <c r="M1435">
        <v>0</v>
      </c>
      <c r="N1435" s="21">
        <v>93.56</v>
      </c>
    </row>
    <row r="1436" spans="1:14">
      <c r="A1436" t="str">
        <f>IFERROR(_xlfn.XLOOKUP(B1436,Cuentas!$C$1:$C$521,Cuentas!$A$1:$A$521),"")</f>
        <v>Yuldor</v>
      </c>
      <c r="B1436" t="s">
        <v>1627</v>
      </c>
      <c r="C1436" t="s">
        <v>1628</v>
      </c>
      <c r="D1436" t="s">
        <v>16</v>
      </c>
      <c r="E1436" t="s">
        <v>7</v>
      </c>
      <c r="F1436" t="s">
        <v>1702</v>
      </c>
      <c r="G1436" t="s">
        <v>1702</v>
      </c>
      <c r="H1436" s="2">
        <v>45665</v>
      </c>
      <c r="I1436" s="2">
        <v>45695</v>
      </c>
      <c r="J1436" t="s">
        <v>20</v>
      </c>
      <c r="K1436" s="21">
        <v>735.33</v>
      </c>
      <c r="L1436" s="21">
        <v>735.33</v>
      </c>
      <c r="M1436">
        <v>0</v>
      </c>
      <c r="N1436" s="21">
        <v>735.33</v>
      </c>
    </row>
    <row r="1437" spans="1:14">
      <c r="A1437" t="str">
        <f>IFERROR(_xlfn.XLOOKUP(B1437,Cuentas!$C$1:$C$521,Cuentas!$A$1:$A$521),"")</f>
        <v>Yuldor</v>
      </c>
      <c r="B1437" t="s">
        <v>1627</v>
      </c>
      <c r="C1437" t="s">
        <v>1628</v>
      </c>
      <c r="D1437" t="s">
        <v>16</v>
      </c>
      <c r="E1437" t="s">
        <v>7</v>
      </c>
      <c r="F1437" t="s">
        <v>1703</v>
      </c>
      <c r="G1437" t="s">
        <v>1703</v>
      </c>
      <c r="H1437" s="2">
        <v>45670</v>
      </c>
      <c r="I1437" s="2">
        <v>45700</v>
      </c>
      <c r="J1437" t="s">
        <v>20</v>
      </c>
      <c r="K1437" s="21">
        <v>1246.5</v>
      </c>
      <c r="L1437" s="21">
        <v>62.33</v>
      </c>
      <c r="M1437">
        <v>0</v>
      </c>
      <c r="N1437" s="21">
        <v>62.33</v>
      </c>
    </row>
    <row r="1438" spans="1:14">
      <c r="A1438" t="str">
        <f>IFERROR(_xlfn.XLOOKUP(B1438,Cuentas!$C$1:$C$521,Cuentas!$A$1:$A$521),"")</f>
        <v>Yuldor</v>
      </c>
      <c r="B1438" t="s">
        <v>1627</v>
      </c>
      <c r="C1438" t="s">
        <v>1628</v>
      </c>
      <c r="D1438" t="s">
        <v>16</v>
      </c>
      <c r="E1438" t="s">
        <v>3139</v>
      </c>
      <c r="F1438" t="s">
        <v>1703</v>
      </c>
      <c r="G1438" t="s">
        <v>1703</v>
      </c>
      <c r="I1438" s="2">
        <v>45714</v>
      </c>
      <c r="J1438" t="s">
        <v>20</v>
      </c>
      <c r="K1438" s="21">
        <v>-1184.17</v>
      </c>
      <c r="L1438" s="21" t="s">
        <v>86</v>
      </c>
      <c r="M1438">
        <v>0</v>
      </c>
      <c r="N1438" s="21" t="s">
        <v>86</v>
      </c>
    </row>
    <row r="1439" spans="1:14">
      <c r="A1439" t="str">
        <f>IFERROR(_xlfn.XLOOKUP(B1439,Cuentas!$C$1:$C$521,Cuentas!$A$1:$A$521),"")</f>
        <v>Yuldor</v>
      </c>
      <c r="B1439" t="s">
        <v>1627</v>
      </c>
      <c r="C1439" t="s">
        <v>1628</v>
      </c>
      <c r="D1439" t="s">
        <v>16</v>
      </c>
      <c r="E1439" t="s">
        <v>7</v>
      </c>
      <c r="F1439" t="s">
        <v>1704</v>
      </c>
      <c r="G1439" t="s">
        <v>1704</v>
      </c>
      <c r="H1439" s="2">
        <v>45671</v>
      </c>
      <c r="I1439" s="2">
        <v>45701</v>
      </c>
      <c r="J1439" t="s">
        <v>20</v>
      </c>
      <c r="K1439" s="21">
        <v>1334.63</v>
      </c>
      <c r="L1439" s="21">
        <v>66.73</v>
      </c>
      <c r="M1439">
        <v>0</v>
      </c>
      <c r="N1439" s="21">
        <v>66.73</v>
      </c>
    </row>
    <row r="1440" spans="1:14">
      <c r="A1440" t="str">
        <f>IFERROR(_xlfn.XLOOKUP(B1440,Cuentas!$C$1:$C$521,Cuentas!$A$1:$A$521),"")</f>
        <v>Yuldor</v>
      </c>
      <c r="B1440" t="s">
        <v>1627</v>
      </c>
      <c r="C1440" t="s">
        <v>1628</v>
      </c>
      <c r="D1440" t="s">
        <v>16</v>
      </c>
      <c r="E1440" t="s">
        <v>3139</v>
      </c>
      <c r="F1440" t="s">
        <v>1704</v>
      </c>
      <c r="G1440" t="s">
        <v>1704</v>
      </c>
      <c r="I1440" s="2">
        <v>45714</v>
      </c>
      <c r="J1440" t="s">
        <v>20</v>
      </c>
      <c r="K1440" s="21">
        <v>-1267.9000000000001</v>
      </c>
      <c r="L1440" s="21" t="s">
        <v>86</v>
      </c>
      <c r="M1440">
        <v>0</v>
      </c>
      <c r="N1440" s="21" t="s">
        <v>86</v>
      </c>
    </row>
    <row r="1441" spans="1:14">
      <c r="A1441" t="str">
        <f>IFERROR(_xlfn.XLOOKUP(B1441,Cuentas!$C$1:$C$521,Cuentas!$A$1:$A$521),"")</f>
        <v>Yuldor</v>
      </c>
      <c r="B1441" t="s">
        <v>1627</v>
      </c>
      <c r="C1441" t="s">
        <v>1628</v>
      </c>
      <c r="D1441" t="s">
        <v>16</v>
      </c>
      <c r="E1441" t="s">
        <v>3139</v>
      </c>
      <c r="F1441" t="s">
        <v>19</v>
      </c>
      <c r="G1441" t="s">
        <v>19</v>
      </c>
      <c r="I1441" s="2">
        <v>45714</v>
      </c>
      <c r="J1441" t="s">
        <v>20</v>
      </c>
      <c r="K1441" s="21">
        <v>-698.56</v>
      </c>
      <c r="L1441" s="21">
        <v>-698.56</v>
      </c>
      <c r="M1441">
        <v>0</v>
      </c>
      <c r="N1441" s="21">
        <v>-698.56</v>
      </c>
    </row>
    <row r="1442" spans="1:14">
      <c r="A1442" t="str">
        <f>IFERROR(_xlfn.XLOOKUP(B1442,Cuentas!$C$1:$C$521,Cuentas!$A$1:$A$521),"")</f>
        <v>Yuldor</v>
      </c>
      <c r="B1442" t="s">
        <v>1627</v>
      </c>
      <c r="C1442" t="s">
        <v>1628</v>
      </c>
      <c r="D1442" t="s">
        <v>16</v>
      </c>
      <c r="E1442" t="s">
        <v>7</v>
      </c>
      <c r="F1442" t="s">
        <v>1705</v>
      </c>
      <c r="G1442" t="s">
        <v>1705</v>
      </c>
      <c r="H1442" s="2">
        <v>45687</v>
      </c>
      <c r="I1442" s="2">
        <v>45717</v>
      </c>
      <c r="J1442" t="s">
        <v>20</v>
      </c>
      <c r="K1442" s="21">
        <v>1111.29</v>
      </c>
      <c r="L1442" s="21">
        <v>1111.29</v>
      </c>
      <c r="M1442">
        <v>10</v>
      </c>
      <c r="N1442" s="21">
        <v>1111.29</v>
      </c>
    </row>
    <row r="1443" spans="1:14">
      <c r="A1443" t="str">
        <f>IFERROR(_xlfn.XLOOKUP(B1443,Cuentas!$C$1:$C$521,Cuentas!$A$1:$A$521),"")</f>
        <v>Yuldor</v>
      </c>
      <c r="B1443" t="s">
        <v>1627</v>
      </c>
      <c r="C1443" t="s">
        <v>1628</v>
      </c>
      <c r="D1443" t="s">
        <v>16</v>
      </c>
      <c r="E1443" t="s">
        <v>7</v>
      </c>
      <c r="F1443" t="s">
        <v>1706</v>
      </c>
      <c r="G1443" t="s">
        <v>1706</v>
      </c>
      <c r="H1443" s="2">
        <v>45693</v>
      </c>
      <c r="I1443" s="2">
        <v>45723</v>
      </c>
      <c r="J1443" t="s">
        <v>20</v>
      </c>
      <c r="K1443" s="21">
        <v>635.64</v>
      </c>
      <c r="L1443" s="21">
        <v>635.64</v>
      </c>
      <c r="M1443">
        <v>10</v>
      </c>
      <c r="N1443" s="21">
        <v>635.64</v>
      </c>
    </row>
    <row r="1444" spans="1:14">
      <c r="A1444" t="str">
        <f>IFERROR(_xlfn.XLOOKUP(B1444,Cuentas!$C$1:$C$521,Cuentas!$A$1:$A$521),"")</f>
        <v>Yuldor</v>
      </c>
      <c r="B1444" t="s">
        <v>1627</v>
      </c>
      <c r="C1444" t="s">
        <v>1628</v>
      </c>
      <c r="D1444" t="s">
        <v>16</v>
      </c>
      <c r="E1444" t="s">
        <v>7</v>
      </c>
      <c r="F1444" t="s">
        <v>1707</v>
      </c>
      <c r="G1444" t="s">
        <v>1707</v>
      </c>
      <c r="H1444" s="2">
        <v>45708</v>
      </c>
      <c r="I1444" s="2">
        <v>45738</v>
      </c>
      <c r="J1444" t="s">
        <v>20</v>
      </c>
      <c r="K1444" s="21">
        <v>120.14</v>
      </c>
      <c r="L1444" s="21">
        <v>120.14</v>
      </c>
      <c r="M1444">
        <v>12</v>
      </c>
      <c r="N1444" s="21">
        <v>120.14</v>
      </c>
    </row>
    <row r="1445" spans="1:14">
      <c r="A1445" t="str">
        <f>IFERROR(_xlfn.XLOOKUP(B1445,Cuentas!$C$1:$C$521,Cuentas!$A$1:$A$521),"")</f>
        <v>Yuldor</v>
      </c>
      <c r="B1445" t="s">
        <v>1627</v>
      </c>
      <c r="C1445" t="s">
        <v>1628</v>
      </c>
      <c r="D1445" t="s">
        <v>16</v>
      </c>
      <c r="E1445" t="s">
        <v>7</v>
      </c>
      <c r="F1445" t="s">
        <v>1708</v>
      </c>
      <c r="G1445" t="s">
        <v>1708</v>
      </c>
      <c r="H1445" s="2">
        <v>45708</v>
      </c>
      <c r="I1445" s="2">
        <v>45738</v>
      </c>
      <c r="J1445" t="s">
        <v>20</v>
      </c>
      <c r="K1445" s="21">
        <v>255.65</v>
      </c>
      <c r="L1445" s="21">
        <v>255.65</v>
      </c>
      <c r="M1445">
        <v>12</v>
      </c>
      <c r="N1445" s="21">
        <v>255.65</v>
      </c>
    </row>
    <row r="1446" spans="1:14">
      <c r="A1446" t="str">
        <f>IFERROR(_xlfn.XLOOKUP(B1446,Cuentas!$C$1:$C$521,Cuentas!$A$1:$A$521),"")</f>
        <v>Yuldor</v>
      </c>
      <c r="B1446" t="s">
        <v>1627</v>
      </c>
      <c r="C1446" t="s">
        <v>1628</v>
      </c>
      <c r="D1446" t="s">
        <v>16</v>
      </c>
      <c r="E1446" t="s">
        <v>7</v>
      </c>
      <c r="F1446" t="s">
        <v>1709</v>
      </c>
      <c r="G1446" t="s">
        <v>1709</v>
      </c>
      <c r="H1446" s="2">
        <v>45713</v>
      </c>
      <c r="I1446" s="2">
        <v>45743</v>
      </c>
      <c r="J1446" t="s">
        <v>20</v>
      </c>
      <c r="K1446" s="21">
        <v>277</v>
      </c>
      <c r="L1446" s="21">
        <v>277</v>
      </c>
      <c r="M1446">
        <v>13</v>
      </c>
      <c r="N1446" s="21">
        <v>277</v>
      </c>
    </row>
    <row r="1447" spans="1:14">
      <c r="A1447" t="str">
        <f>IFERROR(_xlfn.XLOOKUP(B1447,Cuentas!$C$1:$C$521,Cuentas!$A$1:$A$521),"")</f>
        <v>Yuldor</v>
      </c>
      <c r="B1447" t="s">
        <v>1627</v>
      </c>
      <c r="C1447" t="s">
        <v>1628</v>
      </c>
      <c r="D1447" t="s">
        <v>16</v>
      </c>
      <c r="E1447" t="s">
        <v>7</v>
      </c>
      <c r="F1447" t="s">
        <v>1710</v>
      </c>
      <c r="G1447" t="s">
        <v>1710</v>
      </c>
      <c r="H1447" s="2">
        <v>45716</v>
      </c>
      <c r="I1447" s="2">
        <v>45746</v>
      </c>
      <c r="J1447" t="s">
        <v>20</v>
      </c>
      <c r="K1447" s="21">
        <v>242.54</v>
      </c>
      <c r="L1447" s="21">
        <v>242.54</v>
      </c>
      <c r="M1447">
        <v>13</v>
      </c>
      <c r="N1447" s="21">
        <v>242.54</v>
      </c>
    </row>
    <row r="1448" spans="1:14">
      <c r="A1448" t="str">
        <f>IFERROR(_xlfn.XLOOKUP(B1448,Cuentas!$C$1:$C$521,Cuentas!$A$1:$A$521),"")</f>
        <v>Yuldor</v>
      </c>
      <c r="B1448" t="s">
        <v>1627</v>
      </c>
      <c r="C1448" t="s">
        <v>1628</v>
      </c>
      <c r="D1448" t="s">
        <v>16</v>
      </c>
      <c r="E1448" t="s">
        <v>7</v>
      </c>
      <c r="F1448" t="s">
        <v>1711</v>
      </c>
      <c r="G1448" t="s">
        <v>1711</v>
      </c>
      <c r="H1448" s="2">
        <v>45716</v>
      </c>
      <c r="I1448" s="2">
        <v>45746</v>
      </c>
      <c r="J1448" t="s">
        <v>20</v>
      </c>
      <c r="K1448" s="21">
        <v>571</v>
      </c>
      <c r="L1448" s="21">
        <v>571</v>
      </c>
      <c r="M1448">
        <v>13</v>
      </c>
      <c r="N1448" s="21">
        <v>571</v>
      </c>
    </row>
    <row r="1449" spans="1:14">
      <c r="A1449" t="str">
        <f>IFERROR(_xlfn.XLOOKUP(B1449,Cuentas!$C$1:$C$521,Cuentas!$A$1:$A$521),"")</f>
        <v>Yuldor</v>
      </c>
      <c r="B1449" t="s">
        <v>1627</v>
      </c>
      <c r="C1449" t="s">
        <v>1628</v>
      </c>
      <c r="D1449" t="s">
        <v>16</v>
      </c>
      <c r="E1449" t="s">
        <v>7</v>
      </c>
      <c r="F1449" t="s">
        <v>1712</v>
      </c>
      <c r="G1449" t="s">
        <v>1712</v>
      </c>
      <c r="H1449" s="2">
        <v>45728</v>
      </c>
      <c r="I1449" s="2">
        <v>45758</v>
      </c>
      <c r="J1449" t="s">
        <v>20</v>
      </c>
      <c r="K1449" s="21">
        <v>352.96</v>
      </c>
      <c r="L1449" s="21">
        <v>352.96</v>
      </c>
      <c r="M1449">
        <v>0</v>
      </c>
      <c r="N1449" s="21">
        <v>0</v>
      </c>
    </row>
    <row r="1450" spans="1:14">
      <c r="A1450" t="str">
        <f>IFERROR(_xlfn.XLOOKUP(B1450,Cuentas!$C$1:$C$521,Cuentas!$A$1:$A$521),"")</f>
        <v>Yuldor</v>
      </c>
      <c r="B1450" t="s">
        <v>1627</v>
      </c>
      <c r="C1450" t="s">
        <v>1628</v>
      </c>
      <c r="D1450" t="s">
        <v>16</v>
      </c>
      <c r="E1450" t="s">
        <v>7</v>
      </c>
      <c r="F1450" t="s">
        <v>1713</v>
      </c>
      <c r="G1450" t="s">
        <v>1713</v>
      </c>
      <c r="H1450" s="2">
        <v>45735</v>
      </c>
      <c r="I1450" s="2">
        <v>45765</v>
      </c>
      <c r="J1450" t="s">
        <v>20</v>
      </c>
      <c r="K1450" s="21">
        <v>90.09</v>
      </c>
      <c r="L1450" s="21">
        <v>90.09</v>
      </c>
      <c r="M1450">
        <v>0</v>
      </c>
      <c r="N1450" s="21">
        <v>0</v>
      </c>
    </row>
    <row r="1451" spans="1:14">
      <c r="A1451" t="str">
        <f>IFERROR(_xlfn.XLOOKUP(B1451,Cuentas!$C$1:$C$521,Cuentas!$A$1:$A$521),"")</f>
        <v>Yuldor</v>
      </c>
      <c r="B1451" t="s">
        <v>1627</v>
      </c>
      <c r="C1451" t="s">
        <v>1628</v>
      </c>
      <c r="D1451" t="s">
        <v>16</v>
      </c>
      <c r="E1451" t="s">
        <v>7</v>
      </c>
      <c r="F1451" t="s">
        <v>1714</v>
      </c>
      <c r="G1451" t="s">
        <v>1714</v>
      </c>
      <c r="H1451" s="2">
        <v>45737</v>
      </c>
      <c r="I1451" s="2">
        <v>45767</v>
      </c>
      <c r="J1451" t="s">
        <v>20</v>
      </c>
      <c r="K1451" s="21">
        <v>333.34</v>
      </c>
      <c r="L1451" s="21">
        <v>333.34</v>
      </c>
      <c r="M1451">
        <v>0</v>
      </c>
      <c r="N1451" s="21">
        <v>0</v>
      </c>
    </row>
    <row r="1452" spans="1:14">
      <c r="A1452" t="str">
        <f>IFERROR(_xlfn.XLOOKUP(B1452,Cuentas!$C$1:$C$521,Cuentas!$A$1:$A$521),"")</f>
        <v>Yuldor</v>
      </c>
      <c r="B1452" t="s">
        <v>1715</v>
      </c>
      <c r="C1452" t="s">
        <v>1716</v>
      </c>
      <c r="D1452" t="s">
        <v>16</v>
      </c>
      <c r="E1452" t="s">
        <v>5502</v>
      </c>
      <c r="F1452" t="s">
        <v>1717</v>
      </c>
      <c r="G1452" t="s">
        <v>19</v>
      </c>
      <c r="I1452" s="2">
        <v>45345</v>
      </c>
      <c r="J1452" t="s">
        <v>20</v>
      </c>
      <c r="K1452" s="21">
        <v>-118</v>
      </c>
      <c r="L1452" s="21">
        <v>-118</v>
      </c>
      <c r="M1452">
        <v>0</v>
      </c>
      <c r="N1452" s="21">
        <v>-118</v>
      </c>
    </row>
    <row r="1453" spans="1:14">
      <c r="A1453" t="str">
        <f>IFERROR(_xlfn.XLOOKUP(B1453,Cuentas!$C$1:$C$521,Cuentas!$A$1:$A$521),"")</f>
        <v>Yuldor</v>
      </c>
      <c r="B1453" t="s">
        <v>1715</v>
      </c>
      <c r="C1453" t="s">
        <v>1716</v>
      </c>
      <c r="D1453" t="s">
        <v>16</v>
      </c>
      <c r="E1453" t="s">
        <v>7</v>
      </c>
      <c r="F1453" t="s">
        <v>1718</v>
      </c>
      <c r="G1453" t="s">
        <v>1718</v>
      </c>
      <c r="H1453" s="2">
        <v>45532</v>
      </c>
      <c r="I1453" s="2">
        <v>45562</v>
      </c>
      <c r="J1453" t="s">
        <v>20</v>
      </c>
      <c r="K1453" s="21">
        <v>10523.4</v>
      </c>
      <c r="L1453" s="21">
        <v>490</v>
      </c>
      <c r="M1453">
        <v>0</v>
      </c>
      <c r="N1453" s="21">
        <v>490</v>
      </c>
    </row>
    <row r="1454" spans="1:14">
      <c r="A1454" t="str">
        <f>IFERROR(_xlfn.XLOOKUP(B1454,Cuentas!$C$1:$C$521,Cuentas!$A$1:$A$521),"")</f>
        <v>Yuldor</v>
      </c>
      <c r="B1454" t="s">
        <v>1715</v>
      </c>
      <c r="C1454" t="s">
        <v>1716</v>
      </c>
      <c r="D1454" t="s">
        <v>16</v>
      </c>
      <c r="E1454" t="s">
        <v>3139</v>
      </c>
      <c r="F1454" t="s">
        <v>1718</v>
      </c>
      <c r="G1454" t="s">
        <v>1718</v>
      </c>
      <c r="I1454" s="2">
        <v>45575</v>
      </c>
      <c r="J1454" t="s">
        <v>20</v>
      </c>
      <c r="K1454" s="21">
        <v>-10033.4</v>
      </c>
      <c r="L1454" s="21" t="s">
        <v>86</v>
      </c>
      <c r="M1454">
        <v>0</v>
      </c>
      <c r="N1454" s="21" t="s">
        <v>86</v>
      </c>
    </row>
    <row r="1455" spans="1:14">
      <c r="A1455" t="str">
        <f>IFERROR(_xlfn.XLOOKUP(B1455,Cuentas!$C$1:$C$521,Cuentas!$A$1:$A$521),"")</f>
        <v>Yuldor</v>
      </c>
      <c r="B1455" t="s">
        <v>1715</v>
      </c>
      <c r="C1455" t="s">
        <v>1716</v>
      </c>
      <c r="D1455" t="s">
        <v>16</v>
      </c>
      <c r="E1455" t="s">
        <v>7</v>
      </c>
      <c r="F1455" t="s">
        <v>1719</v>
      </c>
      <c r="G1455" t="s">
        <v>1719</v>
      </c>
      <c r="H1455" s="2">
        <v>45546</v>
      </c>
      <c r="I1455" s="2">
        <v>45576</v>
      </c>
      <c r="J1455" t="s">
        <v>20</v>
      </c>
      <c r="K1455" s="21">
        <v>270</v>
      </c>
      <c r="L1455" s="21">
        <v>270</v>
      </c>
      <c r="M1455">
        <v>0</v>
      </c>
      <c r="N1455" s="21">
        <v>270</v>
      </c>
    </row>
    <row r="1456" spans="1:14">
      <c r="A1456" t="str">
        <f>IFERROR(_xlfn.XLOOKUP(B1456,Cuentas!$C$1:$C$521,Cuentas!$A$1:$A$521),"")</f>
        <v>Yuldor</v>
      </c>
      <c r="B1456" t="s">
        <v>1715</v>
      </c>
      <c r="C1456" t="s">
        <v>1716</v>
      </c>
      <c r="D1456" t="s">
        <v>16</v>
      </c>
      <c r="E1456" t="s">
        <v>7</v>
      </c>
      <c r="F1456" t="s">
        <v>1720</v>
      </c>
      <c r="G1456" t="s">
        <v>1720</v>
      </c>
      <c r="H1456" s="2">
        <v>45708</v>
      </c>
      <c r="I1456" s="2">
        <v>45738</v>
      </c>
      <c r="J1456" t="s">
        <v>20</v>
      </c>
      <c r="K1456" s="21">
        <v>4276</v>
      </c>
      <c r="L1456" s="21">
        <v>4276</v>
      </c>
      <c r="M1456">
        <v>12</v>
      </c>
      <c r="N1456" s="21">
        <v>4276</v>
      </c>
    </row>
    <row r="1457" spans="1:14">
      <c r="A1457" t="str">
        <f>IFERROR(_xlfn.XLOOKUP(B1457,Cuentas!$C$1:$C$521,Cuentas!$A$1:$A$521),"")</f>
        <v>Yuldor</v>
      </c>
      <c r="B1457" t="s">
        <v>1715</v>
      </c>
      <c r="C1457" t="s">
        <v>1716</v>
      </c>
      <c r="D1457" t="s">
        <v>16</v>
      </c>
      <c r="E1457" t="s">
        <v>7</v>
      </c>
      <c r="F1457" t="s">
        <v>1721</v>
      </c>
      <c r="G1457" t="s">
        <v>1721</v>
      </c>
      <c r="H1457" s="2">
        <v>45708</v>
      </c>
      <c r="I1457" s="2">
        <v>45738</v>
      </c>
      <c r="J1457" t="s">
        <v>20</v>
      </c>
      <c r="K1457" s="21">
        <v>7940</v>
      </c>
      <c r="L1457" s="21">
        <v>7940</v>
      </c>
      <c r="M1457">
        <v>12</v>
      </c>
      <c r="N1457" s="21">
        <v>7940</v>
      </c>
    </row>
    <row r="1458" spans="1:14">
      <c r="A1458" t="str">
        <f>IFERROR(_xlfn.XLOOKUP(B1458,Cuentas!$C$1:$C$521,Cuentas!$A$1:$A$521),"")</f>
        <v>Yuldor</v>
      </c>
      <c r="B1458" t="s">
        <v>1715</v>
      </c>
      <c r="C1458" t="s">
        <v>1716</v>
      </c>
      <c r="D1458" t="s">
        <v>16</v>
      </c>
      <c r="E1458" t="s">
        <v>7</v>
      </c>
      <c r="F1458" t="s">
        <v>1722</v>
      </c>
      <c r="G1458" t="s">
        <v>1722</v>
      </c>
      <c r="H1458" s="2">
        <v>45708</v>
      </c>
      <c r="I1458" s="2">
        <v>45738</v>
      </c>
      <c r="J1458" t="s">
        <v>20</v>
      </c>
      <c r="K1458" s="21">
        <v>150</v>
      </c>
      <c r="L1458" s="21">
        <v>150</v>
      </c>
      <c r="M1458">
        <v>12</v>
      </c>
      <c r="N1458" s="21">
        <v>150</v>
      </c>
    </row>
    <row r="1459" spans="1:14">
      <c r="A1459" t="str">
        <f>IFERROR(_xlfn.XLOOKUP(B1459,Cuentas!$C$1:$C$521,Cuentas!$A$1:$A$521),"")</f>
        <v>Yuldor</v>
      </c>
      <c r="B1459" t="s">
        <v>1715</v>
      </c>
      <c r="C1459" t="s">
        <v>1716</v>
      </c>
      <c r="D1459" t="s">
        <v>16</v>
      </c>
      <c r="E1459" t="s">
        <v>7</v>
      </c>
      <c r="F1459" t="s">
        <v>1723</v>
      </c>
      <c r="G1459" t="s">
        <v>1723</v>
      </c>
      <c r="H1459" s="2">
        <v>45713</v>
      </c>
      <c r="I1459" s="2">
        <v>45743</v>
      </c>
      <c r="J1459" t="s">
        <v>20</v>
      </c>
      <c r="K1459" s="21">
        <v>1290</v>
      </c>
      <c r="L1459" s="21">
        <v>1290</v>
      </c>
      <c r="M1459">
        <v>13</v>
      </c>
      <c r="N1459" s="21">
        <v>1290</v>
      </c>
    </row>
    <row r="1460" spans="1:14">
      <c r="A1460" t="str">
        <f>IFERROR(_xlfn.XLOOKUP(B1460,Cuentas!$C$1:$C$521,Cuentas!$A$1:$A$521),"")</f>
        <v>Yuldor</v>
      </c>
      <c r="B1460" t="s">
        <v>1715</v>
      </c>
      <c r="C1460" t="s">
        <v>1716</v>
      </c>
      <c r="D1460" t="s">
        <v>16</v>
      </c>
      <c r="E1460" t="s">
        <v>7</v>
      </c>
      <c r="F1460" t="s">
        <v>1724</v>
      </c>
      <c r="G1460" t="s">
        <v>1724</v>
      </c>
      <c r="H1460" s="2">
        <v>45733</v>
      </c>
      <c r="I1460" s="2">
        <v>45763</v>
      </c>
      <c r="J1460" t="s">
        <v>20</v>
      </c>
      <c r="K1460" s="21">
        <v>3926.25</v>
      </c>
      <c r="L1460" s="21">
        <v>3926.25</v>
      </c>
      <c r="M1460">
        <v>0</v>
      </c>
      <c r="N1460" s="21">
        <v>0</v>
      </c>
    </row>
    <row r="1461" spans="1:14">
      <c r="A1461" t="str">
        <f>IFERROR(_xlfn.XLOOKUP(B1461,Cuentas!$C$1:$C$521,Cuentas!$A$1:$A$521),"")</f>
        <v>Yuldor</v>
      </c>
      <c r="B1461" t="s">
        <v>1715</v>
      </c>
      <c r="C1461" t="s">
        <v>1716</v>
      </c>
      <c r="D1461" t="s">
        <v>16</v>
      </c>
      <c r="E1461" t="s">
        <v>7</v>
      </c>
      <c r="F1461" t="s">
        <v>1725</v>
      </c>
      <c r="G1461" t="s">
        <v>1725</v>
      </c>
      <c r="H1461" s="2">
        <v>45733</v>
      </c>
      <c r="I1461" s="2">
        <v>45763</v>
      </c>
      <c r="J1461" t="s">
        <v>20</v>
      </c>
      <c r="K1461" s="21">
        <v>2166</v>
      </c>
      <c r="L1461" s="21">
        <v>2166</v>
      </c>
      <c r="M1461">
        <v>0</v>
      </c>
      <c r="N1461" s="21">
        <v>0</v>
      </c>
    </row>
    <row r="1462" spans="1:14">
      <c r="A1462" t="str">
        <f>IFERROR(_xlfn.XLOOKUP(B1462,Cuentas!$C$1:$C$521,Cuentas!$A$1:$A$521),"")</f>
        <v>Alexandra</v>
      </c>
      <c r="B1462" t="s">
        <v>1726</v>
      </c>
      <c r="C1462" t="s">
        <v>1727</v>
      </c>
      <c r="D1462" t="s">
        <v>16</v>
      </c>
      <c r="E1462" t="s">
        <v>5502</v>
      </c>
      <c r="F1462" t="s">
        <v>1728</v>
      </c>
      <c r="G1462" t="s">
        <v>19</v>
      </c>
      <c r="I1462" s="2">
        <v>45688</v>
      </c>
      <c r="J1462" t="s">
        <v>20</v>
      </c>
      <c r="K1462" s="21">
        <v>-13.23</v>
      </c>
      <c r="L1462" s="21">
        <v>-13.23</v>
      </c>
      <c r="M1462">
        <v>0</v>
      </c>
      <c r="N1462" s="21">
        <v>-13.23</v>
      </c>
    </row>
    <row r="1463" spans="1:14">
      <c r="A1463" t="str">
        <f>IFERROR(_xlfn.XLOOKUP(B1463,Cuentas!$C$1:$C$521,Cuentas!$A$1:$A$521),"")</f>
        <v>Nicolas</v>
      </c>
      <c r="B1463" t="s">
        <v>1729</v>
      </c>
      <c r="C1463" t="s">
        <v>1730</v>
      </c>
      <c r="D1463" t="s">
        <v>16</v>
      </c>
      <c r="E1463" t="s">
        <v>7</v>
      </c>
      <c r="F1463" t="s">
        <v>1731</v>
      </c>
      <c r="G1463" t="s">
        <v>1731</v>
      </c>
      <c r="H1463" s="2">
        <v>45701</v>
      </c>
      <c r="I1463" s="2">
        <v>45731</v>
      </c>
      <c r="J1463" t="s">
        <v>20</v>
      </c>
      <c r="K1463" s="21">
        <v>1172.8699999999999</v>
      </c>
      <c r="L1463" s="21">
        <v>1172.8699999999999</v>
      </c>
      <c r="M1463">
        <v>11</v>
      </c>
      <c r="N1463" s="21">
        <v>1172.8699999999999</v>
      </c>
    </row>
    <row r="1464" spans="1:14">
      <c r="A1464" t="str">
        <f>IFERROR(_xlfn.XLOOKUP(B1464,Cuentas!$C$1:$C$521,Cuentas!$A$1:$A$521),"")</f>
        <v>Nicolas</v>
      </c>
      <c r="B1464" t="s">
        <v>1729</v>
      </c>
      <c r="C1464" t="s">
        <v>1730</v>
      </c>
      <c r="D1464" t="s">
        <v>16</v>
      </c>
      <c r="E1464" t="s">
        <v>7</v>
      </c>
      <c r="F1464" t="s">
        <v>1732</v>
      </c>
      <c r="G1464" t="s">
        <v>1732</v>
      </c>
      <c r="H1464" s="2">
        <v>45705</v>
      </c>
      <c r="I1464" s="2">
        <v>45735</v>
      </c>
      <c r="J1464" t="s">
        <v>20</v>
      </c>
      <c r="K1464" s="21">
        <v>675</v>
      </c>
      <c r="L1464" s="21">
        <v>675</v>
      </c>
      <c r="M1464">
        <v>12</v>
      </c>
      <c r="N1464" s="21">
        <v>675</v>
      </c>
    </row>
    <row r="1465" spans="1:14">
      <c r="A1465" t="str">
        <f>IFERROR(_xlfn.XLOOKUP(B1465,Cuentas!$C$1:$C$521,Cuentas!$A$1:$A$521),"")</f>
        <v>Nicolas</v>
      </c>
      <c r="B1465" t="s">
        <v>1729</v>
      </c>
      <c r="C1465" t="s">
        <v>1730</v>
      </c>
      <c r="D1465" t="s">
        <v>16</v>
      </c>
      <c r="E1465" t="s">
        <v>7</v>
      </c>
      <c r="F1465" t="s">
        <v>1733</v>
      </c>
      <c r="G1465" t="s">
        <v>1733</v>
      </c>
      <c r="H1465" s="2">
        <v>45706</v>
      </c>
      <c r="I1465" s="2">
        <v>45736</v>
      </c>
      <c r="J1465" t="s">
        <v>20</v>
      </c>
      <c r="K1465" s="21">
        <v>13125</v>
      </c>
      <c r="L1465" s="21">
        <v>13125</v>
      </c>
      <c r="M1465">
        <v>12</v>
      </c>
      <c r="N1465" s="21">
        <v>13125</v>
      </c>
    </row>
    <row r="1466" spans="1:14">
      <c r="A1466" t="str">
        <f>IFERROR(_xlfn.XLOOKUP(B1466,Cuentas!$C$1:$C$521,Cuentas!$A$1:$A$521),"")</f>
        <v>Nicolas</v>
      </c>
      <c r="B1466" t="s">
        <v>1729</v>
      </c>
      <c r="C1466" t="s">
        <v>1730</v>
      </c>
      <c r="D1466" t="s">
        <v>16</v>
      </c>
      <c r="E1466" t="s">
        <v>7</v>
      </c>
      <c r="F1466" t="s">
        <v>1734</v>
      </c>
      <c r="G1466" t="s">
        <v>1734</v>
      </c>
      <c r="H1466" s="2">
        <v>45713</v>
      </c>
      <c r="I1466" s="2">
        <v>45743</v>
      </c>
      <c r="J1466" t="s">
        <v>20</v>
      </c>
      <c r="K1466" s="21">
        <v>12000</v>
      </c>
      <c r="L1466" s="21">
        <v>12000</v>
      </c>
      <c r="M1466">
        <v>13</v>
      </c>
      <c r="N1466" s="21">
        <v>12000</v>
      </c>
    </row>
    <row r="1467" spans="1:14">
      <c r="A1467" t="str">
        <f>IFERROR(_xlfn.XLOOKUP(B1467,Cuentas!$C$1:$C$521,Cuentas!$A$1:$A$521),"")</f>
        <v>Nicolas</v>
      </c>
      <c r="B1467" t="s">
        <v>1729</v>
      </c>
      <c r="C1467" t="s">
        <v>1730</v>
      </c>
      <c r="D1467" t="s">
        <v>16</v>
      </c>
      <c r="E1467" t="s">
        <v>7</v>
      </c>
      <c r="F1467" t="s">
        <v>1735</v>
      </c>
      <c r="G1467" t="s">
        <v>1735</v>
      </c>
      <c r="H1467" s="2">
        <v>45726</v>
      </c>
      <c r="I1467" s="2">
        <v>45756</v>
      </c>
      <c r="J1467" t="s">
        <v>20</v>
      </c>
      <c r="K1467" s="21">
        <v>4060</v>
      </c>
      <c r="L1467" s="21">
        <v>4060</v>
      </c>
      <c r="M1467">
        <v>0</v>
      </c>
      <c r="N1467" s="21">
        <v>0</v>
      </c>
    </row>
    <row r="1468" spans="1:14">
      <c r="A1468" t="str">
        <f>IFERROR(_xlfn.XLOOKUP(B1468,Cuentas!$C$1:$C$521,Cuentas!$A$1:$A$521),"")</f>
        <v>Nicolas</v>
      </c>
      <c r="B1468" t="s">
        <v>1729</v>
      </c>
      <c r="C1468" t="s">
        <v>1730</v>
      </c>
      <c r="D1468" t="s">
        <v>16</v>
      </c>
      <c r="E1468" t="s">
        <v>7</v>
      </c>
      <c r="F1468" t="s">
        <v>1736</v>
      </c>
      <c r="G1468" t="s">
        <v>1736</v>
      </c>
      <c r="H1468" s="2">
        <v>45726</v>
      </c>
      <c r="I1468" s="2">
        <v>45756</v>
      </c>
      <c r="J1468" t="s">
        <v>20</v>
      </c>
      <c r="K1468" s="21">
        <v>2325</v>
      </c>
      <c r="L1468" s="21">
        <v>2325</v>
      </c>
      <c r="M1468">
        <v>0</v>
      </c>
      <c r="N1468" s="21">
        <v>0</v>
      </c>
    </row>
    <row r="1469" spans="1:14">
      <c r="A1469" t="str">
        <f>IFERROR(_xlfn.XLOOKUP(B1469,Cuentas!$C$1:$C$521,Cuentas!$A$1:$A$521),"")</f>
        <v>Nicolas</v>
      </c>
      <c r="B1469" t="s">
        <v>1729</v>
      </c>
      <c r="C1469" t="s">
        <v>1730</v>
      </c>
      <c r="D1469" t="s">
        <v>16</v>
      </c>
      <c r="E1469" t="s">
        <v>7</v>
      </c>
      <c r="F1469" t="s">
        <v>1737</v>
      </c>
      <c r="G1469" t="s">
        <v>1737</v>
      </c>
      <c r="H1469" s="2">
        <v>45728</v>
      </c>
      <c r="I1469" s="2">
        <v>45758</v>
      </c>
      <c r="J1469" t="s">
        <v>20</v>
      </c>
      <c r="K1469" s="21">
        <v>9540</v>
      </c>
      <c r="L1469" s="21">
        <v>9540</v>
      </c>
      <c r="M1469">
        <v>0</v>
      </c>
      <c r="N1469" s="21">
        <v>0</v>
      </c>
    </row>
    <row r="1470" spans="1:14">
      <c r="A1470" t="str">
        <f>IFERROR(_xlfn.XLOOKUP(B1470,Cuentas!$C$1:$C$521,Cuentas!$A$1:$A$521),"")</f>
        <v>Nicolas</v>
      </c>
      <c r="B1470" t="s">
        <v>1729</v>
      </c>
      <c r="C1470" t="s">
        <v>1730</v>
      </c>
      <c r="D1470" t="s">
        <v>16</v>
      </c>
      <c r="E1470" t="s">
        <v>7</v>
      </c>
      <c r="F1470" t="s">
        <v>1738</v>
      </c>
      <c r="G1470" t="s">
        <v>1738</v>
      </c>
      <c r="H1470" s="2">
        <v>45734</v>
      </c>
      <c r="I1470" s="2">
        <v>45764</v>
      </c>
      <c r="J1470" t="s">
        <v>20</v>
      </c>
      <c r="K1470" s="21">
        <v>3609</v>
      </c>
      <c r="L1470" s="21">
        <v>3609</v>
      </c>
      <c r="M1470">
        <v>0</v>
      </c>
      <c r="N1470" s="21">
        <v>0</v>
      </c>
    </row>
    <row r="1471" spans="1:14">
      <c r="A1471" t="str">
        <f>IFERROR(_xlfn.XLOOKUP(B1471,Cuentas!$C$1:$C$521,Cuentas!$A$1:$A$521),"")</f>
        <v>Nicolas</v>
      </c>
      <c r="B1471" t="s">
        <v>1729</v>
      </c>
      <c r="C1471" t="s">
        <v>1730</v>
      </c>
      <c r="D1471" t="s">
        <v>16</v>
      </c>
      <c r="E1471" t="s">
        <v>7</v>
      </c>
      <c r="F1471" t="s">
        <v>1739</v>
      </c>
      <c r="G1471" t="s">
        <v>1739</v>
      </c>
      <c r="H1471" s="2">
        <v>45736</v>
      </c>
      <c r="I1471" s="2">
        <v>45766</v>
      </c>
      <c r="J1471" t="s">
        <v>20</v>
      </c>
      <c r="K1471" s="21">
        <v>8422</v>
      </c>
      <c r="L1471" s="21">
        <v>8422</v>
      </c>
      <c r="M1471">
        <v>0</v>
      </c>
      <c r="N1471" s="21">
        <v>0</v>
      </c>
    </row>
    <row r="1472" spans="1:14">
      <c r="A1472" t="str">
        <f>IFERROR(_xlfn.XLOOKUP(B1472,Cuentas!$C$1:$C$521,Cuentas!$A$1:$A$521),"")</f>
        <v>Nicolas</v>
      </c>
      <c r="B1472" t="s">
        <v>1729</v>
      </c>
      <c r="C1472" t="s">
        <v>1730</v>
      </c>
      <c r="D1472" t="s">
        <v>16</v>
      </c>
      <c r="E1472" t="s">
        <v>7</v>
      </c>
      <c r="F1472" t="s">
        <v>1740</v>
      </c>
      <c r="G1472" t="s">
        <v>1740</v>
      </c>
      <c r="H1472" s="2">
        <v>45740</v>
      </c>
      <c r="I1472" s="2">
        <v>45770</v>
      </c>
      <c r="J1472" t="s">
        <v>20</v>
      </c>
      <c r="K1472" s="21">
        <v>1488</v>
      </c>
      <c r="L1472" s="21">
        <v>1488</v>
      </c>
      <c r="M1472">
        <v>0</v>
      </c>
      <c r="N1472" s="21">
        <v>0</v>
      </c>
    </row>
    <row r="1473" spans="1:14">
      <c r="A1473" t="str">
        <f>IFERROR(_xlfn.XLOOKUP(B1473,Cuentas!$C$1:$C$521,Cuentas!$A$1:$A$521),"")</f>
        <v>Nicolas</v>
      </c>
      <c r="B1473" t="s">
        <v>1741</v>
      </c>
      <c r="C1473" t="s">
        <v>1742</v>
      </c>
      <c r="D1473" t="s">
        <v>213</v>
      </c>
      <c r="E1473" t="s">
        <v>3139</v>
      </c>
      <c r="F1473" t="s">
        <v>19</v>
      </c>
      <c r="G1473" t="s">
        <v>19</v>
      </c>
      <c r="I1473" s="2">
        <v>45737</v>
      </c>
      <c r="J1473" t="s">
        <v>20</v>
      </c>
      <c r="K1473" s="21">
        <v>-28.72</v>
      </c>
      <c r="L1473" s="21">
        <v>-28.72</v>
      </c>
      <c r="M1473">
        <v>12</v>
      </c>
      <c r="N1473" s="21">
        <v>-28.72</v>
      </c>
    </row>
    <row r="1474" spans="1:14">
      <c r="A1474" t="str">
        <f>IFERROR(_xlfn.XLOOKUP(B1474,Cuentas!$C$1:$C$521,Cuentas!$A$1:$A$521),"")</f>
        <v/>
      </c>
      <c r="B1474" t="s">
        <v>1743</v>
      </c>
      <c r="C1474" t="s">
        <v>1744</v>
      </c>
      <c r="D1474" t="s">
        <v>213</v>
      </c>
      <c r="E1474" t="s">
        <v>7</v>
      </c>
      <c r="F1474" t="s">
        <v>1745</v>
      </c>
      <c r="G1474" t="s">
        <v>1745</v>
      </c>
      <c r="H1474" s="2">
        <v>45716</v>
      </c>
      <c r="I1474" s="2">
        <v>45716</v>
      </c>
      <c r="J1474" t="s">
        <v>20</v>
      </c>
      <c r="K1474" s="21">
        <v>569.72</v>
      </c>
      <c r="L1474" s="21">
        <v>569.72</v>
      </c>
      <c r="M1474">
        <v>0</v>
      </c>
      <c r="N1474" s="21">
        <v>569.72</v>
      </c>
    </row>
    <row r="1475" spans="1:14">
      <c r="A1475" t="str">
        <f>IFERROR(_xlfn.XLOOKUP(B1475,Cuentas!$C$1:$C$521,Cuentas!$A$1:$A$521),"")</f>
        <v>Nicolas</v>
      </c>
      <c r="B1475" t="s">
        <v>1746</v>
      </c>
      <c r="C1475" t="s">
        <v>1747</v>
      </c>
      <c r="D1475" t="s">
        <v>16</v>
      </c>
      <c r="E1475" t="s">
        <v>7</v>
      </c>
      <c r="F1475" t="s">
        <v>1748</v>
      </c>
      <c r="G1475" t="s">
        <v>1748</v>
      </c>
      <c r="H1475" s="2">
        <v>45565</v>
      </c>
      <c r="I1475" s="2">
        <v>45595</v>
      </c>
      <c r="J1475" t="s">
        <v>20</v>
      </c>
      <c r="K1475" s="21">
        <v>3424</v>
      </c>
      <c r="L1475" s="21">
        <v>224</v>
      </c>
      <c r="M1475">
        <v>0</v>
      </c>
      <c r="N1475" s="21">
        <v>224</v>
      </c>
    </row>
    <row r="1476" spans="1:14">
      <c r="A1476" t="str">
        <f>IFERROR(_xlfn.XLOOKUP(B1476,Cuentas!$C$1:$C$521,Cuentas!$A$1:$A$521),"")</f>
        <v>Nicolas</v>
      </c>
      <c r="B1476" t="s">
        <v>1746</v>
      </c>
      <c r="C1476" t="s">
        <v>1747</v>
      </c>
      <c r="D1476" t="s">
        <v>16</v>
      </c>
      <c r="E1476" t="s">
        <v>3139</v>
      </c>
      <c r="F1476" t="s">
        <v>1748</v>
      </c>
      <c r="G1476" t="s">
        <v>1748</v>
      </c>
      <c r="I1476" s="2">
        <v>45601</v>
      </c>
      <c r="J1476" t="s">
        <v>20</v>
      </c>
      <c r="K1476" s="21">
        <v>-3200</v>
      </c>
      <c r="L1476" s="21" t="s">
        <v>86</v>
      </c>
      <c r="M1476">
        <v>0</v>
      </c>
      <c r="N1476" s="21" t="s">
        <v>86</v>
      </c>
    </row>
    <row r="1477" spans="1:14">
      <c r="A1477" t="str">
        <f>IFERROR(_xlfn.XLOOKUP(B1477,Cuentas!$C$1:$C$521,Cuentas!$A$1:$A$521),"")</f>
        <v>Nicolas</v>
      </c>
      <c r="B1477" t="s">
        <v>1746</v>
      </c>
      <c r="C1477" t="s">
        <v>1747</v>
      </c>
      <c r="D1477" t="s">
        <v>16</v>
      </c>
      <c r="E1477" t="s">
        <v>7</v>
      </c>
      <c r="F1477" t="s">
        <v>1749</v>
      </c>
      <c r="G1477" t="s">
        <v>1749</v>
      </c>
      <c r="H1477" s="2">
        <v>45707</v>
      </c>
      <c r="I1477" s="2">
        <v>45737</v>
      </c>
      <c r="J1477" t="s">
        <v>20</v>
      </c>
      <c r="K1477" s="21">
        <v>2550</v>
      </c>
      <c r="L1477" s="21">
        <v>170.71</v>
      </c>
      <c r="M1477">
        <v>12</v>
      </c>
      <c r="N1477" s="21">
        <v>170.71</v>
      </c>
    </row>
    <row r="1478" spans="1:14">
      <c r="A1478" t="str">
        <f>IFERROR(_xlfn.XLOOKUP(B1478,Cuentas!$C$1:$C$521,Cuentas!$A$1:$A$521),"")</f>
        <v>Nicolas</v>
      </c>
      <c r="B1478" t="s">
        <v>1746</v>
      </c>
      <c r="C1478" t="s">
        <v>1747</v>
      </c>
      <c r="D1478" t="s">
        <v>16</v>
      </c>
      <c r="E1478" t="s">
        <v>5502</v>
      </c>
      <c r="F1478" t="s">
        <v>1750</v>
      </c>
      <c r="G1478" t="s">
        <v>1749</v>
      </c>
      <c r="I1478" s="2">
        <v>45741</v>
      </c>
      <c r="J1478" t="s">
        <v>20</v>
      </c>
      <c r="K1478" s="21">
        <v>-150</v>
      </c>
      <c r="L1478" s="21" t="s">
        <v>86</v>
      </c>
      <c r="M1478">
        <v>13</v>
      </c>
      <c r="N1478" s="21" t="s">
        <v>86</v>
      </c>
    </row>
    <row r="1479" spans="1:14">
      <c r="A1479" t="str">
        <f>IFERROR(_xlfn.XLOOKUP(B1479,Cuentas!$C$1:$C$521,Cuentas!$A$1:$A$521),"")</f>
        <v>Nicolas</v>
      </c>
      <c r="B1479" t="s">
        <v>1746</v>
      </c>
      <c r="C1479" t="s">
        <v>1747</v>
      </c>
      <c r="D1479" t="s">
        <v>16</v>
      </c>
      <c r="E1479" t="s">
        <v>3139</v>
      </c>
      <c r="F1479" t="s">
        <v>1749</v>
      </c>
      <c r="G1479" t="s">
        <v>1749</v>
      </c>
      <c r="I1479" s="2">
        <v>45741</v>
      </c>
      <c r="J1479" t="s">
        <v>20</v>
      </c>
      <c r="K1479" s="21">
        <v>-2229.29</v>
      </c>
      <c r="L1479" s="21" t="s">
        <v>86</v>
      </c>
      <c r="M1479">
        <v>13</v>
      </c>
      <c r="N1479" s="21" t="s">
        <v>86</v>
      </c>
    </row>
    <row r="1480" spans="1:14">
      <c r="A1480" t="str">
        <f>IFERROR(_xlfn.XLOOKUP(B1480,Cuentas!$C$1:$C$521,Cuentas!$A$1:$A$521),"")</f>
        <v>Yuldor</v>
      </c>
      <c r="B1480" t="s">
        <v>1751</v>
      </c>
      <c r="C1480" t="s">
        <v>1752</v>
      </c>
      <c r="D1480" t="s">
        <v>16</v>
      </c>
      <c r="E1480" t="s">
        <v>3139</v>
      </c>
      <c r="F1480" t="s">
        <v>19</v>
      </c>
      <c r="G1480" t="s">
        <v>19</v>
      </c>
      <c r="I1480" s="2">
        <v>45653</v>
      </c>
      <c r="J1480" t="s">
        <v>20</v>
      </c>
      <c r="K1480" s="21">
        <v>-14244</v>
      </c>
      <c r="L1480" s="21">
        <v>-14244</v>
      </c>
      <c r="M1480">
        <v>0</v>
      </c>
      <c r="N1480" s="21">
        <v>-14244</v>
      </c>
    </row>
    <row r="1481" spans="1:14">
      <c r="A1481" t="str">
        <f>IFERROR(_xlfn.XLOOKUP(B1481,Cuentas!$C$1:$C$521,Cuentas!$A$1:$A$521),"")</f>
        <v>Yuldor</v>
      </c>
      <c r="B1481" t="s">
        <v>1751</v>
      </c>
      <c r="C1481" t="s">
        <v>1752</v>
      </c>
      <c r="D1481" t="s">
        <v>16</v>
      </c>
      <c r="E1481" t="s">
        <v>3139</v>
      </c>
      <c r="F1481" t="s">
        <v>19</v>
      </c>
      <c r="G1481" t="s">
        <v>19</v>
      </c>
      <c r="I1481" s="2">
        <v>45663</v>
      </c>
      <c r="J1481" t="s">
        <v>20</v>
      </c>
      <c r="K1481" s="21">
        <v>-1870</v>
      </c>
      <c r="L1481" s="21">
        <v>-1870</v>
      </c>
      <c r="M1481">
        <v>0</v>
      </c>
      <c r="N1481" s="21">
        <v>-1870</v>
      </c>
    </row>
    <row r="1482" spans="1:14">
      <c r="A1482" t="str">
        <f>IFERROR(_xlfn.XLOOKUP(B1482,Cuentas!$C$1:$C$521,Cuentas!$A$1:$A$521),"")</f>
        <v>Yuldor</v>
      </c>
      <c r="B1482" t="s">
        <v>1751</v>
      </c>
      <c r="C1482" t="s">
        <v>1752</v>
      </c>
      <c r="D1482" t="s">
        <v>16</v>
      </c>
      <c r="E1482" t="s">
        <v>7</v>
      </c>
      <c r="F1482" t="s">
        <v>1753</v>
      </c>
      <c r="G1482" t="s">
        <v>1753</v>
      </c>
      <c r="H1482" s="2">
        <v>45646</v>
      </c>
      <c r="I1482" s="2">
        <v>45676</v>
      </c>
      <c r="J1482" t="s">
        <v>20</v>
      </c>
      <c r="K1482" s="21">
        <v>12603.03</v>
      </c>
      <c r="L1482" s="21">
        <v>12603.03</v>
      </c>
      <c r="M1482">
        <v>0</v>
      </c>
      <c r="N1482" s="21">
        <v>12603.03</v>
      </c>
    </row>
    <row r="1483" spans="1:14">
      <c r="A1483" t="str">
        <f>IFERROR(_xlfn.XLOOKUP(B1483,Cuentas!$C$1:$C$521,Cuentas!$A$1:$A$521),"")</f>
        <v>Yuldor</v>
      </c>
      <c r="B1483" t="s">
        <v>1751</v>
      </c>
      <c r="C1483" t="s">
        <v>1752</v>
      </c>
      <c r="D1483" t="s">
        <v>16</v>
      </c>
      <c r="E1483" t="s">
        <v>7</v>
      </c>
      <c r="F1483" t="s">
        <v>1754</v>
      </c>
      <c r="G1483" t="s">
        <v>1754</v>
      </c>
      <c r="H1483" s="2">
        <v>45679</v>
      </c>
      <c r="I1483" s="2">
        <v>45709</v>
      </c>
      <c r="J1483" t="s">
        <v>20</v>
      </c>
      <c r="K1483" s="21">
        <v>2000.9</v>
      </c>
      <c r="L1483" s="21">
        <v>2000.9</v>
      </c>
      <c r="M1483">
        <v>0</v>
      </c>
      <c r="N1483" s="21">
        <v>2000.9</v>
      </c>
    </row>
    <row r="1484" spans="1:14">
      <c r="A1484" t="str">
        <f>IFERROR(_xlfn.XLOOKUP(B1484,Cuentas!$C$1:$C$521,Cuentas!$A$1:$A$521),"")</f>
        <v>Yuldor</v>
      </c>
      <c r="B1484" t="s">
        <v>1751</v>
      </c>
      <c r="C1484" t="s">
        <v>1752</v>
      </c>
      <c r="D1484" t="s">
        <v>16</v>
      </c>
      <c r="E1484" t="s">
        <v>7</v>
      </c>
      <c r="F1484" t="s">
        <v>1755</v>
      </c>
      <c r="G1484" t="s">
        <v>1755</v>
      </c>
      <c r="H1484" s="2">
        <v>45728</v>
      </c>
      <c r="I1484" s="2">
        <v>45758</v>
      </c>
      <c r="J1484" t="s">
        <v>20</v>
      </c>
      <c r="K1484" s="21">
        <v>1134</v>
      </c>
      <c r="L1484" s="21">
        <v>1134</v>
      </c>
      <c r="M1484">
        <v>0</v>
      </c>
      <c r="N1484" s="21">
        <v>0</v>
      </c>
    </row>
    <row r="1485" spans="1:14">
      <c r="A1485" t="str">
        <f>IFERROR(_xlfn.XLOOKUP(B1485,Cuentas!$C$1:$C$521,Cuentas!$A$1:$A$521),"")</f>
        <v>Yuldor</v>
      </c>
      <c r="B1485" t="s">
        <v>1751</v>
      </c>
      <c r="C1485" t="s">
        <v>1752</v>
      </c>
      <c r="D1485" t="s">
        <v>16</v>
      </c>
      <c r="E1485" t="s">
        <v>7</v>
      </c>
      <c r="F1485" t="s">
        <v>1756</v>
      </c>
      <c r="G1485" t="s">
        <v>1756</v>
      </c>
      <c r="H1485" s="2">
        <v>45728</v>
      </c>
      <c r="I1485" s="2">
        <v>45758</v>
      </c>
      <c r="J1485" t="s">
        <v>20</v>
      </c>
      <c r="K1485" s="21">
        <v>4800</v>
      </c>
      <c r="L1485" s="21">
        <v>4800</v>
      </c>
      <c r="M1485">
        <v>0</v>
      </c>
      <c r="N1485" s="21">
        <v>0</v>
      </c>
    </row>
    <row r="1486" spans="1:14">
      <c r="A1486" t="str">
        <f>IFERROR(_xlfn.XLOOKUP(B1486,Cuentas!$C$1:$C$521,Cuentas!$A$1:$A$521),"")</f>
        <v>Yuldor</v>
      </c>
      <c r="B1486" t="s">
        <v>1757</v>
      </c>
      <c r="C1486" t="s">
        <v>1758</v>
      </c>
      <c r="D1486" t="s">
        <v>16</v>
      </c>
      <c r="E1486" t="s">
        <v>7</v>
      </c>
      <c r="F1486" t="s">
        <v>1759</v>
      </c>
      <c r="G1486" t="s">
        <v>1759</v>
      </c>
      <c r="H1486" s="2">
        <v>45279</v>
      </c>
      <c r="I1486" s="2">
        <v>45309</v>
      </c>
      <c r="J1486" t="s">
        <v>20</v>
      </c>
      <c r="K1486" s="21">
        <v>6732.37</v>
      </c>
      <c r="L1486" s="21">
        <v>4958.12</v>
      </c>
      <c r="M1486">
        <v>0</v>
      </c>
      <c r="N1486" s="21">
        <v>4958.12</v>
      </c>
    </row>
    <row r="1487" spans="1:14">
      <c r="A1487" t="str">
        <f>IFERROR(_xlfn.XLOOKUP(B1487,Cuentas!$C$1:$C$521,Cuentas!$A$1:$A$521),"")</f>
        <v>Yuldor</v>
      </c>
      <c r="B1487" t="s">
        <v>1757</v>
      </c>
      <c r="C1487" t="s">
        <v>1758</v>
      </c>
      <c r="D1487" t="s">
        <v>16</v>
      </c>
      <c r="E1487" t="s">
        <v>5502</v>
      </c>
      <c r="F1487" t="s">
        <v>1760</v>
      </c>
      <c r="G1487" t="s">
        <v>1759</v>
      </c>
      <c r="I1487" s="2">
        <v>45636</v>
      </c>
      <c r="J1487" t="s">
        <v>20</v>
      </c>
      <c r="K1487" s="21">
        <v>-1774.25</v>
      </c>
      <c r="L1487" s="21" t="s">
        <v>86</v>
      </c>
      <c r="M1487">
        <v>0</v>
      </c>
      <c r="N1487" s="21" t="s">
        <v>86</v>
      </c>
    </row>
    <row r="1488" spans="1:14">
      <c r="A1488" t="str">
        <f>IFERROR(_xlfn.XLOOKUP(B1488,Cuentas!$C$1:$C$521,Cuentas!$A$1:$A$521),"")</f>
        <v>Yuldor</v>
      </c>
      <c r="B1488" t="s">
        <v>1757</v>
      </c>
      <c r="C1488" t="s">
        <v>1758</v>
      </c>
      <c r="D1488" t="s">
        <v>16</v>
      </c>
      <c r="E1488" t="s">
        <v>5502</v>
      </c>
      <c r="F1488" t="s">
        <v>1761</v>
      </c>
      <c r="G1488" t="s">
        <v>19</v>
      </c>
      <c r="I1488" s="2">
        <v>45345</v>
      </c>
      <c r="J1488" t="s">
        <v>20</v>
      </c>
      <c r="K1488" s="21">
        <v>-6724.08</v>
      </c>
      <c r="L1488" s="21">
        <v>-6724.08</v>
      </c>
      <c r="M1488">
        <v>0</v>
      </c>
      <c r="N1488" s="21">
        <v>-6724.08</v>
      </c>
    </row>
    <row r="1489" spans="1:14">
      <c r="A1489" t="str">
        <f>IFERROR(_xlfn.XLOOKUP(B1489,Cuentas!$C$1:$C$521,Cuentas!$A$1:$A$521),"")</f>
        <v>Yuldor</v>
      </c>
      <c r="B1489" t="s">
        <v>1757</v>
      </c>
      <c r="C1489" t="s">
        <v>1758</v>
      </c>
      <c r="D1489" t="s">
        <v>16</v>
      </c>
      <c r="E1489" t="s">
        <v>7</v>
      </c>
      <c r="F1489" t="s">
        <v>1762</v>
      </c>
      <c r="G1489" t="s">
        <v>1762</v>
      </c>
      <c r="H1489" s="2">
        <v>45316</v>
      </c>
      <c r="I1489" s="2">
        <v>45346</v>
      </c>
      <c r="J1489" t="s">
        <v>20</v>
      </c>
      <c r="K1489" s="21">
        <v>728.5</v>
      </c>
      <c r="L1489" s="21">
        <v>728.5</v>
      </c>
      <c r="M1489">
        <v>0</v>
      </c>
      <c r="N1489" s="21">
        <v>728.5</v>
      </c>
    </row>
    <row r="1490" spans="1:14">
      <c r="A1490" t="str">
        <f>IFERROR(_xlfn.XLOOKUP(B1490,Cuentas!$C$1:$C$521,Cuentas!$A$1:$A$521),"")</f>
        <v>Yuldor</v>
      </c>
      <c r="B1490" t="s">
        <v>1757</v>
      </c>
      <c r="C1490" t="s">
        <v>1758</v>
      </c>
      <c r="D1490" t="s">
        <v>16</v>
      </c>
      <c r="E1490" t="s">
        <v>7</v>
      </c>
      <c r="F1490" t="s">
        <v>1763</v>
      </c>
      <c r="G1490" t="s">
        <v>1763</v>
      </c>
      <c r="H1490" s="2">
        <v>45317</v>
      </c>
      <c r="I1490" s="2">
        <v>45347</v>
      </c>
      <c r="J1490" t="s">
        <v>20</v>
      </c>
      <c r="K1490" s="21">
        <v>1873</v>
      </c>
      <c r="L1490" s="21">
        <v>1873</v>
      </c>
      <c r="M1490">
        <v>0</v>
      </c>
      <c r="N1490" s="21">
        <v>1873</v>
      </c>
    </row>
    <row r="1491" spans="1:14">
      <c r="A1491" t="str">
        <f>IFERROR(_xlfn.XLOOKUP(B1491,Cuentas!$C$1:$C$521,Cuentas!$A$1:$A$521),"")</f>
        <v>Yuldor</v>
      </c>
      <c r="B1491" t="s">
        <v>1757</v>
      </c>
      <c r="C1491" t="s">
        <v>1758</v>
      </c>
      <c r="D1491" t="s">
        <v>16</v>
      </c>
      <c r="E1491" t="s">
        <v>7</v>
      </c>
      <c r="F1491" t="s">
        <v>1764</v>
      </c>
      <c r="G1491" t="s">
        <v>1764</v>
      </c>
      <c r="H1491" s="2">
        <v>45322</v>
      </c>
      <c r="I1491" s="2">
        <v>45352</v>
      </c>
      <c r="J1491" t="s">
        <v>20</v>
      </c>
      <c r="K1491" s="21">
        <v>17544</v>
      </c>
      <c r="L1491" s="21">
        <v>17544</v>
      </c>
      <c r="M1491">
        <v>0</v>
      </c>
      <c r="N1491" s="21">
        <v>17544</v>
      </c>
    </row>
    <row r="1492" spans="1:14">
      <c r="A1492" t="str">
        <f>IFERROR(_xlfn.XLOOKUP(B1492,Cuentas!$C$1:$C$521,Cuentas!$A$1:$A$521),"")</f>
        <v>Yuldor</v>
      </c>
      <c r="B1492" t="s">
        <v>1757</v>
      </c>
      <c r="C1492" t="s">
        <v>1758</v>
      </c>
      <c r="D1492" t="s">
        <v>16</v>
      </c>
      <c r="E1492" t="s">
        <v>7</v>
      </c>
      <c r="F1492" t="s">
        <v>1765</v>
      </c>
      <c r="G1492" t="s">
        <v>1765</v>
      </c>
      <c r="H1492" s="2">
        <v>45377</v>
      </c>
      <c r="I1492" s="2">
        <v>45407</v>
      </c>
      <c r="J1492" t="s">
        <v>20</v>
      </c>
      <c r="K1492" s="21">
        <v>11214.68</v>
      </c>
      <c r="L1492" s="21">
        <v>11214.68</v>
      </c>
      <c r="M1492">
        <v>0</v>
      </c>
      <c r="N1492" s="21">
        <v>11214.68</v>
      </c>
    </row>
    <row r="1493" spans="1:14">
      <c r="A1493" t="str">
        <f>IFERROR(_xlfn.XLOOKUP(B1493,Cuentas!$C$1:$C$521,Cuentas!$A$1:$A$521),"")</f>
        <v>Yuldor</v>
      </c>
      <c r="B1493" t="s">
        <v>1757</v>
      </c>
      <c r="C1493" t="s">
        <v>1758</v>
      </c>
      <c r="D1493" t="s">
        <v>16</v>
      </c>
      <c r="E1493" t="s">
        <v>5502</v>
      </c>
      <c r="F1493" t="s">
        <v>1766</v>
      </c>
      <c r="G1493" t="s">
        <v>19</v>
      </c>
      <c r="I1493" s="2">
        <v>45412</v>
      </c>
      <c r="J1493" t="s">
        <v>20</v>
      </c>
      <c r="K1493" s="21">
        <v>-142</v>
      </c>
      <c r="L1493" s="21">
        <v>-142</v>
      </c>
      <c r="M1493">
        <v>0</v>
      </c>
      <c r="N1493" s="21">
        <v>-142</v>
      </c>
    </row>
    <row r="1494" spans="1:14">
      <c r="A1494" t="str">
        <f>IFERROR(_xlfn.XLOOKUP(B1494,Cuentas!$C$1:$C$521,Cuentas!$A$1:$A$521),"")</f>
        <v>Yuldor</v>
      </c>
      <c r="B1494" t="s">
        <v>1757</v>
      </c>
      <c r="C1494" t="s">
        <v>1758</v>
      </c>
      <c r="D1494" t="s">
        <v>16</v>
      </c>
      <c r="E1494" t="s">
        <v>7</v>
      </c>
      <c r="F1494" t="s">
        <v>1767</v>
      </c>
      <c r="G1494" t="s">
        <v>1767</v>
      </c>
      <c r="H1494" s="2">
        <v>45383</v>
      </c>
      <c r="I1494" s="2">
        <v>45413</v>
      </c>
      <c r="J1494" t="s">
        <v>20</v>
      </c>
      <c r="K1494" s="21">
        <v>11544</v>
      </c>
      <c r="L1494" s="21">
        <v>11544</v>
      </c>
      <c r="M1494">
        <v>0</v>
      </c>
      <c r="N1494" s="21">
        <v>11544</v>
      </c>
    </row>
    <row r="1495" spans="1:14">
      <c r="A1495" t="str">
        <f>IFERROR(_xlfn.XLOOKUP(B1495,Cuentas!$C$1:$C$521,Cuentas!$A$1:$A$521),"")</f>
        <v>Yuldor</v>
      </c>
      <c r="B1495" t="s">
        <v>1757</v>
      </c>
      <c r="C1495" t="s">
        <v>1758</v>
      </c>
      <c r="D1495" t="s">
        <v>16</v>
      </c>
      <c r="E1495" t="s">
        <v>5502</v>
      </c>
      <c r="F1495" t="s">
        <v>1768</v>
      </c>
      <c r="G1495" t="s">
        <v>19</v>
      </c>
      <c r="I1495" s="2">
        <v>45462</v>
      </c>
      <c r="J1495" t="s">
        <v>20</v>
      </c>
      <c r="K1495" s="21">
        <v>-24.4</v>
      </c>
      <c r="L1495" s="21">
        <v>-24.4</v>
      </c>
      <c r="M1495">
        <v>0</v>
      </c>
      <c r="N1495" s="21">
        <v>-24.4</v>
      </c>
    </row>
    <row r="1496" spans="1:14">
      <c r="A1496" t="str">
        <f>IFERROR(_xlfn.XLOOKUP(B1496,Cuentas!$C$1:$C$521,Cuentas!$A$1:$A$521),"")</f>
        <v>Yuldor</v>
      </c>
      <c r="B1496" t="s">
        <v>1757</v>
      </c>
      <c r="C1496" t="s">
        <v>1758</v>
      </c>
      <c r="D1496" t="s">
        <v>16</v>
      </c>
      <c r="E1496" t="s">
        <v>5504</v>
      </c>
      <c r="F1496" t="s">
        <v>1769</v>
      </c>
      <c r="G1496" t="s">
        <v>19</v>
      </c>
      <c r="H1496" s="2">
        <v>45517</v>
      </c>
      <c r="I1496" s="2">
        <v>45517</v>
      </c>
      <c r="J1496" t="s">
        <v>20</v>
      </c>
      <c r="K1496" s="21">
        <v>250</v>
      </c>
      <c r="L1496" s="21">
        <v>250</v>
      </c>
      <c r="M1496">
        <v>0</v>
      </c>
      <c r="N1496" s="21">
        <v>250</v>
      </c>
    </row>
    <row r="1497" spans="1:14">
      <c r="A1497" t="str">
        <f>IFERROR(_xlfn.XLOOKUP(B1497,Cuentas!$C$1:$C$521,Cuentas!$A$1:$A$521),"")</f>
        <v>Yuldor</v>
      </c>
      <c r="B1497" t="s">
        <v>1757</v>
      </c>
      <c r="C1497" t="s">
        <v>1758</v>
      </c>
      <c r="D1497" t="s">
        <v>16</v>
      </c>
      <c r="E1497" t="s">
        <v>5504</v>
      </c>
      <c r="F1497" t="s">
        <v>1770</v>
      </c>
      <c r="G1497" t="s">
        <v>19</v>
      </c>
      <c r="H1497" s="2">
        <v>45517</v>
      </c>
      <c r="I1497" s="2">
        <v>45517</v>
      </c>
      <c r="J1497" t="s">
        <v>20</v>
      </c>
      <c r="K1497" s="21">
        <v>100</v>
      </c>
      <c r="L1497" s="21">
        <v>100</v>
      </c>
      <c r="M1497">
        <v>0</v>
      </c>
      <c r="N1497" s="21">
        <v>100</v>
      </c>
    </row>
    <row r="1498" spans="1:14">
      <c r="A1498" t="str">
        <f>IFERROR(_xlfn.XLOOKUP(B1498,Cuentas!$C$1:$C$521,Cuentas!$A$1:$A$521),"")</f>
        <v>Yuldor</v>
      </c>
      <c r="B1498" t="s">
        <v>1757</v>
      </c>
      <c r="C1498" t="s">
        <v>1758</v>
      </c>
      <c r="D1498" t="s">
        <v>16</v>
      </c>
      <c r="E1498" t="s">
        <v>7</v>
      </c>
      <c r="F1498" t="s">
        <v>1771</v>
      </c>
      <c r="G1498" t="s">
        <v>1771</v>
      </c>
      <c r="H1498" s="2">
        <v>45488</v>
      </c>
      <c r="I1498" s="2">
        <v>45518</v>
      </c>
      <c r="J1498" t="s">
        <v>20</v>
      </c>
      <c r="K1498" s="21">
        <v>1988.1</v>
      </c>
      <c r="L1498" s="21">
        <v>1988.1</v>
      </c>
      <c r="M1498">
        <v>0</v>
      </c>
      <c r="N1498" s="21">
        <v>1988.1</v>
      </c>
    </row>
    <row r="1499" spans="1:14">
      <c r="A1499" t="str">
        <f>IFERROR(_xlfn.XLOOKUP(B1499,Cuentas!$C$1:$C$521,Cuentas!$A$1:$A$521),"")</f>
        <v>Yuldor</v>
      </c>
      <c r="B1499" t="s">
        <v>1757</v>
      </c>
      <c r="C1499" t="s">
        <v>1758</v>
      </c>
      <c r="D1499" t="s">
        <v>16</v>
      </c>
      <c r="E1499" t="s">
        <v>7</v>
      </c>
      <c r="F1499" t="s">
        <v>1772</v>
      </c>
      <c r="G1499" t="s">
        <v>1772</v>
      </c>
      <c r="H1499" s="2">
        <v>45492</v>
      </c>
      <c r="I1499" s="2">
        <v>45522</v>
      </c>
      <c r="J1499" t="s">
        <v>20</v>
      </c>
      <c r="K1499" s="21">
        <v>432</v>
      </c>
      <c r="L1499" s="21">
        <v>432</v>
      </c>
      <c r="M1499">
        <v>0</v>
      </c>
      <c r="N1499" s="21">
        <v>432</v>
      </c>
    </row>
    <row r="1500" spans="1:14">
      <c r="A1500" t="str">
        <f>IFERROR(_xlfn.XLOOKUP(B1500,Cuentas!$C$1:$C$521,Cuentas!$A$1:$A$521),"")</f>
        <v>Yuldor</v>
      </c>
      <c r="B1500" t="s">
        <v>1757</v>
      </c>
      <c r="C1500" t="s">
        <v>1758</v>
      </c>
      <c r="D1500" t="s">
        <v>16</v>
      </c>
      <c r="E1500" t="s">
        <v>5502</v>
      </c>
      <c r="F1500" t="s">
        <v>1773</v>
      </c>
      <c r="G1500" t="s">
        <v>19</v>
      </c>
      <c r="I1500" s="2">
        <v>45531</v>
      </c>
      <c r="J1500" t="s">
        <v>20</v>
      </c>
      <c r="K1500" s="21">
        <v>-250</v>
      </c>
      <c r="L1500" s="21">
        <v>-250</v>
      </c>
      <c r="M1500">
        <v>0</v>
      </c>
      <c r="N1500" s="21">
        <v>-250</v>
      </c>
    </row>
    <row r="1501" spans="1:14">
      <c r="A1501" t="str">
        <f>IFERROR(_xlfn.XLOOKUP(B1501,Cuentas!$C$1:$C$521,Cuentas!$A$1:$A$521),"")</f>
        <v>Yuldor</v>
      </c>
      <c r="B1501" t="s">
        <v>1757</v>
      </c>
      <c r="C1501" t="s">
        <v>1758</v>
      </c>
      <c r="D1501" t="s">
        <v>16</v>
      </c>
      <c r="E1501" t="s">
        <v>5504</v>
      </c>
      <c r="F1501" t="s">
        <v>1774</v>
      </c>
      <c r="G1501" t="s">
        <v>19</v>
      </c>
      <c r="H1501" s="2">
        <v>45532</v>
      </c>
      <c r="I1501" s="2">
        <v>45532</v>
      </c>
      <c r="J1501" t="s">
        <v>20</v>
      </c>
      <c r="K1501" s="21">
        <v>250</v>
      </c>
      <c r="L1501" s="21">
        <v>250</v>
      </c>
      <c r="M1501">
        <v>0</v>
      </c>
      <c r="N1501" s="21">
        <v>250</v>
      </c>
    </row>
    <row r="1502" spans="1:14">
      <c r="A1502" t="str">
        <f>IFERROR(_xlfn.XLOOKUP(B1502,Cuentas!$C$1:$C$521,Cuentas!$A$1:$A$521),"")</f>
        <v>Yuldor</v>
      </c>
      <c r="B1502" t="s">
        <v>1757</v>
      </c>
      <c r="C1502" t="s">
        <v>1758</v>
      </c>
      <c r="D1502" t="s">
        <v>16</v>
      </c>
      <c r="E1502" t="s">
        <v>5504</v>
      </c>
      <c r="F1502" t="s">
        <v>1775</v>
      </c>
      <c r="G1502" t="s">
        <v>19</v>
      </c>
      <c r="H1502" s="2">
        <v>45532</v>
      </c>
      <c r="I1502" s="2">
        <v>45532</v>
      </c>
      <c r="J1502" t="s">
        <v>20</v>
      </c>
      <c r="K1502" s="21">
        <v>500</v>
      </c>
      <c r="L1502" s="21">
        <v>500</v>
      </c>
      <c r="M1502">
        <v>0</v>
      </c>
      <c r="N1502" s="21">
        <v>500</v>
      </c>
    </row>
    <row r="1503" spans="1:14">
      <c r="A1503" t="str">
        <f>IFERROR(_xlfn.XLOOKUP(B1503,Cuentas!$C$1:$C$521,Cuentas!$A$1:$A$521),"")</f>
        <v>Yuldor</v>
      </c>
      <c r="B1503" t="s">
        <v>1757</v>
      </c>
      <c r="C1503" t="s">
        <v>1758</v>
      </c>
      <c r="D1503" t="s">
        <v>16</v>
      </c>
      <c r="E1503" t="s">
        <v>5504</v>
      </c>
      <c r="F1503" t="s">
        <v>1776</v>
      </c>
      <c r="G1503" t="s">
        <v>19</v>
      </c>
      <c r="H1503" s="2">
        <v>45532</v>
      </c>
      <c r="I1503" s="2">
        <v>45532</v>
      </c>
      <c r="J1503" t="s">
        <v>20</v>
      </c>
      <c r="K1503" s="21">
        <v>250</v>
      </c>
      <c r="L1503" s="21">
        <v>250</v>
      </c>
      <c r="M1503">
        <v>0</v>
      </c>
      <c r="N1503" s="21">
        <v>250</v>
      </c>
    </row>
    <row r="1504" spans="1:14">
      <c r="A1504" t="str">
        <f>IFERROR(_xlfn.XLOOKUP(B1504,Cuentas!$C$1:$C$521,Cuentas!$A$1:$A$521),"")</f>
        <v>Yuldor</v>
      </c>
      <c r="B1504" t="s">
        <v>1757</v>
      </c>
      <c r="C1504" t="s">
        <v>1758</v>
      </c>
      <c r="D1504" t="s">
        <v>16</v>
      </c>
      <c r="E1504" t="s">
        <v>5504</v>
      </c>
      <c r="F1504" t="s">
        <v>1777</v>
      </c>
      <c r="G1504" t="s">
        <v>19</v>
      </c>
      <c r="H1504" s="2">
        <v>45532</v>
      </c>
      <c r="I1504" s="2">
        <v>45532</v>
      </c>
      <c r="J1504" t="s">
        <v>20</v>
      </c>
      <c r="K1504" s="21">
        <v>250</v>
      </c>
      <c r="L1504" s="21">
        <v>250</v>
      </c>
      <c r="M1504">
        <v>0</v>
      </c>
      <c r="N1504" s="21">
        <v>250</v>
      </c>
    </row>
    <row r="1505" spans="1:14">
      <c r="A1505" t="str">
        <f>IFERROR(_xlfn.XLOOKUP(B1505,Cuentas!$C$1:$C$521,Cuentas!$A$1:$A$521),"")</f>
        <v>Yuldor</v>
      </c>
      <c r="B1505" t="s">
        <v>1757</v>
      </c>
      <c r="C1505" t="s">
        <v>1758</v>
      </c>
      <c r="D1505" t="s">
        <v>16</v>
      </c>
      <c r="E1505" t="s">
        <v>7</v>
      </c>
      <c r="F1505" t="s">
        <v>1778</v>
      </c>
      <c r="G1505" t="s">
        <v>1778</v>
      </c>
      <c r="H1505" s="2">
        <v>45510</v>
      </c>
      <c r="I1505" s="2">
        <v>45540</v>
      </c>
      <c r="J1505" t="s">
        <v>20</v>
      </c>
      <c r="K1505" s="21">
        <v>10672.32</v>
      </c>
      <c r="L1505" s="21">
        <v>650</v>
      </c>
      <c r="M1505">
        <v>0</v>
      </c>
      <c r="N1505" s="21">
        <v>650</v>
      </c>
    </row>
    <row r="1506" spans="1:14">
      <c r="A1506" t="str">
        <f>IFERROR(_xlfn.XLOOKUP(B1506,Cuentas!$C$1:$C$521,Cuentas!$A$1:$A$521),"")</f>
        <v>Yuldor</v>
      </c>
      <c r="B1506" t="s">
        <v>1757</v>
      </c>
      <c r="C1506" t="s">
        <v>1758</v>
      </c>
      <c r="D1506" t="s">
        <v>16</v>
      </c>
      <c r="E1506" t="s">
        <v>3139</v>
      </c>
      <c r="F1506" t="s">
        <v>1778</v>
      </c>
      <c r="G1506" t="s">
        <v>1778</v>
      </c>
      <c r="I1506" s="2">
        <v>45547</v>
      </c>
      <c r="J1506" t="s">
        <v>20</v>
      </c>
      <c r="K1506" s="21">
        <v>-10022.32</v>
      </c>
      <c r="L1506" s="21" t="s">
        <v>86</v>
      </c>
      <c r="M1506">
        <v>0</v>
      </c>
      <c r="N1506" s="21" t="s">
        <v>86</v>
      </c>
    </row>
    <row r="1507" spans="1:14">
      <c r="A1507" t="str">
        <f>IFERROR(_xlfn.XLOOKUP(B1507,Cuentas!$C$1:$C$521,Cuentas!$A$1:$A$521),"")</f>
        <v>Yuldor</v>
      </c>
      <c r="B1507" t="s">
        <v>1757</v>
      </c>
      <c r="C1507" t="s">
        <v>1758</v>
      </c>
      <c r="D1507" t="s">
        <v>16</v>
      </c>
      <c r="E1507" t="s">
        <v>7</v>
      </c>
      <c r="F1507" t="s">
        <v>1779</v>
      </c>
      <c r="G1507" t="s">
        <v>1779</v>
      </c>
      <c r="H1507" s="2">
        <v>45569</v>
      </c>
      <c r="I1507" s="2">
        <v>45599</v>
      </c>
      <c r="J1507" t="s">
        <v>20</v>
      </c>
      <c r="K1507" s="21">
        <v>60696.54</v>
      </c>
      <c r="L1507" s="21">
        <v>425.35</v>
      </c>
      <c r="M1507">
        <v>0</v>
      </c>
      <c r="N1507" s="21">
        <v>425.35</v>
      </c>
    </row>
    <row r="1508" spans="1:14">
      <c r="A1508" t="str">
        <f>IFERROR(_xlfn.XLOOKUP(B1508,Cuentas!$C$1:$C$521,Cuentas!$A$1:$A$521),"")</f>
        <v>Yuldor</v>
      </c>
      <c r="B1508" t="s">
        <v>1757</v>
      </c>
      <c r="C1508" t="s">
        <v>1758</v>
      </c>
      <c r="D1508" t="s">
        <v>16</v>
      </c>
      <c r="E1508" t="s">
        <v>3139</v>
      </c>
      <c r="F1508" t="s">
        <v>1779</v>
      </c>
      <c r="G1508" t="s">
        <v>1779</v>
      </c>
      <c r="I1508" s="2">
        <v>45699</v>
      </c>
      <c r="J1508" t="s">
        <v>20</v>
      </c>
      <c r="K1508" s="21">
        <v>-60271.19</v>
      </c>
      <c r="L1508" s="21" t="s">
        <v>86</v>
      </c>
      <c r="M1508">
        <v>0</v>
      </c>
      <c r="N1508" s="21" t="s">
        <v>86</v>
      </c>
    </row>
    <row r="1509" spans="1:14">
      <c r="A1509" t="str">
        <f>IFERROR(_xlfn.XLOOKUP(B1509,Cuentas!$C$1:$C$521,Cuentas!$A$1:$A$521),"")</f>
        <v>Yuldor</v>
      </c>
      <c r="B1509" t="s">
        <v>1757</v>
      </c>
      <c r="C1509" t="s">
        <v>1758</v>
      </c>
      <c r="D1509" t="s">
        <v>16</v>
      </c>
      <c r="E1509" t="s">
        <v>7</v>
      </c>
      <c r="F1509" t="s">
        <v>1780</v>
      </c>
      <c r="G1509" t="s">
        <v>1780</v>
      </c>
      <c r="H1509" s="2">
        <v>45583</v>
      </c>
      <c r="I1509" s="2">
        <v>45613</v>
      </c>
      <c r="J1509" t="s">
        <v>20</v>
      </c>
      <c r="K1509" s="21">
        <v>52854.559999999998</v>
      </c>
      <c r="L1509" s="21">
        <v>480.15</v>
      </c>
      <c r="M1509">
        <v>0</v>
      </c>
      <c r="N1509" s="21">
        <v>480.15</v>
      </c>
    </row>
    <row r="1510" spans="1:14">
      <c r="A1510" t="str">
        <f>IFERROR(_xlfn.XLOOKUP(B1510,Cuentas!$C$1:$C$521,Cuentas!$A$1:$A$521),"")</f>
        <v>Yuldor</v>
      </c>
      <c r="B1510" t="s">
        <v>1757</v>
      </c>
      <c r="C1510" t="s">
        <v>1758</v>
      </c>
      <c r="D1510" t="s">
        <v>16</v>
      </c>
      <c r="E1510" t="s">
        <v>3139</v>
      </c>
      <c r="F1510" t="s">
        <v>1780</v>
      </c>
      <c r="G1510" t="s">
        <v>1780</v>
      </c>
      <c r="I1510" s="2">
        <v>45671</v>
      </c>
      <c r="J1510" t="s">
        <v>20</v>
      </c>
      <c r="K1510" s="21">
        <v>-52374.41</v>
      </c>
      <c r="L1510" s="21" t="s">
        <v>86</v>
      </c>
      <c r="M1510">
        <v>0</v>
      </c>
      <c r="N1510" s="21" t="s">
        <v>86</v>
      </c>
    </row>
    <row r="1511" spans="1:14">
      <c r="A1511" t="str">
        <f>IFERROR(_xlfn.XLOOKUP(B1511,Cuentas!$C$1:$C$521,Cuentas!$A$1:$A$521),"")</f>
        <v>Yuldor</v>
      </c>
      <c r="B1511" t="s">
        <v>1757</v>
      </c>
      <c r="C1511" t="s">
        <v>1758</v>
      </c>
      <c r="D1511" t="s">
        <v>16</v>
      </c>
      <c r="E1511" t="s">
        <v>7</v>
      </c>
      <c r="F1511" t="s">
        <v>1781</v>
      </c>
      <c r="G1511" t="s">
        <v>1781</v>
      </c>
      <c r="H1511" s="2">
        <v>45594</v>
      </c>
      <c r="I1511" s="2">
        <v>45624</v>
      </c>
      <c r="J1511" t="s">
        <v>20</v>
      </c>
      <c r="K1511" s="21">
        <v>39056.07</v>
      </c>
      <c r="L1511" s="21">
        <v>3055.57</v>
      </c>
      <c r="M1511">
        <v>0</v>
      </c>
      <c r="N1511" s="21">
        <v>3055.57</v>
      </c>
    </row>
    <row r="1512" spans="1:14">
      <c r="A1512" t="str">
        <f>IFERROR(_xlfn.XLOOKUP(B1512,Cuentas!$C$1:$C$521,Cuentas!$A$1:$A$521),"")</f>
        <v>Yuldor</v>
      </c>
      <c r="B1512" t="s">
        <v>1757</v>
      </c>
      <c r="C1512" t="s">
        <v>1758</v>
      </c>
      <c r="D1512" t="s">
        <v>16</v>
      </c>
      <c r="E1512" t="s">
        <v>3139</v>
      </c>
      <c r="F1512" t="s">
        <v>1781</v>
      </c>
      <c r="G1512" t="s">
        <v>1781</v>
      </c>
      <c r="I1512" s="2">
        <v>45699</v>
      </c>
      <c r="J1512" t="s">
        <v>20</v>
      </c>
      <c r="K1512" s="21">
        <v>-36000.5</v>
      </c>
      <c r="L1512" s="21" t="s">
        <v>86</v>
      </c>
      <c r="M1512">
        <v>0</v>
      </c>
      <c r="N1512" s="21" t="s">
        <v>86</v>
      </c>
    </row>
    <row r="1513" spans="1:14">
      <c r="A1513" t="str">
        <f>IFERROR(_xlfn.XLOOKUP(B1513,Cuentas!$C$1:$C$521,Cuentas!$A$1:$A$521),"")</f>
        <v>Yuldor</v>
      </c>
      <c r="B1513" t="s">
        <v>1757</v>
      </c>
      <c r="C1513" t="s">
        <v>1758</v>
      </c>
      <c r="D1513" t="s">
        <v>16</v>
      </c>
      <c r="E1513" t="s">
        <v>7</v>
      </c>
      <c r="F1513" t="s">
        <v>1782</v>
      </c>
      <c r="G1513" t="s">
        <v>1782</v>
      </c>
      <c r="H1513" s="2">
        <v>45646</v>
      </c>
      <c r="I1513" s="2">
        <v>45676</v>
      </c>
      <c r="J1513" t="s">
        <v>20</v>
      </c>
      <c r="K1513" s="21">
        <v>16467.53</v>
      </c>
      <c r="L1513" s="21">
        <v>4358.1000000000004</v>
      </c>
      <c r="M1513">
        <v>0</v>
      </c>
      <c r="N1513" s="21">
        <v>4358.1000000000004</v>
      </c>
    </row>
    <row r="1514" spans="1:14">
      <c r="A1514" t="str">
        <f>IFERROR(_xlfn.XLOOKUP(B1514,Cuentas!$C$1:$C$521,Cuentas!$A$1:$A$521),"")</f>
        <v>Yuldor</v>
      </c>
      <c r="B1514" t="s">
        <v>1757</v>
      </c>
      <c r="C1514" t="s">
        <v>1758</v>
      </c>
      <c r="D1514" t="s">
        <v>16</v>
      </c>
      <c r="E1514" t="s">
        <v>3139</v>
      </c>
      <c r="F1514" t="s">
        <v>1782</v>
      </c>
      <c r="G1514" t="s">
        <v>1782</v>
      </c>
      <c r="I1514" s="2">
        <v>45692</v>
      </c>
      <c r="J1514" t="s">
        <v>20</v>
      </c>
      <c r="K1514" s="21">
        <v>-12109.43</v>
      </c>
      <c r="L1514" s="21" t="s">
        <v>86</v>
      </c>
      <c r="M1514">
        <v>0</v>
      </c>
      <c r="N1514" s="21" t="s">
        <v>86</v>
      </c>
    </row>
    <row r="1515" spans="1:14">
      <c r="A1515" t="str">
        <f>IFERROR(_xlfn.XLOOKUP(B1515,Cuentas!$C$1:$C$521,Cuentas!$A$1:$A$521),"")</f>
        <v>Yuldor</v>
      </c>
      <c r="B1515" t="s">
        <v>1757</v>
      </c>
      <c r="C1515" t="s">
        <v>1758</v>
      </c>
      <c r="D1515" t="s">
        <v>16</v>
      </c>
      <c r="E1515" t="s">
        <v>7</v>
      </c>
      <c r="F1515" t="s">
        <v>1783</v>
      </c>
      <c r="G1515" t="s">
        <v>1783</v>
      </c>
      <c r="H1515" s="2">
        <v>45646</v>
      </c>
      <c r="I1515" s="2">
        <v>45676</v>
      </c>
      <c r="J1515" t="s">
        <v>20</v>
      </c>
      <c r="K1515" s="21">
        <v>7200</v>
      </c>
      <c r="L1515" s="21">
        <v>200</v>
      </c>
      <c r="M1515">
        <v>0</v>
      </c>
      <c r="N1515" s="21">
        <v>200</v>
      </c>
    </row>
    <row r="1516" spans="1:14">
      <c r="A1516" t="str">
        <f>IFERROR(_xlfn.XLOOKUP(B1516,Cuentas!$C$1:$C$521,Cuentas!$A$1:$A$521),"")</f>
        <v>Yuldor</v>
      </c>
      <c r="B1516" t="s">
        <v>1757</v>
      </c>
      <c r="C1516" t="s">
        <v>1758</v>
      </c>
      <c r="D1516" t="s">
        <v>16</v>
      </c>
      <c r="E1516" t="s">
        <v>3139</v>
      </c>
      <c r="F1516" t="s">
        <v>1783</v>
      </c>
      <c r="G1516" t="s">
        <v>1783</v>
      </c>
      <c r="I1516" s="2">
        <v>45684</v>
      </c>
      <c r="J1516" t="s">
        <v>20</v>
      </c>
      <c r="K1516" s="21">
        <v>-7000</v>
      </c>
      <c r="L1516" s="21" t="s">
        <v>86</v>
      </c>
      <c r="M1516">
        <v>0</v>
      </c>
      <c r="N1516" s="21" t="s">
        <v>86</v>
      </c>
    </row>
    <row r="1517" spans="1:14">
      <c r="A1517" t="str">
        <f>IFERROR(_xlfn.XLOOKUP(B1517,Cuentas!$C$1:$C$521,Cuentas!$A$1:$A$521),"")</f>
        <v>Yuldor</v>
      </c>
      <c r="B1517" t="s">
        <v>1757</v>
      </c>
      <c r="C1517" t="s">
        <v>1758</v>
      </c>
      <c r="D1517" t="s">
        <v>16</v>
      </c>
      <c r="E1517" t="s">
        <v>7</v>
      </c>
      <c r="F1517" t="s">
        <v>1784</v>
      </c>
      <c r="G1517" t="s">
        <v>1784</v>
      </c>
      <c r="H1517" s="2">
        <v>45652</v>
      </c>
      <c r="I1517" s="2">
        <v>45682</v>
      </c>
      <c r="J1517" t="s">
        <v>20</v>
      </c>
      <c r="K1517" s="21">
        <v>19698</v>
      </c>
      <c r="L1517" s="21">
        <v>98</v>
      </c>
      <c r="M1517">
        <v>0</v>
      </c>
      <c r="N1517" s="21">
        <v>98</v>
      </c>
    </row>
    <row r="1518" spans="1:14">
      <c r="A1518" t="str">
        <f>IFERROR(_xlfn.XLOOKUP(B1518,Cuentas!$C$1:$C$521,Cuentas!$A$1:$A$521),"")</f>
        <v>Yuldor</v>
      </c>
      <c r="B1518" t="s">
        <v>1757</v>
      </c>
      <c r="C1518" t="s">
        <v>1758</v>
      </c>
      <c r="D1518" t="s">
        <v>16</v>
      </c>
      <c r="E1518" t="s">
        <v>3139</v>
      </c>
      <c r="F1518" t="s">
        <v>1784</v>
      </c>
      <c r="G1518" t="s">
        <v>1784</v>
      </c>
      <c r="I1518" s="2">
        <v>45688</v>
      </c>
      <c r="J1518" t="s">
        <v>20</v>
      </c>
      <c r="K1518" s="21">
        <v>-19600</v>
      </c>
      <c r="L1518" s="21" t="s">
        <v>86</v>
      </c>
      <c r="M1518">
        <v>0</v>
      </c>
      <c r="N1518" s="21" t="s">
        <v>86</v>
      </c>
    </row>
    <row r="1519" spans="1:14">
      <c r="A1519" t="str">
        <f>IFERROR(_xlfn.XLOOKUP(B1519,Cuentas!$C$1:$C$521,Cuentas!$A$1:$A$521),"")</f>
        <v>Yuldor</v>
      </c>
      <c r="B1519" t="s">
        <v>1757</v>
      </c>
      <c r="C1519" t="s">
        <v>1758</v>
      </c>
      <c r="D1519" t="s">
        <v>16</v>
      </c>
      <c r="E1519" t="s">
        <v>7</v>
      </c>
      <c r="F1519" t="s">
        <v>1785</v>
      </c>
      <c r="G1519" t="s">
        <v>1785</v>
      </c>
      <c r="H1519" s="2">
        <v>45664</v>
      </c>
      <c r="I1519" s="2">
        <v>45694</v>
      </c>
      <c r="J1519" t="s">
        <v>20</v>
      </c>
      <c r="K1519" s="21">
        <v>17880</v>
      </c>
      <c r="L1519" s="21">
        <v>44</v>
      </c>
      <c r="M1519">
        <v>0</v>
      </c>
      <c r="N1519" s="21">
        <v>44</v>
      </c>
    </row>
    <row r="1520" spans="1:14">
      <c r="A1520" t="str">
        <f>IFERROR(_xlfn.XLOOKUP(B1520,Cuentas!$C$1:$C$521,Cuentas!$A$1:$A$521),"")</f>
        <v>Yuldor</v>
      </c>
      <c r="B1520" t="s">
        <v>1757</v>
      </c>
      <c r="C1520" t="s">
        <v>1758</v>
      </c>
      <c r="D1520" t="s">
        <v>16</v>
      </c>
      <c r="E1520" t="s">
        <v>5502</v>
      </c>
      <c r="F1520" t="s">
        <v>1786</v>
      </c>
      <c r="G1520" t="s">
        <v>1785</v>
      </c>
      <c r="I1520" s="2">
        <v>45693</v>
      </c>
      <c r="J1520" t="s">
        <v>20</v>
      </c>
      <c r="K1520" s="21">
        <v>-6556</v>
      </c>
      <c r="L1520" s="21" t="s">
        <v>86</v>
      </c>
      <c r="M1520">
        <v>0</v>
      </c>
      <c r="N1520" s="21" t="s">
        <v>86</v>
      </c>
    </row>
    <row r="1521" spans="1:14">
      <c r="A1521" t="str">
        <f>IFERROR(_xlfn.XLOOKUP(B1521,Cuentas!$C$1:$C$521,Cuentas!$A$1:$A$521),"")</f>
        <v>Yuldor</v>
      </c>
      <c r="B1521" t="s">
        <v>1757</v>
      </c>
      <c r="C1521" t="s">
        <v>1758</v>
      </c>
      <c r="D1521" t="s">
        <v>16</v>
      </c>
      <c r="E1521" t="s">
        <v>3139</v>
      </c>
      <c r="F1521" t="s">
        <v>1785</v>
      </c>
      <c r="G1521" t="s">
        <v>1785</v>
      </c>
      <c r="I1521" s="2">
        <v>45719</v>
      </c>
      <c r="J1521" t="s">
        <v>20</v>
      </c>
      <c r="K1521" s="21">
        <v>-11280</v>
      </c>
      <c r="L1521" s="21" t="s">
        <v>86</v>
      </c>
      <c r="M1521">
        <v>10</v>
      </c>
      <c r="N1521" s="21" t="s">
        <v>86</v>
      </c>
    </row>
    <row r="1522" spans="1:14">
      <c r="A1522" t="str">
        <f>IFERROR(_xlfn.XLOOKUP(B1522,Cuentas!$C$1:$C$521,Cuentas!$A$1:$A$521),"")</f>
        <v>Yuldor</v>
      </c>
      <c r="B1522" t="s">
        <v>1757</v>
      </c>
      <c r="C1522" t="s">
        <v>1758</v>
      </c>
      <c r="D1522" t="s">
        <v>16</v>
      </c>
      <c r="E1522" t="s">
        <v>7</v>
      </c>
      <c r="F1522" t="s">
        <v>1787</v>
      </c>
      <c r="G1522" t="s">
        <v>1787</v>
      </c>
      <c r="H1522" s="2">
        <v>45666</v>
      </c>
      <c r="I1522" s="2">
        <v>45696</v>
      </c>
      <c r="J1522" t="s">
        <v>20</v>
      </c>
      <c r="K1522" s="21">
        <v>55387.43</v>
      </c>
      <c r="L1522" s="21">
        <v>1195.75</v>
      </c>
      <c r="M1522">
        <v>0</v>
      </c>
      <c r="N1522" s="21">
        <v>1195.75</v>
      </c>
    </row>
    <row r="1523" spans="1:14">
      <c r="A1523" t="str">
        <f>IFERROR(_xlfn.XLOOKUP(B1523,Cuentas!$C$1:$C$521,Cuentas!$A$1:$A$521),"")</f>
        <v>Yuldor</v>
      </c>
      <c r="B1523" t="s">
        <v>1757</v>
      </c>
      <c r="C1523" t="s">
        <v>1758</v>
      </c>
      <c r="D1523" t="s">
        <v>16</v>
      </c>
      <c r="E1523" t="s">
        <v>5502</v>
      </c>
      <c r="F1523" t="s">
        <v>1788</v>
      </c>
      <c r="G1523" t="s">
        <v>1787</v>
      </c>
      <c r="I1523" s="2">
        <v>45688</v>
      </c>
      <c r="J1523" t="s">
        <v>20</v>
      </c>
      <c r="K1523" s="21">
        <v>-4221.2299999999996</v>
      </c>
      <c r="L1523" s="21" t="s">
        <v>86</v>
      </c>
      <c r="M1523">
        <v>0</v>
      </c>
      <c r="N1523" s="21" t="s">
        <v>86</v>
      </c>
    </row>
    <row r="1524" spans="1:14">
      <c r="A1524" t="str">
        <f>IFERROR(_xlfn.XLOOKUP(B1524,Cuentas!$C$1:$C$521,Cuentas!$A$1:$A$521),"")</f>
        <v>Yuldor</v>
      </c>
      <c r="B1524" t="s">
        <v>1757</v>
      </c>
      <c r="C1524" t="s">
        <v>1758</v>
      </c>
      <c r="D1524" t="s">
        <v>16</v>
      </c>
      <c r="E1524" t="s">
        <v>3139</v>
      </c>
      <c r="F1524" t="s">
        <v>1787</v>
      </c>
      <c r="G1524" t="s">
        <v>1787</v>
      </c>
      <c r="I1524" s="2">
        <v>45709</v>
      </c>
      <c r="J1524" t="s">
        <v>20</v>
      </c>
      <c r="K1524" s="21">
        <v>-49970.45</v>
      </c>
      <c r="L1524" s="21" t="s">
        <v>86</v>
      </c>
      <c r="M1524">
        <v>0</v>
      </c>
      <c r="N1524" s="21" t="s">
        <v>86</v>
      </c>
    </row>
    <row r="1525" spans="1:14">
      <c r="A1525" t="str">
        <f>IFERROR(_xlfn.XLOOKUP(B1525,Cuentas!$C$1:$C$521,Cuentas!$A$1:$A$521),"")</f>
        <v>Yuldor</v>
      </c>
      <c r="B1525" t="s">
        <v>1757</v>
      </c>
      <c r="C1525" t="s">
        <v>1758</v>
      </c>
      <c r="D1525" t="s">
        <v>16</v>
      </c>
      <c r="E1525" t="s">
        <v>7</v>
      </c>
      <c r="F1525" t="s">
        <v>1789</v>
      </c>
      <c r="G1525" t="s">
        <v>1789</v>
      </c>
      <c r="H1525" s="2">
        <v>45670</v>
      </c>
      <c r="I1525" s="2">
        <v>45700</v>
      </c>
      <c r="J1525" t="s">
        <v>20</v>
      </c>
      <c r="K1525" s="21">
        <v>22092</v>
      </c>
      <c r="L1525" s="21">
        <v>8477.2000000000007</v>
      </c>
      <c r="M1525">
        <v>0</v>
      </c>
      <c r="N1525" s="21">
        <v>8477.2000000000007</v>
      </c>
    </row>
    <row r="1526" spans="1:14">
      <c r="A1526" t="str">
        <f>IFERROR(_xlfn.XLOOKUP(B1526,Cuentas!$C$1:$C$521,Cuentas!$A$1:$A$521),"")</f>
        <v>Yuldor</v>
      </c>
      <c r="B1526" t="s">
        <v>1757</v>
      </c>
      <c r="C1526" t="s">
        <v>1758</v>
      </c>
      <c r="D1526" t="s">
        <v>16</v>
      </c>
      <c r="E1526" t="s">
        <v>3139</v>
      </c>
      <c r="F1526" t="s">
        <v>1789</v>
      </c>
      <c r="G1526" t="s">
        <v>1789</v>
      </c>
      <c r="I1526" s="2">
        <v>45714</v>
      </c>
      <c r="J1526" t="s">
        <v>20</v>
      </c>
      <c r="K1526" s="21">
        <v>-13614.8</v>
      </c>
      <c r="L1526" s="21" t="s">
        <v>86</v>
      </c>
      <c r="M1526">
        <v>0</v>
      </c>
      <c r="N1526" s="21" t="s">
        <v>86</v>
      </c>
    </row>
    <row r="1527" spans="1:14">
      <c r="A1527" t="str">
        <f>IFERROR(_xlfn.XLOOKUP(B1527,Cuentas!$C$1:$C$521,Cuentas!$A$1:$A$521),"")</f>
        <v>Yuldor</v>
      </c>
      <c r="B1527" t="s">
        <v>1757</v>
      </c>
      <c r="C1527" t="s">
        <v>1758</v>
      </c>
      <c r="D1527" t="s">
        <v>16</v>
      </c>
      <c r="E1527" t="s">
        <v>7</v>
      </c>
      <c r="F1527" t="s">
        <v>1790</v>
      </c>
      <c r="G1527" t="s">
        <v>1790</v>
      </c>
      <c r="H1527" s="2">
        <v>45677</v>
      </c>
      <c r="I1527" s="2">
        <v>45707</v>
      </c>
      <c r="J1527" t="s">
        <v>20</v>
      </c>
      <c r="K1527" s="21">
        <v>46384.13</v>
      </c>
      <c r="L1527" s="21">
        <v>318.39999999999998</v>
      </c>
      <c r="M1527">
        <v>0</v>
      </c>
      <c r="N1527" s="21">
        <v>318.39999999999998</v>
      </c>
    </row>
    <row r="1528" spans="1:14">
      <c r="A1528" t="str">
        <f>IFERROR(_xlfn.XLOOKUP(B1528,Cuentas!$C$1:$C$521,Cuentas!$A$1:$A$521),"")</f>
        <v>Yuldor</v>
      </c>
      <c r="B1528" t="s">
        <v>1757</v>
      </c>
      <c r="C1528" t="s">
        <v>1758</v>
      </c>
      <c r="D1528" t="s">
        <v>16</v>
      </c>
      <c r="E1528" t="s">
        <v>5502</v>
      </c>
      <c r="F1528" t="s">
        <v>1791</v>
      </c>
      <c r="G1528" t="s">
        <v>1790</v>
      </c>
      <c r="I1528" s="2">
        <v>45688</v>
      </c>
      <c r="J1528" t="s">
        <v>20</v>
      </c>
      <c r="K1528" s="21">
        <v>-2728.48</v>
      </c>
      <c r="L1528" s="21" t="s">
        <v>86</v>
      </c>
      <c r="M1528">
        <v>0</v>
      </c>
      <c r="N1528" s="21" t="s">
        <v>86</v>
      </c>
    </row>
    <row r="1529" spans="1:14">
      <c r="A1529" t="str">
        <f>IFERROR(_xlfn.XLOOKUP(B1529,Cuentas!$C$1:$C$521,Cuentas!$A$1:$A$521),"")</f>
        <v>Yuldor</v>
      </c>
      <c r="B1529" t="s">
        <v>1757</v>
      </c>
      <c r="C1529" t="s">
        <v>1758</v>
      </c>
      <c r="D1529" t="s">
        <v>16</v>
      </c>
      <c r="E1529" t="s">
        <v>3139</v>
      </c>
      <c r="F1529" t="s">
        <v>1790</v>
      </c>
      <c r="G1529" t="s">
        <v>1790</v>
      </c>
      <c r="I1529" s="2">
        <v>45715</v>
      </c>
      <c r="J1529" t="s">
        <v>20</v>
      </c>
      <c r="K1529" s="21">
        <v>-43337.25</v>
      </c>
      <c r="L1529" s="21" t="s">
        <v>86</v>
      </c>
      <c r="M1529">
        <v>0</v>
      </c>
      <c r="N1529" s="21" t="s">
        <v>86</v>
      </c>
    </row>
    <row r="1530" spans="1:14">
      <c r="A1530" t="str">
        <f>IFERROR(_xlfn.XLOOKUP(B1530,Cuentas!$C$1:$C$521,Cuentas!$A$1:$A$521),"")</f>
        <v>Yuldor</v>
      </c>
      <c r="B1530" t="s">
        <v>1757</v>
      </c>
      <c r="C1530" t="s">
        <v>1758</v>
      </c>
      <c r="D1530" t="s">
        <v>16</v>
      </c>
      <c r="E1530" t="s">
        <v>7</v>
      </c>
      <c r="F1530" t="s">
        <v>1792</v>
      </c>
      <c r="G1530" t="s">
        <v>1792</v>
      </c>
      <c r="H1530" s="2">
        <v>45678</v>
      </c>
      <c r="I1530" s="2">
        <v>45708</v>
      </c>
      <c r="J1530" t="s">
        <v>20</v>
      </c>
      <c r="K1530" s="21">
        <v>849</v>
      </c>
      <c r="L1530" s="21">
        <v>849</v>
      </c>
      <c r="M1530">
        <v>0</v>
      </c>
      <c r="N1530" s="21">
        <v>849</v>
      </c>
    </row>
    <row r="1531" spans="1:14">
      <c r="A1531" t="str">
        <f>IFERROR(_xlfn.XLOOKUP(B1531,Cuentas!$C$1:$C$521,Cuentas!$A$1:$A$521),"")</f>
        <v>Yuldor</v>
      </c>
      <c r="B1531" t="s">
        <v>1757</v>
      </c>
      <c r="C1531" t="s">
        <v>1758</v>
      </c>
      <c r="D1531" t="s">
        <v>16</v>
      </c>
      <c r="E1531" t="s">
        <v>7</v>
      </c>
      <c r="F1531" t="s">
        <v>1793</v>
      </c>
      <c r="G1531" t="s">
        <v>1793</v>
      </c>
      <c r="H1531" s="2">
        <v>45699</v>
      </c>
      <c r="I1531" s="2">
        <v>45729</v>
      </c>
      <c r="J1531" t="s">
        <v>20</v>
      </c>
      <c r="K1531" s="21">
        <v>11830</v>
      </c>
      <c r="L1531" s="21">
        <v>11830</v>
      </c>
      <c r="M1531">
        <v>11</v>
      </c>
      <c r="N1531" s="21">
        <v>11830</v>
      </c>
    </row>
    <row r="1532" spans="1:14">
      <c r="A1532" t="str">
        <f>IFERROR(_xlfn.XLOOKUP(B1532,Cuentas!$C$1:$C$521,Cuentas!$A$1:$A$521),"")</f>
        <v>Yuldor</v>
      </c>
      <c r="B1532" t="s">
        <v>1757</v>
      </c>
      <c r="C1532" t="s">
        <v>1758</v>
      </c>
      <c r="D1532" t="s">
        <v>16</v>
      </c>
      <c r="E1532" t="s">
        <v>7</v>
      </c>
      <c r="F1532" t="s">
        <v>1794</v>
      </c>
      <c r="G1532" t="s">
        <v>1794</v>
      </c>
      <c r="H1532" s="2">
        <v>45699</v>
      </c>
      <c r="I1532" s="2">
        <v>45729</v>
      </c>
      <c r="J1532" t="s">
        <v>20</v>
      </c>
      <c r="K1532" s="21">
        <v>2300</v>
      </c>
      <c r="L1532" s="21">
        <v>2300</v>
      </c>
      <c r="M1532">
        <v>11</v>
      </c>
      <c r="N1532" s="21">
        <v>2300</v>
      </c>
    </row>
    <row r="1533" spans="1:14">
      <c r="A1533" t="str">
        <f>IFERROR(_xlfn.XLOOKUP(B1533,Cuentas!$C$1:$C$521,Cuentas!$A$1:$A$521),"")</f>
        <v>Yuldor</v>
      </c>
      <c r="B1533" t="s">
        <v>1757</v>
      </c>
      <c r="C1533" t="s">
        <v>1758</v>
      </c>
      <c r="D1533" t="s">
        <v>16</v>
      </c>
      <c r="E1533" t="s">
        <v>5502</v>
      </c>
      <c r="F1533" t="s">
        <v>1795</v>
      </c>
      <c r="G1533" t="s">
        <v>19</v>
      </c>
      <c r="I1533" s="2">
        <v>45735</v>
      </c>
      <c r="J1533" t="s">
        <v>20</v>
      </c>
      <c r="K1533" s="21">
        <v>-200</v>
      </c>
      <c r="L1533" s="21">
        <v>-200</v>
      </c>
      <c r="M1533">
        <v>12</v>
      </c>
      <c r="N1533" s="21">
        <v>-200</v>
      </c>
    </row>
    <row r="1534" spans="1:14">
      <c r="A1534" t="str">
        <f>IFERROR(_xlfn.XLOOKUP(B1534,Cuentas!$C$1:$C$521,Cuentas!$A$1:$A$521),"")</f>
        <v>Yuldor</v>
      </c>
      <c r="B1534" t="s">
        <v>1757</v>
      </c>
      <c r="C1534" t="s">
        <v>1758</v>
      </c>
      <c r="D1534" t="s">
        <v>16</v>
      </c>
      <c r="E1534" t="s">
        <v>3139</v>
      </c>
      <c r="F1534" t="s">
        <v>19</v>
      </c>
      <c r="G1534" t="s">
        <v>19</v>
      </c>
      <c r="I1534" s="2">
        <v>45736</v>
      </c>
      <c r="J1534" t="s">
        <v>20</v>
      </c>
      <c r="K1534" s="21">
        <v>-52.5</v>
      </c>
      <c r="L1534" s="21">
        <v>-52.5</v>
      </c>
      <c r="M1534">
        <v>12</v>
      </c>
      <c r="N1534" s="21">
        <v>-52.5</v>
      </c>
    </row>
    <row r="1535" spans="1:14">
      <c r="A1535" t="str">
        <f>IFERROR(_xlfn.XLOOKUP(B1535,Cuentas!$C$1:$C$521,Cuentas!$A$1:$A$521),"")</f>
        <v>Yuldor</v>
      </c>
      <c r="B1535" t="s">
        <v>1757</v>
      </c>
      <c r="C1535" t="s">
        <v>1758</v>
      </c>
      <c r="D1535" t="s">
        <v>16</v>
      </c>
      <c r="E1535" t="s">
        <v>5502</v>
      </c>
      <c r="F1535" t="s">
        <v>1796</v>
      </c>
      <c r="G1535" t="s">
        <v>19</v>
      </c>
      <c r="I1535" s="2">
        <v>45736</v>
      </c>
      <c r="J1535" t="s">
        <v>20</v>
      </c>
      <c r="K1535" s="21">
        <v>-200</v>
      </c>
      <c r="L1535" s="21">
        <v>-200</v>
      </c>
      <c r="M1535">
        <v>12</v>
      </c>
      <c r="N1535" s="21">
        <v>-200</v>
      </c>
    </row>
    <row r="1536" spans="1:14">
      <c r="A1536" t="str">
        <f>IFERROR(_xlfn.XLOOKUP(B1536,Cuentas!$C$1:$C$521,Cuentas!$A$1:$A$521),"")</f>
        <v>Yuldor</v>
      </c>
      <c r="B1536" t="s">
        <v>1757</v>
      </c>
      <c r="C1536" t="s">
        <v>1758</v>
      </c>
      <c r="D1536" t="s">
        <v>16</v>
      </c>
      <c r="E1536" t="s">
        <v>7</v>
      </c>
      <c r="F1536" t="s">
        <v>1797</v>
      </c>
      <c r="G1536" t="s">
        <v>1797</v>
      </c>
      <c r="H1536" s="2">
        <v>45707</v>
      </c>
      <c r="I1536" s="2">
        <v>45737</v>
      </c>
      <c r="J1536" t="s">
        <v>20</v>
      </c>
      <c r="K1536" s="21">
        <v>1701</v>
      </c>
      <c r="L1536" s="21">
        <v>1701</v>
      </c>
      <c r="M1536">
        <v>12</v>
      </c>
      <c r="N1536" s="21">
        <v>1701</v>
      </c>
    </row>
    <row r="1537" spans="1:14">
      <c r="A1537" t="str">
        <f>IFERROR(_xlfn.XLOOKUP(B1537,Cuentas!$C$1:$C$521,Cuentas!$A$1:$A$521),"")</f>
        <v>Yuldor</v>
      </c>
      <c r="B1537" t="s">
        <v>1757</v>
      </c>
      <c r="C1537" t="s">
        <v>1758</v>
      </c>
      <c r="D1537" t="s">
        <v>16</v>
      </c>
      <c r="E1537" t="s">
        <v>7</v>
      </c>
      <c r="F1537" t="s">
        <v>1798</v>
      </c>
      <c r="G1537" t="s">
        <v>1798</v>
      </c>
      <c r="H1537" s="2">
        <v>45714</v>
      </c>
      <c r="I1537" s="2">
        <v>45744</v>
      </c>
      <c r="J1537" t="s">
        <v>20</v>
      </c>
      <c r="K1537" s="21">
        <v>4680</v>
      </c>
      <c r="L1537" s="21">
        <v>4680</v>
      </c>
      <c r="M1537">
        <v>13</v>
      </c>
      <c r="N1537" s="21">
        <v>4680</v>
      </c>
    </row>
    <row r="1538" spans="1:14">
      <c r="A1538" t="str">
        <f>IFERROR(_xlfn.XLOOKUP(B1538,Cuentas!$C$1:$C$521,Cuentas!$A$1:$A$521),"")</f>
        <v>Yuldor</v>
      </c>
      <c r="B1538" t="s">
        <v>1757</v>
      </c>
      <c r="C1538" t="s">
        <v>1758</v>
      </c>
      <c r="D1538" t="s">
        <v>16</v>
      </c>
      <c r="E1538" t="s">
        <v>7</v>
      </c>
      <c r="F1538" t="s">
        <v>1799</v>
      </c>
      <c r="G1538" t="s">
        <v>1799</v>
      </c>
      <c r="H1538" s="2">
        <v>45715</v>
      </c>
      <c r="I1538" s="2">
        <v>45745</v>
      </c>
      <c r="J1538" t="s">
        <v>20</v>
      </c>
      <c r="K1538" s="21">
        <v>9437.5</v>
      </c>
      <c r="L1538" s="21">
        <v>9437.5</v>
      </c>
      <c r="M1538">
        <v>13</v>
      </c>
      <c r="N1538" s="21">
        <v>9437.5</v>
      </c>
    </row>
    <row r="1539" spans="1:14">
      <c r="A1539" t="str">
        <f>IFERROR(_xlfn.XLOOKUP(B1539,Cuentas!$C$1:$C$521,Cuentas!$A$1:$A$521),"")</f>
        <v>Yuldor</v>
      </c>
      <c r="B1539" t="s">
        <v>1757</v>
      </c>
      <c r="C1539" t="s">
        <v>1758</v>
      </c>
      <c r="D1539" t="s">
        <v>16</v>
      </c>
      <c r="E1539" t="s">
        <v>7</v>
      </c>
      <c r="F1539" t="s">
        <v>1800</v>
      </c>
      <c r="G1539" t="s">
        <v>1800</v>
      </c>
      <c r="H1539" s="2">
        <v>45720</v>
      </c>
      <c r="I1539" s="2">
        <v>45750</v>
      </c>
      <c r="J1539" t="s">
        <v>20</v>
      </c>
      <c r="K1539" s="21">
        <v>20651.2</v>
      </c>
      <c r="L1539" s="21">
        <v>20651.2</v>
      </c>
      <c r="M1539">
        <v>0</v>
      </c>
      <c r="N1539" s="21">
        <v>0</v>
      </c>
    </row>
    <row r="1540" spans="1:14">
      <c r="A1540" t="str">
        <f>IFERROR(_xlfn.XLOOKUP(B1540,Cuentas!$C$1:$C$521,Cuentas!$A$1:$A$521),"")</f>
        <v>Yuldor</v>
      </c>
      <c r="B1540" t="s">
        <v>1757</v>
      </c>
      <c r="C1540" t="s">
        <v>1758</v>
      </c>
      <c r="D1540" t="s">
        <v>16</v>
      </c>
      <c r="E1540" t="s">
        <v>7</v>
      </c>
      <c r="F1540" t="s">
        <v>1801</v>
      </c>
      <c r="G1540" t="s">
        <v>1801</v>
      </c>
      <c r="H1540" s="2">
        <v>45730</v>
      </c>
      <c r="I1540" s="2">
        <v>45760</v>
      </c>
      <c r="J1540" t="s">
        <v>20</v>
      </c>
      <c r="K1540" s="21">
        <v>7128</v>
      </c>
      <c r="L1540" s="21">
        <v>7128</v>
      </c>
      <c r="M1540">
        <v>0</v>
      </c>
      <c r="N1540" s="21">
        <v>0</v>
      </c>
    </row>
    <row r="1541" spans="1:14">
      <c r="A1541" t="str">
        <f>IFERROR(_xlfn.XLOOKUP(B1541,Cuentas!$C$1:$C$521,Cuentas!$A$1:$A$521),"")</f>
        <v>Yuldor</v>
      </c>
      <c r="B1541" t="s">
        <v>1757</v>
      </c>
      <c r="C1541" t="s">
        <v>1758</v>
      </c>
      <c r="D1541" t="s">
        <v>16</v>
      </c>
      <c r="E1541" t="s">
        <v>7</v>
      </c>
      <c r="F1541" t="s">
        <v>1802</v>
      </c>
      <c r="G1541" t="s">
        <v>1802</v>
      </c>
      <c r="H1541" s="2">
        <v>45730</v>
      </c>
      <c r="I1541" s="2">
        <v>45760</v>
      </c>
      <c r="J1541" t="s">
        <v>20</v>
      </c>
      <c r="K1541" s="21">
        <v>8242.56</v>
      </c>
      <c r="L1541" s="21">
        <v>8242.56</v>
      </c>
      <c r="M1541">
        <v>0</v>
      </c>
      <c r="N1541" s="21">
        <v>0</v>
      </c>
    </row>
    <row r="1542" spans="1:14">
      <c r="A1542" t="str">
        <f>IFERROR(_xlfn.XLOOKUP(B1542,Cuentas!$C$1:$C$521,Cuentas!$A$1:$A$521),"")</f>
        <v>Yuldor</v>
      </c>
      <c r="B1542" t="s">
        <v>1757</v>
      </c>
      <c r="C1542" t="s">
        <v>1758</v>
      </c>
      <c r="D1542" t="s">
        <v>16</v>
      </c>
      <c r="E1542" t="s">
        <v>7</v>
      </c>
      <c r="F1542" t="s">
        <v>1803</v>
      </c>
      <c r="G1542" t="s">
        <v>1803</v>
      </c>
      <c r="H1542" s="2">
        <v>45730</v>
      </c>
      <c r="I1542" s="2">
        <v>45760</v>
      </c>
      <c r="J1542" t="s">
        <v>20</v>
      </c>
      <c r="K1542" s="21">
        <v>89687.83</v>
      </c>
      <c r="L1542" s="21">
        <v>89687.83</v>
      </c>
      <c r="M1542">
        <v>0</v>
      </c>
      <c r="N1542" s="21">
        <v>0</v>
      </c>
    </row>
    <row r="1543" spans="1:14">
      <c r="A1543" t="str">
        <f>IFERROR(_xlfn.XLOOKUP(B1543,Cuentas!$C$1:$C$521,Cuentas!$A$1:$A$521),"")</f>
        <v>Yuldor</v>
      </c>
      <c r="B1543" t="s">
        <v>1757</v>
      </c>
      <c r="C1543" t="s">
        <v>1758</v>
      </c>
      <c r="D1543" t="s">
        <v>16</v>
      </c>
      <c r="E1543" t="s">
        <v>7</v>
      </c>
      <c r="F1543" t="s">
        <v>1804</v>
      </c>
      <c r="G1543" t="s">
        <v>1804</v>
      </c>
      <c r="H1543" s="2">
        <v>45733</v>
      </c>
      <c r="I1543" s="2">
        <v>45763</v>
      </c>
      <c r="J1543" t="s">
        <v>20</v>
      </c>
      <c r="K1543" s="21">
        <v>50642.16</v>
      </c>
      <c r="L1543" s="21">
        <v>50642.16</v>
      </c>
      <c r="M1543">
        <v>0</v>
      </c>
      <c r="N1543" s="21">
        <v>0</v>
      </c>
    </row>
    <row r="1544" spans="1:14">
      <c r="A1544" t="str">
        <f>IFERROR(_xlfn.XLOOKUP(B1544,Cuentas!$C$1:$C$521,Cuentas!$A$1:$A$521),"")</f>
        <v>Yuldor</v>
      </c>
      <c r="B1544" t="s">
        <v>1757</v>
      </c>
      <c r="C1544" t="s">
        <v>1758</v>
      </c>
      <c r="D1544" t="s">
        <v>16</v>
      </c>
      <c r="E1544" t="s">
        <v>7</v>
      </c>
      <c r="F1544" t="s">
        <v>1805</v>
      </c>
      <c r="G1544" t="s">
        <v>1805</v>
      </c>
      <c r="H1544" s="2">
        <v>45734</v>
      </c>
      <c r="I1544" s="2">
        <v>45764</v>
      </c>
      <c r="J1544" t="s">
        <v>20</v>
      </c>
      <c r="K1544" s="21">
        <v>24187.5</v>
      </c>
      <c r="L1544" s="21">
        <v>24187.5</v>
      </c>
      <c r="M1544">
        <v>0</v>
      </c>
      <c r="N1544" s="21">
        <v>0</v>
      </c>
    </row>
    <row r="1545" spans="1:14">
      <c r="A1545" t="str">
        <f>IFERROR(_xlfn.XLOOKUP(B1545,Cuentas!$C$1:$C$521,Cuentas!$A$1:$A$521),"")</f>
        <v>Yuldor</v>
      </c>
      <c r="B1545" t="s">
        <v>1757</v>
      </c>
      <c r="C1545" t="s">
        <v>1758</v>
      </c>
      <c r="D1545" t="s">
        <v>16</v>
      </c>
      <c r="E1545" t="s">
        <v>7</v>
      </c>
      <c r="F1545" t="s">
        <v>1806</v>
      </c>
      <c r="G1545" t="s">
        <v>1806</v>
      </c>
      <c r="H1545" s="2">
        <v>45734</v>
      </c>
      <c r="I1545" s="2">
        <v>45764</v>
      </c>
      <c r="J1545" t="s">
        <v>20</v>
      </c>
      <c r="K1545" s="21">
        <v>14400</v>
      </c>
      <c r="L1545" s="21">
        <v>14400</v>
      </c>
      <c r="M1545">
        <v>0</v>
      </c>
      <c r="N1545" s="21">
        <v>0</v>
      </c>
    </row>
    <row r="1546" spans="1:14">
      <c r="A1546" t="str">
        <f>IFERROR(_xlfn.XLOOKUP(B1546,Cuentas!$C$1:$C$521,Cuentas!$A$1:$A$521),"")</f>
        <v>Yuldor</v>
      </c>
      <c r="B1546" t="s">
        <v>1757</v>
      </c>
      <c r="C1546" t="s">
        <v>1758</v>
      </c>
      <c r="D1546" t="s">
        <v>16</v>
      </c>
      <c r="E1546" t="s">
        <v>7</v>
      </c>
      <c r="F1546" t="s">
        <v>1807</v>
      </c>
      <c r="G1546" t="s">
        <v>1807</v>
      </c>
      <c r="H1546" s="2">
        <v>45735</v>
      </c>
      <c r="I1546" s="2">
        <v>45765</v>
      </c>
      <c r="J1546" t="s">
        <v>20</v>
      </c>
      <c r="K1546" s="21">
        <v>9932.7099999999991</v>
      </c>
      <c r="L1546" s="21">
        <v>9932.7099999999991</v>
      </c>
      <c r="M1546">
        <v>0</v>
      </c>
      <c r="N1546" s="21">
        <v>0</v>
      </c>
    </row>
    <row r="1547" spans="1:14">
      <c r="A1547" t="str">
        <f>IFERROR(_xlfn.XLOOKUP(B1547,Cuentas!$C$1:$C$521,Cuentas!$A$1:$A$521),"")</f>
        <v>Yuldor</v>
      </c>
      <c r="B1547" t="s">
        <v>1808</v>
      </c>
      <c r="C1547" t="s">
        <v>1809</v>
      </c>
      <c r="D1547" t="s">
        <v>16</v>
      </c>
      <c r="E1547" t="s">
        <v>7</v>
      </c>
      <c r="F1547" t="s">
        <v>1810</v>
      </c>
      <c r="G1547" t="s">
        <v>1810</v>
      </c>
      <c r="H1547" s="2">
        <v>45575</v>
      </c>
      <c r="I1547" s="2">
        <v>45605</v>
      </c>
      <c r="J1547" t="s">
        <v>20</v>
      </c>
      <c r="K1547" s="21">
        <v>994.63</v>
      </c>
      <c r="L1547" s="21">
        <v>994.63</v>
      </c>
      <c r="M1547">
        <v>0</v>
      </c>
      <c r="N1547" s="21">
        <v>994.63</v>
      </c>
    </row>
    <row r="1548" spans="1:14">
      <c r="A1548" t="str">
        <f>IFERROR(_xlfn.XLOOKUP(B1548,Cuentas!$C$1:$C$521,Cuentas!$A$1:$A$521),"")</f>
        <v>Yuldor</v>
      </c>
      <c r="B1548" t="s">
        <v>1811</v>
      </c>
      <c r="C1548" t="s">
        <v>1812</v>
      </c>
      <c r="D1548" t="s">
        <v>16</v>
      </c>
      <c r="E1548" t="s">
        <v>5502</v>
      </c>
      <c r="F1548" t="s">
        <v>1813</v>
      </c>
      <c r="G1548" t="s">
        <v>19</v>
      </c>
      <c r="I1548" s="2">
        <v>45345</v>
      </c>
      <c r="J1548" t="s">
        <v>20</v>
      </c>
      <c r="K1548" s="21">
        <v>-77.7</v>
      </c>
      <c r="L1548" s="21">
        <v>-77.7</v>
      </c>
      <c r="M1548">
        <v>0</v>
      </c>
      <c r="N1548" s="21">
        <v>-77.7</v>
      </c>
    </row>
    <row r="1549" spans="1:14">
      <c r="A1549" t="str">
        <f>IFERROR(_xlfn.XLOOKUP(B1549,Cuentas!$C$1:$C$521,Cuentas!$A$1:$A$521),"")</f>
        <v>Yuldor</v>
      </c>
      <c r="B1549" t="s">
        <v>1811</v>
      </c>
      <c r="C1549" t="s">
        <v>1812</v>
      </c>
      <c r="D1549" t="s">
        <v>16</v>
      </c>
      <c r="E1549" t="s">
        <v>7</v>
      </c>
      <c r="F1549" t="s">
        <v>1814</v>
      </c>
      <c r="G1549" t="s">
        <v>1814</v>
      </c>
      <c r="H1549" s="2">
        <v>45432</v>
      </c>
      <c r="I1549" s="2">
        <v>45462</v>
      </c>
      <c r="J1549" t="s">
        <v>20</v>
      </c>
      <c r="K1549" s="21">
        <v>1647.24</v>
      </c>
      <c r="L1549" s="21">
        <v>1647.24</v>
      </c>
      <c r="M1549">
        <v>0</v>
      </c>
      <c r="N1549" s="21">
        <v>1647.24</v>
      </c>
    </row>
    <row r="1550" spans="1:14">
      <c r="A1550" t="str">
        <f>IFERROR(_xlfn.XLOOKUP(B1550,Cuentas!$C$1:$C$521,Cuentas!$A$1:$A$521),"")</f>
        <v>Yuldor</v>
      </c>
      <c r="B1550" t="s">
        <v>1811</v>
      </c>
      <c r="C1550" t="s">
        <v>1812</v>
      </c>
      <c r="D1550" t="s">
        <v>16</v>
      </c>
      <c r="E1550" t="s">
        <v>7</v>
      </c>
      <c r="F1550" t="s">
        <v>1815</v>
      </c>
      <c r="G1550" t="s">
        <v>1815</v>
      </c>
      <c r="H1550" s="2">
        <v>45440</v>
      </c>
      <c r="I1550" s="2">
        <v>45470</v>
      </c>
      <c r="J1550" t="s">
        <v>20</v>
      </c>
      <c r="K1550" s="21">
        <v>1864.8</v>
      </c>
      <c r="L1550" s="21">
        <v>1864.8</v>
      </c>
      <c r="M1550">
        <v>0</v>
      </c>
      <c r="N1550" s="21">
        <v>1864.8</v>
      </c>
    </row>
    <row r="1551" spans="1:14">
      <c r="A1551" t="str">
        <f>IFERROR(_xlfn.XLOOKUP(B1551,Cuentas!$C$1:$C$521,Cuentas!$A$1:$A$521),"")</f>
        <v>Yuldor</v>
      </c>
      <c r="B1551" t="s">
        <v>1811</v>
      </c>
      <c r="C1551" t="s">
        <v>1812</v>
      </c>
      <c r="D1551" t="s">
        <v>16</v>
      </c>
      <c r="E1551" t="s">
        <v>7</v>
      </c>
      <c r="F1551" t="s">
        <v>1816</v>
      </c>
      <c r="G1551" t="s">
        <v>1816</v>
      </c>
      <c r="H1551" s="2">
        <v>45475</v>
      </c>
      <c r="I1551" s="2">
        <v>45505</v>
      </c>
      <c r="J1551" t="s">
        <v>20</v>
      </c>
      <c r="K1551" s="21">
        <v>264</v>
      </c>
      <c r="L1551" s="21">
        <v>264</v>
      </c>
      <c r="M1551">
        <v>0</v>
      </c>
      <c r="N1551" s="21">
        <v>264</v>
      </c>
    </row>
    <row r="1552" spans="1:14">
      <c r="A1552" t="str">
        <f>IFERROR(_xlfn.XLOOKUP(B1552,Cuentas!$C$1:$C$521,Cuentas!$A$1:$A$521),"")</f>
        <v>Yuldor</v>
      </c>
      <c r="B1552" t="s">
        <v>1811</v>
      </c>
      <c r="C1552" t="s">
        <v>1812</v>
      </c>
      <c r="D1552" t="s">
        <v>16</v>
      </c>
      <c r="E1552" t="s">
        <v>7</v>
      </c>
      <c r="F1552" t="s">
        <v>1817</v>
      </c>
      <c r="G1552" t="s">
        <v>1817</v>
      </c>
      <c r="H1552" s="2">
        <v>45497</v>
      </c>
      <c r="I1552" s="2">
        <v>45527</v>
      </c>
      <c r="J1552" t="s">
        <v>20</v>
      </c>
      <c r="K1552" s="21">
        <v>3108</v>
      </c>
      <c r="L1552" s="21">
        <v>31.08</v>
      </c>
      <c r="M1552">
        <v>0</v>
      </c>
      <c r="N1552" s="21">
        <v>31.08</v>
      </c>
    </row>
    <row r="1553" spans="1:14">
      <c r="A1553" t="str">
        <f>IFERROR(_xlfn.XLOOKUP(B1553,Cuentas!$C$1:$C$521,Cuentas!$A$1:$A$521),"")</f>
        <v>Yuldor</v>
      </c>
      <c r="B1553" t="s">
        <v>1811</v>
      </c>
      <c r="C1553" t="s">
        <v>1812</v>
      </c>
      <c r="D1553" t="s">
        <v>16</v>
      </c>
      <c r="E1553" t="s">
        <v>3139</v>
      </c>
      <c r="F1553" t="s">
        <v>1817</v>
      </c>
      <c r="G1553" t="s">
        <v>1817</v>
      </c>
      <c r="I1553" s="2">
        <v>45538</v>
      </c>
      <c r="J1553" t="s">
        <v>20</v>
      </c>
      <c r="K1553" s="21">
        <v>-3076.92</v>
      </c>
      <c r="L1553" s="21" t="s">
        <v>86</v>
      </c>
      <c r="M1553">
        <v>0</v>
      </c>
      <c r="N1553" s="21" t="s">
        <v>86</v>
      </c>
    </row>
    <row r="1554" spans="1:14">
      <c r="A1554" t="str">
        <f>IFERROR(_xlfn.XLOOKUP(B1554,Cuentas!$C$1:$C$521,Cuentas!$A$1:$A$521),"")</f>
        <v>Yuldor</v>
      </c>
      <c r="B1554" t="s">
        <v>1811</v>
      </c>
      <c r="C1554" t="s">
        <v>1812</v>
      </c>
      <c r="D1554" t="s">
        <v>16</v>
      </c>
      <c r="E1554" t="s">
        <v>7</v>
      </c>
      <c r="F1554" t="s">
        <v>1818</v>
      </c>
      <c r="G1554" t="s">
        <v>1818</v>
      </c>
      <c r="H1554" s="2">
        <v>45497</v>
      </c>
      <c r="I1554" s="2">
        <v>45527</v>
      </c>
      <c r="J1554" t="s">
        <v>20</v>
      </c>
      <c r="K1554" s="21">
        <v>3108</v>
      </c>
      <c r="L1554" s="21">
        <v>62.16</v>
      </c>
      <c r="M1554">
        <v>0</v>
      </c>
      <c r="N1554" s="21">
        <v>62.16</v>
      </c>
    </row>
    <row r="1555" spans="1:14">
      <c r="A1555" t="str">
        <f>IFERROR(_xlfn.XLOOKUP(B1555,Cuentas!$C$1:$C$521,Cuentas!$A$1:$A$521),"")</f>
        <v>Yuldor</v>
      </c>
      <c r="B1555" t="s">
        <v>1811</v>
      </c>
      <c r="C1555" t="s">
        <v>1812</v>
      </c>
      <c r="D1555" t="s">
        <v>16</v>
      </c>
      <c r="E1555" t="s">
        <v>3139</v>
      </c>
      <c r="F1555" t="s">
        <v>1818</v>
      </c>
      <c r="G1555" t="s">
        <v>1818</v>
      </c>
      <c r="I1555" s="2">
        <v>45559</v>
      </c>
      <c r="J1555" t="s">
        <v>20</v>
      </c>
      <c r="K1555" s="21">
        <v>-3045.84</v>
      </c>
      <c r="L1555" s="21" t="s">
        <v>86</v>
      </c>
      <c r="M1555">
        <v>0</v>
      </c>
      <c r="N1555" s="21" t="s">
        <v>86</v>
      </c>
    </row>
    <row r="1556" spans="1:14">
      <c r="A1556" t="str">
        <f>IFERROR(_xlfn.XLOOKUP(B1556,Cuentas!$C$1:$C$521,Cuentas!$A$1:$A$521),"")</f>
        <v>Yuldor</v>
      </c>
      <c r="B1556" t="s">
        <v>1811</v>
      </c>
      <c r="C1556" t="s">
        <v>1812</v>
      </c>
      <c r="D1556" t="s">
        <v>16</v>
      </c>
      <c r="E1556" t="s">
        <v>7</v>
      </c>
      <c r="F1556" t="s">
        <v>1819</v>
      </c>
      <c r="G1556" t="s">
        <v>1819</v>
      </c>
      <c r="H1556" s="2">
        <v>45523</v>
      </c>
      <c r="I1556" s="2">
        <v>45553</v>
      </c>
      <c r="J1556" t="s">
        <v>20</v>
      </c>
      <c r="K1556" s="21">
        <v>3108</v>
      </c>
      <c r="L1556" s="21">
        <v>62.16</v>
      </c>
      <c r="M1556">
        <v>0</v>
      </c>
      <c r="N1556" s="21">
        <v>62.16</v>
      </c>
    </row>
    <row r="1557" spans="1:14">
      <c r="A1557" t="str">
        <f>IFERROR(_xlfn.XLOOKUP(B1557,Cuentas!$C$1:$C$521,Cuentas!$A$1:$A$521),"")</f>
        <v>Yuldor</v>
      </c>
      <c r="B1557" t="s">
        <v>1811</v>
      </c>
      <c r="C1557" t="s">
        <v>1812</v>
      </c>
      <c r="D1557" t="s">
        <v>16</v>
      </c>
      <c r="E1557" t="s">
        <v>3139</v>
      </c>
      <c r="F1557" t="s">
        <v>1819</v>
      </c>
      <c r="G1557" t="s">
        <v>1819</v>
      </c>
      <c r="I1557" s="2">
        <v>45559</v>
      </c>
      <c r="J1557" t="s">
        <v>20</v>
      </c>
      <c r="K1557" s="21">
        <v>-3045.84</v>
      </c>
      <c r="L1557" s="21" t="s">
        <v>86</v>
      </c>
      <c r="M1557">
        <v>0</v>
      </c>
      <c r="N1557" s="21" t="s">
        <v>86</v>
      </c>
    </row>
    <row r="1558" spans="1:14">
      <c r="A1558" t="str">
        <f>IFERROR(_xlfn.XLOOKUP(B1558,Cuentas!$C$1:$C$521,Cuentas!$A$1:$A$521),"")</f>
        <v>Yuldor</v>
      </c>
      <c r="B1558" t="s">
        <v>1811</v>
      </c>
      <c r="C1558" t="s">
        <v>1812</v>
      </c>
      <c r="D1558" t="s">
        <v>16</v>
      </c>
      <c r="E1558" t="s">
        <v>5502</v>
      </c>
      <c r="F1558" t="s">
        <v>1820</v>
      </c>
      <c r="G1558" t="s">
        <v>19</v>
      </c>
      <c r="I1558" s="2">
        <v>45574</v>
      </c>
      <c r="J1558" t="s">
        <v>20</v>
      </c>
      <c r="K1558" s="21">
        <v>-137.6</v>
      </c>
      <c r="L1558" s="21">
        <v>-137.6</v>
      </c>
      <c r="M1558">
        <v>0</v>
      </c>
      <c r="N1558" s="21">
        <v>-137.6</v>
      </c>
    </row>
    <row r="1559" spans="1:14">
      <c r="A1559" t="str">
        <f>IFERROR(_xlfn.XLOOKUP(B1559,Cuentas!$C$1:$C$521,Cuentas!$A$1:$A$521),"")</f>
        <v>Yuldor</v>
      </c>
      <c r="B1559" t="s">
        <v>1811</v>
      </c>
      <c r="C1559" t="s">
        <v>1812</v>
      </c>
      <c r="D1559" t="s">
        <v>16</v>
      </c>
      <c r="E1559" t="s">
        <v>5502</v>
      </c>
      <c r="F1559" t="s">
        <v>1821</v>
      </c>
      <c r="G1559" t="s">
        <v>19</v>
      </c>
      <c r="I1559" s="2">
        <v>45574</v>
      </c>
      <c r="J1559" t="s">
        <v>20</v>
      </c>
      <c r="K1559" s="21">
        <v>-69.84</v>
      </c>
      <c r="L1559" s="21">
        <v>-69.84</v>
      </c>
      <c r="M1559">
        <v>0</v>
      </c>
      <c r="N1559" s="21">
        <v>-69.84</v>
      </c>
    </row>
    <row r="1560" spans="1:14">
      <c r="A1560" t="str">
        <f>IFERROR(_xlfn.XLOOKUP(B1560,Cuentas!$C$1:$C$521,Cuentas!$A$1:$A$521),"")</f>
        <v>Yuldor</v>
      </c>
      <c r="B1560" t="s">
        <v>1811</v>
      </c>
      <c r="C1560" t="s">
        <v>1812</v>
      </c>
      <c r="D1560" t="s">
        <v>16</v>
      </c>
      <c r="E1560" t="s">
        <v>7</v>
      </c>
      <c r="F1560" t="s">
        <v>1822</v>
      </c>
      <c r="G1560" t="s">
        <v>1822</v>
      </c>
      <c r="H1560" s="2">
        <v>45576</v>
      </c>
      <c r="I1560" s="2">
        <v>45606</v>
      </c>
      <c r="J1560" t="s">
        <v>20</v>
      </c>
      <c r="K1560" s="21">
        <v>5727</v>
      </c>
      <c r="L1560" s="21">
        <v>66</v>
      </c>
      <c r="M1560">
        <v>0</v>
      </c>
      <c r="N1560" s="21">
        <v>66</v>
      </c>
    </row>
    <row r="1561" spans="1:14">
      <c r="A1561" t="str">
        <f>IFERROR(_xlfn.XLOOKUP(B1561,Cuentas!$C$1:$C$521,Cuentas!$A$1:$A$521),"")</f>
        <v>Yuldor</v>
      </c>
      <c r="B1561" t="s">
        <v>1811</v>
      </c>
      <c r="C1561" t="s">
        <v>1812</v>
      </c>
      <c r="D1561" t="s">
        <v>16</v>
      </c>
      <c r="E1561" t="s">
        <v>3139</v>
      </c>
      <c r="F1561" t="s">
        <v>1822</v>
      </c>
      <c r="G1561" t="s">
        <v>1822</v>
      </c>
      <c r="I1561" s="2">
        <v>45615</v>
      </c>
      <c r="J1561" t="s">
        <v>20</v>
      </c>
      <c r="K1561" s="21">
        <v>1864.8</v>
      </c>
      <c r="L1561" s="21" t="s">
        <v>86</v>
      </c>
      <c r="M1561">
        <v>0</v>
      </c>
      <c r="N1561" s="21" t="s">
        <v>86</v>
      </c>
    </row>
    <row r="1562" spans="1:14">
      <c r="A1562" t="str">
        <f>IFERROR(_xlfn.XLOOKUP(B1562,Cuentas!$C$1:$C$521,Cuentas!$A$1:$A$521),"")</f>
        <v>Yuldor</v>
      </c>
      <c r="B1562" t="s">
        <v>1811</v>
      </c>
      <c r="C1562" t="s">
        <v>1812</v>
      </c>
      <c r="D1562" t="s">
        <v>16</v>
      </c>
      <c r="E1562" t="s">
        <v>3139</v>
      </c>
      <c r="F1562" t="s">
        <v>1822</v>
      </c>
      <c r="G1562" t="s">
        <v>1822</v>
      </c>
      <c r="I1562" s="2">
        <v>45614</v>
      </c>
      <c r="J1562" t="s">
        <v>20</v>
      </c>
      <c r="K1562" s="21">
        <v>-5661</v>
      </c>
      <c r="L1562" s="21" t="s">
        <v>86</v>
      </c>
      <c r="M1562">
        <v>0</v>
      </c>
      <c r="N1562" s="21" t="s">
        <v>86</v>
      </c>
    </row>
    <row r="1563" spans="1:14">
      <c r="A1563" t="str">
        <f>IFERROR(_xlfn.XLOOKUP(B1563,Cuentas!$C$1:$C$521,Cuentas!$A$1:$A$521),"")</f>
        <v>Yuldor</v>
      </c>
      <c r="B1563" t="s">
        <v>1811</v>
      </c>
      <c r="C1563" t="s">
        <v>1812</v>
      </c>
      <c r="D1563" t="s">
        <v>16</v>
      </c>
      <c r="E1563" t="s">
        <v>3139</v>
      </c>
      <c r="F1563" t="s">
        <v>1822</v>
      </c>
      <c r="G1563" t="s">
        <v>1822</v>
      </c>
      <c r="I1563" s="2">
        <v>45615</v>
      </c>
      <c r="J1563" t="s">
        <v>20</v>
      </c>
      <c r="K1563" s="21">
        <v>-1864.8</v>
      </c>
      <c r="L1563" s="21" t="s">
        <v>86</v>
      </c>
      <c r="M1563">
        <v>0</v>
      </c>
      <c r="N1563" s="21" t="s">
        <v>86</v>
      </c>
    </row>
    <row r="1564" spans="1:14">
      <c r="A1564" t="str">
        <f>IFERROR(_xlfn.XLOOKUP(B1564,Cuentas!$C$1:$C$521,Cuentas!$A$1:$A$521),"")</f>
        <v>Yuldor</v>
      </c>
      <c r="B1564" t="s">
        <v>1811</v>
      </c>
      <c r="C1564" t="s">
        <v>1812</v>
      </c>
      <c r="D1564" t="s">
        <v>16</v>
      </c>
      <c r="E1564" t="s">
        <v>7</v>
      </c>
      <c r="F1564" t="s">
        <v>1823</v>
      </c>
      <c r="G1564" t="s">
        <v>1823</v>
      </c>
      <c r="H1564" s="2">
        <v>45579</v>
      </c>
      <c r="I1564" s="2">
        <v>45609</v>
      </c>
      <c r="J1564" t="s">
        <v>20</v>
      </c>
      <c r="K1564" s="21">
        <v>4138.8</v>
      </c>
      <c r="L1564" s="21">
        <v>248.64</v>
      </c>
      <c r="M1564">
        <v>0</v>
      </c>
      <c r="N1564" s="21">
        <v>248.64</v>
      </c>
    </row>
    <row r="1565" spans="1:14">
      <c r="A1565" t="str">
        <f>IFERROR(_xlfn.XLOOKUP(B1565,Cuentas!$C$1:$C$521,Cuentas!$A$1:$A$521),"")</f>
        <v>Yuldor</v>
      </c>
      <c r="B1565" t="s">
        <v>1811</v>
      </c>
      <c r="C1565" t="s">
        <v>1812</v>
      </c>
      <c r="D1565" t="s">
        <v>16</v>
      </c>
      <c r="E1565" t="s">
        <v>3139</v>
      </c>
      <c r="F1565" t="s">
        <v>1823</v>
      </c>
      <c r="G1565" t="s">
        <v>1823</v>
      </c>
      <c r="I1565" s="2">
        <v>45615</v>
      </c>
      <c r="J1565" t="s">
        <v>20</v>
      </c>
      <c r="K1565" s="21">
        <v>4053.6</v>
      </c>
      <c r="L1565" s="21" t="s">
        <v>86</v>
      </c>
      <c r="M1565">
        <v>0</v>
      </c>
      <c r="N1565" s="21" t="s">
        <v>86</v>
      </c>
    </row>
    <row r="1566" spans="1:14">
      <c r="A1566" t="str">
        <f>IFERROR(_xlfn.XLOOKUP(B1566,Cuentas!$C$1:$C$521,Cuentas!$A$1:$A$521),"")</f>
        <v>Yuldor</v>
      </c>
      <c r="B1566" t="s">
        <v>1811</v>
      </c>
      <c r="C1566" t="s">
        <v>1812</v>
      </c>
      <c r="D1566" t="s">
        <v>16</v>
      </c>
      <c r="E1566" t="s">
        <v>3139</v>
      </c>
      <c r="F1566" t="s">
        <v>1823</v>
      </c>
      <c r="G1566" t="s">
        <v>1823</v>
      </c>
      <c r="I1566" s="2">
        <v>45615</v>
      </c>
      <c r="J1566" t="s">
        <v>20</v>
      </c>
      <c r="K1566" s="21">
        <v>-4053.6</v>
      </c>
      <c r="L1566" s="21" t="s">
        <v>86</v>
      </c>
      <c r="M1566">
        <v>0</v>
      </c>
      <c r="N1566" s="21" t="s">
        <v>86</v>
      </c>
    </row>
    <row r="1567" spans="1:14">
      <c r="A1567" t="str">
        <f>IFERROR(_xlfn.XLOOKUP(B1567,Cuentas!$C$1:$C$521,Cuentas!$A$1:$A$521),"")</f>
        <v>Yuldor</v>
      </c>
      <c r="B1567" t="s">
        <v>1811</v>
      </c>
      <c r="C1567" t="s">
        <v>1812</v>
      </c>
      <c r="D1567" t="s">
        <v>16</v>
      </c>
      <c r="E1567" t="s">
        <v>3139</v>
      </c>
      <c r="F1567" t="s">
        <v>1823</v>
      </c>
      <c r="G1567" t="s">
        <v>1823</v>
      </c>
      <c r="I1567" s="2">
        <v>45631</v>
      </c>
      <c r="J1567" t="s">
        <v>20</v>
      </c>
      <c r="K1567" s="21">
        <v>-3890.16</v>
      </c>
      <c r="L1567" s="21" t="s">
        <v>86</v>
      </c>
      <c r="M1567">
        <v>0</v>
      </c>
      <c r="N1567" s="21" t="s">
        <v>86</v>
      </c>
    </row>
    <row r="1568" spans="1:14">
      <c r="A1568" t="str">
        <f>IFERROR(_xlfn.XLOOKUP(B1568,Cuentas!$C$1:$C$521,Cuentas!$A$1:$A$521),"")</f>
        <v>Yuldor</v>
      </c>
      <c r="B1568" t="s">
        <v>1811</v>
      </c>
      <c r="C1568" t="s">
        <v>1812</v>
      </c>
      <c r="D1568" t="s">
        <v>16</v>
      </c>
      <c r="E1568" t="s">
        <v>5502</v>
      </c>
      <c r="F1568" t="s">
        <v>1824</v>
      </c>
      <c r="G1568" t="s">
        <v>19</v>
      </c>
      <c r="I1568" s="2">
        <v>45614</v>
      </c>
      <c r="J1568" t="s">
        <v>20</v>
      </c>
      <c r="K1568" s="21">
        <v>-310.8</v>
      </c>
      <c r="L1568" s="21">
        <v>-310.8</v>
      </c>
      <c r="M1568">
        <v>0</v>
      </c>
      <c r="N1568" s="21">
        <v>-310.8</v>
      </c>
    </row>
    <row r="1569" spans="1:14">
      <c r="A1569" t="str">
        <f>IFERROR(_xlfn.XLOOKUP(B1569,Cuentas!$C$1:$C$521,Cuentas!$A$1:$A$521),"")</f>
        <v>Yuldor</v>
      </c>
      <c r="B1569" t="s">
        <v>1811</v>
      </c>
      <c r="C1569" t="s">
        <v>1812</v>
      </c>
      <c r="D1569" t="s">
        <v>16</v>
      </c>
      <c r="E1569" t="s">
        <v>7</v>
      </c>
      <c r="F1569" t="s">
        <v>1825</v>
      </c>
      <c r="G1569" t="s">
        <v>1825</v>
      </c>
      <c r="H1569" s="2">
        <v>45630</v>
      </c>
      <c r="I1569" s="2">
        <v>45660</v>
      </c>
      <c r="J1569" t="s">
        <v>20</v>
      </c>
      <c r="K1569" s="21">
        <v>3729.6</v>
      </c>
      <c r="L1569" s="21">
        <v>3729.6</v>
      </c>
      <c r="M1569">
        <v>0</v>
      </c>
      <c r="N1569" s="21">
        <v>3729.6</v>
      </c>
    </row>
    <row r="1570" spans="1:14">
      <c r="A1570" t="str">
        <f>IFERROR(_xlfn.XLOOKUP(B1570,Cuentas!$C$1:$C$521,Cuentas!$A$1:$A$521),"")</f>
        <v>Yuldor</v>
      </c>
      <c r="B1570" t="s">
        <v>1811</v>
      </c>
      <c r="C1570" t="s">
        <v>1812</v>
      </c>
      <c r="D1570" t="s">
        <v>16</v>
      </c>
      <c r="E1570" t="s">
        <v>7</v>
      </c>
      <c r="F1570" t="s">
        <v>1826</v>
      </c>
      <c r="G1570" t="s">
        <v>1826</v>
      </c>
      <c r="H1570" s="2">
        <v>45684</v>
      </c>
      <c r="I1570" s="2">
        <v>45714</v>
      </c>
      <c r="J1570" t="s">
        <v>20</v>
      </c>
      <c r="K1570" s="21">
        <v>4662</v>
      </c>
      <c r="L1570" s="21">
        <v>93.24</v>
      </c>
      <c r="M1570">
        <v>0</v>
      </c>
      <c r="N1570" s="21">
        <v>93.24</v>
      </c>
    </row>
    <row r="1571" spans="1:14">
      <c r="A1571" t="str">
        <f>IFERROR(_xlfn.XLOOKUP(B1571,Cuentas!$C$1:$C$521,Cuentas!$A$1:$A$521),"")</f>
        <v>Yuldor</v>
      </c>
      <c r="B1571" t="s">
        <v>1811</v>
      </c>
      <c r="C1571" t="s">
        <v>1812</v>
      </c>
      <c r="D1571" t="s">
        <v>16</v>
      </c>
      <c r="E1571" t="s">
        <v>3139</v>
      </c>
      <c r="F1571" t="s">
        <v>1826</v>
      </c>
      <c r="G1571" t="s">
        <v>1826</v>
      </c>
      <c r="I1571" s="2">
        <v>45719</v>
      </c>
      <c r="J1571" t="s">
        <v>20</v>
      </c>
      <c r="K1571" s="21">
        <v>-4568.76</v>
      </c>
      <c r="L1571" s="21" t="s">
        <v>86</v>
      </c>
      <c r="M1571">
        <v>10</v>
      </c>
      <c r="N1571" s="21" t="s">
        <v>86</v>
      </c>
    </row>
    <row r="1572" spans="1:14">
      <c r="A1572" t="str">
        <f>IFERROR(_xlfn.XLOOKUP(B1572,Cuentas!$C$1:$C$521,Cuentas!$A$1:$A$521),"")</f>
        <v>Yuldor</v>
      </c>
      <c r="B1572" t="s">
        <v>1811</v>
      </c>
      <c r="C1572" t="s">
        <v>1812</v>
      </c>
      <c r="D1572" t="s">
        <v>16</v>
      </c>
      <c r="E1572" t="s">
        <v>7</v>
      </c>
      <c r="F1572" t="s">
        <v>1827</v>
      </c>
      <c r="G1572" t="s">
        <v>1827</v>
      </c>
      <c r="H1572" s="2">
        <v>45684</v>
      </c>
      <c r="I1572" s="2">
        <v>45714</v>
      </c>
      <c r="J1572" t="s">
        <v>20</v>
      </c>
      <c r="K1572" s="21">
        <v>9273.84</v>
      </c>
      <c r="L1572" s="21">
        <v>6071.84</v>
      </c>
      <c r="M1572">
        <v>0</v>
      </c>
      <c r="N1572" s="21">
        <v>6071.84</v>
      </c>
    </row>
    <row r="1573" spans="1:14">
      <c r="A1573" t="str">
        <f>IFERROR(_xlfn.XLOOKUP(B1573,Cuentas!$C$1:$C$521,Cuentas!$A$1:$A$521),"")</f>
        <v>Yuldor</v>
      </c>
      <c r="B1573" t="s">
        <v>1811</v>
      </c>
      <c r="C1573" t="s">
        <v>1812</v>
      </c>
      <c r="D1573" t="s">
        <v>16</v>
      </c>
      <c r="E1573" t="s">
        <v>3139</v>
      </c>
      <c r="F1573" t="s">
        <v>1827</v>
      </c>
      <c r="G1573" t="s">
        <v>1827</v>
      </c>
      <c r="I1573" s="2">
        <v>45719</v>
      </c>
      <c r="J1573" t="s">
        <v>20</v>
      </c>
      <c r="K1573" s="21">
        <v>-3202</v>
      </c>
      <c r="L1573" s="21" t="s">
        <v>86</v>
      </c>
      <c r="M1573">
        <v>10</v>
      </c>
      <c r="N1573" s="21" t="s">
        <v>86</v>
      </c>
    </row>
    <row r="1574" spans="1:14">
      <c r="A1574" t="str">
        <f>IFERROR(_xlfn.XLOOKUP(B1574,Cuentas!$C$1:$C$521,Cuentas!$A$1:$A$521),"")</f>
        <v>Yuldor</v>
      </c>
      <c r="B1574" t="s">
        <v>1811</v>
      </c>
      <c r="C1574" t="s">
        <v>1812</v>
      </c>
      <c r="D1574" t="s">
        <v>16</v>
      </c>
      <c r="E1574" t="s">
        <v>7</v>
      </c>
      <c r="F1574" t="s">
        <v>1828</v>
      </c>
      <c r="G1574" t="s">
        <v>1828</v>
      </c>
      <c r="H1574" s="2">
        <v>45684</v>
      </c>
      <c r="I1574" s="2">
        <v>45714</v>
      </c>
      <c r="J1574" t="s">
        <v>20</v>
      </c>
      <c r="K1574" s="21">
        <v>9471.24</v>
      </c>
      <c r="L1574" s="21">
        <v>475.72</v>
      </c>
      <c r="M1574">
        <v>0</v>
      </c>
      <c r="N1574" s="21">
        <v>475.72</v>
      </c>
    </row>
    <row r="1575" spans="1:14">
      <c r="A1575" t="str">
        <f>IFERROR(_xlfn.XLOOKUP(B1575,Cuentas!$C$1:$C$521,Cuentas!$A$1:$A$521),"")</f>
        <v>Yuldor</v>
      </c>
      <c r="B1575" t="s">
        <v>1811</v>
      </c>
      <c r="C1575" t="s">
        <v>1812</v>
      </c>
      <c r="D1575" t="s">
        <v>16</v>
      </c>
      <c r="E1575" t="s">
        <v>3139</v>
      </c>
      <c r="F1575" t="s">
        <v>1828</v>
      </c>
      <c r="G1575" t="s">
        <v>1828</v>
      </c>
      <c r="I1575" s="2">
        <v>45719</v>
      </c>
      <c r="J1575" t="s">
        <v>20</v>
      </c>
      <c r="K1575" s="21">
        <v>-8995.52</v>
      </c>
      <c r="L1575" s="21" t="s">
        <v>86</v>
      </c>
      <c r="M1575">
        <v>10</v>
      </c>
      <c r="N1575" s="21" t="s">
        <v>86</v>
      </c>
    </row>
    <row r="1576" spans="1:14">
      <c r="A1576" t="str">
        <f>IFERROR(_xlfn.XLOOKUP(B1576,Cuentas!$C$1:$C$521,Cuentas!$A$1:$A$521),"")</f>
        <v>Yuldor</v>
      </c>
      <c r="B1576" t="s">
        <v>1811</v>
      </c>
      <c r="C1576" t="s">
        <v>1812</v>
      </c>
      <c r="D1576" t="s">
        <v>16</v>
      </c>
      <c r="E1576" t="s">
        <v>7</v>
      </c>
      <c r="F1576" t="s">
        <v>1829</v>
      </c>
      <c r="G1576" t="s">
        <v>1829</v>
      </c>
      <c r="H1576" s="2">
        <v>45684</v>
      </c>
      <c r="I1576" s="2">
        <v>45714</v>
      </c>
      <c r="J1576" t="s">
        <v>20</v>
      </c>
      <c r="K1576" s="21">
        <v>3194.04</v>
      </c>
      <c r="L1576" s="21">
        <v>153.52000000000001</v>
      </c>
      <c r="M1576">
        <v>0</v>
      </c>
      <c r="N1576" s="21">
        <v>153.52000000000001</v>
      </c>
    </row>
    <row r="1577" spans="1:14">
      <c r="A1577" t="str">
        <f>IFERROR(_xlfn.XLOOKUP(B1577,Cuentas!$C$1:$C$521,Cuentas!$A$1:$A$521),"")</f>
        <v>Yuldor</v>
      </c>
      <c r="B1577" t="s">
        <v>1811</v>
      </c>
      <c r="C1577" t="s">
        <v>1812</v>
      </c>
      <c r="D1577" t="s">
        <v>16</v>
      </c>
      <c r="E1577" t="s">
        <v>3139</v>
      </c>
      <c r="F1577" t="s">
        <v>1829</v>
      </c>
      <c r="G1577" t="s">
        <v>1829</v>
      </c>
      <c r="I1577" s="2">
        <v>45719</v>
      </c>
      <c r="J1577" t="s">
        <v>20</v>
      </c>
      <c r="K1577" s="21">
        <v>-3040.52</v>
      </c>
      <c r="L1577" s="21" t="s">
        <v>86</v>
      </c>
      <c r="M1577">
        <v>10</v>
      </c>
      <c r="N1577" s="21" t="s">
        <v>86</v>
      </c>
    </row>
    <row r="1578" spans="1:14">
      <c r="A1578" t="str">
        <f>IFERROR(_xlfn.XLOOKUP(B1578,Cuentas!$C$1:$C$521,Cuentas!$A$1:$A$521),"")</f>
        <v>Yuldor</v>
      </c>
      <c r="B1578" t="s">
        <v>1811</v>
      </c>
      <c r="C1578" t="s">
        <v>1812</v>
      </c>
      <c r="D1578" t="s">
        <v>16</v>
      </c>
      <c r="E1578" t="s">
        <v>7</v>
      </c>
      <c r="F1578" t="s">
        <v>1830</v>
      </c>
      <c r="G1578" t="s">
        <v>1830</v>
      </c>
      <c r="H1578" s="2">
        <v>45684</v>
      </c>
      <c r="I1578" s="2">
        <v>45714</v>
      </c>
      <c r="J1578" t="s">
        <v>20</v>
      </c>
      <c r="K1578" s="21">
        <v>3434.76</v>
      </c>
      <c r="L1578" s="21">
        <v>325.08</v>
      </c>
      <c r="M1578">
        <v>0</v>
      </c>
      <c r="N1578" s="21">
        <v>325.08</v>
      </c>
    </row>
    <row r="1579" spans="1:14">
      <c r="A1579" t="str">
        <f>IFERROR(_xlfn.XLOOKUP(B1579,Cuentas!$C$1:$C$521,Cuentas!$A$1:$A$521),"")</f>
        <v>Yuldor</v>
      </c>
      <c r="B1579" t="s">
        <v>1811</v>
      </c>
      <c r="C1579" t="s">
        <v>1812</v>
      </c>
      <c r="D1579" t="s">
        <v>16</v>
      </c>
      <c r="E1579" t="s">
        <v>3139</v>
      </c>
      <c r="F1579" t="s">
        <v>1830</v>
      </c>
      <c r="G1579" t="s">
        <v>1830</v>
      </c>
      <c r="I1579" s="2">
        <v>45719</v>
      </c>
      <c r="J1579" t="s">
        <v>20</v>
      </c>
      <c r="K1579" s="21">
        <v>-3109.68</v>
      </c>
      <c r="L1579" s="21" t="s">
        <v>86</v>
      </c>
      <c r="M1579">
        <v>10</v>
      </c>
      <c r="N1579" s="21" t="s">
        <v>86</v>
      </c>
    </row>
    <row r="1580" spans="1:14">
      <c r="A1580" t="str">
        <f>IFERROR(_xlfn.XLOOKUP(B1580,Cuentas!$C$1:$C$521,Cuentas!$A$1:$A$521),"")</f>
        <v>Yuldor</v>
      </c>
      <c r="B1580" t="s">
        <v>1811</v>
      </c>
      <c r="C1580" t="s">
        <v>1812</v>
      </c>
      <c r="D1580" t="s">
        <v>16</v>
      </c>
      <c r="E1580" t="s">
        <v>7</v>
      </c>
      <c r="F1580" t="s">
        <v>1831</v>
      </c>
      <c r="G1580" t="s">
        <v>1831</v>
      </c>
      <c r="H1580" s="2">
        <v>45684</v>
      </c>
      <c r="I1580" s="2">
        <v>45714</v>
      </c>
      <c r="J1580" t="s">
        <v>20</v>
      </c>
      <c r="K1580" s="21">
        <v>8717.83</v>
      </c>
      <c r="L1580" s="21">
        <v>4873.6400000000003</v>
      </c>
      <c r="M1580">
        <v>0</v>
      </c>
      <c r="N1580" s="21">
        <v>4873.6400000000003</v>
      </c>
    </row>
    <row r="1581" spans="1:14">
      <c r="A1581" t="str">
        <f>IFERROR(_xlfn.XLOOKUP(B1581,Cuentas!$C$1:$C$521,Cuentas!$A$1:$A$521),"")</f>
        <v>Yuldor</v>
      </c>
      <c r="B1581" t="s">
        <v>1811</v>
      </c>
      <c r="C1581" t="s">
        <v>1812</v>
      </c>
      <c r="D1581" t="s">
        <v>16</v>
      </c>
      <c r="E1581" t="s">
        <v>5502</v>
      </c>
      <c r="F1581" t="s">
        <v>1832</v>
      </c>
      <c r="G1581" t="s">
        <v>1831</v>
      </c>
      <c r="I1581" s="2">
        <v>45688</v>
      </c>
      <c r="J1581" t="s">
        <v>20</v>
      </c>
      <c r="K1581" s="21">
        <v>-741.79</v>
      </c>
      <c r="L1581" s="21" t="s">
        <v>86</v>
      </c>
      <c r="M1581">
        <v>0</v>
      </c>
      <c r="N1581" s="21" t="s">
        <v>86</v>
      </c>
    </row>
    <row r="1582" spans="1:14">
      <c r="A1582" t="str">
        <f>IFERROR(_xlfn.XLOOKUP(B1582,Cuentas!$C$1:$C$521,Cuentas!$A$1:$A$521),"")</f>
        <v>Yuldor</v>
      </c>
      <c r="B1582" t="s">
        <v>1811</v>
      </c>
      <c r="C1582" t="s">
        <v>1812</v>
      </c>
      <c r="D1582" t="s">
        <v>16</v>
      </c>
      <c r="E1582" t="s">
        <v>3139</v>
      </c>
      <c r="F1582" t="s">
        <v>1831</v>
      </c>
      <c r="G1582" t="s">
        <v>1831</v>
      </c>
      <c r="I1582" s="2">
        <v>45719</v>
      </c>
      <c r="J1582" t="s">
        <v>20</v>
      </c>
      <c r="K1582" s="21">
        <v>-3102.4</v>
      </c>
      <c r="L1582" s="21" t="s">
        <v>86</v>
      </c>
      <c r="M1582">
        <v>10</v>
      </c>
      <c r="N1582" s="21" t="s">
        <v>86</v>
      </c>
    </row>
    <row r="1583" spans="1:14">
      <c r="A1583" t="str">
        <f>IFERROR(_xlfn.XLOOKUP(B1583,Cuentas!$C$1:$C$521,Cuentas!$A$1:$A$521),"")</f>
        <v>Yuldor</v>
      </c>
      <c r="B1583" t="s">
        <v>1811</v>
      </c>
      <c r="C1583" t="s">
        <v>1812</v>
      </c>
      <c r="D1583" t="s">
        <v>16</v>
      </c>
      <c r="E1583" t="s">
        <v>7</v>
      </c>
      <c r="F1583" t="s">
        <v>1833</v>
      </c>
      <c r="G1583" t="s">
        <v>1833</v>
      </c>
      <c r="H1583" s="2">
        <v>45684</v>
      </c>
      <c r="I1583" s="2">
        <v>45714</v>
      </c>
      <c r="J1583" t="s">
        <v>20</v>
      </c>
      <c r="K1583" s="21">
        <v>9517.92</v>
      </c>
      <c r="L1583" s="21">
        <v>5276.72</v>
      </c>
      <c r="M1583">
        <v>0</v>
      </c>
      <c r="N1583" s="21">
        <v>5276.72</v>
      </c>
    </row>
    <row r="1584" spans="1:14">
      <c r="A1584" t="str">
        <f>IFERROR(_xlfn.XLOOKUP(B1584,Cuentas!$C$1:$C$521,Cuentas!$A$1:$A$521),"")</f>
        <v>Yuldor</v>
      </c>
      <c r="B1584" t="s">
        <v>1811</v>
      </c>
      <c r="C1584" t="s">
        <v>1812</v>
      </c>
      <c r="D1584" t="s">
        <v>16</v>
      </c>
      <c r="E1584" t="s">
        <v>3139</v>
      </c>
      <c r="F1584" t="s">
        <v>1833</v>
      </c>
      <c r="G1584" t="s">
        <v>1833</v>
      </c>
      <c r="I1584" s="2">
        <v>45716</v>
      </c>
      <c r="J1584" t="s">
        <v>20</v>
      </c>
      <c r="K1584" s="21">
        <v>-4241.2</v>
      </c>
      <c r="L1584" s="21" t="s">
        <v>86</v>
      </c>
      <c r="M1584">
        <v>0</v>
      </c>
      <c r="N1584" s="21" t="s">
        <v>86</v>
      </c>
    </row>
    <row r="1585" spans="1:14">
      <c r="A1585" t="str">
        <f>IFERROR(_xlfn.XLOOKUP(B1585,Cuentas!$C$1:$C$521,Cuentas!$A$1:$A$521),"")</f>
        <v>Yuldor</v>
      </c>
      <c r="B1585" t="s">
        <v>1811</v>
      </c>
      <c r="C1585" t="s">
        <v>1812</v>
      </c>
      <c r="D1585" t="s">
        <v>16</v>
      </c>
      <c r="E1585" t="s">
        <v>7</v>
      </c>
      <c r="F1585" t="s">
        <v>1834</v>
      </c>
      <c r="G1585" t="s">
        <v>1834</v>
      </c>
      <c r="H1585" s="2">
        <v>45684</v>
      </c>
      <c r="I1585" s="2">
        <v>45714</v>
      </c>
      <c r="J1585" t="s">
        <v>20</v>
      </c>
      <c r="K1585" s="21">
        <v>4773.84</v>
      </c>
      <c r="L1585" s="21">
        <v>405.92</v>
      </c>
      <c r="M1585">
        <v>0</v>
      </c>
      <c r="N1585" s="21">
        <v>405.92</v>
      </c>
    </row>
    <row r="1586" spans="1:14">
      <c r="A1586" t="str">
        <f>IFERROR(_xlfn.XLOOKUP(B1586,Cuentas!$C$1:$C$521,Cuentas!$A$1:$A$521),"")</f>
        <v>Yuldor</v>
      </c>
      <c r="B1586" t="s">
        <v>1811</v>
      </c>
      <c r="C1586" t="s">
        <v>1812</v>
      </c>
      <c r="D1586" t="s">
        <v>16</v>
      </c>
      <c r="E1586" t="s">
        <v>3139</v>
      </c>
      <c r="F1586" t="s">
        <v>1834</v>
      </c>
      <c r="G1586" t="s">
        <v>1834</v>
      </c>
      <c r="I1586" s="2">
        <v>45719</v>
      </c>
      <c r="J1586" t="s">
        <v>20</v>
      </c>
      <c r="K1586" s="21">
        <v>-4367.92</v>
      </c>
      <c r="L1586" s="21" t="s">
        <v>86</v>
      </c>
      <c r="M1586">
        <v>10</v>
      </c>
      <c r="N1586" s="21" t="s">
        <v>86</v>
      </c>
    </row>
    <row r="1587" spans="1:14">
      <c r="A1587" t="str">
        <f>IFERROR(_xlfn.XLOOKUP(B1587,Cuentas!$C$1:$C$521,Cuentas!$A$1:$A$521),"")</f>
        <v>Yuldor</v>
      </c>
      <c r="B1587" t="s">
        <v>1811</v>
      </c>
      <c r="C1587" t="s">
        <v>1812</v>
      </c>
      <c r="D1587" t="s">
        <v>16</v>
      </c>
      <c r="E1587" t="s">
        <v>7</v>
      </c>
      <c r="F1587" t="s">
        <v>1835</v>
      </c>
      <c r="G1587" t="s">
        <v>1835</v>
      </c>
      <c r="H1587" s="2">
        <v>45684</v>
      </c>
      <c r="I1587" s="2">
        <v>45714</v>
      </c>
      <c r="J1587" t="s">
        <v>20</v>
      </c>
      <c r="K1587" s="21">
        <v>13115.64</v>
      </c>
      <c r="L1587" s="21">
        <v>6147.76</v>
      </c>
      <c r="M1587">
        <v>0</v>
      </c>
      <c r="N1587" s="21">
        <v>6147.76</v>
      </c>
    </row>
    <row r="1588" spans="1:14">
      <c r="A1588" t="str">
        <f>IFERROR(_xlfn.XLOOKUP(B1588,Cuentas!$C$1:$C$521,Cuentas!$A$1:$A$521),"")</f>
        <v>Yuldor</v>
      </c>
      <c r="B1588" t="s">
        <v>1811</v>
      </c>
      <c r="C1588" t="s">
        <v>1812</v>
      </c>
      <c r="D1588" t="s">
        <v>16</v>
      </c>
      <c r="E1588" t="s">
        <v>3139</v>
      </c>
      <c r="F1588" t="s">
        <v>1835</v>
      </c>
      <c r="G1588" t="s">
        <v>1835</v>
      </c>
      <c r="I1588" s="2">
        <v>45726</v>
      </c>
      <c r="J1588" t="s">
        <v>20</v>
      </c>
      <c r="K1588" s="21">
        <v>-6967.88</v>
      </c>
      <c r="L1588" s="21" t="s">
        <v>86</v>
      </c>
      <c r="M1588">
        <v>11</v>
      </c>
      <c r="N1588" s="21" t="s">
        <v>86</v>
      </c>
    </row>
    <row r="1589" spans="1:14">
      <c r="A1589" t="str">
        <f>IFERROR(_xlfn.XLOOKUP(B1589,Cuentas!$C$1:$C$521,Cuentas!$A$1:$A$521),"")</f>
        <v>Yuldor</v>
      </c>
      <c r="B1589" t="s">
        <v>1811</v>
      </c>
      <c r="C1589" t="s">
        <v>1812</v>
      </c>
      <c r="D1589" t="s">
        <v>16</v>
      </c>
      <c r="E1589" t="s">
        <v>7</v>
      </c>
      <c r="F1589" t="s">
        <v>1836</v>
      </c>
      <c r="G1589" t="s">
        <v>1836</v>
      </c>
      <c r="H1589" s="2">
        <v>45684</v>
      </c>
      <c r="I1589" s="2">
        <v>45714</v>
      </c>
      <c r="J1589" t="s">
        <v>20</v>
      </c>
      <c r="K1589" s="21">
        <v>3108</v>
      </c>
      <c r="L1589" s="21">
        <v>248.64</v>
      </c>
      <c r="M1589">
        <v>0</v>
      </c>
      <c r="N1589" s="21">
        <v>248.64</v>
      </c>
    </row>
    <row r="1590" spans="1:14">
      <c r="A1590" t="str">
        <f>IFERROR(_xlfn.XLOOKUP(B1590,Cuentas!$C$1:$C$521,Cuentas!$A$1:$A$521),"")</f>
        <v>Yuldor</v>
      </c>
      <c r="B1590" t="s">
        <v>1811</v>
      </c>
      <c r="C1590" t="s">
        <v>1812</v>
      </c>
      <c r="D1590" t="s">
        <v>16</v>
      </c>
      <c r="E1590" t="s">
        <v>3139</v>
      </c>
      <c r="F1590" t="s">
        <v>1836</v>
      </c>
      <c r="G1590" t="s">
        <v>1836</v>
      </c>
      <c r="I1590" s="2">
        <v>45719</v>
      </c>
      <c r="J1590" t="s">
        <v>20</v>
      </c>
      <c r="K1590" s="21">
        <v>-2859.36</v>
      </c>
      <c r="L1590" s="21" t="s">
        <v>86</v>
      </c>
      <c r="M1590">
        <v>10</v>
      </c>
      <c r="N1590" s="21" t="s">
        <v>86</v>
      </c>
    </row>
    <row r="1591" spans="1:14">
      <c r="A1591" t="str">
        <f>IFERROR(_xlfn.XLOOKUP(B1591,Cuentas!$C$1:$C$521,Cuentas!$A$1:$A$521),"")</f>
        <v>Yuldor</v>
      </c>
      <c r="B1591" t="s">
        <v>1811</v>
      </c>
      <c r="C1591" t="s">
        <v>1812</v>
      </c>
      <c r="D1591" t="s">
        <v>16</v>
      </c>
      <c r="E1591" t="s">
        <v>7</v>
      </c>
      <c r="F1591" t="s">
        <v>1837</v>
      </c>
      <c r="G1591" t="s">
        <v>1837</v>
      </c>
      <c r="H1591" s="2">
        <v>45685</v>
      </c>
      <c r="I1591" s="2">
        <v>45715</v>
      </c>
      <c r="J1591" t="s">
        <v>20</v>
      </c>
      <c r="K1591" s="21">
        <v>1947.48</v>
      </c>
      <c r="L1591" s="21">
        <v>77.84</v>
      </c>
      <c r="M1591">
        <v>0</v>
      </c>
      <c r="N1591" s="21">
        <v>77.84</v>
      </c>
    </row>
    <row r="1592" spans="1:14">
      <c r="A1592" t="str">
        <f>IFERROR(_xlfn.XLOOKUP(B1592,Cuentas!$C$1:$C$521,Cuentas!$A$1:$A$521),"")</f>
        <v>Yuldor</v>
      </c>
      <c r="B1592" t="s">
        <v>1811</v>
      </c>
      <c r="C1592" t="s">
        <v>1812</v>
      </c>
      <c r="D1592" t="s">
        <v>16</v>
      </c>
      <c r="E1592" t="s">
        <v>3139</v>
      </c>
      <c r="F1592" t="s">
        <v>1837</v>
      </c>
      <c r="G1592" t="s">
        <v>1837</v>
      </c>
      <c r="I1592" s="2">
        <v>45720</v>
      </c>
      <c r="J1592" t="s">
        <v>20</v>
      </c>
      <c r="K1592" s="21">
        <v>-1869.64</v>
      </c>
      <c r="L1592" s="21" t="s">
        <v>86</v>
      </c>
      <c r="M1592">
        <v>10</v>
      </c>
      <c r="N1592" s="21" t="s">
        <v>86</v>
      </c>
    </row>
    <row r="1593" spans="1:14">
      <c r="A1593" t="str">
        <f>IFERROR(_xlfn.XLOOKUP(B1593,Cuentas!$C$1:$C$521,Cuentas!$A$1:$A$521),"")</f>
        <v>Yuldor</v>
      </c>
      <c r="B1593" t="s">
        <v>1811</v>
      </c>
      <c r="C1593" t="s">
        <v>1812</v>
      </c>
      <c r="D1593" t="s">
        <v>16</v>
      </c>
      <c r="E1593" t="s">
        <v>7</v>
      </c>
      <c r="F1593" t="s">
        <v>1838</v>
      </c>
      <c r="G1593" t="s">
        <v>1838</v>
      </c>
      <c r="H1593" s="2">
        <v>45685</v>
      </c>
      <c r="I1593" s="2">
        <v>45715</v>
      </c>
      <c r="J1593" t="s">
        <v>20</v>
      </c>
      <c r="K1593" s="21">
        <v>5339.52</v>
      </c>
      <c r="L1593" s="21">
        <v>82.16</v>
      </c>
      <c r="M1593">
        <v>0</v>
      </c>
      <c r="N1593" s="21">
        <v>82.16</v>
      </c>
    </row>
    <row r="1594" spans="1:14">
      <c r="A1594" t="str">
        <f>IFERROR(_xlfn.XLOOKUP(B1594,Cuentas!$C$1:$C$521,Cuentas!$A$1:$A$521),"")</f>
        <v>Yuldor</v>
      </c>
      <c r="B1594" t="s">
        <v>1811</v>
      </c>
      <c r="C1594" t="s">
        <v>1812</v>
      </c>
      <c r="D1594" t="s">
        <v>16</v>
      </c>
      <c r="E1594" t="s">
        <v>3139</v>
      </c>
      <c r="F1594" t="s">
        <v>1838</v>
      </c>
      <c r="G1594" t="s">
        <v>1838</v>
      </c>
      <c r="I1594" s="2">
        <v>45720</v>
      </c>
      <c r="J1594" t="s">
        <v>20</v>
      </c>
      <c r="K1594" s="21">
        <v>-5257.36</v>
      </c>
      <c r="L1594" s="21" t="s">
        <v>86</v>
      </c>
      <c r="M1594">
        <v>10</v>
      </c>
      <c r="N1594" s="21" t="s">
        <v>86</v>
      </c>
    </row>
    <row r="1595" spans="1:14">
      <c r="A1595" t="str">
        <f>IFERROR(_xlfn.XLOOKUP(B1595,Cuentas!$C$1:$C$521,Cuentas!$A$1:$A$521),"")</f>
        <v>Yuldor</v>
      </c>
      <c r="B1595" t="s">
        <v>1811</v>
      </c>
      <c r="C1595" t="s">
        <v>1812</v>
      </c>
      <c r="D1595" t="s">
        <v>16</v>
      </c>
      <c r="E1595" t="s">
        <v>7</v>
      </c>
      <c r="F1595" t="s">
        <v>1839</v>
      </c>
      <c r="G1595" t="s">
        <v>1839</v>
      </c>
      <c r="H1595" s="2">
        <v>45685</v>
      </c>
      <c r="I1595" s="2">
        <v>45715</v>
      </c>
      <c r="J1595" t="s">
        <v>20</v>
      </c>
      <c r="K1595" s="21">
        <v>2977.19</v>
      </c>
      <c r="L1595" s="21">
        <v>187.44</v>
      </c>
      <c r="M1595">
        <v>0</v>
      </c>
      <c r="N1595" s="21">
        <v>187.44</v>
      </c>
    </row>
    <row r="1596" spans="1:14">
      <c r="A1596" t="str">
        <f>IFERROR(_xlfn.XLOOKUP(B1596,Cuentas!$C$1:$C$521,Cuentas!$A$1:$A$521),"")</f>
        <v>Yuldor</v>
      </c>
      <c r="B1596" t="s">
        <v>1811</v>
      </c>
      <c r="C1596" t="s">
        <v>1812</v>
      </c>
      <c r="D1596" t="s">
        <v>16</v>
      </c>
      <c r="E1596" t="s">
        <v>5502</v>
      </c>
      <c r="F1596" t="s">
        <v>1840</v>
      </c>
      <c r="G1596" t="s">
        <v>1839</v>
      </c>
      <c r="I1596" s="2">
        <v>45688</v>
      </c>
      <c r="J1596" t="s">
        <v>20</v>
      </c>
      <c r="K1596" s="21">
        <v>-207.71</v>
      </c>
      <c r="L1596" s="21" t="s">
        <v>86</v>
      </c>
      <c r="M1596">
        <v>0</v>
      </c>
      <c r="N1596" s="21" t="s">
        <v>86</v>
      </c>
    </row>
    <row r="1597" spans="1:14">
      <c r="A1597" t="str">
        <f>IFERROR(_xlfn.XLOOKUP(B1597,Cuentas!$C$1:$C$521,Cuentas!$A$1:$A$521),"")</f>
        <v>Yuldor</v>
      </c>
      <c r="B1597" t="s">
        <v>1811</v>
      </c>
      <c r="C1597" t="s">
        <v>1812</v>
      </c>
      <c r="D1597" t="s">
        <v>16</v>
      </c>
      <c r="E1597" t="s">
        <v>3139</v>
      </c>
      <c r="F1597" t="s">
        <v>1839</v>
      </c>
      <c r="G1597" t="s">
        <v>1839</v>
      </c>
      <c r="I1597" s="2">
        <v>45729</v>
      </c>
      <c r="J1597" t="s">
        <v>20</v>
      </c>
      <c r="K1597" s="21">
        <v>-2582.04</v>
      </c>
      <c r="L1597" s="21" t="s">
        <v>86</v>
      </c>
      <c r="M1597">
        <v>11</v>
      </c>
      <c r="N1597" s="21" t="s">
        <v>86</v>
      </c>
    </row>
    <row r="1598" spans="1:14">
      <c r="A1598" t="str">
        <f>IFERROR(_xlfn.XLOOKUP(B1598,Cuentas!$C$1:$C$521,Cuentas!$A$1:$A$521),"")</f>
        <v>Yuldor</v>
      </c>
      <c r="B1598" t="s">
        <v>1811</v>
      </c>
      <c r="C1598" t="s">
        <v>1812</v>
      </c>
      <c r="D1598" t="s">
        <v>16</v>
      </c>
      <c r="E1598" t="s">
        <v>7</v>
      </c>
      <c r="F1598" t="s">
        <v>1841</v>
      </c>
      <c r="G1598" t="s">
        <v>1841</v>
      </c>
      <c r="H1598" s="2">
        <v>45685</v>
      </c>
      <c r="I1598" s="2">
        <v>45715</v>
      </c>
      <c r="J1598" t="s">
        <v>20</v>
      </c>
      <c r="K1598" s="21">
        <v>5211</v>
      </c>
      <c r="L1598" s="21">
        <v>438</v>
      </c>
      <c r="M1598">
        <v>0</v>
      </c>
      <c r="N1598" s="21">
        <v>438</v>
      </c>
    </row>
    <row r="1599" spans="1:14">
      <c r="A1599" t="str">
        <f>IFERROR(_xlfn.XLOOKUP(B1599,Cuentas!$C$1:$C$521,Cuentas!$A$1:$A$521),"")</f>
        <v>Yuldor</v>
      </c>
      <c r="B1599" t="s">
        <v>1811</v>
      </c>
      <c r="C1599" t="s">
        <v>1812</v>
      </c>
      <c r="D1599" t="s">
        <v>16</v>
      </c>
      <c r="E1599" t="s">
        <v>3139</v>
      </c>
      <c r="F1599" t="s">
        <v>1841</v>
      </c>
      <c r="G1599" t="s">
        <v>1841</v>
      </c>
      <c r="I1599" s="2">
        <v>45734</v>
      </c>
      <c r="J1599" t="s">
        <v>20</v>
      </c>
      <c r="K1599" s="21">
        <v>-4773</v>
      </c>
      <c r="L1599" s="21" t="s">
        <v>86</v>
      </c>
      <c r="M1599">
        <v>12</v>
      </c>
      <c r="N1599" s="21" t="s">
        <v>86</v>
      </c>
    </row>
    <row r="1600" spans="1:14">
      <c r="A1600" t="str">
        <f>IFERROR(_xlfn.XLOOKUP(B1600,Cuentas!$C$1:$C$521,Cuentas!$A$1:$A$521),"")</f>
        <v>Yuldor</v>
      </c>
      <c r="B1600" t="s">
        <v>1811</v>
      </c>
      <c r="C1600" t="s">
        <v>1812</v>
      </c>
      <c r="D1600" t="s">
        <v>16</v>
      </c>
      <c r="E1600" t="s">
        <v>7</v>
      </c>
      <c r="F1600" t="s">
        <v>1842</v>
      </c>
      <c r="G1600" t="s">
        <v>1842</v>
      </c>
      <c r="H1600" s="2">
        <v>45685</v>
      </c>
      <c r="I1600" s="2">
        <v>45715</v>
      </c>
      <c r="J1600" t="s">
        <v>20</v>
      </c>
      <c r="K1600" s="21">
        <v>3950.4</v>
      </c>
      <c r="L1600" s="21">
        <v>152.80000000000001</v>
      </c>
      <c r="M1600">
        <v>0</v>
      </c>
      <c r="N1600" s="21">
        <v>152.80000000000001</v>
      </c>
    </row>
    <row r="1601" spans="1:14">
      <c r="A1601" t="str">
        <f>IFERROR(_xlfn.XLOOKUP(B1601,Cuentas!$C$1:$C$521,Cuentas!$A$1:$A$521),"")</f>
        <v>Yuldor</v>
      </c>
      <c r="B1601" t="s">
        <v>1811</v>
      </c>
      <c r="C1601" t="s">
        <v>1812</v>
      </c>
      <c r="D1601" t="s">
        <v>16</v>
      </c>
      <c r="E1601" t="s">
        <v>3139</v>
      </c>
      <c r="F1601" t="s">
        <v>1842</v>
      </c>
      <c r="G1601" t="s">
        <v>1842</v>
      </c>
      <c r="I1601" s="2">
        <v>45720</v>
      </c>
      <c r="J1601" t="s">
        <v>20</v>
      </c>
      <c r="K1601" s="21">
        <v>-3797.6</v>
      </c>
      <c r="L1601" s="21" t="s">
        <v>86</v>
      </c>
      <c r="M1601">
        <v>10</v>
      </c>
      <c r="N1601" s="21" t="s">
        <v>86</v>
      </c>
    </row>
    <row r="1602" spans="1:14">
      <c r="A1602" t="str">
        <f>IFERROR(_xlfn.XLOOKUP(B1602,Cuentas!$C$1:$C$521,Cuentas!$A$1:$A$521),"")</f>
        <v>Yuldor</v>
      </c>
      <c r="B1602" t="s">
        <v>1811</v>
      </c>
      <c r="C1602" t="s">
        <v>1812</v>
      </c>
      <c r="D1602" t="s">
        <v>16</v>
      </c>
      <c r="E1602" t="s">
        <v>7</v>
      </c>
      <c r="F1602" t="s">
        <v>1843</v>
      </c>
      <c r="G1602" t="s">
        <v>1843</v>
      </c>
      <c r="H1602" s="2">
        <v>45685</v>
      </c>
      <c r="I1602" s="2">
        <v>45715</v>
      </c>
      <c r="J1602" t="s">
        <v>20</v>
      </c>
      <c r="K1602" s="21">
        <v>3355.56</v>
      </c>
      <c r="L1602" s="21">
        <v>203.28</v>
      </c>
      <c r="M1602">
        <v>0</v>
      </c>
      <c r="N1602" s="21">
        <v>203.28</v>
      </c>
    </row>
    <row r="1603" spans="1:14">
      <c r="A1603" t="str">
        <f>IFERROR(_xlfn.XLOOKUP(B1603,Cuentas!$C$1:$C$521,Cuentas!$A$1:$A$521),"")</f>
        <v>Yuldor</v>
      </c>
      <c r="B1603" t="s">
        <v>1811</v>
      </c>
      <c r="C1603" t="s">
        <v>1812</v>
      </c>
      <c r="D1603" t="s">
        <v>16</v>
      </c>
      <c r="E1603" t="s">
        <v>3139</v>
      </c>
      <c r="F1603" t="s">
        <v>1843</v>
      </c>
      <c r="G1603" t="s">
        <v>1843</v>
      </c>
      <c r="I1603" s="2">
        <v>45719</v>
      </c>
      <c r="J1603" t="s">
        <v>20</v>
      </c>
      <c r="K1603" s="21">
        <v>-3152.28</v>
      </c>
      <c r="L1603" s="21" t="s">
        <v>86</v>
      </c>
      <c r="M1603">
        <v>10</v>
      </c>
      <c r="N1603" s="21" t="s">
        <v>86</v>
      </c>
    </row>
    <row r="1604" spans="1:14">
      <c r="A1604" t="str">
        <f>IFERROR(_xlfn.XLOOKUP(B1604,Cuentas!$C$1:$C$521,Cuentas!$A$1:$A$521),"")</f>
        <v>Yuldor</v>
      </c>
      <c r="B1604" t="s">
        <v>1811</v>
      </c>
      <c r="C1604" t="s">
        <v>1812</v>
      </c>
      <c r="D1604" t="s">
        <v>16</v>
      </c>
      <c r="E1604" t="s">
        <v>7</v>
      </c>
      <c r="F1604" t="s">
        <v>1844</v>
      </c>
      <c r="G1604" t="s">
        <v>1844</v>
      </c>
      <c r="H1604" s="2">
        <v>45685</v>
      </c>
      <c r="I1604" s="2">
        <v>45715</v>
      </c>
      <c r="J1604" t="s">
        <v>20</v>
      </c>
      <c r="K1604" s="21">
        <v>3252.6</v>
      </c>
      <c r="L1604" s="21">
        <v>193.2</v>
      </c>
      <c r="M1604">
        <v>0</v>
      </c>
      <c r="N1604" s="21">
        <v>193.2</v>
      </c>
    </row>
    <row r="1605" spans="1:14">
      <c r="A1605" t="str">
        <f>IFERROR(_xlfn.XLOOKUP(B1605,Cuentas!$C$1:$C$521,Cuentas!$A$1:$A$521),"")</f>
        <v>Yuldor</v>
      </c>
      <c r="B1605" t="s">
        <v>1811</v>
      </c>
      <c r="C1605" t="s">
        <v>1812</v>
      </c>
      <c r="D1605" t="s">
        <v>16</v>
      </c>
      <c r="E1605" t="s">
        <v>3139</v>
      </c>
      <c r="F1605" t="s">
        <v>1844</v>
      </c>
      <c r="G1605" t="s">
        <v>1844</v>
      </c>
      <c r="I1605" s="2">
        <v>45719</v>
      </c>
      <c r="J1605" t="s">
        <v>20</v>
      </c>
      <c r="K1605" s="21">
        <v>-3059.4</v>
      </c>
      <c r="L1605" s="21" t="s">
        <v>86</v>
      </c>
      <c r="M1605">
        <v>10</v>
      </c>
      <c r="N1605" s="21" t="s">
        <v>86</v>
      </c>
    </row>
    <row r="1606" spans="1:14">
      <c r="A1606" t="str">
        <f>IFERROR(_xlfn.XLOOKUP(B1606,Cuentas!$C$1:$C$521,Cuentas!$A$1:$A$521),"")</f>
        <v>Yuldor</v>
      </c>
      <c r="B1606" t="s">
        <v>1811</v>
      </c>
      <c r="C1606" t="s">
        <v>1812</v>
      </c>
      <c r="D1606" t="s">
        <v>16</v>
      </c>
      <c r="E1606" t="s">
        <v>7</v>
      </c>
      <c r="F1606" t="s">
        <v>1845</v>
      </c>
      <c r="G1606" t="s">
        <v>1845</v>
      </c>
      <c r="H1606" s="2">
        <v>45685</v>
      </c>
      <c r="I1606" s="2">
        <v>45715</v>
      </c>
      <c r="J1606" t="s">
        <v>20</v>
      </c>
      <c r="K1606" s="21">
        <v>11788.2</v>
      </c>
      <c r="L1606" s="21">
        <v>6337.6</v>
      </c>
      <c r="M1606">
        <v>0</v>
      </c>
      <c r="N1606" s="21">
        <v>6337.6</v>
      </c>
    </row>
    <row r="1607" spans="1:14">
      <c r="A1607" t="str">
        <f>IFERROR(_xlfn.XLOOKUP(B1607,Cuentas!$C$1:$C$521,Cuentas!$A$1:$A$521),"")</f>
        <v>Yuldor</v>
      </c>
      <c r="B1607" t="s">
        <v>1811</v>
      </c>
      <c r="C1607" t="s">
        <v>1812</v>
      </c>
      <c r="D1607" t="s">
        <v>16</v>
      </c>
      <c r="E1607" t="s">
        <v>3139</v>
      </c>
      <c r="F1607" t="s">
        <v>1845</v>
      </c>
      <c r="G1607" t="s">
        <v>1845</v>
      </c>
      <c r="I1607" s="2">
        <v>45719</v>
      </c>
      <c r="J1607" t="s">
        <v>20</v>
      </c>
      <c r="K1607" s="21">
        <v>-5450.6</v>
      </c>
      <c r="L1607" s="21" t="s">
        <v>86</v>
      </c>
      <c r="M1607">
        <v>10</v>
      </c>
      <c r="N1607" s="21" t="s">
        <v>86</v>
      </c>
    </row>
    <row r="1608" spans="1:14">
      <c r="A1608" t="str">
        <f>IFERROR(_xlfn.XLOOKUP(B1608,Cuentas!$C$1:$C$521,Cuentas!$A$1:$A$521),"")</f>
        <v>Yuldor</v>
      </c>
      <c r="B1608" t="s">
        <v>1811</v>
      </c>
      <c r="C1608" t="s">
        <v>1812</v>
      </c>
      <c r="D1608" t="s">
        <v>16</v>
      </c>
      <c r="E1608" t="s">
        <v>7</v>
      </c>
      <c r="F1608" t="s">
        <v>1846</v>
      </c>
      <c r="G1608" t="s">
        <v>1846</v>
      </c>
      <c r="H1608" s="2">
        <v>45685</v>
      </c>
      <c r="I1608" s="2">
        <v>45715</v>
      </c>
      <c r="J1608" t="s">
        <v>20</v>
      </c>
      <c r="K1608" s="21">
        <v>6097.97</v>
      </c>
      <c r="L1608" s="21">
        <v>4048.64</v>
      </c>
      <c r="M1608">
        <v>0</v>
      </c>
      <c r="N1608" s="21">
        <v>4048.64</v>
      </c>
    </row>
    <row r="1609" spans="1:14">
      <c r="A1609" t="str">
        <f>IFERROR(_xlfn.XLOOKUP(B1609,Cuentas!$C$1:$C$521,Cuentas!$A$1:$A$521),"")</f>
        <v>Yuldor</v>
      </c>
      <c r="B1609" t="s">
        <v>1811</v>
      </c>
      <c r="C1609" t="s">
        <v>1812</v>
      </c>
      <c r="D1609" t="s">
        <v>16</v>
      </c>
      <c r="E1609" t="s">
        <v>5502</v>
      </c>
      <c r="F1609" t="s">
        <v>1847</v>
      </c>
      <c r="G1609" t="s">
        <v>1846</v>
      </c>
      <c r="I1609" s="2">
        <v>45688</v>
      </c>
      <c r="J1609" t="s">
        <v>20</v>
      </c>
      <c r="K1609" s="21">
        <v>-398.93</v>
      </c>
      <c r="L1609" s="21" t="s">
        <v>86</v>
      </c>
      <c r="M1609">
        <v>0</v>
      </c>
      <c r="N1609" s="21" t="s">
        <v>86</v>
      </c>
    </row>
    <row r="1610" spans="1:14">
      <c r="A1610" t="str">
        <f>IFERROR(_xlfn.XLOOKUP(B1610,Cuentas!$C$1:$C$521,Cuentas!$A$1:$A$521),"")</f>
        <v>Yuldor</v>
      </c>
      <c r="B1610" t="s">
        <v>1811</v>
      </c>
      <c r="C1610" t="s">
        <v>1812</v>
      </c>
      <c r="D1610" t="s">
        <v>16</v>
      </c>
      <c r="E1610" t="s">
        <v>3139</v>
      </c>
      <c r="F1610" t="s">
        <v>1846</v>
      </c>
      <c r="G1610" t="s">
        <v>1846</v>
      </c>
      <c r="I1610" s="2">
        <v>45720</v>
      </c>
      <c r="J1610" t="s">
        <v>20</v>
      </c>
      <c r="K1610" s="21">
        <v>-1650.4</v>
      </c>
      <c r="L1610" s="21" t="s">
        <v>86</v>
      </c>
      <c r="M1610">
        <v>10</v>
      </c>
      <c r="N1610" s="21" t="s">
        <v>86</v>
      </c>
    </row>
    <row r="1611" spans="1:14">
      <c r="A1611" t="str">
        <f>IFERROR(_xlfn.XLOOKUP(B1611,Cuentas!$C$1:$C$521,Cuentas!$A$1:$A$521),"")</f>
        <v>Yuldor</v>
      </c>
      <c r="B1611" t="s">
        <v>1811</v>
      </c>
      <c r="C1611" t="s">
        <v>1812</v>
      </c>
      <c r="D1611" t="s">
        <v>16</v>
      </c>
      <c r="E1611" t="s">
        <v>7</v>
      </c>
      <c r="F1611" t="s">
        <v>1848</v>
      </c>
      <c r="G1611" t="s">
        <v>1848</v>
      </c>
      <c r="H1611" s="2">
        <v>45685</v>
      </c>
      <c r="I1611" s="2">
        <v>45715</v>
      </c>
      <c r="J1611" t="s">
        <v>20</v>
      </c>
      <c r="K1611" s="21">
        <v>7300.92</v>
      </c>
      <c r="L1611" s="21">
        <v>622.96</v>
      </c>
      <c r="M1611">
        <v>0</v>
      </c>
      <c r="N1611" s="21">
        <v>622.96</v>
      </c>
    </row>
    <row r="1612" spans="1:14">
      <c r="A1612" t="str">
        <f>IFERROR(_xlfn.XLOOKUP(B1612,Cuentas!$C$1:$C$521,Cuentas!$A$1:$A$521),"")</f>
        <v>Yuldor</v>
      </c>
      <c r="B1612" t="s">
        <v>1811</v>
      </c>
      <c r="C1612" t="s">
        <v>1812</v>
      </c>
      <c r="D1612" t="s">
        <v>16</v>
      </c>
      <c r="E1612" t="s">
        <v>3139</v>
      </c>
      <c r="F1612" t="s">
        <v>1848</v>
      </c>
      <c r="G1612" t="s">
        <v>1848</v>
      </c>
      <c r="I1612" s="2">
        <v>45720</v>
      </c>
      <c r="J1612" t="s">
        <v>20</v>
      </c>
      <c r="K1612" s="21">
        <v>-6677.96</v>
      </c>
      <c r="L1612" s="21" t="s">
        <v>86</v>
      </c>
      <c r="M1612">
        <v>10</v>
      </c>
      <c r="N1612" s="21" t="s">
        <v>86</v>
      </c>
    </row>
    <row r="1613" spans="1:14">
      <c r="A1613" t="str">
        <f>IFERROR(_xlfn.XLOOKUP(B1613,Cuentas!$C$1:$C$521,Cuentas!$A$1:$A$521),"")</f>
        <v>Yuldor</v>
      </c>
      <c r="B1613" t="s">
        <v>1811</v>
      </c>
      <c r="C1613" t="s">
        <v>1812</v>
      </c>
      <c r="D1613" t="s">
        <v>16</v>
      </c>
      <c r="E1613" t="s">
        <v>7</v>
      </c>
      <c r="F1613" t="s">
        <v>1849</v>
      </c>
      <c r="G1613" t="s">
        <v>1849</v>
      </c>
      <c r="H1613" s="2">
        <v>45685</v>
      </c>
      <c r="I1613" s="2">
        <v>45715</v>
      </c>
      <c r="J1613" t="s">
        <v>20</v>
      </c>
      <c r="K1613" s="21">
        <v>1838.88</v>
      </c>
      <c r="L1613" s="21">
        <v>176.64</v>
      </c>
      <c r="M1613">
        <v>0</v>
      </c>
      <c r="N1613" s="21">
        <v>176.64</v>
      </c>
    </row>
    <row r="1614" spans="1:14">
      <c r="A1614" t="str">
        <f>IFERROR(_xlfn.XLOOKUP(B1614,Cuentas!$C$1:$C$521,Cuentas!$A$1:$A$521),"")</f>
        <v>Yuldor</v>
      </c>
      <c r="B1614" t="s">
        <v>1811</v>
      </c>
      <c r="C1614" t="s">
        <v>1812</v>
      </c>
      <c r="D1614" t="s">
        <v>16</v>
      </c>
      <c r="E1614" t="s">
        <v>3139</v>
      </c>
      <c r="F1614" t="s">
        <v>1849</v>
      </c>
      <c r="G1614" t="s">
        <v>1849</v>
      </c>
      <c r="I1614" s="2">
        <v>45719</v>
      </c>
      <c r="J1614" t="s">
        <v>20</v>
      </c>
      <c r="K1614" s="21">
        <v>-1662.24</v>
      </c>
      <c r="L1614" s="21" t="s">
        <v>86</v>
      </c>
      <c r="M1614">
        <v>10</v>
      </c>
      <c r="N1614" s="21" t="s">
        <v>86</v>
      </c>
    </row>
    <row r="1615" spans="1:14">
      <c r="A1615" t="str">
        <f>IFERROR(_xlfn.XLOOKUP(B1615,Cuentas!$C$1:$C$521,Cuentas!$A$1:$A$521),"")</f>
        <v>Yuldor</v>
      </c>
      <c r="B1615" t="s">
        <v>1811</v>
      </c>
      <c r="C1615" t="s">
        <v>1812</v>
      </c>
      <c r="D1615" t="s">
        <v>16</v>
      </c>
      <c r="E1615" t="s">
        <v>7</v>
      </c>
      <c r="F1615" t="s">
        <v>1850</v>
      </c>
      <c r="G1615" t="s">
        <v>1850</v>
      </c>
      <c r="H1615" s="2">
        <v>45685</v>
      </c>
      <c r="I1615" s="2">
        <v>45715</v>
      </c>
      <c r="J1615" t="s">
        <v>20</v>
      </c>
      <c r="K1615" s="21">
        <v>15035.04</v>
      </c>
      <c r="L1615" s="21">
        <v>1285.92</v>
      </c>
      <c r="M1615">
        <v>0</v>
      </c>
      <c r="N1615" s="21">
        <v>1285.92</v>
      </c>
    </row>
    <row r="1616" spans="1:14">
      <c r="A1616" t="str">
        <f>IFERROR(_xlfn.XLOOKUP(B1616,Cuentas!$C$1:$C$521,Cuentas!$A$1:$A$521),"")</f>
        <v>Yuldor</v>
      </c>
      <c r="B1616" t="s">
        <v>1811</v>
      </c>
      <c r="C1616" t="s">
        <v>1812</v>
      </c>
      <c r="D1616" t="s">
        <v>16</v>
      </c>
      <c r="E1616" t="s">
        <v>3139</v>
      </c>
      <c r="F1616" t="s">
        <v>1850</v>
      </c>
      <c r="G1616" t="s">
        <v>1850</v>
      </c>
      <c r="I1616" s="2">
        <v>45719</v>
      </c>
      <c r="J1616" t="s">
        <v>20</v>
      </c>
      <c r="K1616" s="21">
        <v>-13749.12</v>
      </c>
      <c r="L1616" s="21" t="s">
        <v>86</v>
      </c>
      <c r="M1616">
        <v>10</v>
      </c>
      <c r="N1616" s="21" t="s">
        <v>86</v>
      </c>
    </row>
    <row r="1617" spans="1:14">
      <c r="A1617" t="str">
        <f>IFERROR(_xlfn.XLOOKUP(B1617,Cuentas!$C$1:$C$521,Cuentas!$A$1:$A$521),"")</f>
        <v>Yuldor</v>
      </c>
      <c r="B1617" t="s">
        <v>1811</v>
      </c>
      <c r="C1617" t="s">
        <v>1812</v>
      </c>
      <c r="D1617" t="s">
        <v>16</v>
      </c>
      <c r="E1617" t="s">
        <v>7</v>
      </c>
      <c r="F1617" t="s">
        <v>1851</v>
      </c>
      <c r="G1617" t="s">
        <v>1851</v>
      </c>
      <c r="H1617" s="2">
        <v>45692</v>
      </c>
      <c r="I1617" s="2">
        <v>45722</v>
      </c>
      <c r="J1617" t="s">
        <v>20</v>
      </c>
      <c r="K1617" s="21">
        <v>375.39</v>
      </c>
      <c r="L1617" s="21">
        <v>349.2</v>
      </c>
      <c r="M1617">
        <v>10</v>
      </c>
      <c r="N1617" s="21">
        <v>349.2</v>
      </c>
    </row>
    <row r="1618" spans="1:14">
      <c r="A1618" t="str">
        <f>IFERROR(_xlfn.XLOOKUP(B1618,Cuentas!$C$1:$C$521,Cuentas!$A$1:$A$521),"")</f>
        <v>Yuldor</v>
      </c>
      <c r="B1618" t="s">
        <v>1811</v>
      </c>
      <c r="C1618" t="s">
        <v>1812</v>
      </c>
      <c r="D1618" t="s">
        <v>16</v>
      </c>
      <c r="E1618" t="s">
        <v>5502</v>
      </c>
      <c r="F1618" t="s">
        <v>1852</v>
      </c>
      <c r="G1618" t="s">
        <v>1851</v>
      </c>
      <c r="I1618" s="2">
        <v>45716</v>
      </c>
      <c r="J1618" t="s">
        <v>20</v>
      </c>
      <c r="K1618" s="21">
        <v>-28.15</v>
      </c>
      <c r="L1618" s="21" t="s">
        <v>86</v>
      </c>
      <c r="M1618">
        <v>0</v>
      </c>
      <c r="N1618" s="21" t="s">
        <v>86</v>
      </c>
    </row>
    <row r="1619" spans="1:14">
      <c r="A1619" t="str">
        <f>IFERROR(_xlfn.XLOOKUP(B1619,Cuentas!$C$1:$C$521,Cuentas!$A$1:$A$521),"")</f>
        <v>Yuldor</v>
      </c>
      <c r="B1619" t="s">
        <v>1811</v>
      </c>
      <c r="C1619" t="s">
        <v>1812</v>
      </c>
      <c r="D1619" t="s">
        <v>16</v>
      </c>
      <c r="E1619" t="s">
        <v>5502</v>
      </c>
      <c r="F1619" t="s">
        <v>1853</v>
      </c>
      <c r="G1619" t="s">
        <v>1851</v>
      </c>
      <c r="I1619" s="2">
        <v>45716</v>
      </c>
      <c r="J1619" t="s">
        <v>20</v>
      </c>
      <c r="K1619" s="21">
        <v>-26.19</v>
      </c>
      <c r="L1619" s="21" t="s">
        <v>86</v>
      </c>
      <c r="M1619">
        <v>0</v>
      </c>
      <c r="N1619" s="21" t="s">
        <v>86</v>
      </c>
    </row>
    <row r="1620" spans="1:14">
      <c r="A1620" t="str">
        <f>IFERROR(_xlfn.XLOOKUP(B1620,Cuentas!$C$1:$C$521,Cuentas!$A$1:$A$521),"")</f>
        <v>Yuldor</v>
      </c>
      <c r="B1620" t="s">
        <v>1811</v>
      </c>
      <c r="C1620" t="s">
        <v>1812</v>
      </c>
      <c r="D1620" t="s">
        <v>16</v>
      </c>
      <c r="E1620" t="s">
        <v>5504</v>
      </c>
      <c r="F1620" t="s">
        <v>1854</v>
      </c>
      <c r="G1620" t="s">
        <v>1851</v>
      </c>
      <c r="H1620" s="2">
        <v>45716</v>
      </c>
      <c r="I1620" s="2">
        <v>45716</v>
      </c>
      <c r="J1620" t="s">
        <v>20</v>
      </c>
      <c r="K1620" s="21">
        <v>28.15</v>
      </c>
      <c r="L1620" s="21" t="s">
        <v>86</v>
      </c>
      <c r="M1620">
        <v>0</v>
      </c>
      <c r="N1620" s="21" t="s">
        <v>86</v>
      </c>
    </row>
    <row r="1621" spans="1:14">
      <c r="A1621" t="str">
        <f>IFERROR(_xlfn.XLOOKUP(B1621,Cuentas!$C$1:$C$521,Cuentas!$A$1:$A$521),"")</f>
        <v>Yuldor</v>
      </c>
      <c r="B1621" t="s">
        <v>1811</v>
      </c>
      <c r="C1621" t="s">
        <v>1812</v>
      </c>
      <c r="D1621" t="s">
        <v>16</v>
      </c>
      <c r="E1621" t="s">
        <v>7</v>
      </c>
      <c r="F1621" t="s">
        <v>1855</v>
      </c>
      <c r="G1621" t="s">
        <v>1855</v>
      </c>
      <c r="H1621" s="2">
        <v>45701</v>
      </c>
      <c r="I1621" s="2">
        <v>45731</v>
      </c>
      <c r="J1621" t="s">
        <v>20</v>
      </c>
      <c r="K1621" s="21">
        <v>7770</v>
      </c>
      <c r="L1621" s="21">
        <v>7770</v>
      </c>
      <c r="M1621">
        <v>11</v>
      </c>
      <c r="N1621" s="21">
        <v>7770</v>
      </c>
    </row>
    <row r="1622" spans="1:14">
      <c r="A1622" t="str">
        <f>IFERROR(_xlfn.XLOOKUP(B1622,Cuentas!$C$1:$C$521,Cuentas!$A$1:$A$521),"")</f>
        <v>Yuldor</v>
      </c>
      <c r="B1622" t="s">
        <v>1811</v>
      </c>
      <c r="C1622" t="s">
        <v>1812</v>
      </c>
      <c r="D1622" t="s">
        <v>16</v>
      </c>
      <c r="E1622" t="s">
        <v>7</v>
      </c>
      <c r="F1622" t="s">
        <v>1856</v>
      </c>
      <c r="G1622" t="s">
        <v>1856</v>
      </c>
      <c r="H1622" s="2">
        <v>45701</v>
      </c>
      <c r="I1622" s="2">
        <v>45731</v>
      </c>
      <c r="J1622" t="s">
        <v>20</v>
      </c>
      <c r="K1622" s="21">
        <v>5980.8</v>
      </c>
      <c r="L1622" s="21">
        <v>5980.8</v>
      </c>
      <c r="M1622">
        <v>11</v>
      </c>
      <c r="N1622" s="21">
        <v>5980.8</v>
      </c>
    </row>
    <row r="1623" spans="1:14">
      <c r="A1623" t="str">
        <f>IFERROR(_xlfn.XLOOKUP(B1623,Cuentas!$C$1:$C$521,Cuentas!$A$1:$A$521),"")</f>
        <v>Yuldor</v>
      </c>
      <c r="B1623" t="s">
        <v>1811</v>
      </c>
      <c r="C1623" t="s">
        <v>1812</v>
      </c>
      <c r="D1623" t="s">
        <v>16</v>
      </c>
      <c r="E1623" t="s">
        <v>7</v>
      </c>
      <c r="F1623" t="s">
        <v>1857</v>
      </c>
      <c r="G1623" t="s">
        <v>1857</v>
      </c>
      <c r="H1623" s="2">
        <v>45701</v>
      </c>
      <c r="I1623" s="2">
        <v>45731</v>
      </c>
      <c r="J1623" t="s">
        <v>20</v>
      </c>
      <c r="K1623" s="21">
        <v>5227.51</v>
      </c>
      <c r="L1623" s="21">
        <v>4782.72</v>
      </c>
      <c r="M1623">
        <v>11</v>
      </c>
      <c r="N1623" s="21">
        <v>4782.72</v>
      </c>
    </row>
    <row r="1624" spans="1:14">
      <c r="A1624" t="str">
        <f>IFERROR(_xlfn.XLOOKUP(B1624,Cuentas!$C$1:$C$521,Cuentas!$A$1:$A$521),"")</f>
        <v>Yuldor</v>
      </c>
      <c r="B1624" t="s">
        <v>1811</v>
      </c>
      <c r="C1624" t="s">
        <v>1812</v>
      </c>
      <c r="D1624" t="s">
        <v>16</v>
      </c>
      <c r="E1624" t="s">
        <v>5502</v>
      </c>
      <c r="F1624" t="s">
        <v>1858</v>
      </c>
      <c r="G1624" t="s">
        <v>1857</v>
      </c>
      <c r="I1624" s="2">
        <v>45716</v>
      </c>
      <c r="J1624" t="s">
        <v>20</v>
      </c>
      <c r="K1624" s="21">
        <v>-486.15</v>
      </c>
      <c r="L1624" s="21" t="s">
        <v>86</v>
      </c>
      <c r="M1624">
        <v>0</v>
      </c>
      <c r="N1624" s="21" t="s">
        <v>86</v>
      </c>
    </row>
    <row r="1625" spans="1:14">
      <c r="A1625" t="str">
        <f>IFERROR(_xlfn.XLOOKUP(B1625,Cuentas!$C$1:$C$521,Cuentas!$A$1:$A$521),"")</f>
        <v>Yuldor</v>
      </c>
      <c r="B1625" t="s">
        <v>1811</v>
      </c>
      <c r="C1625" t="s">
        <v>1812</v>
      </c>
      <c r="D1625" t="s">
        <v>16</v>
      </c>
      <c r="E1625" t="s">
        <v>5502</v>
      </c>
      <c r="F1625" t="s">
        <v>1859</v>
      </c>
      <c r="G1625" t="s">
        <v>1857</v>
      </c>
      <c r="I1625" s="2">
        <v>45716</v>
      </c>
      <c r="J1625" t="s">
        <v>20</v>
      </c>
      <c r="K1625" s="21">
        <v>-444.79</v>
      </c>
      <c r="L1625" s="21" t="s">
        <v>86</v>
      </c>
      <c r="M1625">
        <v>0</v>
      </c>
      <c r="N1625" s="21" t="s">
        <v>86</v>
      </c>
    </row>
    <row r="1626" spans="1:14">
      <c r="A1626" t="str">
        <f>IFERROR(_xlfn.XLOOKUP(B1626,Cuentas!$C$1:$C$521,Cuentas!$A$1:$A$521),"")</f>
        <v>Yuldor</v>
      </c>
      <c r="B1626" t="s">
        <v>1811</v>
      </c>
      <c r="C1626" t="s">
        <v>1812</v>
      </c>
      <c r="D1626" t="s">
        <v>16</v>
      </c>
      <c r="E1626" t="s">
        <v>5504</v>
      </c>
      <c r="F1626" t="s">
        <v>1860</v>
      </c>
      <c r="G1626" t="s">
        <v>1857</v>
      </c>
      <c r="H1626" s="2">
        <v>45716</v>
      </c>
      <c r="I1626" s="2">
        <v>45716</v>
      </c>
      <c r="J1626" t="s">
        <v>20</v>
      </c>
      <c r="K1626" s="21">
        <v>486.15</v>
      </c>
      <c r="L1626" s="21" t="s">
        <v>86</v>
      </c>
      <c r="M1626">
        <v>0</v>
      </c>
      <c r="N1626" s="21" t="s">
        <v>86</v>
      </c>
    </row>
    <row r="1627" spans="1:14">
      <c r="A1627" t="str">
        <f>IFERROR(_xlfn.XLOOKUP(B1627,Cuentas!$C$1:$C$521,Cuentas!$A$1:$A$521),"")</f>
        <v>Yuldor</v>
      </c>
      <c r="B1627" t="s">
        <v>1811</v>
      </c>
      <c r="C1627" t="s">
        <v>1812</v>
      </c>
      <c r="D1627" t="s">
        <v>16</v>
      </c>
      <c r="E1627" t="s">
        <v>7</v>
      </c>
      <c r="F1627" t="s">
        <v>1861</v>
      </c>
      <c r="G1627" t="s">
        <v>1861</v>
      </c>
      <c r="H1627" s="2">
        <v>45702</v>
      </c>
      <c r="I1627" s="2">
        <v>45732</v>
      </c>
      <c r="J1627" t="s">
        <v>20</v>
      </c>
      <c r="K1627" s="21">
        <v>1864.8</v>
      </c>
      <c r="L1627" s="21">
        <v>1864.8</v>
      </c>
      <c r="M1627">
        <v>12</v>
      </c>
      <c r="N1627" s="21">
        <v>1864.8</v>
      </c>
    </row>
    <row r="1628" spans="1:14">
      <c r="A1628" t="str">
        <f>IFERROR(_xlfn.XLOOKUP(B1628,Cuentas!$C$1:$C$521,Cuentas!$A$1:$A$521),"")</f>
        <v>Yuldor</v>
      </c>
      <c r="B1628" t="s">
        <v>1811</v>
      </c>
      <c r="C1628" t="s">
        <v>1812</v>
      </c>
      <c r="D1628" t="s">
        <v>16</v>
      </c>
      <c r="E1628" t="s">
        <v>7</v>
      </c>
      <c r="F1628" t="s">
        <v>1862</v>
      </c>
      <c r="G1628" t="s">
        <v>1862</v>
      </c>
      <c r="H1628" s="2">
        <v>45707</v>
      </c>
      <c r="I1628" s="2">
        <v>45737</v>
      </c>
      <c r="J1628" t="s">
        <v>20</v>
      </c>
      <c r="K1628" s="21">
        <v>621.6</v>
      </c>
      <c r="L1628" s="21">
        <v>621.6</v>
      </c>
      <c r="M1628">
        <v>12</v>
      </c>
      <c r="N1628" s="21">
        <v>621.6</v>
      </c>
    </row>
    <row r="1629" spans="1:14">
      <c r="A1629" t="str">
        <f>IFERROR(_xlfn.XLOOKUP(B1629,Cuentas!$C$1:$C$521,Cuentas!$A$1:$A$521),"")</f>
        <v>Yuldor</v>
      </c>
      <c r="B1629" t="s">
        <v>1811</v>
      </c>
      <c r="C1629" t="s">
        <v>1812</v>
      </c>
      <c r="D1629" t="s">
        <v>16</v>
      </c>
      <c r="E1629" t="s">
        <v>7</v>
      </c>
      <c r="F1629" t="s">
        <v>1863</v>
      </c>
      <c r="G1629" t="s">
        <v>1863</v>
      </c>
      <c r="H1629" s="2">
        <v>45712</v>
      </c>
      <c r="I1629" s="2">
        <v>45742</v>
      </c>
      <c r="J1629" t="s">
        <v>20</v>
      </c>
      <c r="K1629" s="21">
        <v>1864.8</v>
      </c>
      <c r="L1629" s="21">
        <v>1864.8</v>
      </c>
      <c r="M1629">
        <v>13</v>
      </c>
      <c r="N1629" s="21">
        <v>1864.8</v>
      </c>
    </row>
    <row r="1630" spans="1:14">
      <c r="A1630" t="str">
        <f>IFERROR(_xlfn.XLOOKUP(B1630,Cuentas!$C$1:$C$521,Cuentas!$A$1:$A$521),"")</f>
        <v>Yuldor</v>
      </c>
      <c r="B1630" t="s">
        <v>1811</v>
      </c>
      <c r="C1630" t="s">
        <v>1812</v>
      </c>
      <c r="D1630" t="s">
        <v>16</v>
      </c>
      <c r="E1630" t="s">
        <v>7</v>
      </c>
      <c r="F1630" t="s">
        <v>1864</v>
      </c>
      <c r="G1630" t="s">
        <v>1864</v>
      </c>
      <c r="H1630" s="2">
        <v>45716</v>
      </c>
      <c r="I1630" s="2">
        <v>45746</v>
      </c>
      <c r="J1630" t="s">
        <v>20</v>
      </c>
      <c r="K1630" s="21">
        <v>3108</v>
      </c>
      <c r="L1630" s="21">
        <v>3108</v>
      </c>
      <c r="M1630">
        <v>13</v>
      </c>
      <c r="N1630" s="21">
        <v>3108</v>
      </c>
    </row>
    <row r="1631" spans="1:14">
      <c r="A1631" t="str">
        <f>IFERROR(_xlfn.XLOOKUP(B1631,Cuentas!$C$1:$C$521,Cuentas!$A$1:$A$521),"")</f>
        <v>Yuldor</v>
      </c>
      <c r="B1631" t="s">
        <v>1811</v>
      </c>
      <c r="C1631" t="s">
        <v>1812</v>
      </c>
      <c r="D1631" t="s">
        <v>16</v>
      </c>
      <c r="E1631" t="s">
        <v>7</v>
      </c>
      <c r="F1631" t="s">
        <v>1865</v>
      </c>
      <c r="G1631" t="s">
        <v>1865</v>
      </c>
      <c r="H1631" s="2">
        <v>45716</v>
      </c>
      <c r="I1631" s="2">
        <v>45746</v>
      </c>
      <c r="J1631" t="s">
        <v>20</v>
      </c>
      <c r="K1631" s="21">
        <v>1864.8</v>
      </c>
      <c r="L1631" s="21">
        <v>1864.8</v>
      </c>
      <c r="M1631">
        <v>13</v>
      </c>
      <c r="N1631" s="21">
        <v>1864.8</v>
      </c>
    </row>
    <row r="1632" spans="1:14">
      <c r="A1632" t="str">
        <f>IFERROR(_xlfn.XLOOKUP(B1632,Cuentas!$C$1:$C$521,Cuentas!$A$1:$A$521),"")</f>
        <v>Yuldor</v>
      </c>
      <c r="B1632" t="s">
        <v>1811</v>
      </c>
      <c r="C1632" t="s">
        <v>1812</v>
      </c>
      <c r="D1632" t="s">
        <v>16</v>
      </c>
      <c r="E1632" t="s">
        <v>7</v>
      </c>
      <c r="F1632" t="s">
        <v>1866</v>
      </c>
      <c r="G1632" t="s">
        <v>1866</v>
      </c>
      <c r="H1632" s="2">
        <v>45716</v>
      </c>
      <c r="I1632" s="2">
        <v>45746</v>
      </c>
      <c r="J1632" t="s">
        <v>20</v>
      </c>
      <c r="K1632" s="21">
        <v>1864.8</v>
      </c>
      <c r="L1632" s="21">
        <v>1864.8</v>
      </c>
      <c r="M1632">
        <v>13</v>
      </c>
      <c r="N1632" s="21">
        <v>1864.8</v>
      </c>
    </row>
    <row r="1633" spans="1:14">
      <c r="A1633" t="str">
        <f>IFERROR(_xlfn.XLOOKUP(B1633,Cuentas!$C$1:$C$521,Cuentas!$A$1:$A$521),"")</f>
        <v>Yuldor</v>
      </c>
      <c r="B1633" t="s">
        <v>1811</v>
      </c>
      <c r="C1633" t="s">
        <v>1812</v>
      </c>
      <c r="D1633" t="s">
        <v>16</v>
      </c>
      <c r="E1633" t="s">
        <v>7</v>
      </c>
      <c r="F1633" t="s">
        <v>1867</v>
      </c>
      <c r="G1633" t="s">
        <v>1867</v>
      </c>
      <c r="H1633" s="2">
        <v>45716</v>
      </c>
      <c r="I1633" s="2">
        <v>45746</v>
      </c>
      <c r="J1633" t="s">
        <v>20</v>
      </c>
      <c r="K1633" s="21">
        <v>3108</v>
      </c>
      <c r="L1633" s="21">
        <v>3108</v>
      </c>
      <c r="M1633">
        <v>13</v>
      </c>
      <c r="N1633" s="21">
        <v>3108</v>
      </c>
    </row>
    <row r="1634" spans="1:14">
      <c r="A1634" t="str">
        <f>IFERROR(_xlfn.XLOOKUP(B1634,Cuentas!$C$1:$C$521,Cuentas!$A$1:$A$521),"")</f>
        <v>Yuldor</v>
      </c>
      <c r="B1634" t="s">
        <v>1811</v>
      </c>
      <c r="C1634" t="s">
        <v>1812</v>
      </c>
      <c r="D1634" t="s">
        <v>16</v>
      </c>
      <c r="E1634" t="s">
        <v>7</v>
      </c>
      <c r="F1634" t="s">
        <v>1868</v>
      </c>
      <c r="G1634" t="s">
        <v>1868</v>
      </c>
      <c r="H1634" s="2">
        <v>45716</v>
      </c>
      <c r="I1634" s="2">
        <v>45746</v>
      </c>
      <c r="J1634" t="s">
        <v>20</v>
      </c>
      <c r="K1634" s="21">
        <v>1995.34</v>
      </c>
      <c r="L1634" s="21">
        <v>1995.34</v>
      </c>
      <c r="M1634">
        <v>13</v>
      </c>
      <c r="N1634" s="21">
        <v>1995.34</v>
      </c>
    </row>
    <row r="1635" spans="1:14">
      <c r="A1635" t="str">
        <f>IFERROR(_xlfn.XLOOKUP(B1635,Cuentas!$C$1:$C$521,Cuentas!$A$1:$A$521),"")</f>
        <v>Yuldor</v>
      </c>
      <c r="B1635" t="s">
        <v>1811</v>
      </c>
      <c r="C1635" t="s">
        <v>1812</v>
      </c>
      <c r="D1635" t="s">
        <v>16</v>
      </c>
      <c r="E1635" t="s">
        <v>7</v>
      </c>
      <c r="F1635" t="s">
        <v>1869</v>
      </c>
      <c r="G1635" t="s">
        <v>1869</v>
      </c>
      <c r="H1635" s="2">
        <v>45716</v>
      </c>
      <c r="I1635" s="2">
        <v>45746</v>
      </c>
      <c r="J1635" t="s">
        <v>20</v>
      </c>
      <c r="K1635" s="21">
        <v>3108</v>
      </c>
      <c r="L1635" s="21">
        <v>3108</v>
      </c>
      <c r="M1635">
        <v>13</v>
      </c>
      <c r="N1635" s="21">
        <v>3108</v>
      </c>
    </row>
    <row r="1636" spans="1:14">
      <c r="A1636" t="str">
        <f>IFERROR(_xlfn.XLOOKUP(B1636,Cuentas!$C$1:$C$521,Cuentas!$A$1:$A$521),"")</f>
        <v>Yuldor</v>
      </c>
      <c r="B1636" t="s">
        <v>1811</v>
      </c>
      <c r="C1636" t="s">
        <v>1812</v>
      </c>
      <c r="D1636" t="s">
        <v>16</v>
      </c>
      <c r="E1636" t="s">
        <v>7</v>
      </c>
      <c r="F1636" t="s">
        <v>1870</v>
      </c>
      <c r="G1636" t="s">
        <v>1870</v>
      </c>
      <c r="H1636" s="2">
        <v>45716</v>
      </c>
      <c r="I1636" s="2">
        <v>45746</v>
      </c>
      <c r="J1636" t="s">
        <v>20</v>
      </c>
      <c r="K1636" s="21">
        <v>3108</v>
      </c>
      <c r="L1636" s="21">
        <v>3108</v>
      </c>
      <c r="M1636">
        <v>13</v>
      </c>
      <c r="N1636" s="21">
        <v>3108</v>
      </c>
    </row>
    <row r="1637" spans="1:14">
      <c r="A1637" t="str">
        <f>IFERROR(_xlfn.XLOOKUP(B1637,Cuentas!$C$1:$C$521,Cuentas!$A$1:$A$521),"")</f>
        <v>Yuldor</v>
      </c>
      <c r="B1637" t="s">
        <v>1811</v>
      </c>
      <c r="C1637" t="s">
        <v>1812</v>
      </c>
      <c r="D1637" t="s">
        <v>16</v>
      </c>
      <c r="E1637" t="s">
        <v>7</v>
      </c>
      <c r="F1637" t="s">
        <v>1871</v>
      </c>
      <c r="G1637" t="s">
        <v>1871</v>
      </c>
      <c r="H1637" s="2">
        <v>45716</v>
      </c>
      <c r="I1637" s="2">
        <v>45746</v>
      </c>
      <c r="J1637" t="s">
        <v>20</v>
      </c>
      <c r="K1637" s="21">
        <v>3108</v>
      </c>
      <c r="L1637" s="21">
        <v>3108</v>
      </c>
      <c r="M1637">
        <v>13</v>
      </c>
      <c r="N1637" s="21">
        <v>3108</v>
      </c>
    </row>
    <row r="1638" spans="1:14">
      <c r="A1638" t="str">
        <f>IFERROR(_xlfn.XLOOKUP(B1638,Cuentas!$C$1:$C$521,Cuentas!$A$1:$A$521),"")</f>
        <v>Yuldor</v>
      </c>
      <c r="B1638" t="s">
        <v>1811</v>
      </c>
      <c r="C1638" t="s">
        <v>1812</v>
      </c>
      <c r="D1638" t="s">
        <v>16</v>
      </c>
      <c r="E1638" t="s">
        <v>7</v>
      </c>
      <c r="F1638" t="s">
        <v>1872</v>
      </c>
      <c r="G1638" t="s">
        <v>1872</v>
      </c>
      <c r="H1638" s="2">
        <v>45719</v>
      </c>
      <c r="I1638" s="2">
        <v>45749</v>
      </c>
      <c r="J1638" t="s">
        <v>20</v>
      </c>
      <c r="K1638" s="21">
        <v>1864.8</v>
      </c>
      <c r="L1638" s="21">
        <v>1864.8</v>
      </c>
      <c r="M1638">
        <v>0</v>
      </c>
      <c r="N1638" s="21">
        <v>0</v>
      </c>
    </row>
    <row r="1639" spans="1:14">
      <c r="A1639" t="str">
        <f>IFERROR(_xlfn.XLOOKUP(B1639,Cuentas!$C$1:$C$521,Cuentas!$A$1:$A$521),"")</f>
        <v>Yuldor</v>
      </c>
      <c r="B1639" t="s">
        <v>1811</v>
      </c>
      <c r="C1639" t="s">
        <v>1812</v>
      </c>
      <c r="D1639" t="s">
        <v>16</v>
      </c>
      <c r="E1639" t="s">
        <v>7</v>
      </c>
      <c r="F1639" t="s">
        <v>1873</v>
      </c>
      <c r="G1639" t="s">
        <v>1873</v>
      </c>
      <c r="H1639" s="2">
        <v>45722</v>
      </c>
      <c r="I1639" s="2">
        <v>45752</v>
      </c>
      <c r="J1639" t="s">
        <v>20</v>
      </c>
      <c r="K1639" s="21">
        <v>540.6</v>
      </c>
      <c r="L1639" s="21">
        <v>540.6</v>
      </c>
      <c r="M1639">
        <v>0</v>
      </c>
      <c r="N1639" s="21">
        <v>0</v>
      </c>
    </row>
    <row r="1640" spans="1:14">
      <c r="A1640" t="str">
        <f>IFERROR(_xlfn.XLOOKUP(B1640,Cuentas!$C$1:$C$521,Cuentas!$A$1:$A$521),"")</f>
        <v>Yuldor</v>
      </c>
      <c r="B1640" t="s">
        <v>1811</v>
      </c>
      <c r="C1640" t="s">
        <v>1812</v>
      </c>
      <c r="D1640" t="s">
        <v>16</v>
      </c>
      <c r="E1640" t="s">
        <v>7</v>
      </c>
      <c r="F1640" t="s">
        <v>1874</v>
      </c>
      <c r="G1640" t="s">
        <v>1874</v>
      </c>
      <c r="H1640" s="2">
        <v>45722</v>
      </c>
      <c r="I1640" s="2">
        <v>45752</v>
      </c>
      <c r="J1640" t="s">
        <v>20</v>
      </c>
      <c r="K1640" s="21">
        <v>334.2</v>
      </c>
      <c r="L1640" s="21">
        <v>334.2</v>
      </c>
      <c r="M1640">
        <v>0</v>
      </c>
      <c r="N1640" s="21">
        <v>0</v>
      </c>
    </row>
    <row r="1641" spans="1:14">
      <c r="A1641" t="str">
        <f>IFERROR(_xlfn.XLOOKUP(B1641,Cuentas!$C$1:$C$521,Cuentas!$A$1:$A$521),"")</f>
        <v>Yuldor</v>
      </c>
      <c r="B1641" t="s">
        <v>1811</v>
      </c>
      <c r="C1641" t="s">
        <v>1812</v>
      </c>
      <c r="D1641" t="s">
        <v>16</v>
      </c>
      <c r="E1641" t="s">
        <v>7</v>
      </c>
      <c r="F1641" t="s">
        <v>1875</v>
      </c>
      <c r="G1641" t="s">
        <v>1875</v>
      </c>
      <c r="H1641" s="2">
        <v>45722</v>
      </c>
      <c r="I1641" s="2">
        <v>45752</v>
      </c>
      <c r="J1641" t="s">
        <v>20</v>
      </c>
      <c r="K1641" s="21">
        <v>545.85</v>
      </c>
      <c r="L1641" s="21">
        <v>545.85</v>
      </c>
      <c r="M1641">
        <v>0</v>
      </c>
      <c r="N1641" s="21">
        <v>0</v>
      </c>
    </row>
    <row r="1642" spans="1:14">
      <c r="A1642" t="str">
        <f>IFERROR(_xlfn.XLOOKUP(B1642,Cuentas!$C$1:$C$521,Cuentas!$A$1:$A$521),"")</f>
        <v>Yuldor</v>
      </c>
      <c r="B1642" t="s">
        <v>1811</v>
      </c>
      <c r="C1642" t="s">
        <v>1812</v>
      </c>
      <c r="D1642" t="s">
        <v>16</v>
      </c>
      <c r="E1642" t="s">
        <v>7</v>
      </c>
      <c r="F1642" t="s">
        <v>1876</v>
      </c>
      <c r="G1642" t="s">
        <v>1876</v>
      </c>
      <c r="H1642" s="2">
        <v>45722</v>
      </c>
      <c r="I1642" s="2">
        <v>45752</v>
      </c>
      <c r="J1642" t="s">
        <v>20</v>
      </c>
      <c r="K1642" s="21">
        <v>2059</v>
      </c>
      <c r="L1642" s="21">
        <v>2059</v>
      </c>
      <c r="M1642">
        <v>0</v>
      </c>
      <c r="N1642" s="21">
        <v>0</v>
      </c>
    </row>
    <row r="1643" spans="1:14">
      <c r="A1643" t="str">
        <f>IFERROR(_xlfn.XLOOKUP(B1643,Cuentas!$C$1:$C$521,Cuentas!$A$1:$A$521),"")</f>
        <v>Yuldor</v>
      </c>
      <c r="B1643" t="s">
        <v>1811</v>
      </c>
      <c r="C1643" t="s">
        <v>1812</v>
      </c>
      <c r="D1643" t="s">
        <v>16</v>
      </c>
      <c r="E1643" t="s">
        <v>7</v>
      </c>
      <c r="F1643" t="s">
        <v>1877</v>
      </c>
      <c r="G1643" t="s">
        <v>1877</v>
      </c>
      <c r="H1643" s="2">
        <v>45722</v>
      </c>
      <c r="I1643" s="2">
        <v>45752</v>
      </c>
      <c r="J1643" t="s">
        <v>20</v>
      </c>
      <c r="K1643" s="21">
        <v>1972.4</v>
      </c>
      <c r="L1643" s="21">
        <v>1972.4</v>
      </c>
      <c r="M1643">
        <v>0</v>
      </c>
      <c r="N1643" s="21">
        <v>0</v>
      </c>
    </row>
    <row r="1644" spans="1:14">
      <c r="A1644" t="str">
        <f>IFERROR(_xlfn.XLOOKUP(B1644,Cuentas!$C$1:$C$521,Cuentas!$A$1:$A$521),"")</f>
        <v>Yuldor</v>
      </c>
      <c r="B1644" t="s">
        <v>1811</v>
      </c>
      <c r="C1644" t="s">
        <v>1812</v>
      </c>
      <c r="D1644" t="s">
        <v>16</v>
      </c>
      <c r="E1644" t="s">
        <v>7</v>
      </c>
      <c r="F1644" t="s">
        <v>1878</v>
      </c>
      <c r="G1644" t="s">
        <v>1878</v>
      </c>
      <c r="H1644" s="2">
        <v>45722</v>
      </c>
      <c r="I1644" s="2">
        <v>45752</v>
      </c>
      <c r="J1644" t="s">
        <v>20</v>
      </c>
      <c r="K1644" s="21">
        <v>3108</v>
      </c>
      <c r="L1644" s="21">
        <v>3108</v>
      </c>
      <c r="M1644">
        <v>0</v>
      </c>
      <c r="N1644" s="21">
        <v>0</v>
      </c>
    </row>
    <row r="1645" spans="1:14">
      <c r="A1645" t="str">
        <f>IFERROR(_xlfn.XLOOKUP(B1645,Cuentas!$C$1:$C$521,Cuentas!$A$1:$A$521),"")</f>
        <v>Yuldor</v>
      </c>
      <c r="B1645" t="s">
        <v>1811</v>
      </c>
      <c r="C1645" t="s">
        <v>1812</v>
      </c>
      <c r="D1645" t="s">
        <v>16</v>
      </c>
      <c r="E1645" t="s">
        <v>7</v>
      </c>
      <c r="F1645" t="s">
        <v>1879</v>
      </c>
      <c r="G1645" t="s">
        <v>1879</v>
      </c>
      <c r="H1645" s="2">
        <v>45722</v>
      </c>
      <c r="I1645" s="2">
        <v>45752</v>
      </c>
      <c r="J1645" t="s">
        <v>20</v>
      </c>
      <c r="K1645" s="21">
        <v>1864.8</v>
      </c>
      <c r="L1645" s="21">
        <v>1864.8</v>
      </c>
      <c r="M1645">
        <v>0</v>
      </c>
      <c r="N1645" s="21">
        <v>0</v>
      </c>
    </row>
    <row r="1646" spans="1:14">
      <c r="A1646" t="str">
        <f>IFERROR(_xlfn.XLOOKUP(B1646,Cuentas!$C$1:$C$521,Cuentas!$A$1:$A$521),"")</f>
        <v>Yuldor</v>
      </c>
      <c r="B1646" t="s">
        <v>1811</v>
      </c>
      <c r="C1646" t="s">
        <v>1812</v>
      </c>
      <c r="D1646" t="s">
        <v>16</v>
      </c>
      <c r="E1646" t="s">
        <v>7</v>
      </c>
      <c r="F1646" t="s">
        <v>1880</v>
      </c>
      <c r="G1646" t="s">
        <v>1880</v>
      </c>
      <c r="H1646" s="2">
        <v>45722</v>
      </c>
      <c r="I1646" s="2">
        <v>45752</v>
      </c>
      <c r="J1646" t="s">
        <v>20</v>
      </c>
      <c r="K1646" s="21">
        <v>825.2</v>
      </c>
      <c r="L1646" s="21">
        <v>825.2</v>
      </c>
      <c r="M1646">
        <v>0</v>
      </c>
      <c r="N1646" s="21">
        <v>0</v>
      </c>
    </row>
    <row r="1647" spans="1:14">
      <c r="A1647" t="str">
        <f>IFERROR(_xlfn.XLOOKUP(B1647,Cuentas!$C$1:$C$521,Cuentas!$A$1:$A$521),"")</f>
        <v>Yuldor</v>
      </c>
      <c r="B1647" t="s">
        <v>1811</v>
      </c>
      <c r="C1647" t="s">
        <v>1812</v>
      </c>
      <c r="D1647" t="s">
        <v>16</v>
      </c>
      <c r="E1647" t="s">
        <v>7</v>
      </c>
      <c r="F1647" t="s">
        <v>1881</v>
      </c>
      <c r="G1647" t="s">
        <v>1881</v>
      </c>
      <c r="H1647" s="2">
        <v>45722</v>
      </c>
      <c r="I1647" s="2">
        <v>45752</v>
      </c>
      <c r="J1647" t="s">
        <v>20</v>
      </c>
      <c r="K1647" s="21">
        <v>136.19999999999999</v>
      </c>
      <c r="L1647" s="21">
        <v>136.19999999999999</v>
      </c>
      <c r="M1647">
        <v>0</v>
      </c>
      <c r="N1647" s="21">
        <v>0</v>
      </c>
    </row>
    <row r="1648" spans="1:14">
      <c r="A1648" t="str">
        <f>IFERROR(_xlfn.XLOOKUP(B1648,Cuentas!$C$1:$C$521,Cuentas!$A$1:$A$521),"")</f>
        <v>Yuldor</v>
      </c>
      <c r="B1648" t="s">
        <v>1811</v>
      </c>
      <c r="C1648" t="s">
        <v>1812</v>
      </c>
      <c r="D1648" t="s">
        <v>16</v>
      </c>
      <c r="E1648" t="s">
        <v>7</v>
      </c>
      <c r="F1648" t="s">
        <v>1882</v>
      </c>
      <c r="G1648" t="s">
        <v>1882</v>
      </c>
      <c r="H1648" s="2">
        <v>45722</v>
      </c>
      <c r="I1648" s="2">
        <v>45752</v>
      </c>
      <c r="J1648" t="s">
        <v>20</v>
      </c>
      <c r="K1648" s="21">
        <v>136.19999999999999</v>
      </c>
      <c r="L1648" s="21">
        <v>136.19999999999999</v>
      </c>
      <c r="M1648">
        <v>0</v>
      </c>
      <c r="N1648" s="21">
        <v>0</v>
      </c>
    </row>
    <row r="1649" spans="1:14">
      <c r="A1649" t="str">
        <f>IFERROR(_xlfn.XLOOKUP(B1649,Cuentas!$C$1:$C$521,Cuentas!$A$1:$A$521),"")</f>
        <v>Yuldor</v>
      </c>
      <c r="B1649" t="s">
        <v>1811</v>
      </c>
      <c r="C1649" t="s">
        <v>1812</v>
      </c>
      <c r="D1649" t="s">
        <v>16</v>
      </c>
      <c r="E1649" t="s">
        <v>7</v>
      </c>
      <c r="F1649" t="s">
        <v>1883</v>
      </c>
      <c r="G1649" t="s">
        <v>1883</v>
      </c>
      <c r="H1649" s="2">
        <v>45722</v>
      </c>
      <c r="I1649" s="2">
        <v>45752</v>
      </c>
      <c r="J1649" t="s">
        <v>20</v>
      </c>
      <c r="K1649" s="21">
        <v>730.2</v>
      </c>
      <c r="L1649" s="21">
        <v>730.2</v>
      </c>
      <c r="M1649">
        <v>0</v>
      </c>
      <c r="N1649" s="21">
        <v>0</v>
      </c>
    </row>
    <row r="1650" spans="1:14">
      <c r="A1650" t="str">
        <f>IFERROR(_xlfn.XLOOKUP(B1650,Cuentas!$C$1:$C$521,Cuentas!$A$1:$A$521),"")</f>
        <v>Yuldor</v>
      </c>
      <c r="B1650" t="s">
        <v>1811</v>
      </c>
      <c r="C1650" t="s">
        <v>1812</v>
      </c>
      <c r="D1650" t="s">
        <v>16</v>
      </c>
      <c r="E1650" t="s">
        <v>7</v>
      </c>
      <c r="F1650" t="s">
        <v>1884</v>
      </c>
      <c r="G1650" t="s">
        <v>1884</v>
      </c>
      <c r="H1650" s="2">
        <v>45722</v>
      </c>
      <c r="I1650" s="2">
        <v>45752</v>
      </c>
      <c r="J1650" t="s">
        <v>20</v>
      </c>
      <c r="K1650" s="21">
        <v>1044.2</v>
      </c>
      <c r="L1650" s="21">
        <v>1044.2</v>
      </c>
      <c r="M1650">
        <v>0</v>
      </c>
      <c r="N1650" s="21">
        <v>0</v>
      </c>
    </row>
    <row r="1651" spans="1:14">
      <c r="A1651" t="str">
        <f>IFERROR(_xlfn.XLOOKUP(B1651,Cuentas!$C$1:$C$521,Cuentas!$A$1:$A$521),"")</f>
        <v>Yuldor</v>
      </c>
      <c r="B1651" t="s">
        <v>1811</v>
      </c>
      <c r="C1651" t="s">
        <v>1812</v>
      </c>
      <c r="D1651" t="s">
        <v>16</v>
      </c>
      <c r="E1651" t="s">
        <v>7</v>
      </c>
      <c r="F1651" t="s">
        <v>1885</v>
      </c>
      <c r="G1651" t="s">
        <v>1885</v>
      </c>
      <c r="H1651" s="2">
        <v>45722</v>
      </c>
      <c r="I1651" s="2">
        <v>45752</v>
      </c>
      <c r="J1651" t="s">
        <v>20</v>
      </c>
      <c r="K1651" s="21">
        <v>136.19999999999999</v>
      </c>
      <c r="L1651" s="21">
        <v>136.19999999999999</v>
      </c>
      <c r="M1651">
        <v>0</v>
      </c>
      <c r="N1651" s="21">
        <v>0</v>
      </c>
    </row>
    <row r="1652" spans="1:14">
      <c r="A1652" t="str">
        <f>IFERROR(_xlfn.XLOOKUP(B1652,Cuentas!$C$1:$C$521,Cuentas!$A$1:$A$521),"")</f>
        <v>Yuldor</v>
      </c>
      <c r="B1652" t="s">
        <v>1811</v>
      </c>
      <c r="C1652" t="s">
        <v>1812</v>
      </c>
      <c r="D1652" t="s">
        <v>16</v>
      </c>
      <c r="E1652" t="s">
        <v>7</v>
      </c>
      <c r="F1652" t="s">
        <v>1886</v>
      </c>
      <c r="G1652" t="s">
        <v>1886</v>
      </c>
      <c r="H1652" s="2">
        <v>45722</v>
      </c>
      <c r="I1652" s="2">
        <v>45752</v>
      </c>
      <c r="J1652" t="s">
        <v>20</v>
      </c>
      <c r="K1652" s="21">
        <v>268.2</v>
      </c>
      <c r="L1652" s="21">
        <v>268.2</v>
      </c>
      <c r="M1652">
        <v>0</v>
      </c>
      <c r="N1652" s="21">
        <v>0</v>
      </c>
    </row>
    <row r="1653" spans="1:14">
      <c r="A1653" t="str">
        <f>IFERROR(_xlfn.XLOOKUP(B1653,Cuentas!$C$1:$C$521,Cuentas!$A$1:$A$521),"")</f>
        <v>Yuldor</v>
      </c>
      <c r="B1653" t="s">
        <v>1811</v>
      </c>
      <c r="C1653" t="s">
        <v>1812</v>
      </c>
      <c r="D1653" t="s">
        <v>16</v>
      </c>
      <c r="E1653" t="s">
        <v>7</v>
      </c>
      <c r="F1653" t="s">
        <v>1887</v>
      </c>
      <c r="G1653" t="s">
        <v>1887</v>
      </c>
      <c r="H1653" s="2">
        <v>45722</v>
      </c>
      <c r="I1653" s="2">
        <v>45752</v>
      </c>
      <c r="J1653" t="s">
        <v>20</v>
      </c>
      <c r="K1653" s="21">
        <v>3108</v>
      </c>
      <c r="L1653" s="21">
        <v>3108</v>
      </c>
      <c r="M1653">
        <v>0</v>
      </c>
      <c r="N1653" s="21">
        <v>0</v>
      </c>
    </row>
    <row r="1654" spans="1:14">
      <c r="A1654" t="str">
        <f>IFERROR(_xlfn.XLOOKUP(B1654,Cuentas!$C$1:$C$521,Cuentas!$A$1:$A$521),"")</f>
        <v>Yuldor</v>
      </c>
      <c r="B1654" t="s">
        <v>1811</v>
      </c>
      <c r="C1654" t="s">
        <v>1812</v>
      </c>
      <c r="D1654" t="s">
        <v>16</v>
      </c>
      <c r="E1654" t="s">
        <v>7</v>
      </c>
      <c r="F1654" t="s">
        <v>1888</v>
      </c>
      <c r="G1654" t="s">
        <v>1888</v>
      </c>
      <c r="H1654" s="2">
        <v>45726</v>
      </c>
      <c r="I1654" s="2">
        <v>45756</v>
      </c>
      <c r="J1654" t="s">
        <v>20</v>
      </c>
      <c r="K1654" s="21">
        <v>286.97000000000003</v>
      </c>
      <c r="L1654" s="21">
        <v>286.97000000000003</v>
      </c>
      <c r="M1654">
        <v>0</v>
      </c>
      <c r="N1654" s="21">
        <v>0</v>
      </c>
    </row>
    <row r="1655" spans="1:14">
      <c r="A1655" t="str">
        <f>IFERROR(_xlfn.XLOOKUP(B1655,Cuentas!$C$1:$C$521,Cuentas!$A$1:$A$521),"")</f>
        <v>Yuldor</v>
      </c>
      <c r="B1655" t="s">
        <v>1811</v>
      </c>
      <c r="C1655" t="s">
        <v>1812</v>
      </c>
      <c r="D1655" t="s">
        <v>16</v>
      </c>
      <c r="E1655" t="s">
        <v>7</v>
      </c>
      <c r="F1655" t="s">
        <v>1889</v>
      </c>
      <c r="G1655" t="s">
        <v>1889</v>
      </c>
      <c r="H1655" s="2">
        <v>45726</v>
      </c>
      <c r="I1655" s="2">
        <v>45756</v>
      </c>
      <c r="J1655" t="s">
        <v>20</v>
      </c>
      <c r="K1655" s="21">
        <v>602.4</v>
      </c>
      <c r="L1655" s="21">
        <v>602.4</v>
      </c>
      <c r="M1655">
        <v>0</v>
      </c>
      <c r="N1655" s="21">
        <v>0</v>
      </c>
    </row>
    <row r="1656" spans="1:14">
      <c r="A1656" t="str">
        <f>IFERROR(_xlfn.XLOOKUP(B1656,Cuentas!$C$1:$C$521,Cuentas!$A$1:$A$521),"")</f>
        <v>Yuldor</v>
      </c>
      <c r="B1656" t="s">
        <v>1811</v>
      </c>
      <c r="C1656" t="s">
        <v>1812</v>
      </c>
      <c r="D1656" t="s">
        <v>16</v>
      </c>
      <c r="E1656" t="s">
        <v>7</v>
      </c>
      <c r="F1656" t="s">
        <v>1890</v>
      </c>
      <c r="G1656" t="s">
        <v>1890</v>
      </c>
      <c r="H1656" s="2">
        <v>45726</v>
      </c>
      <c r="I1656" s="2">
        <v>45756</v>
      </c>
      <c r="J1656" t="s">
        <v>20</v>
      </c>
      <c r="K1656" s="21">
        <v>268.2</v>
      </c>
      <c r="L1656" s="21">
        <v>268.2</v>
      </c>
      <c r="M1656">
        <v>0</v>
      </c>
      <c r="N1656" s="21">
        <v>0</v>
      </c>
    </row>
    <row r="1657" spans="1:14">
      <c r="A1657" t="str">
        <f>IFERROR(_xlfn.XLOOKUP(B1657,Cuentas!$C$1:$C$521,Cuentas!$A$1:$A$521),"")</f>
        <v>Yuldor</v>
      </c>
      <c r="B1657" t="s">
        <v>1811</v>
      </c>
      <c r="C1657" t="s">
        <v>1812</v>
      </c>
      <c r="D1657" t="s">
        <v>16</v>
      </c>
      <c r="E1657" t="s">
        <v>7</v>
      </c>
      <c r="F1657" t="s">
        <v>1891</v>
      </c>
      <c r="G1657" t="s">
        <v>1891</v>
      </c>
      <c r="H1657" s="2">
        <v>45726</v>
      </c>
      <c r="I1657" s="2">
        <v>45756</v>
      </c>
      <c r="J1657" t="s">
        <v>20</v>
      </c>
      <c r="K1657" s="21">
        <v>404.4</v>
      </c>
      <c r="L1657" s="21">
        <v>404.4</v>
      </c>
      <c r="M1657">
        <v>0</v>
      </c>
      <c r="N1657" s="21">
        <v>0</v>
      </c>
    </row>
    <row r="1658" spans="1:14">
      <c r="A1658" t="str">
        <f>IFERROR(_xlfn.XLOOKUP(B1658,Cuentas!$C$1:$C$521,Cuentas!$A$1:$A$521),"")</f>
        <v>Yuldor</v>
      </c>
      <c r="B1658" t="s">
        <v>1811</v>
      </c>
      <c r="C1658" t="s">
        <v>1812</v>
      </c>
      <c r="D1658" t="s">
        <v>16</v>
      </c>
      <c r="E1658" t="s">
        <v>7</v>
      </c>
      <c r="F1658" t="s">
        <v>1892</v>
      </c>
      <c r="G1658" t="s">
        <v>1892</v>
      </c>
      <c r="H1658" s="2">
        <v>45726</v>
      </c>
      <c r="I1658" s="2">
        <v>45756</v>
      </c>
      <c r="J1658" t="s">
        <v>20</v>
      </c>
      <c r="K1658" s="21">
        <v>1204.8</v>
      </c>
      <c r="L1658" s="21">
        <v>1204.8</v>
      </c>
      <c r="M1658">
        <v>0</v>
      </c>
      <c r="N1658" s="21">
        <v>0</v>
      </c>
    </row>
    <row r="1659" spans="1:14">
      <c r="A1659" t="str">
        <f>IFERROR(_xlfn.XLOOKUP(B1659,Cuentas!$C$1:$C$521,Cuentas!$A$1:$A$521),"")</f>
        <v>Yuldor</v>
      </c>
      <c r="B1659" t="s">
        <v>1811</v>
      </c>
      <c r="C1659" t="s">
        <v>1812</v>
      </c>
      <c r="D1659" t="s">
        <v>16</v>
      </c>
      <c r="E1659" t="s">
        <v>7</v>
      </c>
      <c r="F1659" t="s">
        <v>1893</v>
      </c>
      <c r="G1659" t="s">
        <v>1893</v>
      </c>
      <c r="H1659" s="2">
        <v>45727</v>
      </c>
      <c r="I1659" s="2">
        <v>45757</v>
      </c>
      <c r="J1659" t="s">
        <v>20</v>
      </c>
      <c r="K1659" s="21">
        <v>1995.34</v>
      </c>
      <c r="L1659" s="21">
        <v>1995.34</v>
      </c>
      <c r="M1659">
        <v>0</v>
      </c>
      <c r="N1659" s="21">
        <v>0</v>
      </c>
    </row>
    <row r="1660" spans="1:14">
      <c r="A1660" t="str">
        <f>IFERROR(_xlfn.XLOOKUP(B1660,Cuentas!$C$1:$C$521,Cuentas!$A$1:$A$521),"")</f>
        <v>Yuldor</v>
      </c>
      <c r="B1660" t="s">
        <v>1811</v>
      </c>
      <c r="C1660" t="s">
        <v>1812</v>
      </c>
      <c r="D1660" t="s">
        <v>16</v>
      </c>
      <c r="E1660" t="s">
        <v>7</v>
      </c>
      <c r="F1660" t="s">
        <v>1894</v>
      </c>
      <c r="G1660" t="s">
        <v>1894</v>
      </c>
      <c r="H1660" s="2">
        <v>45735</v>
      </c>
      <c r="I1660" s="2">
        <v>45765</v>
      </c>
      <c r="J1660" t="s">
        <v>20</v>
      </c>
      <c r="K1660" s="21">
        <v>3108</v>
      </c>
      <c r="L1660" s="21">
        <v>3108</v>
      </c>
      <c r="M1660">
        <v>0</v>
      </c>
      <c r="N1660" s="21">
        <v>0</v>
      </c>
    </row>
    <row r="1661" spans="1:14">
      <c r="A1661" t="str">
        <f>IFERROR(_xlfn.XLOOKUP(B1661,Cuentas!$C$1:$C$521,Cuentas!$A$1:$A$521),"")</f>
        <v>Yuldor</v>
      </c>
      <c r="B1661" t="s">
        <v>1811</v>
      </c>
      <c r="C1661" t="s">
        <v>1812</v>
      </c>
      <c r="D1661" t="s">
        <v>16</v>
      </c>
      <c r="E1661" t="s">
        <v>7</v>
      </c>
      <c r="F1661" t="s">
        <v>1895</v>
      </c>
      <c r="G1661" t="s">
        <v>1895</v>
      </c>
      <c r="H1661" s="2">
        <v>45735</v>
      </c>
      <c r="I1661" s="2">
        <v>45765</v>
      </c>
      <c r="J1661" t="s">
        <v>20</v>
      </c>
      <c r="K1661" s="21">
        <v>1864.8</v>
      </c>
      <c r="L1661" s="21">
        <v>1864.8</v>
      </c>
      <c r="M1661">
        <v>0</v>
      </c>
      <c r="N1661" s="21">
        <v>0</v>
      </c>
    </row>
    <row r="1662" spans="1:14">
      <c r="A1662" t="str">
        <f>IFERROR(_xlfn.XLOOKUP(B1662,Cuentas!$C$1:$C$521,Cuentas!$A$1:$A$521),"")</f>
        <v>Yuldor</v>
      </c>
      <c r="B1662" t="s">
        <v>1811</v>
      </c>
      <c r="C1662" t="s">
        <v>1812</v>
      </c>
      <c r="D1662" t="s">
        <v>16</v>
      </c>
      <c r="E1662" t="s">
        <v>7</v>
      </c>
      <c r="F1662" t="s">
        <v>1896</v>
      </c>
      <c r="G1662" t="s">
        <v>1896</v>
      </c>
      <c r="H1662" s="2">
        <v>45735</v>
      </c>
      <c r="I1662" s="2">
        <v>45765</v>
      </c>
      <c r="J1662" t="s">
        <v>20</v>
      </c>
      <c r="K1662" s="21">
        <v>3108</v>
      </c>
      <c r="L1662" s="21">
        <v>3108</v>
      </c>
      <c r="M1662">
        <v>0</v>
      </c>
      <c r="N1662" s="21">
        <v>0</v>
      </c>
    </row>
    <row r="1663" spans="1:14">
      <c r="A1663" t="str">
        <f>IFERROR(_xlfn.XLOOKUP(B1663,Cuentas!$C$1:$C$521,Cuentas!$A$1:$A$521),"")</f>
        <v>Yuldor</v>
      </c>
      <c r="B1663" t="s">
        <v>1811</v>
      </c>
      <c r="C1663" t="s">
        <v>1812</v>
      </c>
      <c r="D1663" t="s">
        <v>16</v>
      </c>
      <c r="E1663" t="s">
        <v>7</v>
      </c>
      <c r="F1663" t="s">
        <v>1897</v>
      </c>
      <c r="G1663" t="s">
        <v>1897</v>
      </c>
      <c r="H1663" s="2">
        <v>45735</v>
      </c>
      <c r="I1663" s="2">
        <v>45765</v>
      </c>
      <c r="J1663" t="s">
        <v>20</v>
      </c>
      <c r="K1663" s="21">
        <v>1864.8</v>
      </c>
      <c r="L1663" s="21">
        <v>1864.8</v>
      </c>
      <c r="M1663">
        <v>0</v>
      </c>
      <c r="N1663" s="21">
        <v>0</v>
      </c>
    </row>
    <row r="1664" spans="1:14">
      <c r="A1664" t="str">
        <f>IFERROR(_xlfn.XLOOKUP(B1664,Cuentas!$C$1:$C$521,Cuentas!$A$1:$A$521),"")</f>
        <v>Yuldor</v>
      </c>
      <c r="B1664" t="s">
        <v>1811</v>
      </c>
      <c r="C1664" t="s">
        <v>1812</v>
      </c>
      <c r="D1664" t="s">
        <v>16</v>
      </c>
      <c r="E1664" t="s">
        <v>7</v>
      </c>
      <c r="F1664" t="s">
        <v>1898</v>
      </c>
      <c r="G1664" t="s">
        <v>1898</v>
      </c>
      <c r="H1664" s="2">
        <v>45736</v>
      </c>
      <c r="I1664" s="2">
        <v>45766</v>
      </c>
      <c r="J1664" t="s">
        <v>20</v>
      </c>
      <c r="K1664" s="21">
        <v>3108</v>
      </c>
      <c r="L1664" s="21">
        <v>3108</v>
      </c>
      <c r="M1664">
        <v>0</v>
      </c>
      <c r="N1664" s="21">
        <v>0</v>
      </c>
    </row>
    <row r="1665" spans="1:14">
      <c r="A1665" t="str">
        <f>IFERROR(_xlfn.XLOOKUP(B1665,Cuentas!$C$1:$C$521,Cuentas!$A$1:$A$521),"")</f>
        <v>Yuldor</v>
      </c>
      <c r="B1665" t="s">
        <v>1899</v>
      </c>
      <c r="C1665" t="s">
        <v>1900</v>
      </c>
      <c r="D1665" t="s">
        <v>16</v>
      </c>
      <c r="E1665" t="s">
        <v>7</v>
      </c>
      <c r="F1665" t="s">
        <v>1901</v>
      </c>
      <c r="G1665" t="s">
        <v>1901</v>
      </c>
      <c r="H1665" s="2">
        <v>45568</v>
      </c>
      <c r="I1665" s="2">
        <v>45598</v>
      </c>
      <c r="J1665" t="s">
        <v>20</v>
      </c>
      <c r="K1665" s="21">
        <v>362</v>
      </c>
      <c r="L1665" s="21">
        <v>362</v>
      </c>
      <c r="M1665">
        <v>0</v>
      </c>
      <c r="N1665" s="21">
        <v>362</v>
      </c>
    </row>
    <row r="1666" spans="1:14">
      <c r="A1666" t="str">
        <f>IFERROR(_xlfn.XLOOKUP(B1666,Cuentas!$C$1:$C$521,Cuentas!$A$1:$A$521),"")</f>
        <v>Yuldor</v>
      </c>
      <c r="B1666" t="s">
        <v>1902</v>
      </c>
      <c r="C1666" t="s">
        <v>1903</v>
      </c>
      <c r="D1666" t="s">
        <v>16</v>
      </c>
      <c r="E1666" t="s">
        <v>7</v>
      </c>
      <c r="F1666" t="s">
        <v>1904</v>
      </c>
      <c r="G1666" t="s">
        <v>1904</v>
      </c>
      <c r="H1666" s="2">
        <v>45446</v>
      </c>
      <c r="I1666" s="2">
        <v>45476</v>
      </c>
      <c r="J1666" t="s">
        <v>20</v>
      </c>
      <c r="K1666" s="21">
        <v>3284</v>
      </c>
      <c r="L1666" s="21">
        <v>32.840000000000003</v>
      </c>
      <c r="M1666">
        <v>0</v>
      </c>
      <c r="N1666" s="21">
        <v>32.840000000000003</v>
      </c>
    </row>
    <row r="1667" spans="1:14">
      <c r="A1667" t="str">
        <f>IFERROR(_xlfn.XLOOKUP(B1667,Cuentas!$C$1:$C$521,Cuentas!$A$1:$A$521),"")</f>
        <v>Yuldor</v>
      </c>
      <c r="B1667" t="s">
        <v>1902</v>
      </c>
      <c r="C1667" t="s">
        <v>1903</v>
      </c>
      <c r="D1667" t="s">
        <v>16</v>
      </c>
      <c r="E1667" t="s">
        <v>3139</v>
      </c>
      <c r="F1667" t="s">
        <v>1904</v>
      </c>
      <c r="G1667" t="s">
        <v>1904</v>
      </c>
      <c r="I1667" s="2">
        <v>45714</v>
      </c>
      <c r="J1667" t="s">
        <v>20</v>
      </c>
      <c r="K1667" s="21">
        <v>-3251.16</v>
      </c>
      <c r="L1667" s="21" t="s">
        <v>86</v>
      </c>
      <c r="M1667">
        <v>0</v>
      </c>
      <c r="N1667" s="21" t="s">
        <v>86</v>
      </c>
    </row>
    <row r="1668" spans="1:14">
      <c r="A1668" t="str">
        <f>IFERROR(_xlfn.XLOOKUP(B1668,Cuentas!$C$1:$C$521,Cuentas!$A$1:$A$521),"")</f>
        <v>Yuldor</v>
      </c>
      <c r="B1668" t="s">
        <v>1902</v>
      </c>
      <c r="C1668" t="s">
        <v>1903</v>
      </c>
      <c r="D1668" t="s">
        <v>16</v>
      </c>
      <c r="E1668" t="s">
        <v>7</v>
      </c>
      <c r="F1668" t="s">
        <v>1905</v>
      </c>
      <c r="G1668" t="s">
        <v>1905</v>
      </c>
      <c r="H1668" s="2">
        <v>45512</v>
      </c>
      <c r="I1668" s="2">
        <v>45542</v>
      </c>
      <c r="J1668" t="s">
        <v>20</v>
      </c>
      <c r="K1668" s="21">
        <v>7299.9</v>
      </c>
      <c r="L1668" s="21">
        <v>72.989999999999995</v>
      </c>
      <c r="M1668">
        <v>0</v>
      </c>
      <c r="N1668" s="21">
        <v>72.989999999999995</v>
      </c>
    </row>
    <row r="1669" spans="1:14">
      <c r="A1669" t="str">
        <f>IFERROR(_xlfn.XLOOKUP(B1669,Cuentas!$C$1:$C$521,Cuentas!$A$1:$A$521),"")</f>
        <v>Yuldor</v>
      </c>
      <c r="B1669" t="s">
        <v>1902</v>
      </c>
      <c r="C1669" t="s">
        <v>1903</v>
      </c>
      <c r="D1669" t="s">
        <v>16</v>
      </c>
      <c r="E1669" t="s">
        <v>3139</v>
      </c>
      <c r="F1669" t="s">
        <v>1905</v>
      </c>
      <c r="G1669" t="s">
        <v>1905</v>
      </c>
      <c r="I1669" s="2">
        <v>45714</v>
      </c>
      <c r="J1669" t="s">
        <v>20</v>
      </c>
      <c r="K1669" s="21">
        <v>-7226.91</v>
      </c>
      <c r="L1669" s="21" t="s">
        <v>86</v>
      </c>
      <c r="M1669">
        <v>0</v>
      </c>
      <c r="N1669" s="21" t="s">
        <v>86</v>
      </c>
    </row>
    <row r="1670" spans="1:14">
      <c r="A1670" t="str">
        <f>IFERROR(_xlfn.XLOOKUP(B1670,Cuentas!$C$1:$C$521,Cuentas!$A$1:$A$521),"")</f>
        <v>Yuldor</v>
      </c>
      <c r="B1670" t="s">
        <v>1902</v>
      </c>
      <c r="C1670" t="s">
        <v>1903</v>
      </c>
      <c r="D1670" t="s">
        <v>16</v>
      </c>
      <c r="E1670" t="s">
        <v>7</v>
      </c>
      <c r="F1670" t="s">
        <v>1906</v>
      </c>
      <c r="G1670" t="s">
        <v>1906</v>
      </c>
      <c r="H1670" s="2">
        <v>45582</v>
      </c>
      <c r="I1670" s="2">
        <v>45612</v>
      </c>
      <c r="J1670" t="s">
        <v>20</v>
      </c>
      <c r="K1670" s="21">
        <v>4220</v>
      </c>
      <c r="L1670" s="21">
        <v>42.2</v>
      </c>
      <c r="M1670">
        <v>0</v>
      </c>
      <c r="N1670" s="21">
        <v>42.2</v>
      </c>
    </row>
    <row r="1671" spans="1:14">
      <c r="A1671" t="str">
        <f>IFERROR(_xlfn.XLOOKUP(B1671,Cuentas!$C$1:$C$521,Cuentas!$A$1:$A$521),"")</f>
        <v>Yuldor</v>
      </c>
      <c r="B1671" t="s">
        <v>1902</v>
      </c>
      <c r="C1671" t="s">
        <v>1903</v>
      </c>
      <c r="D1671" t="s">
        <v>16</v>
      </c>
      <c r="E1671" t="s">
        <v>3139</v>
      </c>
      <c r="F1671" t="s">
        <v>1906</v>
      </c>
      <c r="G1671" t="s">
        <v>1906</v>
      </c>
      <c r="I1671" s="2">
        <v>45714</v>
      </c>
      <c r="J1671" t="s">
        <v>20</v>
      </c>
      <c r="K1671" s="21">
        <v>-4177.8</v>
      </c>
      <c r="L1671" s="21" t="s">
        <v>86</v>
      </c>
      <c r="M1671">
        <v>0</v>
      </c>
      <c r="N1671" s="21" t="s">
        <v>86</v>
      </c>
    </row>
    <row r="1672" spans="1:14">
      <c r="A1672" t="str">
        <f>IFERROR(_xlfn.XLOOKUP(B1672,Cuentas!$C$1:$C$521,Cuentas!$A$1:$A$521),"")</f>
        <v>Yuldor</v>
      </c>
      <c r="B1672" t="s">
        <v>1902</v>
      </c>
      <c r="C1672" t="s">
        <v>1903</v>
      </c>
      <c r="D1672" t="s">
        <v>16</v>
      </c>
      <c r="E1672" t="s">
        <v>7</v>
      </c>
      <c r="F1672" t="s">
        <v>1907</v>
      </c>
      <c r="G1672" t="s">
        <v>1907</v>
      </c>
      <c r="H1672" s="2">
        <v>45631</v>
      </c>
      <c r="I1672" s="2">
        <v>45661</v>
      </c>
      <c r="J1672" t="s">
        <v>20</v>
      </c>
      <c r="K1672" s="21">
        <v>4076</v>
      </c>
      <c r="L1672" s="21">
        <v>40.770000000000003</v>
      </c>
      <c r="M1672">
        <v>0</v>
      </c>
      <c r="N1672" s="21">
        <v>40.770000000000003</v>
      </c>
    </row>
    <row r="1673" spans="1:14">
      <c r="A1673" t="str">
        <f>IFERROR(_xlfn.XLOOKUP(B1673,Cuentas!$C$1:$C$521,Cuentas!$A$1:$A$521),"")</f>
        <v>Yuldor</v>
      </c>
      <c r="B1673" t="s">
        <v>1902</v>
      </c>
      <c r="C1673" t="s">
        <v>1903</v>
      </c>
      <c r="D1673" t="s">
        <v>16</v>
      </c>
      <c r="E1673" t="s">
        <v>3139</v>
      </c>
      <c r="F1673" t="s">
        <v>1907</v>
      </c>
      <c r="G1673" t="s">
        <v>1907</v>
      </c>
      <c r="I1673" s="2">
        <v>45714</v>
      </c>
      <c r="J1673" t="s">
        <v>20</v>
      </c>
      <c r="K1673" s="21">
        <v>-4035.23</v>
      </c>
      <c r="L1673" s="21" t="s">
        <v>86</v>
      </c>
      <c r="M1673">
        <v>0</v>
      </c>
      <c r="N1673" s="21" t="s">
        <v>86</v>
      </c>
    </row>
    <row r="1674" spans="1:14">
      <c r="A1674" t="str">
        <f>IFERROR(_xlfn.XLOOKUP(B1674,Cuentas!$C$1:$C$521,Cuentas!$A$1:$A$521),"")</f>
        <v>Yuldor</v>
      </c>
      <c r="B1674" t="s">
        <v>1902</v>
      </c>
      <c r="C1674" t="s">
        <v>1903</v>
      </c>
      <c r="D1674" t="s">
        <v>16</v>
      </c>
      <c r="E1674" t="s">
        <v>7</v>
      </c>
      <c r="F1674" t="s">
        <v>1908</v>
      </c>
      <c r="G1674" t="s">
        <v>1908</v>
      </c>
      <c r="H1674" s="2">
        <v>45659</v>
      </c>
      <c r="I1674" s="2">
        <v>45689</v>
      </c>
      <c r="J1674" t="s">
        <v>20</v>
      </c>
      <c r="K1674" s="21">
        <v>19274</v>
      </c>
      <c r="L1674" s="21">
        <v>98</v>
      </c>
      <c r="M1674">
        <v>0</v>
      </c>
      <c r="N1674" s="21">
        <v>98</v>
      </c>
    </row>
    <row r="1675" spans="1:14">
      <c r="A1675" t="str">
        <f>IFERROR(_xlfn.XLOOKUP(B1675,Cuentas!$C$1:$C$521,Cuentas!$A$1:$A$521),"")</f>
        <v>Yuldor</v>
      </c>
      <c r="B1675" t="s">
        <v>1902</v>
      </c>
      <c r="C1675" t="s">
        <v>1903</v>
      </c>
      <c r="D1675" t="s">
        <v>16</v>
      </c>
      <c r="E1675" t="s">
        <v>3139</v>
      </c>
      <c r="F1675" t="s">
        <v>1908</v>
      </c>
      <c r="G1675" t="s">
        <v>1908</v>
      </c>
      <c r="I1675" s="2">
        <v>45706</v>
      </c>
      <c r="J1675" t="s">
        <v>20</v>
      </c>
      <c r="K1675" s="21">
        <v>-19176</v>
      </c>
      <c r="L1675" s="21" t="s">
        <v>86</v>
      </c>
      <c r="M1675">
        <v>0</v>
      </c>
      <c r="N1675" s="21" t="s">
        <v>86</v>
      </c>
    </row>
    <row r="1676" spans="1:14">
      <c r="A1676" t="str">
        <f>IFERROR(_xlfn.XLOOKUP(B1676,Cuentas!$C$1:$C$521,Cuentas!$A$1:$A$521),"")</f>
        <v>Yuldor</v>
      </c>
      <c r="B1676" t="s">
        <v>1902</v>
      </c>
      <c r="C1676" t="s">
        <v>1903</v>
      </c>
      <c r="D1676" t="s">
        <v>16</v>
      </c>
      <c r="E1676" t="s">
        <v>3139</v>
      </c>
      <c r="F1676" t="s">
        <v>1908</v>
      </c>
      <c r="G1676" t="s">
        <v>1908</v>
      </c>
      <c r="I1676" s="2">
        <v>45706</v>
      </c>
      <c r="J1676" t="s">
        <v>20</v>
      </c>
      <c r="K1676" s="21">
        <v>19176</v>
      </c>
      <c r="L1676" s="21" t="s">
        <v>86</v>
      </c>
      <c r="M1676">
        <v>0</v>
      </c>
      <c r="N1676" s="21" t="s">
        <v>86</v>
      </c>
    </row>
    <row r="1677" spans="1:14">
      <c r="A1677" t="str">
        <f>IFERROR(_xlfn.XLOOKUP(B1677,Cuentas!$C$1:$C$521,Cuentas!$A$1:$A$521),"")</f>
        <v>Yuldor</v>
      </c>
      <c r="B1677" t="s">
        <v>1902</v>
      </c>
      <c r="C1677" t="s">
        <v>1903</v>
      </c>
      <c r="D1677" t="s">
        <v>16</v>
      </c>
      <c r="E1677" t="s">
        <v>3139</v>
      </c>
      <c r="F1677" t="s">
        <v>1908</v>
      </c>
      <c r="G1677" t="s">
        <v>1908</v>
      </c>
      <c r="I1677" s="2">
        <v>45706</v>
      </c>
      <c r="J1677" t="s">
        <v>20</v>
      </c>
      <c r="K1677" s="21">
        <v>-19176</v>
      </c>
      <c r="L1677" s="21" t="s">
        <v>86</v>
      </c>
      <c r="M1677">
        <v>0</v>
      </c>
      <c r="N1677" s="21" t="s">
        <v>86</v>
      </c>
    </row>
    <row r="1678" spans="1:14">
      <c r="A1678" t="str">
        <f>IFERROR(_xlfn.XLOOKUP(B1678,Cuentas!$C$1:$C$521,Cuentas!$A$1:$A$521),"")</f>
        <v>Yuldor</v>
      </c>
      <c r="B1678" t="s">
        <v>1902</v>
      </c>
      <c r="C1678" t="s">
        <v>1903</v>
      </c>
      <c r="D1678" t="s">
        <v>16</v>
      </c>
      <c r="E1678" t="s">
        <v>7</v>
      </c>
      <c r="F1678" t="s">
        <v>1909</v>
      </c>
      <c r="G1678" t="s">
        <v>1909</v>
      </c>
      <c r="H1678" s="2">
        <v>45671</v>
      </c>
      <c r="I1678" s="2">
        <v>45701</v>
      </c>
      <c r="J1678" t="s">
        <v>20</v>
      </c>
      <c r="K1678" s="21">
        <v>8212</v>
      </c>
      <c r="L1678" s="21">
        <v>82.12</v>
      </c>
      <c r="M1678">
        <v>0</v>
      </c>
      <c r="N1678" s="21">
        <v>82.12</v>
      </c>
    </row>
    <row r="1679" spans="1:14">
      <c r="A1679" t="str">
        <f>IFERROR(_xlfn.XLOOKUP(B1679,Cuentas!$C$1:$C$521,Cuentas!$A$1:$A$521),"")</f>
        <v>Yuldor</v>
      </c>
      <c r="B1679" t="s">
        <v>1902</v>
      </c>
      <c r="C1679" t="s">
        <v>1903</v>
      </c>
      <c r="D1679" t="s">
        <v>16</v>
      </c>
      <c r="E1679" t="s">
        <v>3139</v>
      </c>
      <c r="F1679" t="s">
        <v>1909</v>
      </c>
      <c r="G1679" t="s">
        <v>1909</v>
      </c>
      <c r="I1679" s="2">
        <v>45714</v>
      </c>
      <c r="J1679" t="s">
        <v>20</v>
      </c>
      <c r="K1679" s="21">
        <v>-8129.88</v>
      </c>
      <c r="L1679" s="21" t="s">
        <v>86</v>
      </c>
      <c r="M1679">
        <v>0</v>
      </c>
      <c r="N1679" s="21" t="s">
        <v>86</v>
      </c>
    </row>
    <row r="1680" spans="1:14">
      <c r="A1680" t="str">
        <f>IFERROR(_xlfn.XLOOKUP(B1680,Cuentas!$C$1:$C$521,Cuentas!$A$1:$A$521),"")</f>
        <v>Yuldor</v>
      </c>
      <c r="B1680" t="s">
        <v>1902</v>
      </c>
      <c r="C1680" t="s">
        <v>1903</v>
      </c>
      <c r="D1680" t="s">
        <v>16</v>
      </c>
      <c r="E1680" t="s">
        <v>7</v>
      </c>
      <c r="F1680" t="s">
        <v>1910</v>
      </c>
      <c r="G1680" t="s">
        <v>1910</v>
      </c>
      <c r="H1680" s="2">
        <v>45701</v>
      </c>
      <c r="I1680" s="2">
        <v>45731</v>
      </c>
      <c r="J1680" t="s">
        <v>20</v>
      </c>
      <c r="K1680" s="21">
        <v>2680</v>
      </c>
      <c r="L1680" s="21">
        <v>2680</v>
      </c>
      <c r="M1680">
        <v>11</v>
      </c>
      <c r="N1680" s="21">
        <v>2680</v>
      </c>
    </row>
    <row r="1681" spans="1:14">
      <c r="A1681" t="str">
        <f>IFERROR(_xlfn.XLOOKUP(B1681,Cuentas!$C$1:$C$521,Cuentas!$A$1:$A$521),"")</f>
        <v>Yuldor</v>
      </c>
      <c r="B1681" t="s">
        <v>1902</v>
      </c>
      <c r="C1681" t="s">
        <v>1903</v>
      </c>
      <c r="D1681" t="s">
        <v>16</v>
      </c>
      <c r="E1681" t="s">
        <v>7</v>
      </c>
      <c r="F1681" t="s">
        <v>1911</v>
      </c>
      <c r="G1681" t="s">
        <v>1911</v>
      </c>
      <c r="H1681" s="2">
        <v>45728</v>
      </c>
      <c r="I1681" s="2">
        <v>45758</v>
      </c>
      <c r="J1681" t="s">
        <v>20</v>
      </c>
      <c r="K1681" s="21">
        <v>2743</v>
      </c>
      <c r="L1681" s="21">
        <v>2743</v>
      </c>
      <c r="M1681">
        <v>0</v>
      </c>
      <c r="N1681" s="21">
        <v>0</v>
      </c>
    </row>
    <row r="1682" spans="1:14">
      <c r="A1682" t="str">
        <f>IFERROR(_xlfn.XLOOKUP(B1682,Cuentas!$C$1:$C$521,Cuentas!$A$1:$A$521),"")</f>
        <v>Nicolas</v>
      </c>
      <c r="B1682" t="s">
        <v>1912</v>
      </c>
      <c r="C1682" t="s">
        <v>1913</v>
      </c>
      <c r="D1682" t="s">
        <v>16</v>
      </c>
      <c r="E1682" t="s">
        <v>5502</v>
      </c>
      <c r="F1682" t="s">
        <v>1914</v>
      </c>
      <c r="G1682" t="s">
        <v>19</v>
      </c>
      <c r="I1682" s="2">
        <v>45519</v>
      </c>
      <c r="J1682" t="s">
        <v>20</v>
      </c>
      <c r="K1682" s="21">
        <v>-47.94</v>
      </c>
      <c r="L1682" s="21">
        <v>-47.94</v>
      </c>
      <c r="M1682">
        <v>0</v>
      </c>
      <c r="N1682" s="21">
        <v>-47.94</v>
      </c>
    </row>
    <row r="1683" spans="1:14">
      <c r="A1683" t="str">
        <f>IFERROR(_xlfn.XLOOKUP(B1683,Cuentas!$C$1:$C$521,Cuentas!$A$1:$A$521),"")</f>
        <v>Nicolas</v>
      </c>
      <c r="B1683" t="s">
        <v>1912</v>
      </c>
      <c r="C1683" t="s">
        <v>1913</v>
      </c>
      <c r="D1683" t="s">
        <v>16</v>
      </c>
      <c r="E1683" t="s">
        <v>7</v>
      </c>
      <c r="F1683" t="s">
        <v>1915</v>
      </c>
      <c r="G1683" t="s">
        <v>1915</v>
      </c>
      <c r="H1683" s="2">
        <v>45721</v>
      </c>
      <c r="I1683" s="2">
        <v>45751</v>
      </c>
      <c r="J1683" t="s">
        <v>20</v>
      </c>
      <c r="K1683" s="21">
        <v>645.84</v>
      </c>
      <c r="L1683" s="21">
        <v>645.84</v>
      </c>
      <c r="M1683">
        <v>0</v>
      </c>
      <c r="N1683" s="21">
        <v>0</v>
      </c>
    </row>
    <row r="1684" spans="1:14">
      <c r="A1684" t="str">
        <f>IFERROR(_xlfn.XLOOKUP(B1684,Cuentas!$C$1:$C$521,Cuentas!$A$1:$A$521),"")</f>
        <v>Yuldor</v>
      </c>
      <c r="B1684" t="s">
        <v>1916</v>
      </c>
      <c r="C1684" t="s">
        <v>1917</v>
      </c>
      <c r="D1684" t="s">
        <v>16</v>
      </c>
      <c r="E1684" t="s">
        <v>7</v>
      </c>
      <c r="F1684" t="s">
        <v>1918</v>
      </c>
      <c r="G1684" t="s">
        <v>1918</v>
      </c>
      <c r="H1684" s="2">
        <v>45511</v>
      </c>
      <c r="I1684" s="2">
        <v>45541</v>
      </c>
      <c r="J1684" t="s">
        <v>20</v>
      </c>
      <c r="K1684" s="21">
        <v>197.25</v>
      </c>
      <c r="L1684" s="21">
        <v>197.25</v>
      </c>
      <c r="M1684">
        <v>0</v>
      </c>
      <c r="N1684" s="21">
        <v>197.25</v>
      </c>
    </row>
    <row r="1685" spans="1:14">
      <c r="A1685" t="str">
        <f>IFERROR(_xlfn.XLOOKUP(B1685,Cuentas!$C$1:$C$521,Cuentas!$A$1:$A$521),"")</f>
        <v>Yuldor</v>
      </c>
      <c r="B1685" t="s">
        <v>1916</v>
      </c>
      <c r="C1685" t="s">
        <v>1917</v>
      </c>
      <c r="D1685" t="s">
        <v>16</v>
      </c>
      <c r="E1685" t="s">
        <v>7</v>
      </c>
      <c r="F1685" t="s">
        <v>1919</v>
      </c>
      <c r="G1685" t="s">
        <v>1919</v>
      </c>
      <c r="H1685" s="2">
        <v>45726</v>
      </c>
      <c r="I1685" s="2">
        <v>45756</v>
      </c>
      <c r="J1685" t="s">
        <v>20</v>
      </c>
      <c r="K1685" s="21">
        <v>5386.49</v>
      </c>
      <c r="L1685" s="21">
        <v>592.15</v>
      </c>
      <c r="M1685">
        <v>0</v>
      </c>
      <c r="N1685" s="21">
        <v>0</v>
      </c>
    </row>
    <row r="1686" spans="1:14">
      <c r="A1686" t="str">
        <f>IFERROR(_xlfn.XLOOKUP(B1686,Cuentas!$C$1:$C$521,Cuentas!$A$1:$A$521),"")</f>
        <v>Yuldor</v>
      </c>
      <c r="B1686" t="s">
        <v>1916</v>
      </c>
      <c r="C1686" t="s">
        <v>1917</v>
      </c>
      <c r="D1686" t="s">
        <v>16</v>
      </c>
      <c r="E1686" t="s">
        <v>3139</v>
      </c>
      <c r="F1686" t="s">
        <v>1919</v>
      </c>
      <c r="G1686" t="s">
        <v>1919</v>
      </c>
      <c r="I1686" s="2">
        <v>45740</v>
      </c>
      <c r="J1686" t="s">
        <v>20</v>
      </c>
      <c r="K1686" s="21">
        <v>-4794.34</v>
      </c>
      <c r="L1686" s="21" t="s">
        <v>86</v>
      </c>
      <c r="M1686">
        <v>13</v>
      </c>
      <c r="N1686" s="21" t="s">
        <v>86</v>
      </c>
    </row>
    <row r="1687" spans="1:14">
      <c r="A1687" t="str">
        <f>IFERROR(_xlfn.XLOOKUP(B1687,Cuentas!$C$1:$C$521,Cuentas!$A$1:$A$521),"")</f>
        <v>Alexandra</v>
      </c>
      <c r="B1687" t="s">
        <v>1920</v>
      </c>
      <c r="C1687" t="s">
        <v>1921</v>
      </c>
      <c r="D1687" t="s">
        <v>213</v>
      </c>
      <c r="E1687" t="s">
        <v>5502</v>
      </c>
      <c r="F1687" t="s">
        <v>1922</v>
      </c>
      <c r="G1687" t="s">
        <v>19</v>
      </c>
      <c r="I1687" s="2">
        <v>45260</v>
      </c>
      <c r="J1687" t="s">
        <v>20</v>
      </c>
      <c r="K1687" s="21">
        <v>-169.96</v>
      </c>
      <c r="L1687" s="21">
        <v>-169.96</v>
      </c>
      <c r="M1687">
        <v>0</v>
      </c>
      <c r="N1687" s="21">
        <v>-169.96</v>
      </c>
    </row>
    <row r="1688" spans="1:14">
      <c r="A1688" t="str">
        <f>IFERROR(_xlfn.XLOOKUP(B1688,Cuentas!$C$1:$C$521,Cuentas!$A$1:$A$521),"")</f>
        <v>Alexandra</v>
      </c>
      <c r="B1688" t="s">
        <v>1920</v>
      </c>
      <c r="C1688" t="s">
        <v>1921</v>
      </c>
      <c r="D1688" t="s">
        <v>213</v>
      </c>
      <c r="E1688" t="s">
        <v>5502</v>
      </c>
      <c r="F1688" t="s">
        <v>1923</v>
      </c>
      <c r="G1688" t="s">
        <v>19</v>
      </c>
      <c r="I1688" s="2">
        <v>45351</v>
      </c>
      <c r="J1688" t="s">
        <v>20</v>
      </c>
      <c r="K1688" s="21">
        <v>-178.85</v>
      </c>
      <c r="L1688" s="21">
        <v>-178.85</v>
      </c>
      <c r="M1688">
        <v>0</v>
      </c>
      <c r="N1688" s="21">
        <v>-178.85</v>
      </c>
    </row>
    <row r="1689" spans="1:14">
      <c r="A1689" t="str">
        <f>IFERROR(_xlfn.XLOOKUP(B1689,Cuentas!$C$1:$C$521,Cuentas!$A$1:$A$521),"")</f>
        <v>Alexandra</v>
      </c>
      <c r="B1689" t="s">
        <v>1924</v>
      </c>
      <c r="C1689" t="s">
        <v>1925</v>
      </c>
      <c r="D1689" t="s">
        <v>16</v>
      </c>
      <c r="E1689" t="s">
        <v>7</v>
      </c>
      <c r="F1689" t="s">
        <v>1926</v>
      </c>
      <c r="G1689" t="s">
        <v>1926</v>
      </c>
      <c r="H1689" s="2">
        <v>45698</v>
      </c>
      <c r="I1689" s="2">
        <v>45728</v>
      </c>
      <c r="J1689" t="s">
        <v>20</v>
      </c>
      <c r="K1689" s="21">
        <v>340.83</v>
      </c>
      <c r="L1689" s="21">
        <v>340.83</v>
      </c>
      <c r="M1689">
        <v>11</v>
      </c>
      <c r="N1689" s="21">
        <v>340.83</v>
      </c>
    </row>
    <row r="1690" spans="1:14">
      <c r="A1690" t="str">
        <f>IFERROR(_xlfn.XLOOKUP(B1690,Cuentas!$C$1:$C$521,Cuentas!$A$1:$A$521),"")</f>
        <v>Alexandra</v>
      </c>
      <c r="B1690" t="s">
        <v>1927</v>
      </c>
      <c r="C1690" t="s">
        <v>1928</v>
      </c>
      <c r="D1690" t="s">
        <v>16</v>
      </c>
      <c r="E1690" t="s">
        <v>5502</v>
      </c>
      <c r="F1690" t="s">
        <v>1929</v>
      </c>
      <c r="G1690" t="s">
        <v>19</v>
      </c>
      <c r="I1690" s="2">
        <v>45260</v>
      </c>
      <c r="J1690" t="s">
        <v>20</v>
      </c>
      <c r="K1690" s="21">
        <v>-421.28</v>
      </c>
      <c r="L1690" s="21">
        <v>-421.28</v>
      </c>
      <c r="M1690">
        <v>0</v>
      </c>
      <c r="N1690" s="21">
        <v>-421.28</v>
      </c>
    </row>
    <row r="1691" spans="1:14">
      <c r="A1691" t="str">
        <f>IFERROR(_xlfn.XLOOKUP(B1691,Cuentas!$C$1:$C$521,Cuentas!$A$1:$A$521),"")</f>
        <v>Alexandra</v>
      </c>
      <c r="B1691" t="s">
        <v>1930</v>
      </c>
      <c r="C1691" t="s">
        <v>1931</v>
      </c>
      <c r="D1691" t="s">
        <v>16</v>
      </c>
      <c r="E1691" t="s">
        <v>3139</v>
      </c>
      <c r="F1691" t="s">
        <v>19</v>
      </c>
      <c r="G1691" t="s">
        <v>19</v>
      </c>
      <c r="I1691" s="2">
        <v>45659</v>
      </c>
      <c r="J1691" t="s">
        <v>20</v>
      </c>
      <c r="K1691" s="21">
        <v>-359</v>
      </c>
      <c r="L1691" s="21">
        <v>-359</v>
      </c>
      <c r="M1691">
        <v>0</v>
      </c>
      <c r="N1691" s="21">
        <v>-359</v>
      </c>
    </row>
    <row r="1692" spans="1:14">
      <c r="A1692" t="str">
        <f>IFERROR(_xlfn.XLOOKUP(B1692,Cuentas!$C$1:$C$521,Cuentas!$A$1:$A$521),"")</f>
        <v>Alexandra</v>
      </c>
      <c r="B1692" t="s">
        <v>1930</v>
      </c>
      <c r="C1692" t="s">
        <v>1931</v>
      </c>
      <c r="D1692" t="s">
        <v>16</v>
      </c>
      <c r="E1692" t="s">
        <v>7</v>
      </c>
      <c r="F1692" t="s">
        <v>1932</v>
      </c>
      <c r="G1692" t="s">
        <v>1932</v>
      </c>
      <c r="H1692" s="2">
        <v>45716</v>
      </c>
      <c r="I1692" s="2">
        <v>45746</v>
      </c>
      <c r="J1692" t="s">
        <v>20</v>
      </c>
      <c r="K1692" s="21">
        <v>460</v>
      </c>
      <c r="L1692" s="21">
        <v>460</v>
      </c>
      <c r="M1692">
        <v>13</v>
      </c>
      <c r="N1692" s="21">
        <v>460</v>
      </c>
    </row>
    <row r="1693" spans="1:14">
      <c r="A1693" t="str">
        <f>IFERROR(_xlfn.XLOOKUP(B1693,Cuentas!$C$1:$C$521,Cuentas!$A$1:$A$521),"")</f>
        <v>Yuldor</v>
      </c>
      <c r="B1693" t="s">
        <v>1933</v>
      </c>
      <c r="C1693" t="s">
        <v>1934</v>
      </c>
      <c r="D1693" t="s">
        <v>16</v>
      </c>
      <c r="E1693" t="s">
        <v>7</v>
      </c>
      <c r="F1693" t="s">
        <v>1935</v>
      </c>
      <c r="G1693" t="s">
        <v>1935</v>
      </c>
      <c r="H1693" s="2">
        <v>45723</v>
      </c>
      <c r="I1693" s="2">
        <v>45753</v>
      </c>
      <c r="J1693" t="s">
        <v>20</v>
      </c>
      <c r="K1693" s="21">
        <v>21440</v>
      </c>
      <c r="L1693" s="21">
        <v>20100</v>
      </c>
      <c r="M1693">
        <v>0</v>
      </c>
      <c r="N1693" s="21">
        <v>0</v>
      </c>
    </row>
    <row r="1694" spans="1:14">
      <c r="A1694" t="str">
        <f>IFERROR(_xlfn.XLOOKUP(B1694,Cuentas!$C$1:$C$521,Cuentas!$A$1:$A$521),"")</f>
        <v>Yuldor</v>
      </c>
      <c r="B1694" t="s">
        <v>1933</v>
      </c>
      <c r="C1694" t="s">
        <v>1934</v>
      </c>
      <c r="D1694" t="s">
        <v>16</v>
      </c>
      <c r="E1694" t="s">
        <v>5502</v>
      </c>
      <c r="F1694" t="s">
        <v>1936</v>
      </c>
      <c r="G1694" t="s">
        <v>1935</v>
      </c>
      <c r="I1694" s="2">
        <v>45735</v>
      </c>
      <c r="J1694" t="s">
        <v>20</v>
      </c>
      <c r="K1694" s="21">
        <v>-1340</v>
      </c>
      <c r="L1694" s="21" t="s">
        <v>86</v>
      </c>
      <c r="M1694">
        <v>12</v>
      </c>
      <c r="N1694" s="21" t="s">
        <v>86</v>
      </c>
    </row>
    <row r="1695" spans="1:14">
      <c r="A1695" t="str">
        <f>IFERROR(_xlfn.XLOOKUP(B1695,Cuentas!$C$1:$C$521,Cuentas!$A$1:$A$521),"")</f>
        <v>Yuldor</v>
      </c>
      <c r="B1695" t="s">
        <v>1933</v>
      </c>
      <c r="C1695" t="s">
        <v>1934</v>
      </c>
      <c r="D1695" t="s">
        <v>16</v>
      </c>
      <c r="E1695" t="s">
        <v>7</v>
      </c>
      <c r="F1695" t="s">
        <v>1937</v>
      </c>
      <c r="G1695" t="s">
        <v>1937</v>
      </c>
      <c r="H1695" s="2">
        <v>45735</v>
      </c>
      <c r="I1695" s="2">
        <v>45765</v>
      </c>
      <c r="J1695" t="s">
        <v>20</v>
      </c>
      <c r="K1695" s="21">
        <v>3450</v>
      </c>
      <c r="L1695" s="21">
        <v>3350</v>
      </c>
      <c r="M1695">
        <v>0</v>
      </c>
      <c r="N1695" s="21">
        <v>0</v>
      </c>
    </row>
    <row r="1696" spans="1:14">
      <c r="A1696" t="str">
        <f>IFERROR(_xlfn.XLOOKUP(B1696,Cuentas!$C$1:$C$521,Cuentas!$A$1:$A$521),"")</f>
        <v>Yuldor</v>
      </c>
      <c r="B1696" t="s">
        <v>1933</v>
      </c>
      <c r="C1696" t="s">
        <v>1934</v>
      </c>
      <c r="D1696" t="s">
        <v>16</v>
      </c>
      <c r="E1696" t="s">
        <v>5502</v>
      </c>
      <c r="F1696" t="s">
        <v>1938</v>
      </c>
      <c r="G1696" t="s">
        <v>1937</v>
      </c>
      <c r="I1696" s="2">
        <v>45741</v>
      </c>
      <c r="J1696" t="s">
        <v>20</v>
      </c>
      <c r="K1696" s="21">
        <v>-100</v>
      </c>
      <c r="L1696" s="21" t="s">
        <v>86</v>
      </c>
      <c r="M1696">
        <v>13</v>
      </c>
      <c r="N1696" s="21" t="s">
        <v>86</v>
      </c>
    </row>
    <row r="1697" spans="1:14">
      <c r="A1697" t="str">
        <f>IFERROR(_xlfn.XLOOKUP(B1697,Cuentas!$C$1:$C$521,Cuentas!$A$1:$A$521),"")</f>
        <v>Yuldor</v>
      </c>
      <c r="B1697" t="s">
        <v>1939</v>
      </c>
      <c r="C1697" t="s">
        <v>1940</v>
      </c>
      <c r="D1697" t="s">
        <v>16</v>
      </c>
      <c r="E1697" t="s">
        <v>7</v>
      </c>
      <c r="F1697" t="s">
        <v>1941</v>
      </c>
      <c r="G1697" t="s">
        <v>1941</v>
      </c>
      <c r="H1697" s="2">
        <v>45565</v>
      </c>
      <c r="I1697" s="2">
        <v>45595</v>
      </c>
      <c r="J1697" t="s">
        <v>20</v>
      </c>
      <c r="K1697" s="21">
        <v>3780</v>
      </c>
      <c r="L1697" s="21">
        <v>3780</v>
      </c>
      <c r="M1697">
        <v>0</v>
      </c>
      <c r="N1697" s="21">
        <v>3780</v>
      </c>
    </row>
    <row r="1698" spans="1:14">
      <c r="A1698" t="str">
        <f>IFERROR(_xlfn.XLOOKUP(B1698,Cuentas!$C$1:$C$521,Cuentas!$A$1:$A$521),"")</f>
        <v>Yuldor</v>
      </c>
      <c r="B1698" t="s">
        <v>1942</v>
      </c>
      <c r="C1698" t="s">
        <v>1943</v>
      </c>
      <c r="D1698" t="s">
        <v>16</v>
      </c>
      <c r="E1698" t="s">
        <v>7</v>
      </c>
      <c r="F1698" t="s">
        <v>1944</v>
      </c>
      <c r="G1698" t="s">
        <v>1944</v>
      </c>
      <c r="H1698" s="2">
        <v>45723</v>
      </c>
      <c r="I1698" s="2">
        <v>45753</v>
      </c>
      <c r="J1698" t="s">
        <v>20</v>
      </c>
      <c r="K1698" s="21">
        <v>2394</v>
      </c>
      <c r="L1698" s="21">
        <v>2394</v>
      </c>
      <c r="M1698">
        <v>0</v>
      </c>
      <c r="N1698" s="21">
        <v>0</v>
      </c>
    </row>
    <row r="1699" spans="1:14">
      <c r="A1699" t="str">
        <f>IFERROR(_xlfn.XLOOKUP(B1699,Cuentas!$C$1:$C$521,Cuentas!$A$1:$A$521),"")</f>
        <v>Yuldor</v>
      </c>
      <c r="B1699" t="s">
        <v>1942</v>
      </c>
      <c r="C1699" t="s">
        <v>1943</v>
      </c>
      <c r="D1699" t="s">
        <v>16</v>
      </c>
      <c r="E1699" t="s">
        <v>7</v>
      </c>
      <c r="F1699" t="s">
        <v>1945</v>
      </c>
      <c r="G1699" t="s">
        <v>1945</v>
      </c>
      <c r="H1699" s="2">
        <v>45733</v>
      </c>
      <c r="I1699" s="2">
        <v>45763</v>
      </c>
      <c r="J1699" t="s">
        <v>20</v>
      </c>
      <c r="K1699" s="21">
        <v>181.9</v>
      </c>
      <c r="L1699" s="21">
        <v>181.9</v>
      </c>
      <c r="M1699">
        <v>0</v>
      </c>
      <c r="N1699" s="21">
        <v>0</v>
      </c>
    </row>
    <row r="1700" spans="1:14">
      <c r="A1700" t="str">
        <f>IFERROR(_xlfn.XLOOKUP(B1700,Cuentas!$C$1:$C$521,Cuentas!$A$1:$A$521),"")</f>
        <v>Alexandra</v>
      </c>
      <c r="B1700" t="s">
        <v>1946</v>
      </c>
      <c r="C1700" t="s">
        <v>1947</v>
      </c>
      <c r="D1700" t="s">
        <v>16</v>
      </c>
      <c r="E1700" t="s">
        <v>7</v>
      </c>
      <c r="F1700" t="s">
        <v>1948</v>
      </c>
      <c r="G1700" t="s">
        <v>1948</v>
      </c>
      <c r="H1700" s="2">
        <v>45587</v>
      </c>
      <c r="I1700" s="2">
        <v>45617</v>
      </c>
      <c r="J1700" t="s">
        <v>20</v>
      </c>
      <c r="K1700" s="21">
        <v>420.12</v>
      </c>
      <c r="L1700" s="21">
        <v>420.12</v>
      </c>
      <c r="M1700">
        <v>0</v>
      </c>
      <c r="N1700" s="21">
        <v>420.12</v>
      </c>
    </row>
    <row r="1701" spans="1:14">
      <c r="A1701" t="str">
        <f>IFERROR(_xlfn.XLOOKUP(B1701,Cuentas!$C$1:$C$521,Cuentas!$A$1:$A$521),"")</f>
        <v>Yuldor</v>
      </c>
      <c r="B1701" t="s">
        <v>1949</v>
      </c>
      <c r="C1701" t="s">
        <v>1950</v>
      </c>
      <c r="D1701" t="s">
        <v>16</v>
      </c>
      <c r="E1701" t="s">
        <v>7</v>
      </c>
      <c r="F1701" t="s">
        <v>1951</v>
      </c>
      <c r="G1701" t="s">
        <v>1951</v>
      </c>
      <c r="H1701" s="2">
        <v>45575</v>
      </c>
      <c r="I1701" s="2">
        <v>45605</v>
      </c>
      <c r="J1701" t="s">
        <v>20</v>
      </c>
      <c r="K1701" s="21">
        <v>993</v>
      </c>
      <c r="L1701" s="21">
        <v>157</v>
      </c>
      <c r="M1701">
        <v>0</v>
      </c>
      <c r="N1701" s="21">
        <v>157</v>
      </c>
    </row>
    <row r="1702" spans="1:14">
      <c r="A1702" t="str">
        <f>IFERROR(_xlfn.XLOOKUP(B1702,Cuentas!$C$1:$C$521,Cuentas!$A$1:$A$521),"")</f>
        <v>Yuldor</v>
      </c>
      <c r="B1702" t="s">
        <v>1949</v>
      </c>
      <c r="C1702" t="s">
        <v>1950</v>
      </c>
      <c r="D1702" t="s">
        <v>16</v>
      </c>
      <c r="E1702" t="s">
        <v>3139</v>
      </c>
      <c r="F1702" t="s">
        <v>1951</v>
      </c>
      <c r="G1702" t="s">
        <v>1951</v>
      </c>
      <c r="I1702" s="2">
        <v>45593</v>
      </c>
      <c r="J1702" t="s">
        <v>20</v>
      </c>
      <c r="K1702" s="21">
        <v>-836</v>
      </c>
      <c r="L1702" s="21" t="s">
        <v>86</v>
      </c>
      <c r="M1702">
        <v>0</v>
      </c>
      <c r="N1702" s="21" t="s">
        <v>86</v>
      </c>
    </row>
    <row r="1703" spans="1:14">
      <c r="A1703" t="str">
        <f>IFERROR(_xlfn.XLOOKUP(B1703,Cuentas!$C$1:$C$521,Cuentas!$A$1:$A$521),"")</f>
        <v>Yuldor</v>
      </c>
      <c r="B1703" t="s">
        <v>1949</v>
      </c>
      <c r="C1703" t="s">
        <v>1950</v>
      </c>
      <c r="D1703" t="s">
        <v>16</v>
      </c>
      <c r="E1703" t="s">
        <v>7</v>
      </c>
      <c r="F1703" t="s">
        <v>1952</v>
      </c>
      <c r="G1703" t="s">
        <v>1952</v>
      </c>
      <c r="H1703" s="2">
        <v>45596</v>
      </c>
      <c r="I1703" s="2">
        <v>45626</v>
      </c>
      <c r="J1703" t="s">
        <v>20</v>
      </c>
      <c r="K1703" s="21">
        <v>823.67</v>
      </c>
      <c r="L1703" s="21">
        <v>199.67</v>
      </c>
      <c r="M1703">
        <v>0</v>
      </c>
      <c r="N1703" s="21">
        <v>199.67</v>
      </c>
    </row>
    <row r="1704" spans="1:14">
      <c r="A1704" t="str">
        <f>IFERROR(_xlfn.XLOOKUP(B1704,Cuentas!$C$1:$C$521,Cuentas!$A$1:$A$521),"")</f>
        <v>Yuldor</v>
      </c>
      <c r="B1704" t="s">
        <v>1949</v>
      </c>
      <c r="C1704" t="s">
        <v>1950</v>
      </c>
      <c r="D1704" t="s">
        <v>16</v>
      </c>
      <c r="E1704" t="s">
        <v>3139</v>
      </c>
      <c r="F1704" t="s">
        <v>1952</v>
      </c>
      <c r="G1704" t="s">
        <v>1952</v>
      </c>
      <c r="I1704" s="2">
        <v>45614</v>
      </c>
      <c r="J1704" t="s">
        <v>20</v>
      </c>
      <c r="K1704" s="21">
        <v>-624</v>
      </c>
      <c r="L1704" s="21" t="s">
        <v>86</v>
      </c>
      <c r="M1704">
        <v>0</v>
      </c>
      <c r="N1704" s="21" t="s">
        <v>86</v>
      </c>
    </row>
    <row r="1705" spans="1:14">
      <c r="A1705" t="str">
        <f>IFERROR(_xlfn.XLOOKUP(B1705,Cuentas!$C$1:$C$521,Cuentas!$A$1:$A$521),"")</f>
        <v>Yuldor</v>
      </c>
      <c r="B1705" t="s">
        <v>1953</v>
      </c>
      <c r="C1705" t="s">
        <v>1954</v>
      </c>
      <c r="D1705" t="s">
        <v>16</v>
      </c>
      <c r="E1705" t="s">
        <v>7</v>
      </c>
      <c r="F1705" t="s">
        <v>1955</v>
      </c>
      <c r="G1705" t="s">
        <v>1955</v>
      </c>
      <c r="H1705" s="2">
        <v>45716</v>
      </c>
      <c r="I1705" s="2">
        <v>45746</v>
      </c>
      <c r="J1705" t="s">
        <v>20</v>
      </c>
      <c r="K1705" s="21">
        <v>7088</v>
      </c>
      <c r="L1705" s="21">
        <v>7088</v>
      </c>
      <c r="M1705">
        <v>13</v>
      </c>
      <c r="N1705" s="21">
        <v>7088</v>
      </c>
    </row>
    <row r="1706" spans="1:14">
      <c r="A1706" t="str">
        <f>IFERROR(_xlfn.XLOOKUP(B1706,Cuentas!$C$1:$C$521,Cuentas!$A$1:$A$521),"")</f>
        <v>Yuldor</v>
      </c>
      <c r="B1706" t="s">
        <v>1953</v>
      </c>
      <c r="C1706" t="s">
        <v>1954</v>
      </c>
      <c r="D1706" t="s">
        <v>16</v>
      </c>
      <c r="E1706" t="s">
        <v>7</v>
      </c>
      <c r="F1706" t="s">
        <v>1956</v>
      </c>
      <c r="G1706" t="s">
        <v>1956</v>
      </c>
      <c r="H1706" s="2">
        <v>45716</v>
      </c>
      <c r="I1706" s="2">
        <v>45746</v>
      </c>
      <c r="J1706" t="s">
        <v>20</v>
      </c>
      <c r="K1706" s="21">
        <v>2813</v>
      </c>
      <c r="L1706" s="21">
        <v>2813</v>
      </c>
      <c r="M1706">
        <v>13</v>
      </c>
      <c r="N1706" s="21">
        <v>2813</v>
      </c>
    </row>
    <row r="1707" spans="1:14">
      <c r="A1707" t="str">
        <f>IFERROR(_xlfn.XLOOKUP(B1707,Cuentas!$C$1:$C$521,Cuentas!$A$1:$A$521),"")</f>
        <v>Yuldor</v>
      </c>
      <c r="B1707" t="s">
        <v>1953</v>
      </c>
      <c r="C1707" t="s">
        <v>1954</v>
      </c>
      <c r="D1707" t="s">
        <v>16</v>
      </c>
      <c r="E1707" t="s">
        <v>7</v>
      </c>
      <c r="F1707" t="s">
        <v>1957</v>
      </c>
      <c r="G1707" t="s">
        <v>1957</v>
      </c>
      <c r="H1707" s="2">
        <v>45716</v>
      </c>
      <c r="I1707" s="2">
        <v>45746</v>
      </c>
      <c r="J1707" t="s">
        <v>20</v>
      </c>
      <c r="K1707" s="21">
        <v>570</v>
      </c>
      <c r="L1707" s="21">
        <v>570</v>
      </c>
      <c r="M1707">
        <v>13</v>
      </c>
      <c r="N1707" s="21">
        <v>570</v>
      </c>
    </row>
    <row r="1708" spans="1:14">
      <c r="A1708" t="str">
        <f>IFERROR(_xlfn.XLOOKUP(B1708,Cuentas!$C$1:$C$521,Cuentas!$A$1:$A$521),"")</f>
        <v>Alexandra</v>
      </c>
      <c r="B1708" t="s">
        <v>1958</v>
      </c>
      <c r="C1708" t="s">
        <v>1959</v>
      </c>
      <c r="D1708" t="s">
        <v>16</v>
      </c>
      <c r="E1708" t="s">
        <v>5502</v>
      </c>
      <c r="F1708" t="s">
        <v>1960</v>
      </c>
      <c r="G1708" t="s">
        <v>19</v>
      </c>
      <c r="I1708" s="2">
        <v>45401</v>
      </c>
      <c r="J1708" t="s">
        <v>20</v>
      </c>
      <c r="K1708" s="21">
        <v>-5.28</v>
      </c>
      <c r="L1708" s="21">
        <v>-5.28</v>
      </c>
      <c r="M1708">
        <v>0</v>
      </c>
      <c r="N1708" s="21">
        <v>-5.28</v>
      </c>
    </row>
    <row r="1709" spans="1:14">
      <c r="A1709" t="str">
        <f>IFERROR(_xlfn.XLOOKUP(B1709,Cuentas!$C$1:$C$521,Cuentas!$A$1:$A$521),"")</f>
        <v>Alexandra</v>
      </c>
      <c r="B1709" t="s">
        <v>1961</v>
      </c>
      <c r="C1709" t="s">
        <v>1962</v>
      </c>
      <c r="D1709" t="s">
        <v>16</v>
      </c>
      <c r="E1709" t="s">
        <v>7</v>
      </c>
      <c r="F1709" t="s">
        <v>1963</v>
      </c>
      <c r="G1709" t="s">
        <v>1963</v>
      </c>
      <c r="H1709" s="2">
        <v>45665</v>
      </c>
      <c r="I1709" s="2">
        <v>45695</v>
      </c>
      <c r="J1709" t="s">
        <v>20</v>
      </c>
      <c r="K1709" s="21">
        <v>31511.5</v>
      </c>
      <c r="L1709" s="21">
        <v>-29450</v>
      </c>
      <c r="M1709">
        <v>0</v>
      </c>
      <c r="N1709" s="21">
        <v>-29450</v>
      </c>
    </row>
    <row r="1710" spans="1:14">
      <c r="A1710" t="str">
        <f>IFERROR(_xlfn.XLOOKUP(B1710,Cuentas!$C$1:$C$521,Cuentas!$A$1:$A$521),"")</f>
        <v>Alexandra</v>
      </c>
      <c r="B1710" t="s">
        <v>1961</v>
      </c>
      <c r="C1710" t="s">
        <v>1962</v>
      </c>
      <c r="D1710" t="s">
        <v>16</v>
      </c>
      <c r="E1710" t="s">
        <v>5502</v>
      </c>
      <c r="F1710" t="s">
        <v>1964</v>
      </c>
      <c r="G1710" t="s">
        <v>1963</v>
      </c>
      <c r="I1710" s="2">
        <v>45688</v>
      </c>
      <c r="J1710" t="s">
        <v>20</v>
      </c>
      <c r="K1710" s="21">
        <v>-2061.5</v>
      </c>
      <c r="L1710" s="21" t="s">
        <v>86</v>
      </c>
      <c r="M1710">
        <v>0</v>
      </c>
      <c r="N1710" s="21" t="s">
        <v>86</v>
      </c>
    </row>
    <row r="1711" spans="1:14">
      <c r="A1711" t="str">
        <f>IFERROR(_xlfn.XLOOKUP(B1711,Cuentas!$C$1:$C$521,Cuentas!$A$1:$A$521),"")</f>
        <v>Alexandra</v>
      </c>
      <c r="B1711" t="s">
        <v>1961</v>
      </c>
      <c r="C1711" t="s">
        <v>1962</v>
      </c>
      <c r="D1711" t="s">
        <v>16</v>
      </c>
      <c r="E1711" t="s">
        <v>5502</v>
      </c>
      <c r="F1711" t="s">
        <v>1965</v>
      </c>
      <c r="G1711" t="s">
        <v>1963</v>
      </c>
      <c r="I1711" s="2">
        <v>45736</v>
      </c>
      <c r="J1711" t="s">
        <v>20</v>
      </c>
      <c r="K1711" s="21">
        <v>-29450</v>
      </c>
      <c r="L1711" s="21" t="s">
        <v>86</v>
      </c>
      <c r="M1711">
        <v>12</v>
      </c>
      <c r="N1711" s="21" t="s">
        <v>86</v>
      </c>
    </row>
    <row r="1712" spans="1:14">
      <c r="A1712" t="str">
        <f>IFERROR(_xlfn.XLOOKUP(B1712,Cuentas!$C$1:$C$521,Cuentas!$A$1:$A$521),"")</f>
        <v>Alexandra</v>
      </c>
      <c r="B1712" t="s">
        <v>1961</v>
      </c>
      <c r="C1712" t="s">
        <v>1962</v>
      </c>
      <c r="D1712" t="s">
        <v>16</v>
      </c>
      <c r="E1712" t="s">
        <v>3139</v>
      </c>
      <c r="F1712" t="s">
        <v>1963</v>
      </c>
      <c r="G1712" t="s">
        <v>1963</v>
      </c>
      <c r="I1712" s="2">
        <v>45721</v>
      </c>
      <c r="J1712" t="s">
        <v>20</v>
      </c>
      <c r="K1712" s="21">
        <v>-29450</v>
      </c>
      <c r="L1712" s="21" t="s">
        <v>86</v>
      </c>
      <c r="M1712">
        <v>10</v>
      </c>
      <c r="N1712" s="21" t="s">
        <v>86</v>
      </c>
    </row>
    <row r="1713" spans="1:14">
      <c r="A1713" t="str">
        <f>IFERROR(_xlfn.XLOOKUP(B1713,Cuentas!$C$1:$C$521,Cuentas!$A$1:$A$521),"")</f>
        <v>Alexandra</v>
      </c>
      <c r="B1713" t="s">
        <v>1961</v>
      </c>
      <c r="C1713" t="s">
        <v>1962</v>
      </c>
      <c r="D1713" t="s">
        <v>16</v>
      </c>
      <c r="E1713" t="s">
        <v>7</v>
      </c>
      <c r="F1713" t="s">
        <v>1966</v>
      </c>
      <c r="G1713" t="s">
        <v>1966</v>
      </c>
      <c r="H1713" s="2">
        <v>45698</v>
      </c>
      <c r="I1713" s="2">
        <v>45728</v>
      </c>
      <c r="J1713" t="s">
        <v>20</v>
      </c>
      <c r="K1713" s="21">
        <v>14300</v>
      </c>
      <c r="L1713" s="21">
        <v>14300</v>
      </c>
      <c r="M1713">
        <v>11</v>
      </c>
      <c r="N1713" s="21">
        <v>14300</v>
      </c>
    </row>
    <row r="1714" spans="1:14">
      <c r="A1714" t="str">
        <f>IFERROR(_xlfn.XLOOKUP(B1714,Cuentas!$C$1:$C$521,Cuentas!$A$1:$A$521),"")</f>
        <v>Alexandra</v>
      </c>
      <c r="B1714" t="s">
        <v>1961</v>
      </c>
      <c r="C1714" t="s">
        <v>1962</v>
      </c>
      <c r="D1714" t="s">
        <v>16</v>
      </c>
      <c r="E1714" t="s">
        <v>7</v>
      </c>
      <c r="F1714" t="s">
        <v>1967</v>
      </c>
      <c r="G1714" t="s">
        <v>1967</v>
      </c>
      <c r="H1714" s="2">
        <v>45706</v>
      </c>
      <c r="I1714" s="2">
        <v>45736</v>
      </c>
      <c r="J1714" t="s">
        <v>20</v>
      </c>
      <c r="K1714" s="21">
        <v>2993.76</v>
      </c>
      <c r="L1714" s="21">
        <v>2993.76</v>
      </c>
      <c r="M1714">
        <v>12</v>
      </c>
      <c r="N1714" s="21">
        <v>2993.76</v>
      </c>
    </row>
    <row r="1715" spans="1:14">
      <c r="A1715" t="str">
        <f>IFERROR(_xlfn.XLOOKUP(B1715,Cuentas!$C$1:$C$521,Cuentas!$A$1:$A$521),"")</f>
        <v>Alexandra</v>
      </c>
      <c r="B1715" t="s">
        <v>1961</v>
      </c>
      <c r="C1715" t="s">
        <v>1962</v>
      </c>
      <c r="D1715" t="s">
        <v>16</v>
      </c>
      <c r="E1715" t="s">
        <v>7</v>
      </c>
      <c r="F1715" t="s">
        <v>1968</v>
      </c>
      <c r="G1715" t="s">
        <v>1968</v>
      </c>
      <c r="H1715" s="2">
        <v>45720</v>
      </c>
      <c r="I1715" s="2">
        <v>45750</v>
      </c>
      <c r="J1715" t="s">
        <v>20</v>
      </c>
      <c r="K1715" s="21">
        <v>37400</v>
      </c>
      <c r="L1715" s="21">
        <v>37400</v>
      </c>
      <c r="M1715">
        <v>0</v>
      </c>
      <c r="N1715" s="21">
        <v>0</v>
      </c>
    </row>
    <row r="1716" spans="1:14">
      <c r="A1716" t="str">
        <f>IFERROR(_xlfn.XLOOKUP(B1716,Cuentas!$C$1:$C$521,Cuentas!$A$1:$A$521),"")</f>
        <v>Alexandra</v>
      </c>
      <c r="B1716" t="s">
        <v>1961</v>
      </c>
      <c r="C1716" t="s">
        <v>1962</v>
      </c>
      <c r="D1716" t="s">
        <v>16</v>
      </c>
      <c r="E1716" t="s">
        <v>7</v>
      </c>
      <c r="F1716" t="s">
        <v>1969</v>
      </c>
      <c r="G1716" t="s">
        <v>1969</v>
      </c>
      <c r="H1716" s="2">
        <v>45720</v>
      </c>
      <c r="I1716" s="2">
        <v>45750</v>
      </c>
      <c r="J1716" t="s">
        <v>20</v>
      </c>
      <c r="K1716" s="21">
        <v>23400</v>
      </c>
      <c r="L1716" s="21">
        <v>23400</v>
      </c>
      <c r="M1716">
        <v>0</v>
      </c>
      <c r="N1716" s="21">
        <v>0</v>
      </c>
    </row>
    <row r="1717" spans="1:14">
      <c r="A1717" t="str">
        <f>IFERROR(_xlfn.XLOOKUP(B1717,Cuentas!$C$1:$C$521,Cuentas!$A$1:$A$521),"")</f>
        <v>Alexandra</v>
      </c>
      <c r="B1717" t="s">
        <v>1961</v>
      </c>
      <c r="C1717" t="s">
        <v>1962</v>
      </c>
      <c r="D1717" t="s">
        <v>16</v>
      </c>
      <c r="E1717" t="s">
        <v>7</v>
      </c>
      <c r="F1717" t="s">
        <v>1970</v>
      </c>
      <c r="G1717" t="s">
        <v>1970</v>
      </c>
      <c r="H1717" s="2">
        <v>45727</v>
      </c>
      <c r="I1717" s="2">
        <v>45757</v>
      </c>
      <c r="J1717" t="s">
        <v>20</v>
      </c>
      <c r="K1717" s="21">
        <v>14799.36</v>
      </c>
      <c r="L1717" s="21">
        <v>14799.36</v>
      </c>
      <c r="M1717">
        <v>0</v>
      </c>
      <c r="N1717" s="21">
        <v>0</v>
      </c>
    </row>
    <row r="1718" spans="1:14">
      <c r="A1718" t="str">
        <f>IFERROR(_xlfn.XLOOKUP(B1718,Cuentas!$C$1:$C$521,Cuentas!$A$1:$A$521),"")</f>
        <v>Alexandra</v>
      </c>
      <c r="B1718" t="s">
        <v>1961</v>
      </c>
      <c r="C1718" t="s">
        <v>1962</v>
      </c>
      <c r="D1718" t="s">
        <v>16</v>
      </c>
      <c r="E1718" t="s">
        <v>7</v>
      </c>
      <c r="F1718" t="s">
        <v>1971</v>
      </c>
      <c r="G1718" t="s">
        <v>1971</v>
      </c>
      <c r="H1718" s="2">
        <v>45728</v>
      </c>
      <c r="I1718" s="2">
        <v>45758</v>
      </c>
      <c r="J1718" t="s">
        <v>20</v>
      </c>
      <c r="K1718" s="21">
        <v>47040</v>
      </c>
      <c r="L1718" s="21">
        <v>47040</v>
      </c>
      <c r="M1718">
        <v>0</v>
      </c>
      <c r="N1718" s="21">
        <v>0</v>
      </c>
    </row>
    <row r="1719" spans="1:14">
      <c r="A1719" t="str">
        <f>IFERROR(_xlfn.XLOOKUP(B1719,Cuentas!$C$1:$C$521,Cuentas!$A$1:$A$521),"")</f>
        <v>Alexandra</v>
      </c>
      <c r="B1719" t="s">
        <v>1961</v>
      </c>
      <c r="C1719" t="s">
        <v>1962</v>
      </c>
      <c r="D1719" t="s">
        <v>16</v>
      </c>
      <c r="E1719" t="s">
        <v>7</v>
      </c>
      <c r="F1719" t="s">
        <v>1972</v>
      </c>
      <c r="G1719" t="s">
        <v>1972</v>
      </c>
      <c r="H1719" s="2">
        <v>45728</v>
      </c>
      <c r="I1719" s="2">
        <v>45758</v>
      </c>
      <c r="J1719" t="s">
        <v>20</v>
      </c>
      <c r="K1719" s="21">
        <v>391.04</v>
      </c>
      <c r="L1719" s="21">
        <v>391.04</v>
      </c>
      <c r="M1719">
        <v>0</v>
      </c>
      <c r="N1719" s="21">
        <v>0</v>
      </c>
    </row>
    <row r="1720" spans="1:14">
      <c r="A1720" t="str">
        <f>IFERROR(_xlfn.XLOOKUP(B1720,Cuentas!$C$1:$C$521,Cuentas!$A$1:$A$521),"")</f>
        <v>Alexandra</v>
      </c>
      <c r="B1720" t="s">
        <v>1961</v>
      </c>
      <c r="C1720" t="s">
        <v>1962</v>
      </c>
      <c r="D1720" t="s">
        <v>16</v>
      </c>
      <c r="E1720" t="s">
        <v>7</v>
      </c>
      <c r="F1720" t="s">
        <v>1973</v>
      </c>
      <c r="G1720" t="s">
        <v>1973</v>
      </c>
      <c r="H1720" s="2">
        <v>45736</v>
      </c>
      <c r="I1720" s="2">
        <v>45766</v>
      </c>
      <c r="J1720" t="s">
        <v>20</v>
      </c>
      <c r="K1720" s="21">
        <v>1713.6</v>
      </c>
      <c r="L1720" s="21">
        <v>1713.6</v>
      </c>
      <c r="M1720">
        <v>0</v>
      </c>
      <c r="N1720" s="21">
        <v>0</v>
      </c>
    </row>
    <row r="1721" spans="1:14">
      <c r="A1721" t="str">
        <f>IFERROR(_xlfn.XLOOKUP(B1721,Cuentas!$C$1:$C$521,Cuentas!$A$1:$A$521),"")</f>
        <v>Alexandra</v>
      </c>
      <c r="B1721" t="s">
        <v>1974</v>
      </c>
      <c r="C1721" t="s">
        <v>1975</v>
      </c>
      <c r="D1721" t="s">
        <v>213</v>
      </c>
      <c r="E1721" t="s">
        <v>3139</v>
      </c>
      <c r="F1721" t="s">
        <v>19</v>
      </c>
      <c r="G1721" t="s">
        <v>19</v>
      </c>
      <c r="I1721" s="2">
        <v>45594</v>
      </c>
      <c r="J1721" t="s">
        <v>20</v>
      </c>
      <c r="K1721" s="21">
        <v>-29.26</v>
      </c>
      <c r="L1721" s="21">
        <v>-29.26</v>
      </c>
      <c r="M1721">
        <v>0</v>
      </c>
      <c r="N1721" s="21">
        <v>-29.26</v>
      </c>
    </row>
    <row r="1722" spans="1:14">
      <c r="A1722" t="str">
        <f>IFERROR(_xlfn.XLOOKUP(B1722,Cuentas!$C$1:$C$521,Cuentas!$A$1:$A$521),"")</f>
        <v>Alexandra</v>
      </c>
      <c r="B1722" t="s">
        <v>1974</v>
      </c>
      <c r="C1722" t="s">
        <v>1975</v>
      </c>
      <c r="D1722" t="s">
        <v>213</v>
      </c>
      <c r="E1722" t="s">
        <v>3139</v>
      </c>
      <c r="F1722" t="s">
        <v>19</v>
      </c>
      <c r="G1722" t="s">
        <v>19</v>
      </c>
      <c r="I1722" s="2">
        <v>45618</v>
      </c>
      <c r="J1722" t="s">
        <v>20</v>
      </c>
      <c r="K1722" s="21">
        <v>-97.5</v>
      </c>
      <c r="L1722" s="21">
        <v>-97.5</v>
      </c>
      <c r="M1722">
        <v>0</v>
      </c>
      <c r="N1722" s="21">
        <v>-97.5</v>
      </c>
    </row>
    <row r="1723" spans="1:14">
      <c r="A1723" t="str">
        <f>IFERROR(_xlfn.XLOOKUP(B1723,Cuentas!$C$1:$C$521,Cuentas!$A$1:$A$521),"")</f>
        <v>Yuldor</v>
      </c>
      <c r="B1723" t="s">
        <v>1976</v>
      </c>
      <c r="C1723" t="s">
        <v>1977</v>
      </c>
      <c r="D1723" t="s">
        <v>16</v>
      </c>
      <c r="E1723" t="s">
        <v>7</v>
      </c>
      <c r="F1723" t="s">
        <v>1978</v>
      </c>
      <c r="G1723" t="s">
        <v>1978</v>
      </c>
      <c r="H1723" s="2">
        <v>45665</v>
      </c>
      <c r="I1723" s="2">
        <v>45695</v>
      </c>
      <c r="J1723" t="s">
        <v>20</v>
      </c>
      <c r="K1723" s="21">
        <v>1369.6</v>
      </c>
      <c r="L1723" s="21">
        <v>1280</v>
      </c>
      <c r="M1723">
        <v>0</v>
      </c>
      <c r="N1723" s="21">
        <v>1280</v>
      </c>
    </row>
    <row r="1724" spans="1:14">
      <c r="A1724" t="str">
        <f>IFERROR(_xlfn.XLOOKUP(B1724,Cuentas!$C$1:$C$521,Cuentas!$A$1:$A$521),"")</f>
        <v>Yuldor</v>
      </c>
      <c r="B1724" t="s">
        <v>1976</v>
      </c>
      <c r="C1724" t="s">
        <v>1977</v>
      </c>
      <c r="D1724" t="s">
        <v>16</v>
      </c>
      <c r="E1724" t="s">
        <v>5502</v>
      </c>
      <c r="F1724" t="s">
        <v>1979</v>
      </c>
      <c r="G1724" t="s">
        <v>1978</v>
      </c>
      <c r="I1724" s="2">
        <v>45688</v>
      </c>
      <c r="J1724" t="s">
        <v>20</v>
      </c>
      <c r="K1724" s="21">
        <v>-89.6</v>
      </c>
      <c r="L1724" s="21" t="s">
        <v>86</v>
      </c>
      <c r="M1724">
        <v>0</v>
      </c>
      <c r="N1724" s="21" t="s">
        <v>86</v>
      </c>
    </row>
    <row r="1725" spans="1:14">
      <c r="A1725" t="str">
        <f>IFERROR(_xlfn.XLOOKUP(B1725,Cuentas!$C$1:$C$521,Cuentas!$A$1:$A$521),"")</f>
        <v>Yuldor</v>
      </c>
      <c r="B1725" t="s">
        <v>1976</v>
      </c>
      <c r="C1725" t="s">
        <v>1977</v>
      </c>
      <c r="D1725" t="s">
        <v>16</v>
      </c>
      <c r="E1725" t="s">
        <v>7</v>
      </c>
      <c r="F1725" t="s">
        <v>1980</v>
      </c>
      <c r="G1725" t="s">
        <v>1980</v>
      </c>
      <c r="H1725" s="2">
        <v>45671</v>
      </c>
      <c r="I1725" s="2">
        <v>45701</v>
      </c>
      <c r="J1725" t="s">
        <v>20</v>
      </c>
      <c r="K1725" s="21">
        <v>2574</v>
      </c>
      <c r="L1725" s="21">
        <v>2574</v>
      </c>
      <c r="M1725">
        <v>0</v>
      </c>
      <c r="N1725" s="21">
        <v>2574</v>
      </c>
    </row>
    <row r="1726" spans="1:14">
      <c r="A1726" t="str">
        <f>IFERROR(_xlfn.XLOOKUP(B1726,Cuentas!$C$1:$C$521,Cuentas!$A$1:$A$521),"")</f>
        <v>Yuldor</v>
      </c>
      <c r="B1726" t="s">
        <v>1976</v>
      </c>
      <c r="C1726" t="s">
        <v>1977</v>
      </c>
      <c r="D1726" t="s">
        <v>16</v>
      </c>
      <c r="E1726" t="s">
        <v>7</v>
      </c>
      <c r="F1726" t="s">
        <v>1981</v>
      </c>
      <c r="G1726" t="s">
        <v>1981</v>
      </c>
      <c r="H1726" s="2">
        <v>45671</v>
      </c>
      <c r="I1726" s="2">
        <v>45701</v>
      </c>
      <c r="J1726" t="s">
        <v>20</v>
      </c>
      <c r="K1726" s="21">
        <v>4600</v>
      </c>
      <c r="L1726" s="21">
        <v>4600</v>
      </c>
      <c r="M1726">
        <v>0</v>
      </c>
      <c r="N1726" s="21">
        <v>4600</v>
      </c>
    </row>
    <row r="1727" spans="1:14">
      <c r="A1727" t="str">
        <f>IFERROR(_xlfn.XLOOKUP(B1727,Cuentas!$C$1:$C$521,Cuentas!$A$1:$A$521),"")</f>
        <v>Yuldor</v>
      </c>
      <c r="B1727" t="s">
        <v>1976</v>
      </c>
      <c r="C1727" t="s">
        <v>1977</v>
      </c>
      <c r="D1727" t="s">
        <v>16</v>
      </c>
      <c r="E1727" t="s">
        <v>7</v>
      </c>
      <c r="F1727" t="s">
        <v>1982</v>
      </c>
      <c r="G1727" t="s">
        <v>1982</v>
      </c>
      <c r="H1727" s="2">
        <v>45681</v>
      </c>
      <c r="I1727" s="2">
        <v>45711</v>
      </c>
      <c r="J1727" t="s">
        <v>20</v>
      </c>
      <c r="K1727" s="21">
        <v>182.88</v>
      </c>
      <c r="L1727" s="21">
        <v>182.88</v>
      </c>
      <c r="M1727">
        <v>0</v>
      </c>
      <c r="N1727" s="21">
        <v>182.88</v>
      </c>
    </row>
    <row r="1728" spans="1:14">
      <c r="A1728" t="str">
        <f>IFERROR(_xlfn.XLOOKUP(B1728,Cuentas!$C$1:$C$521,Cuentas!$A$1:$A$521),"")</f>
        <v>Yuldor</v>
      </c>
      <c r="B1728" t="s">
        <v>1976</v>
      </c>
      <c r="C1728" t="s">
        <v>1977</v>
      </c>
      <c r="D1728" t="s">
        <v>16</v>
      </c>
      <c r="E1728" t="s">
        <v>7</v>
      </c>
      <c r="F1728" t="s">
        <v>1983</v>
      </c>
      <c r="G1728" t="s">
        <v>1983</v>
      </c>
      <c r="H1728" s="2">
        <v>45687</v>
      </c>
      <c r="I1728" s="2">
        <v>45717</v>
      </c>
      <c r="J1728" t="s">
        <v>20</v>
      </c>
      <c r="K1728" s="21">
        <v>5118.72</v>
      </c>
      <c r="L1728" s="21">
        <v>5118.72</v>
      </c>
      <c r="M1728">
        <v>10</v>
      </c>
      <c r="N1728" s="21">
        <v>5118.72</v>
      </c>
    </row>
    <row r="1729" spans="1:14">
      <c r="A1729" t="str">
        <f>IFERROR(_xlfn.XLOOKUP(B1729,Cuentas!$C$1:$C$521,Cuentas!$A$1:$A$521),"")</f>
        <v>Yuldor</v>
      </c>
      <c r="B1729" t="s">
        <v>1976</v>
      </c>
      <c r="C1729" t="s">
        <v>1977</v>
      </c>
      <c r="D1729" t="s">
        <v>16</v>
      </c>
      <c r="E1729" t="s">
        <v>7</v>
      </c>
      <c r="F1729" t="s">
        <v>1984</v>
      </c>
      <c r="G1729" t="s">
        <v>1984</v>
      </c>
      <c r="H1729" s="2">
        <v>45688</v>
      </c>
      <c r="I1729" s="2">
        <v>45718</v>
      </c>
      <c r="J1729" t="s">
        <v>20</v>
      </c>
      <c r="K1729" s="21">
        <v>3663</v>
      </c>
      <c r="L1729" s="21">
        <v>3663</v>
      </c>
      <c r="M1729">
        <v>10</v>
      </c>
      <c r="N1729" s="21">
        <v>3663</v>
      </c>
    </row>
    <row r="1730" spans="1:14">
      <c r="A1730" t="str">
        <f>IFERROR(_xlfn.XLOOKUP(B1730,Cuentas!$C$1:$C$521,Cuentas!$A$1:$A$521),"")</f>
        <v>Yuldor</v>
      </c>
      <c r="B1730" t="s">
        <v>1976</v>
      </c>
      <c r="C1730" t="s">
        <v>1977</v>
      </c>
      <c r="D1730" t="s">
        <v>16</v>
      </c>
      <c r="E1730" t="s">
        <v>7</v>
      </c>
      <c r="F1730" t="s">
        <v>1985</v>
      </c>
      <c r="G1730" t="s">
        <v>1985</v>
      </c>
      <c r="H1730" s="2">
        <v>45688</v>
      </c>
      <c r="I1730" s="2">
        <v>45718</v>
      </c>
      <c r="J1730" t="s">
        <v>20</v>
      </c>
      <c r="K1730" s="21">
        <v>108.96</v>
      </c>
      <c r="L1730" s="21">
        <v>108.96</v>
      </c>
      <c r="M1730">
        <v>10</v>
      </c>
      <c r="N1730" s="21">
        <v>108.96</v>
      </c>
    </row>
    <row r="1731" spans="1:14">
      <c r="A1731" t="str">
        <f>IFERROR(_xlfn.XLOOKUP(B1731,Cuentas!$C$1:$C$521,Cuentas!$A$1:$A$521),"")</f>
        <v>Yuldor</v>
      </c>
      <c r="B1731" t="s">
        <v>1976</v>
      </c>
      <c r="C1731" t="s">
        <v>1977</v>
      </c>
      <c r="D1731" t="s">
        <v>16</v>
      </c>
      <c r="E1731" t="s">
        <v>7</v>
      </c>
      <c r="F1731" t="s">
        <v>1986</v>
      </c>
      <c r="G1731" t="s">
        <v>1986</v>
      </c>
      <c r="H1731" s="2">
        <v>45701</v>
      </c>
      <c r="I1731" s="2">
        <v>45731</v>
      </c>
      <c r="J1731" t="s">
        <v>20</v>
      </c>
      <c r="K1731" s="21">
        <v>2760</v>
      </c>
      <c r="L1731" s="21">
        <v>2760</v>
      </c>
      <c r="M1731">
        <v>11</v>
      </c>
      <c r="N1731" s="21">
        <v>2760</v>
      </c>
    </row>
    <row r="1732" spans="1:14">
      <c r="A1732" t="str">
        <f>IFERROR(_xlfn.XLOOKUP(B1732,Cuentas!$C$1:$C$521,Cuentas!$A$1:$A$521),"")</f>
        <v>Yuldor</v>
      </c>
      <c r="B1732" t="s">
        <v>1976</v>
      </c>
      <c r="C1732" t="s">
        <v>1977</v>
      </c>
      <c r="D1732" t="s">
        <v>16</v>
      </c>
      <c r="E1732" t="s">
        <v>7</v>
      </c>
      <c r="F1732" t="s">
        <v>1987</v>
      </c>
      <c r="G1732" t="s">
        <v>1987</v>
      </c>
      <c r="H1732" s="2">
        <v>45701</v>
      </c>
      <c r="I1732" s="2">
        <v>45731</v>
      </c>
      <c r="J1732" t="s">
        <v>20</v>
      </c>
      <c r="K1732" s="21">
        <v>1152</v>
      </c>
      <c r="L1732" s="21">
        <v>1152</v>
      </c>
      <c r="M1732">
        <v>11</v>
      </c>
      <c r="N1732" s="21">
        <v>1152</v>
      </c>
    </row>
    <row r="1733" spans="1:14">
      <c r="A1733" t="str">
        <f>IFERROR(_xlfn.XLOOKUP(B1733,Cuentas!$C$1:$C$521,Cuentas!$A$1:$A$521),"")</f>
        <v>Yuldor</v>
      </c>
      <c r="B1733" t="s">
        <v>1976</v>
      </c>
      <c r="C1733" t="s">
        <v>1977</v>
      </c>
      <c r="D1733" t="s">
        <v>16</v>
      </c>
      <c r="E1733" t="s">
        <v>7</v>
      </c>
      <c r="F1733" t="s">
        <v>1988</v>
      </c>
      <c r="G1733" t="s">
        <v>1988</v>
      </c>
      <c r="H1733" s="2">
        <v>45701</v>
      </c>
      <c r="I1733" s="2">
        <v>45731</v>
      </c>
      <c r="J1733" t="s">
        <v>20</v>
      </c>
      <c r="K1733" s="21">
        <v>876</v>
      </c>
      <c r="L1733" s="21">
        <v>876</v>
      </c>
      <c r="M1733">
        <v>11</v>
      </c>
      <c r="N1733" s="21">
        <v>876</v>
      </c>
    </row>
    <row r="1734" spans="1:14">
      <c r="A1734" t="str">
        <f>IFERROR(_xlfn.XLOOKUP(B1734,Cuentas!$C$1:$C$521,Cuentas!$A$1:$A$521),"")</f>
        <v>Yuldor</v>
      </c>
      <c r="B1734" t="s">
        <v>1976</v>
      </c>
      <c r="C1734" t="s">
        <v>1977</v>
      </c>
      <c r="D1734" t="s">
        <v>16</v>
      </c>
      <c r="E1734" t="s">
        <v>7</v>
      </c>
      <c r="F1734" t="s">
        <v>1989</v>
      </c>
      <c r="G1734" t="s">
        <v>1989</v>
      </c>
      <c r="H1734" s="2">
        <v>45707</v>
      </c>
      <c r="I1734" s="2">
        <v>45737</v>
      </c>
      <c r="J1734" t="s">
        <v>20</v>
      </c>
      <c r="K1734" s="21">
        <v>1980</v>
      </c>
      <c r="L1734" s="21">
        <v>1980</v>
      </c>
      <c r="M1734">
        <v>12</v>
      </c>
      <c r="N1734" s="21">
        <v>1980</v>
      </c>
    </row>
    <row r="1735" spans="1:14">
      <c r="A1735" t="str">
        <f>IFERROR(_xlfn.XLOOKUP(B1735,Cuentas!$C$1:$C$521,Cuentas!$A$1:$A$521),"")</f>
        <v>Yuldor</v>
      </c>
      <c r="B1735" t="s">
        <v>1976</v>
      </c>
      <c r="C1735" t="s">
        <v>1977</v>
      </c>
      <c r="D1735" t="s">
        <v>16</v>
      </c>
      <c r="E1735" t="s">
        <v>7</v>
      </c>
      <c r="F1735" t="s">
        <v>1990</v>
      </c>
      <c r="G1735" t="s">
        <v>1990</v>
      </c>
      <c r="H1735" s="2">
        <v>45735</v>
      </c>
      <c r="I1735" s="2">
        <v>45765</v>
      </c>
      <c r="J1735" t="s">
        <v>20</v>
      </c>
      <c r="K1735" s="21">
        <v>604.79999999999995</v>
      </c>
      <c r="L1735" s="21">
        <v>604.79999999999995</v>
      </c>
      <c r="M1735">
        <v>0</v>
      </c>
      <c r="N1735" s="21">
        <v>0</v>
      </c>
    </row>
    <row r="1736" spans="1:14">
      <c r="A1736" t="str">
        <f>IFERROR(_xlfn.XLOOKUP(B1736,Cuentas!$C$1:$C$521,Cuentas!$A$1:$A$521),"")</f>
        <v>Yuldor</v>
      </c>
      <c r="B1736" t="s">
        <v>1976</v>
      </c>
      <c r="C1736" t="s">
        <v>1977</v>
      </c>
      <c r="D1736" t="s">
        <v>16</v>
      </c>
      <c r="E1736" t="s">
        <v>7</v>
      </c>
      <c r="F1736" t="s">
        <v>1991</v>
      </c>
      <c r="G1736" t="s">
        <v>1991</v>
      </c>
      <c r="H1736" s="2">
        <v>45736</v>
      </c>
      <c r="I1736" s="2">
        <v>45766</v>
      </c>
      <c r="J1736" t="s">
        <v>20</v>
      </c>
      <c r="K1736" s="21">
        <v>1106</v>
      </c>
      <c r="L1736" s="21">
        <v>1106</v>
      </c>
      <c r="M1736">
        <v>0</v>
      </c>
      <c r="N1736" s="21">
        <v>0</v>
      </c>
    </row>
    <row r="1737" spans="1:14">
      <c r="A1737" t="str">
        <f>IFERROR(_xlfn.XLOOKUP(B1737,Cuentas!$C$1:$C$521,Cuentas!$A$1:$A$521),"")</f>
        <v>Yuldor</v>
      </c>
      <c r="B1737" t="s">
        <v>1976</v>
      </c>
      <c r="C1737" t="s">
        <v>1977</v>
      </c>
      <c r="D1737" t="s">
        <v>16</v>
      </c>
      <c r="E1737" t="s">
        <v>7</v>
      </c>
      <c r="F1737" t="s">
        <v>1992</v>
      </c>
      <c r="G1737" t="s">
        <v>1992</v>
      </c>
      <c r="H1737" s="2">
        <v>45736</v>
      </c>
      <c r="I1737" s="2">
        <v>45766</v>
      </c>
      <c r="J1737" t="s">
        <v>20</v>
      </c>
      <c r="K1737" s="21">
        <v>2760</v>
      </c>
      <c r="L1737" s="21">
        <v>2760</v>
      </c>
      <c r="M1737">
        <v>0</v>
      </c>
      <c r="N1737" s="21">
        <v>0</v>
      </c>
    </row>
    <row r="1738" spans="1:14">
      <c r="A1738" t="str">
        <f>IFERROR(_xlfn.XLOOKUP(B1738,Cuentas!$C$1:$C$521,Cuentas!$A$1:$A$521),"")</f>
        <v>Alexandra</v>
      </c>
      <c r="B1738" t="s">
        <v>1993</v>
      </c>
      <c r="C1738" t="s">
        <v>1994</v>
      </c>
      <c r="D1738" t="s">
        <v>16</v>
      </c>
      <c r="E1738" t="s">
        <v>5502</v>
      </c>
      <c r="F1738" t="s">
        <v>1995</v>
      </c>
      <c r="G1738" t="s">
        <v>19</v>
      </c>
      <c r="I1738" s="2">
        <v>45471</v>
      </c>
      <c r="J1738" t="s">
        <v>20</v>
      </c>
      <c r="K1738" s="21">
        <v>-85.32</v>
      </c>
      <c r="L1738" s="21">
        <v>-85.32</v>
      </c>
      <c r="M1738">
        <v>0</v>
      </c>
      <c r="N1738" s="21">
        <v>-85.32</v>
      </c>
    </row>
    <row r="1739" spans="1:14">
      <c r="A1739" t="str">
        <f>IFERROR(_xlfn.XLOOKUP(B1739,Cuentas!$C$1:$C$521,Cuentas!$A$1:$A$521),"")</f>
        <v>Yuldor</v>
      </c>
      <c r="B1739" t="s">
        <v>1996</v>
      </c>
      <c r="C1739" t="s">
        <v>1997</v>
      </c>
      <c r="D1739" t="s">
        <v>16</v>
      </c>
      <c r="E1739" t="s">
        <v>7</v>
      </c>
      <c r="F1739" t="s">
        <v>1998</v>
      </c>
      <c r="G1739" t="s">
        <v>1998</v>
      </c>
      <c r="H1739" s="2">
        <v>45716</v>
      </c>
      <c r="I1739" s="2">
        <v>45746</v>
      </c>
      <c r="J1739" t="s">
        <v>20</v>
      </c>
      <c r="K1739" s="21">
        <v>929.8</v>
      </c>
      <c r="L1739" s="21">
        <v>929.8</v>
      </c>
      <c r="M1739">
        <v>13</v>
      </c>
      <c r="N1739" s="21">
        <v>929.8</v>
      </c>
    </row>
    <row r="1740" spans="1:14">
      <c r="A1740" t="str">
        <f>IFERROR(_xlfn.XLOOKUP(B1740,Cuentas!$C$1:$C$521,Cuentas!$A$1:$A$521),"")</f>
        <v>Yuldor</v>
      </c>
      <c r="B1740" t="s">
        <v>1996</v>
      </c>
      <c r="C1740" t="s">
        <v>1997</v>
      </c>
      <c r="D1740" t="s">
        <v>16</v>
      </c>
      <c r="E1740" t="s">
        <v>7</v>
      </c>
      <c r="F1740" t="s">
        <v>1999</v>
      </c>
      <c r="G1740" t="s">
        <v>1999</v>
      </c>
      <c r="H1740" s="2">
        <v>45716</v>
      </c>
      <c r="I1740" s="2">
        <v>45746</v>
      </c>
      <c r="J1740" t="s">
        <v>20</v>
      </c>
      <c r="K1740" s="21">
        <v>454</v>
      </c>
      <c r="L1740" s="21">
        <v>454</v>
      </c>
      <c r="M1740">
        <v>13</v>
      </c>
      <c r="N1740" s="21">
        <v>454</v>
      </c>
    </row>
    <row r="1741" spans="1:14">
      <c r="A1741" t="str">
        <f>IFERROR(_xlfn.XLOOKUP(B1741,Cuentas!$C$1:$C$521,Cuentas!$A$1:$A$521),"")</f>
        <v>Yuldor</v>
      </c>
      <c r="B1741" t="s">
        <v>1996</v>
      </c>
      <c r="C1741" t="s">
        <v>1997</v>
      </c>
      <c r="D1741" t="s">
        <v>16</v>
      </c>
      <c r="E1741" t="s">
        <v>7</v>
      </c>
      <c r="F1741" t="s">
        <v>2000</v>
      </c>
      <c r="G1741" t="s">
        <v>2000</v>
      </c>
      <c r="H1741" s="2">
        <v>45716</v>
      </c>
      <c r="I1741" s="2">
        <v>45746</v>
      </c>
      <c r="J1741" t="s">
        <v>20</v>
      </c>
      <c r="K1741" s="21">
        <v>454</v>
      </c>
      <c r="L1741" s="21">
        <v>454</v>
      </c>
      <c r="M1741">
        <v>13</v>
      </c>
      <c r="N1741" s="21">
        <v>454</v>
      </c>
    </row>
    <row r="1742" spans="1:14">
      <c r="A1742" t="str">
        <f>IFERROR(_xlfn.XLOOKUP(B1742,Cuentas!$C$1:$C$521,Cuentas!$A$1:$A$521),"")</f>
        <v>Yuldor</v>
      </c>
      <c r="B1742" t="s">
        <v>1996</v>
      </c>
      <c r="C1742" t="s">
        <v>1997</v>
      </c>
      <c r="D1742" t="s">
        <v>16</v>
      </c>
      <c r="E1742" t="s">
        <v>7</v>
      </c>
      <c r="F1742" t="s">
        <v>2001</v>
      </c>
      <c r="G1742" t="s">
        <v>2001</v>
      </c>
      <c r="H1742" s="2">
        <v>45716</v>
      </c>
      <c r="I1742" s="2">
        <v>45746</v>
      </c>
      <c r="J1742" t="s">
        <v>20</v>
      </c>
      <c r="K1742" s="21">
        <v>928</v>
      </c>
      <c r="L1742" s="21">
        <v>928</v>
      </c>
      <c r="M1742">
        <v>13</v>
      </c>
      <c r="N1742" s="21">
        <v>928</v>
      </c>
    </row>
    <row r="1743" spans="1:14">
      <c r="A1743" t="str">
        <f>IFERROR(_xlfn.XLOOKUP(B1743,Cuentas!$C$1:$C$521,Cuentas!$A$1:$A$521),"")</f>
        <v>Yuldor</v>
      </c>
      <c r="B1743" t="s">
        <v>2002</v>
      </c>
      <c r="C1743" t="s">
        <v>2003</v>
      </c>
      <c r="D1743" t="s">
        <v>382</v>
      </c>
      <c r="E1743" t="s">
        <v>7</v>
      </c>
      <c r="F1743" t="s">
        <v>2004</v>
      </c>
      <c r="G1743" t="s">
        <v>2004</v>
      </c>
      <c r="H1743" s="2">
        <v>45686</v>
      </c>
      <c r="I1743" s="2">
        <v>45746</v>
      </c>
      <c r="J1743" t="s">
        <v>20</v>
      </c>
      <c r="K1743" s="21">
        <v>32210.75</v>
      </c>
      <c r="L1743" s="21">
        <v>32210.75</v>
      </c>
      <c r="M1743">
        <v>13</v>
      </c>
      <c r="N1743" s="21">
        <v>32210.75</v>
      </c>
    </row>
    <row r="1744" spans="1:14">
      <c r="A1744" t="str">
        <f>IFERROR(_xlfn.XLOOKUP(B1744,Cuentas!$C$1:$C$521,Cuentas!$A$1:$A$521),"")</f>
        <v>Yuldor</v>
      </c>
      <c r="B1744" t="s">
        <v>2005</v>
      </c>
      <c r="C1744" t="s">
        <v>2006</v>
      </c>
      <c r="D1744" t="s">
        <v>16</v>
      </c>
      <c r="E1744" t="s">
        <v>7</v>
      </c>
      <c r="F1744" t="s">
        <v>2007</v>
      </c>
      <c r="G1744" t="s">
        <v>2007</v>
      </c>
      <c r="H1744" s="2">
        <v>45582</v>
      </c>
      <c r="I1744" s="2">
        <v>45612</v>
      </c>
      <c r="J1744" t="s">
        <v>20</v>
      </c>
      <c r="K1744" s="21">
        <v>68320</v>
      </c>
      <c r="L1744" s="21">
        <v>-3189.87</v>
      </c>
      <c r="M1744">
        <v>0</v>
      </c>
      <c r="N1744" s="21">
        <v>-3189.87</v>
      </c>
    </row>
    <row r="1745" spans="1:14">
      <c r="A1745" t="str">
        <f>IFERROR(_xlfn.XLOOKUP(B1745,Cuentas!$C$1:$C$521,Cuentas!$A$1:$A$521),"")</f>
        <v>Yuldor</v>
      </c>
      <c r="B1745" t="s">
        <v>2005</v>
      </c>
      <c r="C1745" t="s">
        <v>2006</v>
      </c>
      <c r="D1745" t="s">
        <v>16</v>
      </c>
      <c r="E1745" t="s">
        <v>5502</v>
      </c>
      <c r="F1745" t="s">
        <v>2008</v>
      </c>
      <c r="G1745" t="s">
        <v>2007</v>
      </c>
      <c r="I1745" s="2">
        <v>45686</v>
      </c>
      <c r="J1745" t="s">
        <v>20</v>
      </c>
      <c r="K1745" s="21">
        <v>-3189.87</v>
      </c>
      <c r="L1745" s="21" t="s">
        <v>86</v>
      </c>
      <c r="M1745">
        <v>0</v>
      </c>
      <c r="N1745" s="21" t="s">
        <v>86</v>
      </c>
    </row>
    <row r="1746" spans="1:14">
      <c r="A1746" t="str">
        <f>IFERROR(_xlfn.XLOOKUP(B1746,Cuentas!$C$1:$C$521,Cuentas!$A$1:$A$521),"")</f>
        <v>Yuldor</v>
      </c>
      <c r="B1746" t="s">
        <v>2005</v>
      </c>
      <c r="C1746" t="s">
        <v>2006</v>
      </c>
      <c r="D1746" t="s">
        <v>16</v>
      </c>
      <c r="E1746" t="s">
        <v>3139</v>
      </c>
      <c r="F1746" t="s">
        <v>2007</v>
      </c>
      <c r="G1746" t="s">
        <v>2007</v>
      </c>
      <c r="I1746" s="2">
        <v>45637</v>
      </c>
      <c r="J1746" t="s">
        <v>20</v>
      </c>
      <c r="K1746" s="21">
        <v>-68320</v>
      </c>
      <c r="L1746" s="21" t="s">
        <v>86</v>
      </c>
      <c r="M1746">
        <v>0</v>
      </c>
      <c r="N1746" s="21" t="s">
        <v>86</v>
      </c>
    </row>
    <row r="1747" spans="1:14">
      <c r="A1747" t="str">
        <f>IFERROR(_xlfn.XLOOKUP(B1747,Cuentas!$C$1:$C$521,Cuentas!$A$1:$A$521),"")</f>
        <v>Yuldor</v>
      </c>
      <c r="B1747" t="s">
        <v>2009</v>
      </c>
      <c r="C1747" t="s">
        <v>2010</v>
      </c>
      <c r="D1747" t="s">
        <v>16</v>
      </c>
      <c r="E1747" t="s">
        <v>7</v>
      </c>
      <c r="F1747" t="s">
        <v>2011</v>
      </c>
      <c r="G1747" t="s">
        <v>2011</v>
      </c>
      <c r="H1747" s="2">
        <v>45729</v>
      </c>
      <c r="I1747" s="2">
        <v>45759</v>
      </c>
      <c r="J1747" t="s">
        <v>20</v>
      </c>
      <c r="K1747" s="21">
        <v>351.79</v>
      </c>
      <c r="L1747" s="21">
        <v>351.79</v>
      </c>
      <c r="M1747">
        <v>0</v>
      </c>
      <c r="N1747" s="21">
        <v>0</v>
      </c>
    </row>
    <row r="1748" spans="1:14">
      <c r="A1748" t="str">
        <f>IFERROR(_xlfn.XLOOKUP(B1748,Cuentas!$C$1:$C$521,Cuentas!$A$1:$A$521),"")</f>
        <v>Alexandra</v>
      </c>
      <c r="B1748" t="s">
        <v>2012</v>
      </c>
      <c r="C1748" t="s">
        <v>2013</v>
      </c>
      <c r="D1748" t="s">
        <v>16</v>
      </c>
      <c r="E1748" t="s">
        <v>7</v>
      </c>
      <c r="F1748" t="s">
        <v>2014</v>
      </c>
      <c r="G1748" t="s">
        <v>2014</v>
      </c>
      <c r="H1748" s="2">
        <v>45684</v>
      </c>
      <c r="I1748" s="2">
        <v>45714</v>
      </c>
      <c r="J1748" t="s">
        <v>20</v>
      </c>
      <c r="K1748" s="21">
        <v>7089</v>
      </c>
      <c r="L1748" s="21">
        <v>7089</v>
      </c>
      <c r="M1748">
        <v>0</v>
      </c>
      <c r="N1748" s="21">
        <v>7089</v>
      </c>
    </row>
    <row r="1749" spans="1:14">
      <c r="A1749" t="str">
        <f>IFERROR(_xlfn.XLOOKUP(B1749,Cuentas!$C$1:$C$521,Cuentas!$A$1:$A$521),"")</f>
        <v>Alexandra</v>
      </c>
      <c r="B1749" t="s">
        <v>2012</v>
      </c>
      <c r="C1749" t="s">
        <v>2013</v>
      </c>
      <c r="D1749" t="s">
        <v>16</v>
      </c>
      <c r="E1749" t="s">
        <v>7</v>
      </c>
      <c r="F1749" t="s">
        <v>2015</v>
      </c>
      <c r="G1749" t="s">
        <v>2015</v>
      </c>
      <c r="H1749" s="2">
        <v>45687</v>
      </c>
      <c r="I1749" s="2">
        <v>45717</v>
      </c>
      <c r="J1749" t="s">
        <v>20</v>
      </c>
      <c r="K1749" s="21">
        <v>2589</v>
      </c>
      <c r="L1749" s="21">
        <v>2589</v>
      </c>
      <c r="M1749">
        <v>10</v>
      </c>
      <c r="N1749" s="21">
        <v>2589</v>
      </c>
    </row>
    <row r="1750" spans="1:14">
      <c r="A1750" t="str">
        <f>IFERROR(_xlfn.XLOOKUP(B1750,Cuentas!$C$1:$C$521,Cuentas!$A$1:$A$521),"")</f>
        <v>Alexandra</v>
      </c>
      <c r="B1750" t="s">
        <v>2012</v>
      </c>
      <c r="C1750" t="s">
        <v>2013</v>
      </c>
      <c r="D1750" t="s">
        <v>16</v>
      </c>
      <c r="E1750" t="s">
        <v>7</v>
      </c>
      <c r="F1750" t="s">
        <v>2016</v>
      </c>
      <c r="G1750" t="s">
        <v>2016</v>
      </c>
      <c r="H1750" s="2">
        <v>45687</v>
      </c>
      <c r="I1750" s="2">
        <v>45717</v>
      </c>
      <c r="J1750" t="s">
        <v>20</v>
      </c>
      <c r="K1750" s="21">
        <v>360</v>
      </c>
      <c r="L1750" s="21">
        <v>360</v>
      </c>
      <c r="M1750">
        <v>10</v>
      </c>
      <c r="N1750" s="21">
        <v>360</v>
      </c>
    </row>
    <row r="1751" spans="1:14">
      <c r="A1751" t="str">
        <f>IFERROR(_xlfn.XLOOKUP(B1751,Cuentas!$C$1:$C$521,Cuentas!$A$1:$A$521),"")</f>
        <v>Alexandra</v>
      </c>
      <c r="B1751" t="s">
        <v>2012</v>
      </c>
      <c r="C1751" t="s">
        <v>2013</v>
      </c>
      <c r="D1751" t="s">
        <v>16</v>
      </c>
      <c r="E1751" t="s">
        <v>7</v>
      </c>
      <c r="F1751" t="s">
        <v>2017</v>
      </c>
      <c r="G1751" t="s">
        <v>2017</v>
      </c>
      <c r="H1751" s="2">
        <v>45688</v>
      </c>
      <c r="I1751" s="2">
        <v>45718</v>
      </c>
      <c r="J1751" t="s">
        <v>20</v>
      </c>
      <c r="K1751" s="21">
        <v>289</v>
      </c>
      <c r="L1751" s="21">
        <v>289</v>
      </c>
      <c r="M1751">
        <v>10</v>
      </c>
      <c r="N1751" s="21">
        <v>289</v>
      </c>
    </row>
    <row r="1752" spans="1:14">
      <c r="A1752" t="str">
        <f>IFERROR(_xlfn.XLOOKUP(B1752,Cuentas!$C$1:$C$521,Cuentas!$A$1:$A$521),"")</f>
        <v>Alexandra</v>
      </c>
      <c r="B1752" t="s">
        <v>2012</v>
      </c>
      <c r="C1752" t="s">
        <v>2013</v>
      </c>
      <c r="D1752" t="s">
        <v>16</v>
      </c>
      <c r="E1752" t="s">
        <v>7</v>
      </c>
      <c r="F1752" t="s">
        <v>2018</v>
      </c>
      <c r="G1752" t="s">
        <v>2018</v>
      </c>
      <c r="H1752" s="2">
        <v>45688</v>
      </c>
      <c r="I1752" s="2">
        <v>45718</v>
      </c>
      <c r="J1752" t="s">
        <v>20</v>
      </c>
      <c r="K1752" s="21">
        <v>1156</v>
      </c>
      <c r="L1752" s="21">
        <v>1156</v>
      </c>
      <c r="M1752">
        <v>10</v>
      </c>
      <c r="N1752" s="21">
        <v>1156</v>
      </c>
    </row>
    <row r="1753" spans="1:14">
      <c r="A1753" t="str">
        <f>IFERROR(_xlfn.XLOOKUP(B1753,Cuentas!$C$1:$C$521,Cuentas!$A$1:$A$521),"")</f>
        <v>Alexandra</v>
      </c>
      <c r="B1753" t="s">
        <v>2012</v>
      </c>
      <c r="C1753" t="s">
        <v>2013</v>
      </c>
      <c r="D1753" t="s">
        <v>16</v>
      </c>
      <c r="E1753" t="s">
        <v>7</v>
      </c>
      <c r="F1753" t="s">
        <v>2019</v>
      </c>
      <c r="G1753" t="s">
        <v>2019</v>
      </c>
      <c r="H1753" s="2">
        <v>45689</v>
      </c>
      <c r="I1753" s="2">
        <v>45719</v>
      </c>
      <c r="J1753" t="s">
        <v>20</v>
      </c>
      <c r="K1753" s="21">
        <v>360</v>
      </c>
      <c r="L1753" s="21">
        <v>360</v>
      </c>
      <c r="M1753">
        <v>10</v>
      </c>
      <c r="N1753" s="21">
        <v>360</v>
      </c>
    </row>
    <row r="1754" spans="1:14">
      <c r="A1754" t="str">
        <f>IFERROR(_xlfn.XLOOKUP(B1754,Cuentas!$C$1:$C$521,Cuentas!$A$1:$A$521),"")</f>
        <v>Alexandra</v>
      </c>
      <c r="B1754" t="s">
        <v>2012</v>
      </c>
      <c r="C1754" t="s">
        <v>2013</v>
      </c>
      <c r="D1754" t="s">
        <v>16</v>
      </c>
      <c r="E1754" t="s">
        <v>7</v>
      </c>
      <c r="F1754" t="s">
        <v>2020</v>
      </c>
      <c r="G1754" t="s">
        <v>2020</v>
      </c>
      <c r="H1754" s="2">
        <v>45691</v>
      </c>
      <c r="I1754" s="2">
        <v>45721</v>
      </c>
      <c r="J1754" t="s">
        <v>20</v>
      </c>
      <c r="K1754" s="21">
        <v>1812</v>
      </c>
      <c r="L1754" s="21">
        <v>1812</v>
      </c>
      <c r="M1754">
        <v>10</v>
      </c>
      <c r="N1754" s="21">
        <v>1812</v>
      </c>
    </row>
    <row r="1755" spans="1:14">
      <c r="A1755" t="str">
        <f>IFERROR(_xlfn.XLOOKUP(B1755,Cuentas!$C$1:$C$521,Cuentas!$A$1:$A$521),"")</f>
        <v>Alexandra</v>
      </c>
      <c r="B1755" t="s">
        <v>2012</v>
      </c>
      <c r="C1755" t="s">
        <v>2013</v>
      </c>
      <c r="D1755" t="s">
        <v>16</v>
      </c>
      <c r="E1755" t="s">
        <v>7</v>
      </c>
      <c r="F1755" t="s">
        <v>2021</v>
      </c>
      <c r="G1755" t="s">
        <v>2021</v>
      </c>
      <c r="H1755" s="2">
        <v>45691</v>
      </c>
      <c r="I1755" s="2">
        <v>45721</v>
      </c>
      <c r="J1755" t="s">
        <v>20</v>
      </c>
      <c r="K1755" s="21">
        <v>840</v>
      </c>
      <c r="L1755" s="21">
        <v>840</v>
      </c>
      <c r="M1755">
        <v>10</v>
      </c>
      <c r="N1755" s="21">
        <v>840</v>
      </c>
    </row>
    <row r="1756" spans="1:14">
      <c r="A1756" t="str">
        <f>IFERROR(_xlfn.XLOOKUP(B1756,Cuentas!$C$1:$C$521,Cuentas!$A$1:$A$521),"")</f>
        <v>Alexandra</v>
      </c>
      <c r="B1756" t="s">
        <v>2012</v>
      </c>
      <c r="C1756" t="s">
        <v>2013</v>
      </c>
      <c r="D1756" t="s">
        <v>16</v>
      </c>
      <c r="E1756" t="s">
        <v>7</v>
      </c>
      <c r="F1756" t="s">
        <v>2022</v>
      </c>
      <c r="G1756" t="s">
        <v>2022</v>
      </c>
      <c r="H1756" s="2">
        <v>45691</v>
      </c>
      <c r="I1756" s="2">
        <v>45721</v>
      </c>
      <c r="J1756" t="s">
        <v>20</v>
      </c>
      <c r="K1756" s="21">
        <v>525</v>
      </c>
      <c r="L1756" s="21">
        <v>525</v>
      </c>
      <c r="M1756">
        <v>10</v>
      </c>
      <c r="N1756" s="21">
        <v>525</v>
      </c>
    </row>
    <row r="1757" spans="1:14">
      <c r="A1757" t="str">
        <f>IFERROR(_xlfn.XLOOKUP(B1757,Cuentas!$C$1:$C$521,Cuentas!$A$1:$A$521),"")</f>
        <v>Alexandra</v>
      </c>
      <c r="B1757" t="s">
        <v>2012</v>
      </c>
      <c r="C1757" t="s">
        <v>2013</v>
      </c>
      <c r="D1757" t="s">
        <v>16</v>
      </c>
      <c r="E1757" t="s">
        <v>7</v>
      </c>
      <c r="F1757" t="s">
        <v>2023</v>
      </c>
      <c r="G1757" t="s">
        <v>2023</v>
      </c>
      <c r="H1757" s="2">
        <v>45692</v>
      </c>
      <c r="I1757" s="2">
        <v>45722</v>
      </c>
      <c r="J1757" t="s">
        <v>20</v>
      </c>
      <c r="K1757" s="21">
        <v>1728</v>
      </c>
      <c r="L1757" s="21">
        <v>1728</v>
      </c>
      <c r="M1757">
        <v>10</v>
      </c>
      <c r="N1757" s="21">
        <v>1728</v>
      </c>
    </row>
    <row r="1758" spans="1:14">
      <c r="A1758" t="str">
        <f>IFERROR(_xlfn.XLOOKUP(B1758,Cuentas!$C$1:$C$521,Cuentas!$A$1:$A$521),"")</f>
        <v>Alexandra</v>
      </c>
      <c r="B1758" t="s">
        <v>2012</v>
      </c>
      <c r="C1758" t="s">
        <v>2013</v>
      </c>
      <c r="D1758" t="s">
        <v>16</v>
      </c>
      <c r="E1758" t="s">
        <v>7</v>
      </c>
      <c r="F1758" t="s">
        <v>2024</v>
      </c>
      <c r="G1758" t="s">
        <v>2024</v>
      </c>
      <c r="H1758" s="2">
        <v>45692</v>
      </c>
      <c r="I1758" s="2">
        <v>45722</v>
      </c>
      <c r="J1758" t="s">
        <v>20</v>
      </c>
      <c r="K1758" s="21">
        <v>510</v>
      </c>
      <c r="L1758" s="21">
        <v>510</v>
      </c>
      <c r="M1758">
        <v>10</v>
      </c>
      <c r="N1758" s="21">
        <v>510</v>
      </c>
    </row>
    <row r="1759" spans="1:14">
      <c r="A1759" t="str">
        <f>IFERROR(_xlfn.XLOOKUP(B1759,Cuentas!$C$1:$C$521,Cuentas!$A$1:$A$521),"")</f>
        <v>Alexandra</v>
      </c>
      <c r="B1759" t="s">
        <v>2012</v>
      </c>
      <c r="C1759" t="s">
        <v>2013</v>
      </c>
      <c r="D1759" t="s">
        <v>16</v>
      </c>
      <c r="E1759" t="s">
        <v>7</v>
      </c>
      <c r="F1759" t="s">
        <v>2025</v>
      </c>
      <c r="G1759" t="s">
        <v>2025</v>
      </c>
      <c r="H1759" s="2">
        <v>45694</v>
      </c>
      <c r="I1759" s="2">
        <v>45724</v>
      </c>
      <c r="J1759" t="s">
        <v>20</v>
      </c>
      <c r="K1759" s="21">
        <v>540</v>
      </c>
      <c r="L1759" s="21">
        <v>540</v>
      </c>
      <c r="M1759">
        <v>10</v>
      </c>
      <c r="N1759" s="21">
        <v>540</v>
      </c>
    </row>
    <row r="1760" spans="1:14">
      <c r="A1760" t="str">
        <f>IFERROR(_xlfn.XLOOKUP(B1760,Cuentas!$C$1:$C$521,Cuentas!$A$1:$A$521),"")</f>
        <v>Alexandra</v>
      </c>
      <c r="B1760" t="s">
        <v>2012</v>
      </c>
      <c r="C1760" t="s">
        <v>2013</v>
      </c>
      <c r="D1760" t="s">
        <v>16</v>
      </c>
      <c r="E1760" t="s">
        <v>7</v>
      </c>
      <c r="F1760" t="s">
        <v>2026</v>
      </c>
      <c r="G1760" t="s">
        <v>2026</v>
      </c>
      <c r="H1760" s="2">
        <v>45695</v>
      </c>
      <c r="I1760" s="2">
        <v>45725</v>
      </c>
      <c r="J1760" t="s">
        <v>20</v>
      </c>
      <c r="K1760" s="21">
        <v>609.70000000000005</v>
      </c>
      <c r="L1760" s="21">
        <v>609.70000000000005</v>
      </c>
      <c r="M1760">
        <v>11</v>
      </c>
      <c r="N1760" s="21">
        <v>609.70000000000005</v>
      </c>
    </row>
    <row r="1761" spans="1:14">
      <c r="A1761" t="str">
        <f>IFERROR(_xlfn.XLOOKUP(B1761,Cuentas!$C$1:$C$521,Cuentas!$A$1:$A$521),"")</f>
        <v>Alexandra</v>
      </c>
      <c r="B1761" t="s">
        <v>2012</v>
      </c>
      <c r="C1761" t="s">
        <v>2013</v>
      </c>
      <c r="D1761" t="s">
        <v>16</v>
      </c>
      <c r="E1761" t="s">
        <v>7</v>
      </c>
      <c r="F1761" t="s">
        <v>2027</v>
      </c>
      <c r="G1761" t="s">
        <v>2027</v>
      </c>
      <c r="H1761" s="2">
        <v>45695</v>
      </c>
      <c r="I1761" s="2">
        <v>45725</v>
      </c>
      <c r="J1761" t="s">
        <v>20</v>
      </c>
      <c r="K1761" s="21">
        <v>97.65</v>
      </c>
      <c r="L1761" s="21">
        <v>97.65</v>
      </c>
      <c r="M1761">
        <v>11</v>
      </c>
      <c r="N1761" s="21">
        <v>97.65</v>
      </c>
    </row>
    <row r="1762" spans="1:14">
      <c r="A1762" t="str">
        <f>IFERROR(_xlfn.XLOOKUP(B1762,Cuentas!$C$1:$C$521,Cuentas!$A$1:$A$521),"")</f>
        <v>Alexandra</v>
      </c>
      <c r="B1762" t="s">
        <v>2012</v>
      </c>
      <c r="C1762" t="s">
        <v>2013</v>
      </c>
      <c r="D1762" t="s">
        <v>16</v>
      </c>
      <c r="E1762" t="s">
        <v>7</v>
      </c>
      <c r="F1762" t="s">
        <v>2028</v>
      </c>
      <c r="G1762" t="s">
        <v>2028</v>
      </c>
      <c r="H1762" s="2">
        <v>45698</v>
      </c>
      <c r="I1762" s="2">
        <v>45728</v>
      </c>
      <c r="J1762" t="s">
        <v>20</v>
      </c>
      <c r="K1762" s="21">
        <v>1080</v>
      </c>
      <c r="L1762" s="21">
        <v>1080</v>
      </c>
      <c r="M1762">
        <v>11</v>
      </c>
      <c r="N1762" s="21">
        <v>1080</v>
      </c>
    </row>
    <row r="1763" spans="1:14">
      <c r="A1763" t="str">
        <f>IFERROR(_xlfn.XLOOKUP(B1763,Cuentas!$C$1:$C$521,Cuentas!$A$1:$A$521),"")</f>
        <v>Alexandra</v>
      </c>
      <c r="B1763" t="s">
        <v>2012</v>
      </c>
      <c r="C1763" t="s">
        <v>2013</v>
      </c>
      <c r="D1763" t="s">
        <v>16</v>
      </c>
      <c r="E1763" t="s">
        <v>7</v>
      </c>
      <c r="F1763" t="s">
        <v>2029</v>
      </c>
      <c r="G1763" t="s">
        <v>2029</v>
      </c>
      <c r="H1763" s="2">
        <v>45698</v>
      </c>
      <c r="I1763" s="2">
        <v>45728</v>
      </c>
      <c r="J1763" t="s">
        <v>20</v>
      </c>
      <c r="K1763" s="21">
        <v>720</v>
      </c>
      <c r="L1763" s="21">
        <v>720</v>
      </c>
      <c r="M1763">
        <v>11</v>
      </c>
      <c r="N1763" s="21">
        <v>720</v>
      </c>
    </row>
    <row r="1764" spans="1:14">
      <c r="A1764" t="str">
        <f>IFERROR(_xlfn.XLOOKUP(B1764,Cuentas!$C$1:$C$521,Cuentas!$A$1:$A$521),"")</f>
        <v>Alexandra</v>
      </c>
      <c r="B1764" t="s">
        <v>2012</v>
      </c>
      <c r="C1764" t="s">
        <v>2013</v>
      </c>
      <c r="D1764" t="s">
        <v>16</v>
      </c>
      <c r="E1764" t="s">
        <v>7</v>
      </c>
      <c r="F1764" t="s">
        <v>2030</v>
      </c>
      <c r="G1764" t="s">
        <v>2030</v>
      </c>
      <c r="H1764" s="2">
        <v>45698</v>
      </c>
      <c r="I1764" s="2">
        <v>45728</v>
      </c>
      <c r="J1764" t="s">
        <v>20</v>
      </c>
      <c r="K1764" s="21">
        <v>597</v>
      </c>
      <c r="L1764" s="21">
        <v>597</v>
      </c>
      <c r="M1764">
        <v>11</v>
      </c>
      <c r="N1764" s="21">
        <v>597</v>
      </c>
    </row>
    <row r="1765" spans="1:14">
      <c r="A1765" t="str">
        <f>IFERROR(_xlfn.XLOOKUP(B1765,Cuentas!$C$1:$C$521,Cuentas!$A$1:$A$521),"")</f>
        <v>Alexandra</v>
      </c>
      <c r="B1765" t="s">
        <v>2012</v>
      </c>
      <c r="C1765" t="s">
        <v>2013</v>
      </c>
      <c r="D1765" t="s">
        <v>16</v>
      </c>
      <c r="E1765" t="s">
        <v>7</v>
      </c>
      <c r="F1765" t="s">
        <v>2031</v>
      </c>
      <c r="G1765" t="s">
        <v>2031</v>
      </c>
      <c r="H1765" s="2">
        <v>45701</v>
      </c>
      <c r="I1765" s="2">
        <v>45731</v>
      </c>
      <c r="J1765" t="s">
        <v>20</v>
      </c>
      <c r="K1765" s="21">
        <v>560</v>
      </c>
      <c r="L1765" s="21">
        <v>560</v>
      </c>
      <c r="M1765">
        <v>11</v>
      </c>
      <c r="N1765" s="21">
        <v>560</v>
      </c>
    </row>
    <row r="1766" spans="1:14">
      <c r="A1766" t="str">
        <f>IFERROR(_xlfn.XLOOKUP(B1766,Cuentas!$C$1:$C$521,Cuentas!$A$1:$A$521),"")</f>
        <v>Alexandra</v>
      </c>
      <c r="B1766" t="s">
        <v>2012</v>
      </c>
      <c r="C1766" t="s">
        <v>2013</v>
      </c>
      <c r="D1766" t="s">
        <v>16</v>
      </c>
      <c r="E1766" t="s">
        <v>7</v>
      </c>
      <c r="F1766" t="s">
        <v>2032</v>
      </c>
      <c r="G1766" t="s">
        <v>2032</v>
      </c>
      <c r="H1766" s="2">
        <v>45706</v>
      </c>
      <c r="I1766" s="2">
        <v>45736</v>
      </c>
      <c r="J1766" t="s">
        <v>20</v>
      </c>
      <c r="K1766" s="21">
        <v>425</v>
      </c>
      <c r="L1766" s="21">
        <v>425</v>
      </c>
      <c r="M1766">
        <v>12</v>
      </c>
      <c r="N1766" s="21">
        <v>425</v>
      </c>
    </row>
    <row r="1767" spans="1:14">
      <c r="A1767" t="str">
        <f>IFERROR(_xlfn.XLOOKUP(B1767,Cuentas!$C$1:$C$521,Cuentas!$A$1:$A$521),"")</f>
        <v>Alexandra</v>
      </c>
      <c r="B1767" t="s">
        <v>2012</v>
      </c>
      <c r="C1767" t="s">
        <v>2013</v>
      </c>
      <c r="D1767" t="s">
        <v>16</v>
      </c>
      <c r="E1767" t="s">
        <v>7</v>
      </c>
      <c r="F1767" t="s">
        <v>2033</v>
      </c>
      <c r="G1767" t="s">
        <v>2033</v>
      </c>
      <c r="H1767" s="2">
        <v>45707</v>
      </c>
      <c r="I1767" s="2">
        <v>45737</v>
      </c>
      <c r="J1767" t="s">
        <v>20</v>
      </c>
      <c r="K1767" s="21">
        <v>728</v>
      </c>
      <c r="L1767" s="21">
        <v>728</v>
      </c>
      <c r="M1767">
        <v>12</v>
      </c>
      <c r="N1767" s="21">
        <v>728</v>
      </c>
    </row>
    <row r="1768" spans="1:14">
      <c r="A1768" t="str">
        <f>IFERROR(_xlfn.XLOOKUP(B1768,Cuentas!$C$1:$C$521,Cuentas!$A$1:$A$521),"")</f>
        <v>Alexandra</v>
      </c>
      <c r="B1768" t="s">
        <v>2012</v>
      </c>
      <c r="C1768" t="s">
        <v>2013</v>
      </c>
      <c r="D1768" t="s">
        <v>16</v>
      </c>
      <c r="E1768" t="s">
        <v>7</v>
      </c>
      <c r="F1768" t="s">
        <v>2034</v>
      </c>
      <c r="G1768" t="s">
        <v>2034</v>
      </c>
      <c r="H1768" s="2">
        <v>45708</v>
      </c>
      <c r="I1768" s="2">
        <v>45738</v>
      </c>
      <c r="J1768" t="s">
        <v>20</v>
      </c>
      <c r="K1768" s="21">
        <v>728</v>
      </c>
      <c r="L1768" s="21">
        <v>728</v>
      </c>
      <c r="M1768">
        <v>12</v>
      </c>
      <c r="N1768" s="21">
        <v>728</v>
      </c>
    </row>
    <row r="1769" spans="1:14">
      <c r="A1769" t="str">
        <f>IFERROR(_xlfn.XLOOKUP(B1769,Cuentas!$C$1:$C$521,Cuentas!$A$1:$A$521),"")</f>
        <v>Alexandra</v>
      </c>
      <c r="B1769" t="s">
        <v>2012</v>
      </c>
      <c r="C1769" t="s">
        <v>2013</v>
      </c>
      <c r="D1769" t="s">
        <v>16</v>
      </c>
      <c r="E1769" t="s">
        <v>7</v>
      </c>
      <c r="F1769" t="s">
        <v>2035</v>
      </c>
      <c r="G1769" t="s">
        <v>2035</v>
      </c>
      <c r="H1769" s="2">
        <v>45708</v>
      </c>
      <c r="I1769" s="2">
        <v>45738</v>
      </c>
      <c r="J1769" t="s">
        <v>20</v>
      </c>
      <c r="K1769" s="21">
        <v>7202</v>
      </c>
      <c r="L1769" s="21">
        <v>7202</v>
      </c>
      <c r="M1769">
        <v>12</v>
      </c>
      <c r="N1769" s="21">
        <v>7202</v>
      </c>
    </row>
    <row r="1770" spans="1:14">
      <c r="A1770" t="str">
        <f>IFERROR(_xlfn.XLOOKUP(B1770,Cuentas!$C$1:$C$521,Cuentas!$A$1:$A$521),"")</f>
        <v>Alexandra</v>
      </c>
      <c r="B1770" t="s">
        <v>2012</v>
      </c>
      <c r="C1770" t="s">
        <v>2013</v>
      </c>
      <c r="D1770" t="s">
        <v>16</v>
      </c>
      <c r="E1770" t="s">
        <v>7</v>
      </c>
      <c r="F1770" t="s">
        <v>2036</v>
      </c>
      <c r="G1770" t="s">
        <v>2036</v>
      </c>
      <c r="H1770" s="2">
        <v>45708</v>
      </c>
      <c r="I1770" s="2">
        <v>45738</v>
      </c>
      <c r="J1770" t="s">
        <v>20</v>
      </c>
      <c r="K1770" s="21">
        <v>204</v>
      </c>
      <c r="L1770" s="21">
        <v>204</v>
      </c>
      <c r="M1770">
        <v>12</v>
      </c>
      <c r="N1770" s="21">
        <v>204</v>
      </c>
    </row>
    <row r="1771" spans="1:14">
      <c r="A1771" t="str">
        <f>IFERROR(_xlfn.XLOOKUP(B1771,Cuentas!$C$1:$C$521,Cuentas!$A$1:$A$521),"")</f>
        <v>Alexandra</v>
      </c>
      <c r="B1771" t="s">
        <v>2012</v>
      </c>
      <c r="C1771" t="s">
        <v>2013</v>
      </c>
      <c r="D1771" t="s">
        <v>16</v>
      </c>
      <c r="E1771" t="s">
        <v>7</v>
      </c>
      <c r="F1771" t="s">
        <v>2037</v>
      </c>
      <c r="G1771" t="s">
        <v>2037</v>
      </c>
      <c r="H1771" s="2">
        <v>45714</v>
      </c>
      <c r="I1771" s="2">
        <v>45744</v>
      </c>
      <c r="J1771" t="s">
        <v>20</v>
      </c>
      <c r="K1771" s="21">
        <v>560</v>
      </c>
      <c r="L1771" s="21">
        <v>560</v>
      </c>
      <c r="M1771">
        <v>13</v>
      </c>
      <c r="N1771" s="21">
        <v>560</v>
      </c>
    </row>
    <row r="1772" spans="1:14">
      <c r="A1772" t="str">
        <f>IFERROR(_xlfn.XLOOKUP(B1772,Cuentas!$C$1:$C$521,Cuentas!$A$1:$A$521),"")</f>
        <v>Alexandra</v>
      </c>
      <c r="B1772" t="s">
        <v>2012</v>
      </c>
      <c r="C1772" t="s">
        <v>2013</v>
      </c>
      <c r="D1772" t="s">
        <v>16</v>
      </c>
      <c r="E1772" t="s">
        <v>7</v>
      </c>
      <c r="F1772" t="s">
        <v>2038</v>
      </c>
      <c r="G1772" t="s">
        <v>2038</v>
      </c>
      <c r="H1772" s="2">
        <v>45714</v>
      </c>
      <c r="I1772" s="2">
        <v>45744</v>
      </c>
      <c r="J1772" t="s">
        <v>20</v>
      </c>
      <c r="K1772" s="21">
        <v>1632</v>
      </c>
      <c r="L1772" s="21">
        <v>1632</v>
      </c>
      <c r="M1772">
        <v>13</v>
      </c>
      <c r="N1772" s="21">
        <v>1632</v>
      </c>
    </row>
    <row r="1773" spans="1:14">
      <c r="A1773" t="str">
        <f>IFERROR(_xlfn.XLOOKUP(B1773,Cuentas!$C$1:$C$521,Cuentas!$A$1:$A$521),"")</f>
        <v>Alexandra</v>
      </c>
      <c r="B1773" t="s">
        <v>2012</v>
      </c>
      <c r="C1773" t="s">
        <v>2013</v>
      </c>
      <c r="D1773" t="s">
        <v>16</v>
      </c>
      <c r="E1773" t="s">
        <v>7</v>
      </c>
      <c r="F1773" t="s">
        <v>2039</v>
      </c>
      <c r="G1773" t="s">
        <v>2039</v>
      </c>
      <c r="H1773" s="2">
        <v>45714</v>
      </c>
      <c r="I1773" s="2">
        <v>45744</v>
      </c>
      <c r="J1773" t="s">
        <v>20</v>
      </c>
      <c r="K1773" s="21">
        <v>139.5</v>
      </c>
      <c r="L1773" s="21">
        <v>139.5</v>
      </c>
      <c r="M1773">
        <v>13</v>
      </c>
      <c r="N1773" s="21">
        <v>139.5</v>
      </c>
    </row>
    <row r="1774" spans="1:14">
      <c r="A1774" t="str">
        <f>IFERROR(_xlfn.XLOOKUP(B1774,Cuentas!$C$1:$C$521,Cuentas!$A$1:$A$521),"")</f>
        <v>Alexandra</v>
      </c>
      <c r="B1774" t="s">
        <v>2012</v>
      </c>
      <c r="C1774" t="s">
        <v>2013</v>
      </c>
      <c r="D1774" t="s">
        <v>16</v>
      </c>
      <c r="E1774" t="s">
        <v>7</v>
      </c>
      <c r="F1774" t="s">
        <v>2040</v>
      </c>
      <c r="G1774" t="s">
        <v>2040</v>
      </c>
      <c r="H1774" s="2">
        <v>45715</v>
      </c>
      <c r="I1774" s="2">
        <v>45745</v>
      </c>
      <c r="J1774" t="s">
        <v>20</v>
      </c>
      <c r="K1774" s="21">
        <v>546</v>
      </c>
      <c r="L1774" s="21">
        <v>546</v>
      </c>
      <c r="M1774">
        <v>13</v>
      </c>
      <c r="N1774" s="21">
        <v>546</v>
      </c>
    </row>
    <row r="1775" spans="1:14">
      <c r="A1775" t="str">
        <f>IFERROR(_xlfn.XLOOKUP(B1775,Cuentas!$C$1:$C$521,Cuentas!$A$1:$A$521),"")</f>
        <v>Alexandra</v>
      </c>
      <c r="B1775" t="s">
        <v>2012</v>
      </c>
      <c r="C1775" t="s">
        <v>2013</v>
      </c>
      <c r="D1775" t="s">
        <v>16</v>
      </c>
      <c r="E1775" t="s">
        <v>7</v>
      </c>
      <c r="F1775" t="s">
        <v>2041</v>
      </c>
      <c r="G1775" t="s">
        <v>2041</v>
      </c>
      <c r="H1775" s="2">
        <v>45716</v>
      </c>
      <c r="I1775" s="2">
        <v>45746</v>
      </c>
      <c r="J1775" t="s">
        <v>20</v>
      </c>
      <c r="K1775" s="21">
        <v>850</v>
      </c>
      <c r="L1775" s="21">
        <v>850</v>
      </c>
      <c r="M1775">
        <v>13</v>
      </c>
      <c r="N1775" s="21">
        <v>850</v>
      </c>
    </row>
    <row r="1776" spans="1:14">
      <c r="A1776" t="str">
        <f>IFERROR(_xlfn.XLOOKUP(B1776,Cuentas!$C$1:$C$521,Cuentas!$A$1:$A$521),"")</f>
        <v>Alexandra</v>
      </c>
      <c r="B1776" t="s">
        <v>2012</v>
      </c>
      <c r="C1776" t="s">
        <v>2013</v>
      </c>
      <c r="D1776" t="s">
        <v>16</v>
      </c>
      <c r="E1776" t="s">
        <v>7</v>
      </c>
      <c r="F1776" t="s">
        <v>2042</v>
      </c>
      <c r="G1776" t="s">
        <v>2042</v>
      </c>
      <c r="H1776" s="2">
        <v>45719</v>
      </c>
      <c r="I1776" s="2">
        <v>45749</v>
      </c>
      <c r="J1776" t="s">
        <v>20</v>
      </c>
      <c r="K1776" s="21">
        <v>1650</v>
      </c>
      <c r="L1776" s="21">
        <v>1650</v>
      </c>
      <c r="M1776">
        <v>0</v>
      </c>
      <c r="N1776" s="21">
        <v>0</v>
      </c>
    </row>
    <row r="1777" spans="1:14">
      <c r="A1777" t="str">
        <f>IFERROR(_xlfn.XLOOKUP(B1777,Cuentas!$C$1:$C$521,Cuentas!$A$1:$A$521),"")</f>
        <v>Alexandra</v>
      </c>
      <c r="B1777" t="s">
        <v>2012</v>
      </c>
      <c r="C1777" t="s">
        <v>2013</v>
      </c>
      <c r="D1777" t="s">
        <v>16</v>
      </c>
      <c r="E1777" t="s">
        <v>7</v>
      </c>
      <c r="F1777" t="s">
        <v>2043</v>
      </c>
      <c r="G1777" t="s">
        <v>2043</v>
      </c>
      <c r="H1777" s="2">
        <v>45722</v>
      </c>
      <c r="I1777" s="2">
        <v>45752</v>
      </c>
      <c r="J1777" t="s">
        <v>20</v>
      </c>
      <c r="K1777" s="21">
        <v>735</v>
      </c>
      <c r="L1777" s="21">
        <v>735</v>
      </c>
      <c r="M1777">
        <v>0</v>
      </c>
      <c r="N1777" s="21">
        <v>0</v>
      </c>
    </row>
    <row r="1778" spans="1:14">
      <c r="A1778" t="str">
        <f>IFERROR(_xlfn.XLOOKUP(B1778,Cuentas!$C$1:$C$521,Cuentas!$A$1:$A$521),"")</f>
        <v>Alexandra</v>
      </c>
      <c r="B1778" t="s">
        <v>2012</v>
      </c>
      <c r="C1778" t="s">
        <v>2013</v>
      </c>
      <c r="D1778" t="s">
        <v>16</v>
      </c>
      <c r="E1778" t="s">
        <v>7</v>
      </c>
      <c r="F1778" t="s">
        <v>2044</v>
      </c>
      <c r="G1778" t="s">
        <v>2044</v>
      </c>
      <c r="H1778" s="2">
        <v>45723</v>
      </c>
      <c r="I1778" s="2">
        <v>45753</v>
      </c>
      <c r="J1778" t="s">
        <v>20</v>
      </c>
      <c r="K1778" s="21">
        <v>3040</v>
      </c>
      <c r="L1778" s="21">
        <v>3040</v>
      </c>
      <c r="M1778">
        <v>0</v>
      </c>
      <c r="N1778" s="21">
        <v>0</v>
      </c>
    </row>
    <row r="1779" spans="1:14">
      <c r="A1779" t="str">
        <f>IFERROR(_xlfn.XLOOKUP(B1779,Cuentas!$C$1:$C$521,Cuentas!$A$1:$A$521),"")</f>
        <v>Alexandra</v>
      </c>
      <c r="B1779" t="s">
        <v>2012</v>
      </c>
      <c r="C1779" t="s">
        <v>2013</v>
      </c>
      <c r="D1779" t="s">
        <v>16</v>
      </c>
      <c r="E1779" t="s">
        <v>7</v>
      </c>
      <c r="F1779" t="s">
        <v>2045</v>
      </c>
      <c r="G1779" t="s">
        <v>2045</v>
      </c>
      <c r="H1779" s="2">
        <v>45723</v>
      </c>
      <c r="I1779" s="2">
        <v>45753</v>
      </c>
      <c r="J1779" t="s">
        <v>20</v>
      </c>
      <c r="K1779" s="21">
        <v>182</v>
      </c>
      <c r="L1779" s="21">
        <v>182</v>
      </c>
      <c r="M1779">
        <v>0</v>
      </c>
      <c r="N1779" s="21">
        <v>0</v>
      </c>
    </row>
    <row r="1780" spans="1:14">
      <c r="A1780" t="str">
        <f>IFERROR(_xlfn.XLOOKUP(B1780,Cuentas!$C$1:$C$521,Cuentas!$A$1:$A$521),"")</f>
        <v>Alexandra</v>
      </c>
      <c r="B1780" t="s">
        <v>2012</v>
      </c>
      <c r="C1780" t="s">
        <v>2013</v>
      </c>
      <c r="D1780" t="s">
        <v>16</v>
      </c>
      <c r="E1780" t="s">
        <v>7</v>
      </c>
      <c r="F1780" t="s">
        <v>2046</v>
      </c>
      <c r="G1780" t="s">
        <v>2046</v>
      </c>
      <c r="H1780" s="2">
        <v>45727</v>
      </c>
      <c r="I1780" s="2">
        <v>45757</v>
      </c>
      <c r="J1780" t="s">
        <v>20</v>
      </c>
      <c r="K1780" s="21">
        <v>1400</v>
      </c>
      <c r="L1780" s="21">
        <v>1400</v>
      </c>
      <c r="M1780">
        <v>0</v>
      </c>
      <c r="N1780" s="21">
        <v>0</v>
      </c>
    </row>
    <row r="1781" spans="1:14">
      <c r="A1781" t="str">
        <f>IFERROR(_xlfn.XLOOKUP(B1781,Cuentas!$C$1:$C$521,Cuentas!$A$1:$A$521),"")</f>
        <v>Alexandra</v>
      </c>
      <c r="B1781" t="s">
        <v>2012</v>
      </c>
      <c r="C1781" t="s">
        <v>2013</v>
      </c>
      <c r="D1781" t="s">
        <v>16</v>
      </c>
      <c r="E1781" t="s">
        <v>7</v>
      </c>
      <c r="F1781" t="s">
        <v>2047</v>
      </c>
      <c r="G1781" t="s">
        <v>2047</v>
      </c>
      <c r="H1781" s="2">
        <v>45728</v>
      </c>
      <c r="I1781" s="2">
        <v>45758</v>
      </c>
      <c r="J1781" t="s">
        <v>20</v>
      </c>
      <c r="K1781" s="21">
        <v>270</v>
      </c>
      <c r="L1781" s="21">
        <v>270</v>
      </c>
      <c r="M1781">
        <v>0</v>
      </c>
      <c r="N1781" s="21">
        <v>0</v>
      </c>
    </row>
    <row r="1782" spans="1:14">
      <c r="A1782" t="str">
        <f>IFERROR(_xlfn.XLOOKUP(B1782,Cuentas!$C$1:$C$521,Cuentas!$A$1:$A$521),"")</f>
        <v>Alexandra</v>
      </c>
      <c r="B1782" t="s">
        <v>2012</v>
      </c>
      <c r="C1782" t="s">
        <v>2013</v>
      </c>
      <c r="D1782" t="s">
        <v>16</v>
      </c>
      <c r="E1782" t="s">
        <v>7</v>
      </c>
      <c r="F1782" t="s">
        <v>2048</v>
      </c>
      <c r="G1782" t="s">
        <v>2048</v>
      </c>
      <c r="H1782" s="2">
        <v>45728</v>
      </c>
      <c r="I1782" s="2">
        <v>45758</v>
      </c>
      <c r="J1782" t="s">
        <v>20</v>
      </c>
      <c r="K1782" s="21">
        <v>234</v>
      </c>
      <c r="L1782" s="21">
        <v>234</v>
      </c>
      <c r="M1782">
        <v>0</v>
      </c>
      <c r="N1782" s="21">
        <v>0</v>
      </c>
    </row>
    <row r="1783" spans="1:14">
      <c r="A1783" t="str">
        <f>IFERROR(_xlfn.XLOOKUP(B1783,Cuentas!$C$1:$C$521,Cuentas!$A$1:$A$521),"")</f>
        <v>Alexandra</v>
      </c>
      <c r="B1783" t="s">
        <v>2012</v>
      </c>
      <c r="C1783" t="s">
        <v>2013</v>
      </c>
      <c r="D1783" t="s">
        <v>16</v>
      </c>
      <c r="E1783" t="s">
        <v>7</v>
      </c>
      <c r="F1783" t="s">
        <v>2049</v>
      </c>
      <c r="G1783" t="s">
        <v>2049</v>
      </c>
      <c r="H1783" s="2">
        <v>45728</v>
      </c>
      <c r="I1783" s="2">
        <v>45758</v>
      </c>
      <c r="J1783" t="s">
        <v>20</v>
      </c>
      <c r="K1783" s="21">
        <v>728</v>
      </c>
      <c r="L1783" s="21">
        <v>728</v>
      </c>
      <c r="M1783">
        <v>0</v>
      </c>
      <c r="N1783" s="21">
        <v>0</v>
      </c>
    </row>
    <row r="1784" spans="1:14">
      <c r="A1784" t="str">
        <f>IFERROR(_xlfn.XLOOKUP(B1784,Cuentas!$C$1:$C$521,Cuentas!$A$1:$A$521),"")</f>
        <v>Alexandra</v>
      </c>
      <c r="B1784" t="s">
        <v>2012</v>
      </c>
      <c r="C1784" t="s">
        <v>2013</v>
      </c>
      <c r="D1784" t="s">
        <v>16</v>
      </c>
      <c r="E1784" t="s">
        <v>7</v>
      </c>
      <c r="F1784" t="s">
        <v>2050</v>
      </c>
      <c r="G1784" t="s">
        <v>2050</v>
      </c>
      <c r="H1784" s="2">
        <v>45729</v>
      </c>
      <c r="I1784" s="2">
        <v>45759</v>
      </c>
      <c r="J1784" t="s">
        <v>20</v>
      </c>
      <c r="K1784" s="21">
        <v>904</v>
      </c>
      <c r="L1784" s="21">
        <v>904</v>
      </c>
      <c r="M1784">
        <v>0</v>
      </c>
      <c r="N1784" s="21">
        <v>0</v>
      </c>
    </row>
    <row r="1785" spans="1:14">
      <c r="A1785" t="str">
        <f>IFERROR(_xlfn.XLOOKUP(B1785,Cuentas!$C$1:$C$521,Cuentas!$A$1:$A$521),"")</f>
        <v>Alexandra</v>
      </c>
      <c r="B1785" t="s">
        <v>2012</v>
      </c>
      <c r="C1785" t="s">
        <v>2013</v>
      </c>
      <c r="D1785" t="s">
        <v>16</v>
      </c>
      <c r="E1785" t="s">
        <v>7</v>
      </c>
      <c r="F1785" t="s">
        <v>2051</v>
      </c>
      <c r="G1785" t="s">
        <v>2051</v>
      </c>
      <c r="H1785" s="2">
        <v>45733</v>
      </c>
      <c r="I1785" s="2">
        <v>45763</v>
      </c>
      <c r="J1785" t="s">
        <v>20</v>
      </c>
      <c r="K1785" s="21">
        <v>3673.6</v>
      </c>
      <c r="L1785" s="21">
        <v>3673.6</v>
      </c>
      <c r="M1785">
        <v>0</v>
      </c>
      <c r="N1785" s="21">
        <v>0</v>
      </c>
    </row>
    <row r="1786" spans="1:14">
      <c r="A1786" t="str">
        <f>IFERROR(_xlfn.XLOOKUP(B1786,Cuentas!$C$1:$C$521,Cuentas!$A$1:$A$521),"")</f>
        <v>Alexandra</v>
      </c>
      <c r="B1786" t="s">
        <v>2012</v>
      </c>
      <c r="C1786" t="s">
        <v>2013</v>
      </c>
      <c r="D1786" t="s">
        <v>16</v>
      </c>
      <c r="E1786" t="s">
        <v>7</v>
      </c>
      <c r="F1786" t="s">
        <v>2052</v>
      </c>
      <c r="G1786" t="s">
        <v>2052</v>
      </c>
      <c r="H1786" s="2">
        <v>45733</v>
      </c>
      <c r="I1786" s="2">
        <v>45763</v>
      </c>
      <c r="J1786" t="s">
        <v>20</v>
      </c>
      <c r="K1786" s="21">
        <v>867</v>
      </c>
      <c r="L1786" s="21">
        <v>867</v>
      </c>
      <c r="M1786">
        <v>0</v>
      </c>
      <c r="N1786" s="21">
        <v>0</v>
      </c>
    </row>
    <row r="1787" spans="1:14">
      <c r="A1787" t="str">
        <f>IFERROR(_xlfn.XLOOKUP(B1787,Cuentas!$C$1:$C$521,Cuentas!$A$1:$A$521),"")</f>
        <v>Alexandra</v>
      </c>
      <c r="B1787" t="s">
        <v>2012</v>
      </c>
      <c r="C1787" t="s">
        <v>2013</v>
      </c>
      <c r="D1787" t="s">
        <v>16</v>
      </c>
      <c r="E1787" t="s">
        <v>7</v>
      </c>
      <c r="F1787" t="s">
        <v>2053</v>
      </c>
      <c r="G1787" t="s">
        <v>2053</v>
      </c>
      <c r="H1787" s="2">
        <v>45736</v>
      </c>
      <c r="I1787" s="2">
        <v>45766</v>
      </c>
      <c r="J1787" t="s">
        <v>20</v>
      </c>
      <c r="K1787" s="21">
        <v>1435</v>
      </c>
      <c r="L1787" s="21">
        <v>1435</v>
      </c>
      <c r="M1787">
        <v>0</v>
      </c>
      <c r="N1787" s="21">
        <v>0</v>
      </c>
    </row>
    <row r="1788" spans="1:14">
      <c r="A1788" t="str">
        <f>IFERROR(_xlfn.XLOOKUP(B1788,Cuentas!$C$1:$C$521,Cuentas!$A$1:$A$521),"")</f>
        <v>Alexandra</v>
      </c>
      <c r="B1788" t="s">
        <v>2012</v>
      </c>
      <c r="C1788" t="s">
        <v>2013</v>
      </c>
      <c r="D1788" t="s">
        <v>16</v>
      </c>
      <c r="E1788" t="s">
        <v>7</v>
      </c>
      <c r="F1788" t="s">
        <v>2054</v>
      </c>
      <c r="G1788" t="s">
        <v>2054</v>
      </c>
      <c r="H1788" s="2">
        <v>45737</v>
      </c>
      <c r="I1788" s="2">
        <v>45767</v>
      </c>
      <c r="J1788" t="s">
        <v>20</v>
      </c>
      <c r="K1788" s="21">
        <v>5769.63</v>
      </c>
      <c r="L1788" s="21">
        <v>5769.63</v>
      </c>
      <c r="M1788">
        <v>0</v>
      </c>
      <c r="N1788" s="21">
        <v>0</v>
      </c>
    </row>
    <row r="1789" spans="1:14">
      <c r="A1789" t="str">
        <f>IFERROR(_xlfn.XLOOKUP(B1789,Cuentas!$C$1:$C$521,Cuentas!$A$1:$A$521),"")</f>
        <v>Alexandra</v>
      </c>
      <c r="B1789" t="s">
        <v>2012</v>
      </c>
      <c r="C1789" t="s">
        <v>2013</v>
      </c>
      <c r="D1789" t="s">
        <v>16</v>
      </c>
      <c r="E1789" t="s">
        <v>7</v>
      </c>
      <c r="F1789" t="s">
        <v>2055</v>
      </c>
      <c r="G1789" t="s">
        <v>2055</v>
      </c>
      <c r="H1789" s="2">
        <v>45737</v>
      </c>
      <c r="I1789" s="2">
        <v>45767</v>
      </c>
      <c r="J1789" t="s">
        <v>20</v>
      </c>
      <c r="K1789" s="21">
        <v>216</v>
      </c>
      <c r="L1789" s="21">
        <v>216</v>
      </c>
      <c r="M1789">
        <v>0</v>
      </c>
      <c r="N1789" s="21">
        <v>0</v>
      </c>
    </row>
    <row r="1790" spans="1:14">
      <c r="A1790" t="str">
        <f>IFERROR(_xlfn.XLOOKUP(B1790,Cuentas!$C$1:$C$521,Cuentas!$A$1:$A$521),"")</f>
        <v>Alexandra</v>
      </c>
      <c r="B1790" t="s">
        <v>2012</v>
      </c>
      <c r="C1790" t="s">
        <v>2013</v>
      </c>
      <c r="D1790" t="s">
        <v>16</v>
      </c>
      <c r="E1790" t="s">
        <v>7</v>
      </c>
      <c r="F1790" t="s">
        <v>2056</v>
      </c>
      <c r="G1790" t="s">
        <v>2056</v>
      </c>
      <c r="H1790" s="2">
        <v>45741</v>
      </c>
      <c r="I1790" s="2">
        <v>45771</v>
      </c>
      <c r="J1790" t="s">
        <v>20</v>
      </c>
      <c r="K1790" s="21">
        <v>1670</v>
      </c>
      <c r="L1790" s="21">
        <v>1670</v>
      </c>
      <c r="M1790">
        <v>0</v>
      </c>
      <c r="N1790" s="21">
        <v>0</v>
      </c>
    </row>
    <row r="1791" spans="1:14">
      <c r="A1791" t="str">
        <f>IFERROR(_xlfn.XLOOKUP(B1791,Cuentas!$C$1:$C$521,Cuentas!$A$1:$A$521),"")</f>
        <v>Yuldor</v>
      </c>
      <c r="B1791" t="s">
        <v>2057</v>
      </c>
      <c r="C1791" t="s">
        <v>2058</v>
      </c>
      <c r="D1791" t="s">
        <v>213</v>
      </c>
      <c r="E1791" t="s">
        <v>7</v>
      </c>
      <c r="F1791" t="s">
        <v>2059</v>
      </c>
      <c r="G1791" t="s">
        <v>2059</v>
      </c>
      <c r="H1791" s="2">
        <v>45666</v>
      </c>
      <c r="I1791" s="2">
        <v>45666</v>
      </c>
      <c r="J1791" t="s">
        <v>20</v>
      </c>
      <c r="K1791" s="21">
        <v>466</v>
      </c>
      <c r="L1791" s="21">
        <v>466</v>
      </c>
      <c r="M1791">
        <v>0</v>
      </c>
      <c r="N1791" s="21">
        <v>466</v>
      </c>
    </row>
    <row r="1792" spans="1:14">
      <c r="A1792" t="str">
        <f>IFERROR(_xlfn.XLOOKUP(B1792,Cuentas!$C$1:$C$521,Cuentas!$A$1:$A$521),"")</f>
        <v>Alexandra</v>
      </c>
      <c r="B1792" t="s">
        <v>2060</v>
      </c>
      <c r="C1792" t="s">
        <v>2061</v>
      </c>
      <c r="D1792" t="s">
        <v>16</v>
      </c>
      <c r="E1792" t="s">
        <v>3139</v>
      </c>
      <c r="F1792" t="s">
        <v>19</v>
      </c>
      <c r="G1792" t="s">
        <v>19</v>
      </c>
      <c r="I1792" s="2">
        <v>45471</v>
      </c>
      <c r="J1792" t="s">
        <v>20</v>
      </c>
      <c r="K1792" s="21">
        <v>-536.64</v>
      </c>
      <c r="L1792" s="21">
        <v>-536.64</v>
      </c>
      <c r="M1792">
        <v>0</v>
      </c>
      <c r="N1792" s="21">
        <v>-536.64</v>
      </c>
    </row>
    <row r="1793" spans="1:14">
      <c r="A1793" t="str">
        <f>IFERROR(_xlfn.XLOOKUP(B1793,Cuentas!$C$1:$C$521,Cuentas!$A$1:$A$521),"")</f>
        <v>Yuldor</v>
      </c>
      <c r="B1793" t="s">
        <v>2062</v>
      </c>
      <c r="C1793" t="s">
        <v>2063</v>
      </c>
      <c r="D1793" t="s">
        <v>16</v>
      </c>
      <c r="E1793" t="s">
        <v>7</v>
      </c>
      <c r="F1793" t="s">
        <v>2064</v>
      </c>
      <c r="G1793" t="s">
        <v>2064</v>
      </c>
      <c r="H1793" s="2">
        <v>45672</v>
      </c>
      <c r="I1793" s="2">
        <v>45702</v>
      </c>
      <c r="J1793" t="s">
        <v>20</v>
      </c>
      <c r="K1793" s="21">
        <v>6331</v>
      </c>
      <c r="L1793" s="21">
        <v>6331</v>
      </c>
      <c r="M1793">
        <v>0</v>
      </c>
      <c r="N1793" s="21">
        <v>6331</v>
      </c>
    </row>
    <row r="1794" spans="1:14">
      <c r="A1794" t="str">
        <f>IFERROR(_xlfn.XLOOKUP(B1794,Cuentas!$C$1:$C$521,Cuentas!$A$1:$A$521),"")</f>
        <v>Yuldor</v>
      </c>
      <c r="B1794" t="s">
        <v>2065</v>
      </c>
      <c r="C1794" t="s">
        <v>2066</v>
      </c>
      <c r="D1794" t="s">
        <v>16</v>
      </c>
      <c r="E1794" t="s">
        <v>7</v>
      </c>
      <c r="F1794" t="s">
        <v>2067</v>
      </c>
      <c r="G1794" t="s">
        <v>2067</v>
      </c>
      <c r="H1794" s="2">
        <v>45303</v>
      </c>
      <c r="I1794" s="2">
        <v>45333</v>
      </c>
      <c r="J1794" t="s">
        <v>20</v>
      </c>
      <c r="K1794" s="21">
        <v>300</v>
      </c>
      <c r="L1794" s="21">
        <v>300</v>
      </c>
      <c r="M1794">
        <v>0</v>
      </c>
      <c r="N1794" s="21">
        <v>300</v>
      </c>
    </row>
    <row r="1795" spans="1:14">
      <c r="A1795" t="str">
        <f>IFERROR(_xlfn.XLOOKUP(B1795,Cuentas!$C$1:$C$521,Cuentas!$A$1:$A$521),"")</f>
        <v>Yuldor</v>
      </c>
      <c r="B1795" t="s">
        <v>2065</v>
      </c>
      <c r="C1795" t="s">
        <v>2066</v>
      </c>
      <c r="D1795" t="s">
        <v>16</v>
      </c>
      <c r="E1795" t="s">
        <v>7</v>
      </c>
      <c r="F1795" t="s">
        <v>2068</v>
      </c>
      <c r="G1795" t="s">
        <v>2068</v>
      </c>
      <c r="H1795" s="2">
        <v>45419</v>
      </c>
      <c r="I1795" s="2">
        <v>45449</v>
      </c>
      <c r="J1795" t="s">
        <v>20</v>
      </c>
      <c r="K1795" s="21">
        <v>5270</v>
      </c>
      <c r="L1795" s="21">
        <v>5270</v>
      </c>
      <c r="M1795">
        <v>0</v>
      </c>
      <c r="N1795" s="21">
        <v>5270</v>
      </c>
    </row>
    <row r="1796" spans="1:14">
      <c r="A1796" t="str">
        <f>IFERROR(_xlfn.XLOOKUP(B1796,Cuentas!$C$1:$C$521,Cuentas!$A$1:$A$521),"")</f>
        <v>Yuldor</v>
      </c>
      <c r="B1796" t="s">
        <v>2065</v>
      </c>
      <c r="C1796" t="s">
        <v>2066</v>
      </c>
      <c r="D1796" t="s">
        <v>16</v>
      </c>
      <c r="E1796" t="s">
        <v>7</v>
      </c>
      <c r="F1796" t="s">
        <v>2069</v>
      </c>
      <c r="G1796" t="s">
        <v>2069</v>
      </c>
      <c r="H1796" s="2">
        <v>45479</v>
      </c>
      <c r="I1796" s="2">
        <v>45509</v>
      </c>
      <c r="J1796" t="s">
        <v>20</v>
      </c>
      <c r="K1796" s="21">
        <v>3620</v>
      </c>
      <c r="L1796" s="21">
        <v>3620</v>
      </c>
      <c r="M1796">
        <v>0</v>
      </c>
      <c r="N1796" s="21">
        <v>3620</v>
      </c>
    </row>
    <row r="1797" spans="1:14">
      <c r="A1797" t="str">
        <f>IFERROR(_xlfn.XLOOKUP(B1797,Cuentas!$C$1:$C$521,Cuentas!$A$1:$A$521),"")</f>
        <v>Yuldor</v>
      </c>
      <c r="B1797" t="s">
        <v>2065</v>
      </c>
      <c r="C1797" t="s">
        <v>2066</v>
      </c>
      <c r="D1797" t="s">
        <v>16</v>
      </c>
      <c r="E1797" t="s">
        <v>7</v>
      </c>
      <c r="F1797" t="s">
        <v>2070</v>
      </c>
      <c r="G1797" t="s">
        <v>2070</v>
      </c>
      <c r="H1797" s="2">
        <v>45572</v>
      </c>
      <c r="I1797" s="2">
        <v>45602</v>
      </c>
      <c r="J1797" t="s">
        <v>20</v>
      </c>
      <c r="K1797" s="21">
        <v>10318.84</v>
      </c>
      <c r="L1797" s="21">
        <v>120</v>
      </c>
      <c r="M1797">
        <v>0</v>
      </c>
      <c r="N1797" s="21">
        <v>120</v>
      </c>
    </row>
    <row r="1798" spans="1:14">
      <c r="A1798" t="str">
        <f>IFERROR(_xlfn.XLOOKUP(B1798,Cuentas!$C$1:$C$521,Cuentas!$A$1:$A$521),"")</f>
        <v>Yuldor</v>
      </c>
      <c r="B1798" t="s">
        <v>2065</v>
      </c>
      <c r="C1798" t="s">
        <v>2066</v>
      </c>
      <c r="D1798" t="s">
        <v>16</v>
      </c>
      <c r="E1798" t="s">
        <v>5502</v>
      </c>
      <c r="F1798" t="s">
        <v>2071</v>
      </c>
      <c r="G1798" t="s">
        <v>2070</v>
      </c>
      <c r="I1798" s="2">
        <v>45671</v>
      </c>
      <c r="J1798" t="s">
        <v>20</v>
      </c>
      <c r="K1798" s="21">
        <v>-24.41</v>
      </c>
      <c r="L1798" s="21" t="s">
        <v>86</v>
      </c>
      <c r="M1798">
        <v>0</v>
      </c>
      <c r="N1798" s="21" t="s">
        <v>86</v>
      </c>
    </row>
    <row r="1799" spans="1:14">
      <c r="A1799" t="str">
        <f>IFERROR(_xlfn.XLOOKUP(B1799,Cuentas!$C$1:$C$521,Cuentas!$A$1:$A$521),"")</f>
        <v>Yuldor</v>
      </c>
      <c r="B1799" t="s">
        <v>2065</v>
      </c>
      <c r="C1799" t="s">
        <v>2066</v>
      </c>
      <c r="D1799" t="s">
        <v>16</v>
      </c>
      <c r="E1799" t="s">
        <v>3139</v>
      </c>
      <c r="F1799" t="s">
        <v>2070</v>
      </c>
      <c r="G1799" t="s">
        <v>2070</v>
      </c>
      <c r="I1799" s="2">
        <v>45610</v>
      </c>
      <c r="J1799" t="s">
        <v>20</v>
      </c>
      <c r="K1799" s="21">
        <v>-10174.43</v>
      </c>
      <c r="L1799" s="21" t="s">
        <v>86</v>
      </c>
      <c r="M1799">
        <v>0</v>
      </c>
      <c r="N1799" s="21" t="s">
        <v>86</v>
      </c>
    </row>
    <row r="1800" spans="1:14">
      <c r="A1800" t="str">
        <f>IFERROR(_xlfn.XLOOKUP(B1800,Cuentas!$C$1:$C$521,Cuentas!$A$1:$A$521),"")</f>
        <v>Yuldor</v>
      </c>
      <c r="B1800" t="s">
        <v>2065</v>
      </c>
      <c r="C1800" t="s">
        <v>2066</v>
      </c>
      <c r="D1800" t="s">
        <v>16</v>
      </c>
      <c r="E1800" t="s">
        <v>7</v>
      </c>
      <c r="F1800" t="s">
        <v>2072</v>
      </c>
      <c r="G1800" t="s">
        <v>2072</v>
      </c>
      <c r="H1800" s="2">
        <v>45574</v>
      </c>
      <c r="I1800" s="2">
        <v>45604</v>
      </c>
      <c r="J1800" t="s">
        <v>20</v>
      </c>
      <c r="K1800" s="21">
        <v>156</v>
      </c>
      <c r="L1800" s="21">
        <v>156</v>
      </c>
      <c r="M1800">
        <v>0</v>
      </c>
      <c r="N1800" s="21">
        <v>156</v>
      </c>
    </row>
    <row r="1801" spans="1:14">
      <c r="A1801" t="str">
        <f>IFERROR(_xlfn.XLOOKUP(B1801,Cuentas!$C$1:$C$521,Cuentas!$A$1:$A$521),"")</f>
        <v>Yuldor</v>
      </c>
      <c r="B1801" t="s">
        <v>2065</v>
      </c>
      <c r="C1801" t="s">
        <v>2066</v>
      </c>
      <c r="D1801" t="s">
        <v>16</v>
      </c>
      <c r="E1801" t="s">
        <v>7</v>
      </c>
      <c r="F1801" t="s">
        <v>2073</v>
      </c>
      <c r="G1801" t="s">
        <v>2073</v>
      </c>
      <c r="H1801" s="2">
        <v>45588</v>
      </c>
      <c r="I1801" s="2">
        <v>45618</v>
      </c>
      <c r="J1801" t="s">
        <v>20</v>
      </c>
      <c r="K1801" s="21">
        <v>21056</v>
      </c>
      <c r="L1801" s="21">
        <v>324</v>
      </c>
      <c r="M1801">
        <v>0</v>
      </c>
      <c r="N1801" s="21">
        <v>324</v>
      </c>
    </row>
    <row r="1802" spans="1:14">
      <c r="A1802" t="str">
        <f>IFERROR(_xlfn.XLOOKUP(B1802,Cuentas!$C$1:$C$521,Cuentas!$A$1:$A$521),"")</f>
        <v>Yuldor</v>
      </c>
      <c r="B1802" t="s">
        <v>2065</v>
      </c>
      <c r="C1802" t="s">
        <v>2066</v>
      </c>
      <c r="D1802" t="s">
        <v>16</v>
      </c>
      <c r="E1802" t="s">
        <v>3139</v>
      </c>
      <c r="F1802" t="s">
        <v>2073</v>
      </c>
      <c r="G1802" t="s">
        <v>2073</v>
      </c>
      <c r="I1802" s="2">
        <v>45587</v>
      </c>
      <c r="J1802" t="s">
        <v>20</v>
      </c>
      <c r="K1802" s="21">
        <v>-20732</v>
      </c>
      <c r="L1802" s="21" t="s">
        <v>86</v>
      </c>
      <c r="M1802">
        <v>0</v>
      </c>
      <c r="N1802" s="21" t="s">
        <v>86</v>
      </c>
    </row>
    <row r="1803" spans="1:14">
      <c r="A1803" t="str">
        <f>IFERROR(_xlfn.XLOOKUP(B1803,Cuentas!$C$1:$C$521,Cuentas!$A$1:$A$521),"")</f>
        <v>Yuldor</v>
      </c>
      <c r="B1803" t="s">
        <v>2065</v>
      </c>
      <c r="C1803" t="s">
        <v>2066</v>
      </c>
      <c r="D1803" t="s">
        <v>16</v>
      </c>
      <c r="E1803" t="s">
        <v>7</v>
      </c>
      <c r="F1803" t="s">
        <v>2074</v>
      </c>
      <c r="G1803" t="s">
        <v>2074</v>
      </c>
      <c r="H1803" s="2">
        <v>45602</v>
      </c>
      <c r="I1803" s="2">
        <v>45632</v>
      </c>
      <c r="J1803" t="s">
        <v>20</v>
      </c>
      <c r="K1803" s="21">
        <v>5292</v>
      </c>
      <c r="L1803" s="21">
        <v>88.8</v>
      </c>
      <c r="M1803">
        <v>0</v>
      </c>
      <c r="N1803" s="21">
        <v>88.8</v>
      </c>
    </row>
    <row r="1804" spans="1:14">
      <c r="A1804" t="str">
        <f>IFERROR(_xlfn.XLOOKUP(B1804,Cuentas!$C$1:$C$521,Cuentas!$A$1:$A$521),"")</f>
        <v>Yuldor</v>
      </c>
      <c r="B1804" t="s">
        <v>2065</v>
      </c>
      <c r="C1804" t="s">
        <v>2066</v>
      </c>
      <c r="D1804" t="s">
        <v>16</v>
      </c>
      <c r="E1804" t="s">
        <v>3139</v>
      </c>
      <c r="F1804" t="s">
        <v>2074</v>
      </c>
      <c r="G1804" t="s">
        <v>2074</v>
      </c>
      <c r="I1804" s="2">
        <v>45642</v>
      </c>
      <c r="J1804" t="s">
        <v>20</v>
      </c>
      <c r="K1804" s="21">
        <v>-5203.2</v>
      </c>
      <c r="L1804" s="21" t="s">
        <v>86</v>
      </c>
      <c r="M1804">
        <v>0</v>
      </c>
      <c r="N1804" s="21" t="s">
        <v>86</v>
      </c>
    </row>
    <row r="1805" spans="1:14">
      <c r="A1805" t="str">
        <f>IFERROR(_xlfn.XLOOKUP(B1805,Cuentas!$C$1:$C$521,Cuentas!$A$1:$A$521),"")</f>
        <v>Yuldor</v>
      </c>
      <c r="B1805" t="s">
        <v>2065</v>
      </c>
      <c r="C1805" t="s">
        <v>2066</v>
      </c>
      <c r="D1805" t="s">
        <v>16</v>
      </c>
      <c r="E1805" t="s">
        <v>7</v>
      </c>
      <c r="F1805" t="s">
        <v>2075</v>
      </c>
      <c r="G1805" t="s">
        <v>2075</v>
      </c>
      <c r="H1805" s="2">
        <v>45646</v>
      </c>
      <c r="I1805" s="2">
        <v>45676</v>
      </c>
      <c r="J1805" t="s">
        <v>20</v>
      </c>
      <c r="K1805" s="21">
        <v>13175.01</v>
      </c>
      <c r="L1805" s="21">
        <v>13175.01</v>
      </c>
      <c r="M1805">
        <v>0</v>
      </c>
      <c r="N1805" s="21">
        <v>13175.01</v>
      </c>
    </row>
    <row r="1806" spans="1:14">
      <c r="A1806" t="str">
        <f>IFERROR(_xlfn.XLOOKUP(B1806,Cuentas!$C$1:$C$521,Cuentas!$A$1:$A$521),"")</f>
        <v>Yuldor</v>
      </c>
      <c r="B1806" t="s">
        <v>2065</v>
      </c>
      <c r="C1806" t="s">
        <v>2066</v>
      </c>
      <c r="D1806" t="s">
        <v>16</v>
      </c>
      <c r="E1806" t="s">
        <v>7</v>
      </c>
      <c r="F1806" t="s">
        <v>2076</v>
      </c>
      <c r="G1806" t="s">
        <v>2076</v>
      </c>
      <c r="H1806" s="2">
        <v>45649</v>
      </c>
      <c r="I1806" s="2">
        <v>45679</v>
      </c>
      <c r="J1806" t="s">
        <v>20</v>
      </c>
      <c r="K1806" s="21">
        <v>5328</v>
      </c>
      <c r="L1806" s="21">
        <v>830</v>
      </c>
      <c r="M1806">
        <v>0</v>
      </c>
      <c r="N1806" s="21">
        <v>830</v>
      </c>
    </row>
    <row r="1807" spans="1:14">
      <c r="A1807" t="str">
        <f>IFERROR(_xlfn.XLOOKUP(B1807,Cuentas!$C$1:$C$521,Cuentas!$A$1:$A$521),"")</f>
        <v>Yuldor</v>
      </c>
      <c r="B1807" t="s">
        <v>2065</v>
      </c>
      <c r="C1807" t="s">
        <v>2066</v>
      </c>
      <c r="D1807" t="s">
        <v>16</v>
      </c>
      <c r="E1807" t="s">
        <v>3139</v>
      </c>
      <c r="F1807" t="s">
        <v>2076</v>
      </c>
      <c r="G1807" t="s">
        <v>2076</v>
      </c>
      <c r="I1807" s="2">
        <v>45687</v>
      </c>
      <c r="J1807" t="s">
        <v>20</v>
      </c>
      <c r="K1807" s="21">
        <v>-4498</v>
      </c>
      <c r="L1807" s="21" t="s">
        <v>86</v>
      </c>
      <c r="M1807">
        <v>0</v>
      </c>
      <c r="N1807" s="21" t="s">
        <v>86</v>
      </c>
    </row>
    <row r="1808" spans="1:14">
      <c r="A1808" t="str">
        <f>IFERROR(_xlfn.XLOOKUP(B1808,Cuentas!$C$1:$C$521,Cuentas!$A$1:$A$521),"")</f>
        <v>Yuldor</v>
      </c>
      <c r="B1808" t="s">
        <v>2065</v>
      </c>
      <c r="C1808" t="s">
        <v>2066</v>
      </c>
      <c r="D1808" t="s">
        <v>16</v>
      </c>
      <c r="E1808" t="s">
        <v>7</v>
      </c>
      <c r="F1808" t="s">
        <v>2077</v>
      </c>
      <c r="G1808" t="s">
        <v>2077</v>
      </c>
      <c r="H1808" s="2">
        <v>45664</v>
      </c>
      <c r="I1808" s="2">
        <v>45694</v>
      </c>
      <c r="J1808" t="s">
        <v>20</v>
      </c>
      <c r="K1808" s="21">
        <v>54705.25</v>
      </c>
      <c r="L1808" s="21">
        <v>2971.75</v>
      </c>
      <c r="M1808">
        <v>0</v>
      </c>
      <c r="N1808" s="21">
        <v>2971.75</v>
      </c>
    </row>
    <row r="1809" spans="1:14">
      <c r="A1809" t="str">
        <f>IFERROR(_xlfn.XLOOKUP(B1809,Cuentas!$C$1:$C$521,Cuentas!$A$1:$A$521),"")</f>
        <v>Yuldor</v>
      </c>
      <c r="B1809" t="s">
        <v>2065</v>
      </c>
      <c r="C1809" t="s">
        <v>2066</v>
      </c>
      <c r="D1809" t="s">
        <v>16</v>
      </c>
      <c r="E1809" t="s">
        <v>3139</v>
      </c>
      <c r="F1809" t="s">
        <v>2077</v>
      </c>
      <c r="G1809" t="s">
        <v>2077</v>
      </c>
      <c r="I1809" s="2">
        <v>45706</v>
      </c>
      <c r="J1809" t="s">
        <v>20</v>
      </c>
      <c r="K1809" s="21">
        <v>-51733.5</v>
      </c>
      <c r="L1809" s="21" t="s">
        <v>86</v>
      </c>
      <c r="M1809">
        <v>0</v>
      </c>
      <c r="N1809" s="21" t="s">
        <v>86</v>
      </c>
    </row>
    <row r="1810" spans="1:14">
      <c r="A1810" t="str">
        <f>IFERROR(_xlfn.XLOOKUP(B1810,Cuentas!$C$1:$C$521,Cuentas!$A$1:$A$521),"")</f>
        <v>Yuldor</v>
      </c>
      <c r="B1810" t="s">
        <v>2065</v>
      </c>
      <c r="C1810" t="s">
        <v>2066</v>
      </c>
      <c r="D1810" t="s">
        <v>16</v>
      </c>
      <c r="E1810" t="s">
        <v>7</v>
      </c>
      <c r="F1810" t="s">
        <v>2078</v>
      </c>
      <c r="G1810" t="s">
        <v>2078</v>
      </c>
      <c r="H1810" s="2">
        <v>45670</v>
      </c>
      <c r="I1810" s="2">
        <v>45700</v>
      </c>
      <c r="J1810" t="s">
        <v>20</v>
      </c>
      <c r="K1810" s="21">
        <v>77</v>
      </c>
      <c r="L1810" s="21">
        <v>77</v>
      </c>
      <c r="M1810">
        <v>0</v>
      </c>
      <c r="N1810" s="21">
        <v>77</v>
      </c>
    </row>
    <row r="1811" spans="1:14">
      <c r="A1811" t="str">
        <f>IFERROR(_xlfn.XLOOKUP(B1811,Cuentas!$C$1:$C$521,Cuentas!$A$1:$A$521),"")</f>
        <v>Yuldor</v>
      </c>
      <c r="B1811" t="s">
        <v>2065</v>
      </c>
      <c r="C1811" t="s">
        <v>2066</v>
      </c>
      <c r="D1811" t="s">
        <v>16</v>
      </c>
      <c r="E1811" t="s">
        <v>7</v>
      </c>
      <c r="F1811" t="s">
        <v>2079</v>
      </c>
      <c r="G1811" t="s">
        <v>2079</v>
      </c>
      <c r="H1811" s="2">
        <v>45679</v>
      </c>
      <c r="I1811" s="2">
        <v>45709</v>
      </c>
      <c r="J1811" t="s">
        <v>20</v>
      </c>
      <c r="K1811" s="21">
        <v>48</v>
      </c>
      <c r="L1811" s="21">
        <v>48</v>
      </c>
      <c r="M1811">
        <v>0</v>
      </c>
      <c r="N1811" s="21">
        <v>48</v>
      </c>
    </row>
    <row r="1812" spans="1:14">
      <c r="A1812" t="str">
        <f>IFERROR(_xlfn.XLOOKUP(B1812,Cuentas!$C$1:$C$521,Cuentas!$A$1:$A$521),"")</f>
        <v>Yuldor</v>
      </c>
      <c r="B1812" t="s">
        <v>2065</v>
      </c>
      <c r="C1812" t="s">
        <v>2066</v>
      </c>
      <c r="D1812" t="s">
        <v>16</v>
      </c>
      <c r="E1812" t="s">
        <v>7</v>
      </c>
      <c r="F1812" t="s">
        <v>2080</v>
      </c>
      <c r="G1812" t="s">
        <v>2080</v>
      </c>
      <c r="H1812" s="2">
        <v>45688</v>
      </c>
      <c r="I1812" s="2">
        <v>45718</v>
      </c>
      <c r="J1812" t="s">
        <v>20</v>
      </c>
      <c r="K1812" s="21">
        <v>6927.76</v>
      </c>
      <c r="L1812" s="21">
        <v>6927.76</v>
      </c>
      <c r="M1812">
        <v>10</v>
      </c>
      <c r="N1812" s="21">
        <v>6927.76</v>
      </c>
    </row>
    <row r="1813" spans="1:14">
      <c r="A1813" t="str">
        <f>IFERROR(_xlfn.XLOOKUP(B1813,Cuentas!$C$1:$C$521,Cuentas!$A$1:$A$521),"")</f>
        <v>Yuldor</v>
      </c>
      <c r="B1813" t="s">
        <v>2065</v>
      </c>
      <c r="C1813" t="s">
        <v>2066</v>
      </c>
      <c r="D1813" t="s">
        <v>16</v>
      </c>
      <c r="E1813" t="s">
        <v>7</v>
      </c>
      <c r="F1813" t="s">
        <v>2081</v>
      </c>
      <c r="G1813" t="s">
        <v>2081</v>
      </c>
      <c r="H1813" s="2">
        <v>45726</v>
      </c>
      <c r="I1813" s="2">
        <v>45726</v>
      </c>
      <c r="J1813" t="s">
        <v>20</v>
      </c>
      <c r="K1813" s="21">
        <v>17250</v>
      </c>
      <c r="L1813" s="21">
        <v>17250</v>
      </c>
      <c r="M1813">
        <v>11</v>
      </c>
      <c r="N1813" s="21">
        <v>17250</v>
      </c>
    </row>
    <row r="1814" spans="1:14">
      <c r="A1814" t="str">
        <f>IFERROR(_xlfn.XLOOKUP(B1814,Cuentas!$C$1:$C$521,Cuentas!$A$1:$A$521),"")</f>
        <v>Yuldor</v>
      </c>
      <c r="B1814" t="s">
        <v>2065</v>
      </c>
      <c r="C1814" t="s">
        <v>2066</v>
      </c>
      <c r="D1814" t="s">
        <v>16</v>
      </c>
      <c r="E1814" t="s">
        <v>7</v>
      </c>
      <c r="F1814" t="s">
        <v>2082</v>
      </c>
      <c r="G1814" t="s">
        <v>2082</v>
      </c>
      <c r="H1814" s="2">
        <v>45715</v>
      </c>
      <c r="I1814" s="2">
        <v>45745</v>
      </c>
      <c r="J1814" t="s">
        <v>20</v>
      </c>
      <c r="K1814" s="21">
        <v>1230.1199999999999</v>
      </c>
      <c r="L1814" s="21">
        <v>1230.1199999999999</v>
      </c>
      <c r="M1814">
        <v>13</v>
      </c>
      <c r="N1814" s="21">
        <v>1230.1199999999999</v>
      </c>
    </row>
    <row r="1815" spans="1:14">
      <c r="A1815" t="str">
        <f>IFERROR(_xlfn.XLOOKUP(B1815,Cuentas!$C$1:$C$521,Cuentas!$A$1:$A$521),"")</f>
        <v>Yuldor</v>
      </c>
      <c r="B1815" t="s">
        <v>2065</v>
      </c>
      <c r="C1815" t="s">
        <v>2066</v>
      </c>
      <c r="D1815" t="s">
        <v>16</v>
      </c>
      <c r="E1815" t="s">
        <v>7</v>
      </c>
      <c r="F1815" t="s">
        <v>2083</v>
      </c>
      <c r="G1815" t="s">
        <v>2083</v>
      </c>
      <c r="H1815" s="2">
        <v>45716</v>
      </c>
      <c r="I1815" s="2">
        <v>45746</v>
      </c>
      <c r="J1815" t="s">
        <v>20</v>
      </c>
      <c r="K1815" s="21">
        <v>2214</v>
      </c>
      <c r="L1815" s="21">
        <v>2214</v>
      </c>
      <c r="M1815">
        <v>13</v>
      </c>
      <c r="N1815" s="21">
        <v>2214</v>
      </c>
    </row>
    <row r="1816" spans="1:14">
      <c r="A1816" t="str">
        <f>IFERROR(_xlfn.XLOOKUP(B1816,Cuentas!$C$1:$C$521,Cuentas!$A$1:$A$521),"")</f>
        <v>Yuldor</v>
      </c>
      <c r="B1816" t="s">
        <v>2065</v>
      </c>
      <c r="C1816" t="s">
        <v>2066</v>
      </c>
      <c r="D1816" t="s">
        <v>16</v>
      </c>
      <c r="E1816" t="s">
        <v>7</v>
      </c>
      <c r="F1816" t="s">
        <v>2084</v>
      </c>
      <c r="G1816" t="s">
        <v>2084</v>
      </c>
      <c r="H1816" s="2">
        <v>45720</v>
      </c>
      <c r="I1816" s="2">
        <v>45750</v>
      </c>
      <c r="J1816" t="s">
        <v>20</v>
      </c>
      <c r="K1816" s="21">
        <v>234</v>
      </c>
      <c r="L1816" s="21">
        <v>234</v>
      </c>
      <c r="M1816">
        <v>0</v>
      </c>
      <c r="N1816" s="21">
        <v>0</v>
      </c>
    </row>
    <row r="1817" spans="1:14">
      <c r="A1817" t="str">
        <f>IFERROR(_xlfn.XLOOKUP(B1817,Cuentas!$C$1:$C$521,Cuentas!$A$1:$A$521),"")</f>
        <v>Yuldor</v>
      </c>
      <c r="B1817" t="s">
        <v>2065</v>
      </c>
      <c r="C1817" t="s">
        <v>2066</v>
      </c>
      <c r="D1817" t="s">
        <v>16</v>
      </c>
      <c r="E1817" t="s">
        <v>7</v>
      </c>
      <c r="F1817" t="s">
        <v>2085</v>
      </c>
      <c r="G1817" t="s">
        <v>2085</v>
      </c>
      <c r="H1817" s="2">
        <v>45720</v>
      </c>
      <c r="I1817" s="2">
        <v>45750</v>
      </c>
      <c r="J1817" t="s">
        <v>20</v>
      </c>
      <c r="K1817" s="21">
        <v>144</v>
      </c>
      <c r="L1817" s="21">
        <v>144</v>
      </c>
      <c r="M1817">
        <v>0</v>
      </c>
      <c r="N1817" s="21">
        <v>0</v>
      </c>
    </row>
    <row r="1818" spans="1:14">
      <c r="A1818" t="str">
        <f>IFERROR(_xlfn.XLOOKUP(B1818,Cuentas!$C$1:$C$521,Cuentas!$A$1:$A$521),"")</f>
        <v>Yuldor</v>
      </c>
      <c r="B1818" t="s">
        <v>2065</v>
      </c>
      <c r="C1818" t="s">
        <v>2066</v>
      </c>
      <c r="D1818" t="s">
        <v>16</v>
      </c>
      <c r="E1818" t="s">
        <v>7</v>
      </c>
      <c r="F1818" t="s">
        <v>2086</v>
      </c>
      <c r="G1818" t="s">
        <v>2086</v>
      </c>
      <c r="H1818" s="2">
        <v>45727</v>
      </c>
      <c r="I1818" s="2">
        <v>45757</v>
      </c>
      <c r="J1818" t="s">
        <v>20</v>
      </c>
      <c r="K1818" s="21">
        <v>2970</v>
      </c>
      <c r="L1818" s="21">
        <v>2970</v>
      </c>
      <c r="M1818">
        <v>0</v>
      </c>
      <c r="N1818" s="21">
        <v>0</v>
      </c>
    </row>
    <row r="1819" spans="1:14">
      <c r="A1819" t="str">
        <f>IFERROR(_xlfn.XLOOKUP(B1819,Cuentas!$C$1:$C$521,Cuentas!$A$1:$A$521),"")</f>
        <v>Yuldor</v>
      </c>
      <c r="B1819" t="s">
        <v>2065</v>
      </c>
      <c r="C1819" t="s">
        <v>2066</v>
      </c>
      <c r="D1819" t="s">
        <v>16</v>
      </c>
      <c r="E1819" t="s">
        <v>7</v>
      </c>
      <c r="F1819" t="s">
        <v>2087</v>
      </c>
      <c r="G1819" t="s">
        <v>2087</v>
      </c>
      <c r="H1819" s="2">
        <v>45729</v>
      </c>
      <c r="I1819" s="2">
        <v>45759</v>
      </c>
      <c r="J1819" t="s">
        <v>20</v>
      </c>
      <c r="K1819" s="21">
        <v>1740</v>
      </c>
      <c r="L1819" s="21">
        <v>1740</v>
      </c>
      <c r="M1819">
        <v>0</v>
      </c>
      <c r="N1819" s="21">
        <v>0</v>
      </c>
    </row>
    <row r="1820" spans="1:14">
      <c r="A1820" t="str">
        <f>IFERROR(_xlfn.XLOOKUP(B1820,Cuentas!$C$1:$C$521,Cuentas!$A$1:$A$521),"")</f>
        <v>Yuldor</v>
      </c>
      <c r="B1820" t="s">
        <v>2065</v>
      </c>
      <c r="C1820" t="s">
        <v>2066</v>
      </c>
      <c r="D1820" t="s">
        <v>16</v>
      </c>
      <c r="E1820" t="s">
        <v>7</v>
      </c>
      <c r="F1820" t="s">
        <v>2088</v>
      </c>
      <c r="G1820" t="s">
        <v>2088</v>
      </c>
      <c r="H1820" s="2">
        <v>45733</v>
      </c>
      <c r="I1820" s="2">
        <v>45763</v>
      </c>
      <c r="J1820" t="s">
        <v>20</v>
      </c>
      <c r="K1820" s="21">
        <v>2184.52</v>
      </c>
      <c r="L1820" s="21">
        <v>2184.52</v>
      </c>
      <c r="M1820">
        <v>0</v>
      </c>
      <c r="N1820" s="21">
        <v>0</v>
      </c>
    </row>
    <row r="1821" spans="1:14">
      <c r="A1821" t="str">
        <f>IFERROR(_xlfn.XLOOKUP(B1821,Cuentas!$C$1:$C$521,Cuentas!$A$1:$A$521),"")</f>
        <v>Yuldor</v>
      </c>
      <c r="B1821" t="s">
        <v>2065</v>
      </c>
      <c r="C1821" t="s">
        <v>2066</v>
      </c>
      <c r="D1821" t="s">
        <v>16</v>
      </c>
      <c r="E1821" t="s">
        <v>7</v>
      </c>
      <c r="F1821" t="s">
        <v>2089</v>
      </c>
      <c r="G1821" t="s">
        <v>2089</v>
      </c>
      <c r="H1821" s="2">
        <v>45733</v>
      </c>
      <c r="I1821" s="2">
        <v>45763</v>
      </c>
      <c r="J1821" t="s">
        <v>20</v>
      </c>
      <c r="K1821" s="21">
        <v>9718.7999999999993</v>
      </c>
      <c r="L1821" s="21">
        <v>9718.7999999999993</v>
      </c>
      <c r="M1821">
        <v>0</v>
      </c>
      <c r="N1821" s="21">
        <v>0</v>
      </c>
    </row>
    <row r="1822" spans="1:14">
      <c r="A1822" t="str">
        <f>IFERROR(_xlfn.XLOOKUP(B1822,Cuentas!$C$1:$C$521,Cuentas!$A$1:$A$521),"")</f>
        <v>Yuldor</v>
      </c>
      <c r="B1822" t="s">
        <v>2065</v>
      </c>
      <c r="C1822" t="s">
        <v>2066</v>
      </c>
      <c r="D1822" t="s">
        <v>16</v>
      </c>
      <c r="E1822" t="s">
        <v>7</v>
      </c>
      <c r="F1822" t="s">
        <v>2090</v>
      </c>
      <c r="G1822" t="s">
        <v>2090</v>
      </c>
      <c r="H1822" s="2">
        <v>45734</v>
      </c>
      <c r="I1822" s="2">
        <v>45764</v>
      </c>
      <c r="J1822" t="s">
        <v>20</v>
      </c>
      <c r="K1822" s="21">
        <v>48</v>
      </c>
      <c r="L1822" s="21">
        <v>48</v>
      </c>
      <c r="M1822">
        <v>0</v>
      </c>
      <c r="N1822" s="21">
        <v>0</v>
      </c>
    </row>
    <row r="1823" spans="1:14">
      <c r="A1823" t="str">
        <f>IFERROR(_xlfn.XLOOKUP(B1823,Cuentas!$C$1:$C$521,Cuentas!$A$1:$A$521),"")</f>
        <v>Yuldor</v>
      </c>
      <c r="B1823" t="s">
        <v>2065</v>
      </c>
      <c r="C1823" t="s">
        <v>2066</v>
      </c>
      <c r="D1823" t="s">
        <v>16</v>
      </c>
      <c r="E1823" t="s">
        <v>7</v>
      </c>
      <c r="F1823" t="s">
        <v>2091</v>
      </c>
      <c r="G1823" t="s">
        <v>2091</v>
      </c>
      <c r="H1823" s="2">
        <v>45736</v>
      </c>
      <c r="I1823" s="2">
        <v>45766</v>
      </c>
      <c r="J1823" t="s">
        <v>20</v>
      </c>
      <c r="K1823" s="21">
        <v>7392</v>
      </c>
      <c r="L1823" s="21">
        <v>7392</v>
      </c>
      <c r="M1823">
        <v>0</v>
      </c>
      <c r="N1823" s="21">
        <v>0</v>
      </c>
    </row>
    <row r="1824" spans="1:14">
      <c r="A1824" t="str">
        <f>IFERROR(_xlfn.XLOOKUP(B1824,Cuentas!$C$1:$C$521,Cuentas!$A$1:$A$521),"")</f>
        <v>Yuldor</v>
      </c>
      <c r="B1824" t="s">
        <v>2092</v>
      </c>
      <c r="C1824" t="s">
        <v>2093</v>
      </c>
      <c r="D1824" t="s">
        <v>16</v>
      </c>
      <c r="E1824" t="s">
        <v>7</v>
      </c>
      <c r="F1824" t="s">
        <v>2094</v>
      </c>
      <c r="G1824" t="s">
        <v>2094</v>
      </c>
      <c r="H1824" s="2">
        <v>45505</v>
      </c>
      <c r="I1824" s="2">
        <v>45535</v>
      </c>
      <c r="J1824" t="s">
        <v>20</v>
      </c>
      <c r="K1824" s="21">
        <v>421.21</v>
      </c>
      <c r="L1824" s="21">
        <v>421.21</v>
      </c>
      <c r="M1824">
        <v>0</v>
      </c>
      <c r="N1824" s="21">
        <v>421.21</v>
      </c>
    </row>
    <row r="1825" spans="1:14">
      <c r="A1825" t="str">
        <f>IFERROR(_xlfn.XLOOKUP(B1825,Cuentas!$C$1:$C$521,Cuentas!$A$1:$A$521),"")</f>
        <v>Yuldor</v>
      </c>
      <c r="B1825" t="s">
        <v>2092</v>
      </c>
      <c r="C1825" t="s">
        <v>2093</v>
      </c>
      <c r="D1825" t="s">
        <v>16</v>
      </c>
      <c r="E1825" t="s">
        <v>7</v>
      </c>
      <c r="F1825" t="s">
        <v>2095</v>
      </c>
      <c r="G1825" t="s">
        <v>2095</v>
      </c>
      <c r="H1825" s="2">
        <v>45511</v>
      </c>
      <c r="I1825" s="2">
        <v>45541</v>
      </c>
      <c r="J1825" t="s">
        <v>20</v>
      </c>
      <c r="K1825" s="21">
        <v>118</v>
      </c>
      <c r="L1825" s="21">
        <v>118</v>
      </c>
      <c r="M1825">
        <v>0</v>
      </c>
      <c r="N1825" s="21">
        <v>118</v>
      </c>
    </row>
    <row r="1826" spans="1:14">
      <c r="A1826" t="str">
        <f>IFERROR(_xlfn.XLOOKUP(B1826,Cuentas!$C$1:$C$521,Cuentas!$A$1:$A$521),"")</f>
        <v>Yuldor</v>
      </c>
      <c r="B1826" t="s">
        <v>2092</v>
      </c>
      <c r="C1826" t="s">
        <v>2093</v>
      </c>
      <c r="D1826" t="s">
        <v>16</v>
      </c>
      <c r="E1826" t="s">
        <v>7</v>
      </c>
      <c r="F1826" t="s">
        <v>2096</v>
      </c>
      <c r="G1826" t="s">
        <v>2096</v>
      </c>
      <c r="H1826" s="2">
        <v>45513</v>
      </c>
      <c r="I1826" s="2">
        <v>45543</v>
      </c>
      <c r="J1826" t="s">
        <v>20</v>
      </c>
      <c r="K1826" s="21">
        <v>2013.5</v>
      </c>
      <c r="L1826" s="21">
        <v>2013.5</v>
      </c>
      <c r="M1826">
        <v>0</v>
      </c>
      <c r="N1826" s="21">
        <v>2013.5</v>
      </c>
    </row>
    <row r="1827" spans="1:14">
      <c r="A1827" t="str">
        <f>IFERROR(_xlfn.XLOOKUP(B1827,Cuentas!$C$1:$C$521,Cuentas!$A$1:$A$521),"")</f>
        <v>Yuldor</v>
      </c>
      <c r="B1827" t="s">
        <v>2092</v>
      </c>
      <c r="C1827" t="s">
        <v>2093</v>
      </c>
      <c r="D1827" t="s">
        <v>16</v>
      </c>
      <c r="E1827" t="s">
        <v>7</v>
      </c>
      <c r="F1827" t="s">
        <v>2097</v>
      </c>
      <c r="G1827" t="s">
        <v>2097</v>
      </c>
      <c r="H1827" s="2">
        <v>45519</v>
      </c>
      <c r="I1827" s="2">
        <v>45549</v>
      </c>
      <c r="J1827" t="s">
        <v>20</v>
      </c>
      <c r="K1827" s="21">
        <v>12358.44</v>
      </c>
      <c r="L1827" s="21">
        <v>12358.44</v>
      </c>
      <c r="M1827">
        <v>0</v>
      </c>
      <c r="N1827" s="21">
        <v>12358.44</v>
      </c>
    </row>
    <row r="1828" spans="1:14">
      <c r="A1828" t="str">
        <f>IFERROR(_xlfn.XLOOKUP(B1828,Cuentas!$C$1:$C$521,Cuentas!$A$1:$A$521),"")</f>
        <v>Nicolas</v>
      </c>
      <c r="B1828" t="s">
        <v>2098</v>
      </c>
      <c r="C1828" t="s">
        <v>2099</v>
      </c>
      <c r="D1828" t="s">
        <v>16</v>
      </c>
      <c r="E1828" t="s">
        <v>3139</v>
      </c>
      <c r="F1828" t="s">
        <v>19</v>
      </c>
      <c r="G1828" t="s">
        <v>19</v>
      </c>
      <c r="I1828" s="2">
        <v>45098</v>
      </c>
      <c r="J1828" t="s">
        <v>20</v>
      </c>
      <c r="K1828" s="21">
        <v>-112.66</v>
      </c>
      <c r="L1828" s="21">
        <v>-112.66</v>
      </c>
      <c r="M1828">
        <v>0</v>
      </c>
      <c r="N1828" s="21">
        <v>-112.66</v>
      </c>
    </row>
    <row r="1829" spans="1:14">
      <c r="A1829" t="str">
        <f>IFERROR(_xlfn.XLOOKUP(B1829,Cuentas!$C$1:$C$521,Cuentas!$A$1:$A$521),"")</f>
        <v>Nicolas</v>
      </c>
      <c r="B1829" t="s">
        <v>2098</v>
      </c>
      <c r="C1829" t="s">
        <v>2099</v>
      </c>
      <c r="D1829" t="s">
        <v>16</v>
      </c>
      <c r="E1829" t="s">
        <v>7</v>
      </c>
      <c r="F1829" t="s">
        <v>2100</v>
      </c>
      <c r="G1829" t="s">
        <v>2100</v>
      </c>
      <c r="H1829" s="2">
        <v>45320</v>
      </c>
      <c r="I1829" s="2">
        <v>45350</v>
      </c>
      <c r="J1829" t="s">
        <v>20</v>
      </c>
      <c r="K1829" s="21">
        <v>12</v>
      </c>
      <c r="L1829" s="21">
        <v>12</v>
      </c>
      <c r="M1829">
        <v>0</v>
      </c>
      <c r="N1829" s="21">
        <v>12</v>
      </c>
    </row>
    <row r="1830" spans="1:14">
      <c r="A1830" t="str">
        <f>IFERROR(_xlfn.XLOOKUP(B1830,Cuentas!$C$1:$C$521,Cuentas!$A$1:$A$521),"")</f>
        <v>Nicolas</v>
      </c>
      <c r="B1830" t="s">
        <v>2098</v>
      </c>
      <c r="C1830" t="s">
        <v>2099</v>
      </c>
      <c r="D1830" t="s">
        <v>16</v>
      </c>
      <c r="E1830" t="s">
        <v>5502</v>
      </c>
      <c r="F1830" t="s">
        <v>2101</v>
      </c>
      <c r="G1830" t="s">
        <v>19</v>
      </c>
      <c r="I1830" s="2">
        <v>45519</v>
      </c>
      <c r="J1830" t="s">
        <v>20</v>
      </c>
      <c r="K1830" s="21">
        <v>-19.47</v>
      </c>
      <c r="L1830" s="21">
        <v>-19.47</v>
      </c>
      <c r="M1830">
        <v>0</v>
      </c>
      <c r="N1830" s="21">
        <v>-19.47</v>
      </c>
    </row>
    <row r="1831" spans="1:14">
      <c r="A1831" t="str">
        <f>IFERROR(_xlfn.XLOOKUP(B1831,Cuentas!$C$1:$C$521,Cuentas!$A$1:$A$521),"")</f>
        <v>Nicolas</v>
      </c>
      <c r="B1831" t="s">
        <v>2098</v>
      </c>
      <c r="C1831" t="s">
        <v>2099</v>
      </c>
      <c r="D1831" t="s">
        <v>16</v>
      </c>
      <c r="E1831" t="s">
        <v>7</v>
      </c>
      <c r="F1831" t="s">
        <v>2102</v>
      </c>
      <c r="G1831" t="s">
        <v>2102</v>
      </c>
      <c r="H1831" s="2">
        <v>45523</v>
      </c>
      <c r="I1831" s="2">
        <v>45553</v>
      </c>
      <c r="J1831" t="s">
        <v>20</v>
      </c>
      <c r="K1831" s="21">
        <v>334</v>
      </c>
      <c r="L1831" s="21">
        <v>334</v>
      </c>
      <c r="M1831">
        <v>0</v>
      </c>
      <c r="N1831" s="21">
        <v>334</v>
      </c>
    </row>
    <row r="1832" spans="1:14">
      <c r="A1832" t="str">
        <f>IFERROR(_xlfn.XLOOKUP(B1832,Cuentas!$C$1:$C$521,Cuentas!$A$1:$A$521),"")</f>
        <v>Nicolas</v>
      </c>
      <c r="B1832" t="s">
        <v>2098</v>
      </c>
      <c r="C1832" t="s">
        <v>2099</v>
      </c>
      <c r="D1832" t="s">
        <v>16</v>
      </c>
      <c r="E1832" t="s">
        <v>7</v>
      </c>
      <c r="F1832" t="s">
        <v>2103</v>
      </c>
      <c r="G1832" t="s">
        <v>2103</v>
      </c>
      <c r="H1832" s="2">
        <v>45575</v>
      </c>
      <c r="I1832" s="2">
        <v>45605</v>
      </c>
      <c r="J1832" t="s">
        <v>20</v>
      </c>
      <c r="K1832" s="21">
        <v>253.33</v>
      </c>
      <c r="L1832" s="21">
        <v>253.33</v>
      </c>
      <c r="M1832">
        <v>0</v>
      </c>
      <c r="N1832" s="21">
        <v>253.33</v>
      </c>
    </row>
    <row r="1833" spans="1:14">
      <c r="A1833" t="str">
        <f>IFERROR(_xlfn.XLOOKUP(B1833,Cuentas!$C$1:$C$521,Cuentas!$A$1:$A$521),"")</f>
        <v>Nicolas</v>
      </c>
      <c r="B1833" t="s">
        <v>2098</v>
      </c>
      <c r="C1833" t="s">
        <v>2099</v>
      </c>
      <c r="D1833" t="s">
        <v>16</v>
      </c>
      <c r="E1833" t="s">
        <v>7</v>
      </c>
      <c r="F1833" t="s">
        <v>2104</v>
      </c>
      <c r="G1833" t="s">
        <v>2104</v>
      </c>
      <c r="H1833" s="2">
        <v>45622</v>
      </c>
      <c r="I1833" s="2">
        <v>45652</v>
      </c>
      <c r="J1833" t="s">
        <v>20</v>
      </c>
      <c r="K1833" s="21">
        <v>456.17</v>
      </c>
      <c r="L1833" s="21">
        <v>456.17</v>
      </c>
      <c r="M1833">
        <v>0</v>
      </c>
      <c r="N1833" s="21">
        <v>456.17</v>
      </c>
    </row>
    <row r="1834" spans="1:14">
      <c r="A1834" t="str">
        <f>IFERROR(_xlfn.XLOOKUP(B1834,Cuentas!$C$1:$C$521,Cuentas!$A$1:$A$521),"")</f>
        <v>Nicolas</v>
      </c>
      <c r="B1834" t="s">
        <v>2098</v>
      </c>
      <c r="C1834" t="s">
        <v>2099</v>
      </c>
      <c r="D1834" t="s">
        <v>16</v>
      </c>
      <c r="E1834" t="s">
        <v>7</v>
      </c>
      <c r="F1834" t="s">
        <v>2105</v>
      </c>
      <c r="G1834" t="s">
        <v>2105</v>
      </c>
      <c r="H1834" s="2">
        <v>45671</v>
      </c>
      <c r="I1834" s="2">
        <v>45701</v>
      </c>
      <c r="J1834" t="s">
        <v>20</v>
      </c>
      <c r="K1834" s="21">
        <v>219</v>
      </c>
      <c r="L1834" s="21">
        <v>219</v>
      </c>
      <c r="M1834">
        <v>0</v>
      </c>
      <c r="N1834" s="21">
        <v>219</v>
      </c>
    </row>
    <row r="1835" spans="1:14">
      <c r="A1835" t="str">
        <f>IFERROR(_xlfn.XLOOKUP(B1835,Cuentas!$C$1:$C$521,Cuentas!$A$1:$A$521),"")</f>
        <v>Nicolas</v>
      </c>
      <c r="B1835" t="s">
        <v>2098</v>
      </c>
      <c r="C1835" t="s">
        <v>2099</v>
      </c>
      <c r="D1835" t="s">
        <v>16</v>
      </c>
      <c r="E1835" t="s">
        <v>7</v>
      </c>
      <c r="F1835" t="s">
        <v>2106</v>
      </c>
      <c r="G1835" t="s">
        <v>2106</v>
      </c>
      <c r="H1835" s="2">
        <v>45688</v>
      </c>
      <c r="I1835" s="2">
        <v>45718</v>
      </c>
      <c r="J1835" t="s">
        <v>20</v>
      </c>
      <c r="K1835" s="21">
        <v>103.96</v>
      </c>
      <c r="L1835" s="21">
        <v>103.96</v>
      </c>
      <c r="M1835">
        <v>10</v>
      </c>
      <c r="N1835" s="21">
        <v>103.96</v>
      </c>
    </row>
    <row r="1836" spans="1:14">
      <c r="A1836" t="str">
        <f>IFERROR(_xlfn.XLOOKUP(B1836,Cuentas!$C$1:$C$521,Cuentas!$A$1:$A$521),"")</f>
        <v>Nicolas</v>
      </c>
      <c r="B1836" t="s">
        <v>2098</v>
      </c>
      <c r="C1836" t="s">
        <v>2099</v>
      </c>
      <c r="D1836" t="s">
        <v>16</v>
      </c>
      <c r="E1836" t="s">
        <v>7</v>
      </c>
      <c r="F1836" t="s">
        <v>2107</v>
      </c>
      <c r="G1836" t="s">
        <v>2107</v>
      </c>
      <c r="H1836" s="2">
        <v>45688</v>
      </c>
      <c r="I1836" s="2">
        <v>45718</v>
      </c>
      <c r="J1836" t="s">
        <v>20</v>
      </c>
      <c r="K1836" s="21">
        <v>309.25</v>
      </c>
      <c r="L1836" s="21">
        <v>309.25</v>
      </c>
      <c r="M1836">
        <v>10</v>
      </c>
      <c r="N1836" s="21">
        <v>309.25</v>
      </c>
    </row>
    <row r="1837" spans="1:14">
      <c r="A1837" t="str">
        <f>IFERROR(_xlfn.XLOOKUP(B1837,Cuentas!$C$1:$C$521,Cuentas!$A$1:$A$521),"")</f>
        <v>Nicolas</v>
      </c>
      <c r="B1837" t="s">
        <v>2098</v>
      </c>
      <c r="C1837" t="s">
        <v>2099</v>
      </c>
      <c r="D1837" t="s">
        <v>16</v>
      </c>
      <c r="E1837" t="s">
        <v>7</v>
      </c>
      <c r="F1837" t="s">
        <v>2108</v>
      </c>
      <c r="G1837" t="s">
        <v>2108</v>
      </c>
      <c r="H1837" s="2">
        <v>45729</v>
      </c>
      <c r="I1837" s="2">
        <v>45759</v>
      </c>
      <c r="J1837" t="s">
        <v>20</v>
      </c>
      <c r="K1837" s="21">
        <v>32720.52</v>
      </c>
      <c r="L1837" s="21">
        <v>32720.52</v>
      </c>
      <c r="M1837">
        <v>0</v>
      </c>
      <c r="N1837" s="21">
        <v>0</v>
      </c>
    </row>
    <row r="1838" spans="1:14">
      <c r="A1838" t="str">
        <f>IFERROR(_xlfn.XLOOKUP(B1838,Cuentas!$C$1:$C$521,Cuentas!$A$1:$A$521),"")</f>
        <v>Nicolas</v>
      </c>
      <c r="B1838" t="s">
        <v>2098</v>
      </c>
      <c r="C1838" t="s">
        <v>2099</v>
      </c>
      <c r="D1838" t="s">
        <v>16</v>
      </c>
      <c r="E1838" t="s">
        <v>7</v>
      </c>
      <c r="F1838" t="s">
        <v>2109</v>
      </c>
      <c r="G1838" t="s">
        <v>2109</v>
      </c>
      <c r="H1838" s="2">
        <v>45729</v>
      </c>
      <c r="I1838" s="2">
        <v>45759</v>
      </c>
      <c r="J1838" t="s">
        <v>20</v>
      </c>
      <c r="K1838" s="21">
        <v>27367.08</v>
      </c>
      <c r="L1838" s="21">
        <v>27367.08</v>
      </c>
      <c r="M1838">
        <v>0</v>
      </c>
      <c r="N1838" s="21">
        <v>0</v>
      </c>
    </row>
    <row r="1839" spans="1:14">
      <c r="A1839" t="str">
        <f>IFERROR(_xlfn.XLOOKUP(B1839,Cuentas!$C$1:$C$521,Cuentas!$A$1:$A$521),"")</f>
        <v>Nicolas</v>
      </c>
      <c r="B1839" t="s">
        <v>2098</v>
      </c>
      <c r="C1839" t="s">
        <v>2099</v>
      </c>
      <c r="D1839" t="s">
        <v>16</v>
      </c>
      <c r="E1839" t="s">
        <v>7</v>
      </c>
      <c r="F1839" t="s">
        <v>2110</v>
      </c>
      <c r="G1839" t="s">
        <v>2110</v>
      </c>
      <c r="H1839" s="2">
        <v>45733</v>
      </c>
      <c r="I1839" s="2">
        <v>45763</v>
      </c>
      <c r="J1839" t="s">
        <v>20</v>
      </c>
      <c r="K1839" s="21">
        <v>25980.48</v>
      </c>
      <c r="L1839" s="21">
        <v>25980.48</v>
      </c>
      <c r="M1839">
        <v>0</v>
      </c>
      <c r="N1839" s="21">
        <v>0</v>
      </c>
    </row>
    <row r="1840" spans="1:14">
      <c r="A1840" t="str">
        <f>IFERROR(_xlfn.XLOOKUP(B1840,Cuentas!$C$1:$C$521,Cuentas!$A$1:$A$521),"")</f>
        <v>Yuldor</v>
      </c>
      <c r="B1840" t="s">
        <v>2111</v>
      </c>
      <c r="C1840" t="s">
        <v>2112</v>
      </c>
      <c r="D1840" t="s">
        <v>16</v>
      </c>
      <c r="E1840" t="s">
        <v>7</v>
      </c>
      <c r="F1840" t="s">
        <v>2113</v>
      </c>
      <c r="G1840" t="s">
        <v>2113</v>
      </c>
      <c r="H1840" s="2">
        <v>45699</v>
      </c>
      <c r="I1840" s="2">
        <v>45729</v>
      </c>
      <c r="J1840" t="s">
        <v>20</v>
      </c>
      <c r="K1840" s="21">
        <v>10107.58</v>
      </c>
      <c r="L1840" s="21">
        <v>10107.58</v>
      </c>
      <c r="M1840">
        <v>11</v>
      </c>
      <c r="N1840" s="21">
        <v>10107.58</v>
      </c>
    </row>
    <row r="1841" spans="1:14">
      <c r="A1841" t="str">
        <f>IFERROR(_xlfn.XLOOKUP(B1841,Cuentas!$C$1:$C$521,Cuentas!$A$1:$A$521),"")</f>
        <v>Yuldor</v>
      </c>
      <c r="B1841" t="s">
        <v>2111</v>
      </c>
      <c r="C1841" t="s">
        <v>2112</v>
      </c>
      <c r="D1841" t="s">
        <v>16</v>
      </c>
      <c r="E1841" t="s">
        <v>7</v>
      </c>
      <c r="F1841" t="s">
        <v>2114</v>
      </c>
      <c r="G1841" t="s">
        <v>2114</v>
      </c>
      <c r="H1841" s="2">
        <v>45699</v>
      </c>
      <c r="I1841" s="2">
        <v>45729</v>
      </c>
      <c r="J1841" t="s">
        <v>20</v>
      </c>
      <c r="K1841" s="21">
        <v>6472</v>
      </c>
      <c r="L1841" s="21">
        <v>6472</v>
      </c>
      <c r="M1841">
        <v>11</v>
      </c>
      <c r="N1841" s="21">
        <v>6472</v>
      </c>
    </row>
    <row r="1842" spans="1:14">
      <c r="A1842" t="str">
        <f>IFERROR(_xlfn.XLOOKUP(B1842,Cuentas!$C$1:$C$521,Cuentas!$A$1:$A$521),"")</f>
        <v>Yuldor</v>
      </c>
      <c r="B1842" t="s">
        <v>2111</v>
      </c>
      <c r="C1842" t="s">
        <v>2112</v>
      </c>
      <c r="D1842" t="s">
        <v>16</v>
      </c>
      <c r="E1842" t="s">
        <v>7</v>
      </c>
      <c r="F1842" t="s">
        <v>2115</v>
      </c>
      <c r="G1842" t="s">
        <v>2115</v>
      </c>
      <c r="H1842" s="2">
        <v>45713</v>
      </c>
      <c r="I1842" s="2">
        <v>45743</v>
      </c>
      <c r="J1842" t="s">
        <v>20</v>
      </c>
      <c r="K1842" s="21">
        <v>9215</v>
      </c>
      <c r="L1842" s="21">
        <v>9215</v>
      </c>
      <c r="M1842">
        <v>13</v>
      </c>
      <c r="N1842" s="21">
        <v>9215</v>
      </c>
    </row>
    <row r="1843" spans="1:14">
      <c r="A1843" t="str">
        <f>IFERROR(_xlfn.XLOOKUP(B1843,Cuentas!$C$1:$C$521,Cuentas!$A$1:$A$521),"")</f>
        <v>Yuldor</v>
      </c>
      <c r="B1843" t="s">
        <v>2111</v>
      </c>
      <c r="C1843" t="s">
        <v>2112</v>
      </c>
      <c r="D1843" t="s">
        <v>16</v>
      </c>
      <c r="E1843" t="s">
        <v>7</v>
      </c>
      <c r="F1843" t="s">
        <v>2116</v>
      </c>
      <c r="G1843" t="s">
        <v>2116</v>
      </c>
      <c r="H1843" s="2">
        <v>45716</v>
      </c>
      <c r="I1843" s="2">
        <v>45746</v>
      </c>
      <c r="J1843" t="s">
        <v>20</v>
      </c>
      <c r="K1843" s="21">
        <v>16562</v>
      </c>
      <c r="L1843" s="21">
        <v>16562</v>
      </c>
      <c r="M1843">
        <v>13</v>
      </c>
      <c r="N1843" s="21">
        <v>16562</v>
      </c>
    </row>
    <row r="1844" spans="1:14">
      <c r="A1844" t="str">
        <f>IFERROR(_xlfn.XLOOKUP(B1844,Cuentas!$C$1:$C$521,Cuentas!$A$1:$A$521),"")</f>
        <v>Yuldor</v>
      </c>
      <c r="B1844" t="s">
        <v>2111</v>
      </c>
      <c r="C1844" t="s">
        <v>2112</v>
      </c>
      <c r="D1844" t="s">
        <v>16</v>
      </c>
      <c r="E1844" t="s">
        <v>7</v>
      </c>
      <c r="F1844" t="s">
        <v>2117</v>
      </c>
      <c r="G1844" t="s">
        <v>2117</v>
      </c>
      <c r="H1844" s="2">
        <v>45736</v>
      </c>
      <c r="I1844" s="2">
        <v>45766</v>
      </c>
      <c r="J1844" t="s">
        <v>20</v>
      </c>
      <c r="K1844" s="21">
        <v>45</v>
      </c>
      <c r="L1844" s="21">
        <v>45</v>
      </c>
      <c r="M1844">
        <v>0</v>
      </c>
      <c r="N1844" s="21">
        <v>0</v>
      </c>
    </row>
    <row r="1845" spans="1:14">
      <c r="A1845" t="str">
        <f>IFERROR(_xlfn.XLOOKUP(B1845,Cuentas!$C$1:$C$521,Cuentas!$A$1:$A$521),"")</f>
        <v>Yuldor</v>
      </c>
      <c r="B1845" t="s">
        <v>2111</v>
      </c>
      <c r="C1845" t="s">
        <v>2112</v>
      </c>
      <c r="D1845" t="s">
        <v>16</v>
      </c>
      <c r="E1845" t="s">
        <v>7</v>
      </c>
      <c r="F1845" t="s">
        <v>2118</v>
      </c>
      <c r="G1845" t="s">
        <v>2118</v>
      </c>
      <c r="H1845" s="2">
        <v>45741</v>
      </c>
      <c r="I1845" s="2">
        <v>45771</v>
      </c>
      <c r="J1845" t="s">
        <v>20</v>
      </c>
      <c r="K1845" s="21">
        <v>19523.84</v>
      </c>
      <c r="L1845" s="21">
        <v>19523.84</v>
      </c>
      <c r="M1845">
        <v>0</v>
      </c>
      <c r="N1845" s="21">
        <v>0</v>
      </c>
    </row>
    <row r="1846" spans="1:14">
      <c r="A1846" t="str">
        <f>IFERROR(_xlfn.XLOOKUP(B1846,Cuentas!$C$1:$C$521,Cuentas!$A$1:$A$521),"")</f>
        <v>Yuldor</v>
      </c>
      <c r="B1846" t="s">
        <v>2111</v>
      </c>
      <c r="C1846" t="s">
        <v>2112</v>
      </c>
      <c r="D1846" t="s">
        <v>16</v>
      </c>
      <c r="E1846" t="s">
        <v>7</v>
      </c>
      <c r="F1846" t="s">
        <v>2119</v>
      </c>
      <c r="G1846" t="s">
        <v>2119</v>
      </c>
      <c r="H1846" s="2">
        <v>45621</v>
      </c>
      <c r="I1846" s="2">
        <v>45778</v>
      </c>
      <c r="J1846" t="s">
        <v>20</v>
      </c>
      <c r="K1846" s="21">
        <v>9030</v>
      </c>
      <c r="L1846" s="21">
        <v>9030</v>
      </c>
      <c r="M1846">
        <v>0</v>
      </c>
      <c r="N1846" s="21">
        <v>0</v>
      </c>
    </row>
    <row r="1847" spans="1:14">
      <c r="A1847" t="str">
        <f>IFERROR(_xlfn.XLOOKUP(B1847,Cuentas!$C$1:$C$521,Cuentas!$A$1:$A$521),"")</f>
        <v>Yuldor</v>
      </c>
      <c r="B1847" t="s">
        <v>2111</v>
      </c>
      <c r="C1847" t="s">
        <v>2112</v>
      </c>
      <c r="D1847" t="s">
        <v>16</v>
      </c>
      <c r="E1847" t="s">
        <v>7</v>
      </c>
      <c r="F1847" t="s">
        <v>2120</v>
      </c>
      <c r="G1847" t="s">
        <v>2120</v>
      </c>
      <c r="H1847" s="2">
        <v>45621</v>
      </c>
      <c r="I1847" s="2">
        <v>45778</v>
      </c>
      <c r="J1847" t="s">
        <v>20</v>
      </c>
      <c r="K1847" s="21">
        <v>16485</v>
      </c>
      <c r="L1847" s="21">
        <v>16485</v>
      </c>
      <c r="M1847">
        <v>0</v>
      </c>
      <c r="N1847" s="21">
        <v>0</v>
      </c>
    </row>
    <row r="1848" spans="1:14">
      <c r="A1848" t="str">
        <f>IFERROR(_xlfn.XLOOKUP(B1848,Cuentas!$C$1:$C$521,Cuentas!$A$1:$A$521),"")</f>
        <v>Alexandra</v>
      </c>
      <c r="B1848" t="s">
        <v>2121</v>
      </c>
      <c r="C1848" t="s">
        <v>2122</v>
      </c>
      <c r="D1848" t="s">
        <v>16</v>
      </c>
      <c r="E1848" t="s">
        <v>7</v>
      </c>
      <c r="F1848" t="s">
        <v>2123</v>
      </c>
      <c r="G1848" t="s">
        <v>2123</v>
      </c>
      <c r="H1848" s="2">
        <v>45687</v>
      </c>
      <c r="I1848" s="2">
        <v>45717</v>
      </c>
      <c r="J1848" t="s">
        <v>20</v>
      </c>
      <c r="K1848" s="21">
        <v>35765</v>
      </c>
      <c r="L1848" s="21">
        <v>35765</v>
      </c>
      <c r="M1848">
        <v>10</v>
      </c>
      <c r="N1848" s="21">
        <v>35765</v>
      </c>
    </row>
    <row r="1849" spans="1:14">
      <c r="A1849" t="str">
        <f>IFERROR(_xlfn.XLOOKUP(B1849,Cuentas!$C$1:$C$521,Cuentas!$A$1:$A$521),"")</f>
        <v>Alexandra</v>
      </c>
      <c r="B1849" t="s">
        <v>2121</v>
      </c>
      <c r="C1849" t="s">
        <v>2122</v>
      </c>
      <c r="D1849" t="s">
        <v>16</v>
      </c>
      <c r="E1849" t="s">
        <v>7</v>
      </c>
      <c r="F1849" t="s">
        <v>2124</v>
      </c>
      <c r="G1849" t="s">
        <v>2124</v>
      </c>
      <c r="H1849" s="2">
        <v>45702</v>
      </c>
      <c r="I1849" s="2">
        <v>45732</v>
      </c>
      <c r="J1849" t="s">
        <v>20</v>
      </c>
      <c r="K1849" s="21">
        <v>4849.05</v>
      </c>
      <c r="L1849" s="21">
        <v>4849.05</v>
      </c>
      <c r="M1849">
        <v>12</v>
      </c>
      <c r="N1849" s="21">
        <v>4849.05</v>
      </c>
    </row>
    <row r="1850" spans="1:14">
      <c r="A1850" t="str">
        <f>IFERROR(_xlfn.XLOOKUP(B1850,Cuentas!$C$1:$C$521,Cuentas!$A$1:$A$521),"")</f>
        <v>Alexandra</v>
      </c>
      <c r="B1850" t="s">
        <v>2121</v>
      </c>
      <c r="C1850" t="s">
        <v>2122</v>
      </c>
      <c r="D1850" t="s">
        <v>16</v>
      </c>
      <c r="E1850" t="s">
        <v>7</v>
      </c>
      <c r="F1850" t="s">
        <v>2125</v>
      </c>
      <c r="G1850" t="s">
        <v>2125</v>
      </c>
      <c r="H1850" s="2">
        <v>45705</v>
      </c>
      <c r="I1850" s="2">
        <v>45735</v>
      </c>
      <c r="J1850" t="s">
        <v>20</v>
      </c>
      <c r="K1850" s="21">
        <v>1405</v>
      </c>
      <c r="L1850" s="21">
        <v>1405</v>
      </c>
      <c r="M1850">
        <v>12</v>
      </c>
      <c r="N1850" s="21">
        <v>1405</v>
      </c>
    </row>
    <row r="1851" spans="1:14">
      <c r="A1851" t="str">
        <f>IFERROR(_xlfn.XLOOKUP(B1851,Cuentas!$C$1:$C$521,Cuentas!$A$1:$A$521),"")</f>
        <v>Alexandra</v>
      </c>
      <c r="B1851" t="s">
        <v>2126</v>
      </c>
      <c r="C1851" t="s">
        <v>2127</v>
      </c>
      <c r="D1851" t="s">
        <v>16</v>
      </c>
      <c r="E1851" t="s">
        <v>3139</v>
      </c>
      <c r="F1851" t="s">
        <v>19</v>
      </c>
      <c r="G1851" t="s">
        <v>19</v>
      </c>
      <c r="I1851" s="2">
        <v>45740</v>
      </c>
      <c r="J1851" t="s">
        <v>20</v>
      </c>
      <c r="K1851" s="21">
        <v>-519.53</v>
      </c>
      <c r="L1851" s="21">
        <v>-519.53</v>
      </c>
      <c r="M1851">
        <v>13</v>
      </c>
      <c r="N1851" s="21">
        <v>-519.53</v>
      </c>
    </row>
    <row r="1852" spans="1:14">
      <c r="A1852" t="str">
        <f>IFERROR(_xlfn.XLOOKUP(B1852,Cuentas!$C$1:$C$521,Cuentas!$A$1:$A$521),"")</f>
        <v>Alexandra</v>
      </c>
      <c r="B1852" t="s">
        <v>2126</v>
      </c>
      <c r="C1852" t="s">
        <v>2127</v>
      </c>
      <c r="D1852" t="s">
        <v>16</v>
      </c>
      <c r="E1852" t="s">
        <v>7</v>
      </c>
      <c r="F1852" t="s">
        <v>2128</v>
      </c>
      <c r="G1852" t="s">
        <v>2128</v>
      </c>
      <c r="H1852" s="2">
        <v>45712</v>
      </c>
      <c r="I1852" s="2">
        <v>45742</v>
      </c>
      <c r="J1852" t="s">
        <v>20</v>
      </c>
      <c r="K1852" s="21">
        <v>2625.24</v>
      </c>
      <c r="L1852" s="21">
        <v>2625.24</v>
      </c>
      <c r="M1852">
        <v>13</v>
      </c>
      <c r="N1852" s="21">
        <v>2625.24</v>
      </c>
    </row>
    <row r="1853" spans="1:14">
      <c r="A1853" t="str">
        <f>IFERROR(_xlfn.XLOOKUP(B1853,Cuentas!$C$1:$C$521,Cuentas!$A$1:$A$521),"")</f>
        <v>Alexandra</v>
      </c>
      <c r="B1853" t="s">
        <v>2126</v>
      </c>
      <c r="C1853" t="s">
        <v>2127</v>
      </c>
      <c r="D1853" t="s">
        <v>16</v>
      </c>
      <c r="E1853" t="s">
        <v>7</v>
      </c>
      <c r="F1853" t="s">
        <v>2129</v>
      </c>
      <c r="G1853" t="s">
        <v>2129</v>
      </c>
      <c r="H1853" s="2">
        <v>45741</v>
      </c>
      <c r="I1853" s="2">
        <v>45771</v>
      </c>
      <c r="J1853" t="s">
        <v>20</v>
      </c>
      <c r="K1853" s="21">
        <v>1980.72</v>
      </c>
      <c r="L1853" s="21">
        <v>1980.72</v>
      </c>
      <c r="M1853">
        <v>0</v>
      </c>
      <c r="N1853" s="21">
        <v>0</v>
      </c>
    </row>
    <row r="1854" spans="1:14">
      <c r="A1854" t="str">
        <f>IFERROR(_xlfn.XLOOKUP(B1854,Cuentas!$C$1:$C$521,Cuentas!$A$1:$A$521),"")</f>
        <v>Alexandra</v>
      </c>
      <c r="B1854" t="s">
        <v>2126</v>
      </c>
      <c r="C1854" t="s">
        <v>2127</v>
      </c>
      <c r="D1854" t="s">
        <v>16</v>
      </c>
      <c r="E1854" t="s">
        <v>7</v>
      </c>
      <c r="F1854" t="s">
        <v>2130</v>
      </c>
      <c r="G1854" t="s">
        <v>2130</v>
      </c>
      <c r="H1854" s="2">
        <v>45741</v>
      </c>
      <c r="I1854" s="2">
        <v>45771</v>
      </c>
      <c r="J1854" t="s">
        <v>20</v>
      </c>
      <c r="K1854" s="21">
        <v>3150</v>
      </c>
      <c r="L1854" s="21">
        <v>3150</v>
      </c>
      <c r="M1854">
        <v>0</v>
      </c>
      <c r="N1854" s="21">
        <v>0</v>
      </c>
    </row>
    <row r="1855" spans="1:14">
      <c r="A1855" t="str">
        <f>IFERROR(_xlfn.XLOOKUP(B1855,Cuentas!$C$1:$C$521,Cuentas!$A$1:$A$521),"")</f>
        <v>Alexandra</v>
      </c>
      <c r="B1855" t="s">
        <v>2126</v>
      </c>
      <c r="C1855" t="s">
        <v>2127</v>
      </c>
      <c r="D1855" t="s">
        <v>16</v>
      </c>
      <c r="E1855" t="s">
        <v>7</v>
      </c>
      <c r="F1855" t="s">
        <v>2131</v>
      </c>
      <c r="G1855" t="s">
        <v>2131</v>
      </c>
      <c r="H1855" s="2">
        <v>45741</v>
      </c>
      <c r="I1855" s="2">
        <v>45771</v>
      </c>
      <c r="J1855" t="s">
        <v>20</v>
      </c>
      <c r="K1855" s="21">
        <v>4542.21</v>
      </c>
      <c r="L1855" s="21">
        <v>4542.21</v>
      </c>
      <c r="M1855">
        <v>0</v>
      </c>
      <c r="N1855" s="21">
        <v>0</v>
      </c>
    </row>
    <row r="1856" spans="1:14">
      <c r="A1856" t="str">
        <f>IFERROR(_xlfn.XLOOKUP(B1856,Cuentas!$C$1:$C$521,Cuentas!$A$1:$A$521),"")</f>
        <v>Alexandra</v>
      </c>
      <c r="B1856" t="s">
        <v>2126</v>
      </c>
      <c r="C1856" t="s">
        <v>2127</v>
      </c>
      <c r="D1856" t="s">
        <v>16</v>
      </c>
      <c r="E1856" t="s">
        <v>7</v>
      </c>
      <c r="F1856" t="s">
        <v>2132</v>
      </c>
      <c r="G1856" t="s">
        <v>2132</v>
      </c>
      <c r="H1856" s="2">
        <v>45741</v>
      </c>
      <c r="I1856" s="2">
        <v>45771</v>
      </c>
      <c r="J1856" t="s">
        <v>20</v>
      </c>
      <c r="K1856" s="21">
        <v>4288.87</v>
      </c>
      <c r="L1856" s="21">
        <v>4288.87</v>
      </c>
      <c r="M1856">
        <v>0</v>
      </c>
      <c r="N1856" s="21">
        <v>0</v>
      </c>
    </row>
    <row r="1857" spans="1:14">
      <c r="A1857" t="str">
        <f>IFERROR(_xlfn.XLOOKUP(B1857,Cuentas!$C$1:$C$521,Cuentas!$A$1:$A$521),"")</f>
        <v>Nicolas</v>
      </c>
      <c r="B1857" t="s">
        <v>2133</v>
      </c>
      <c r="C1857" t="s">
        <v>2134</v>
      </c>
      <c r="D1857" t="s">
        <v>16</v>
      </c>
      <c r="E1857" t="s">
        <v>7</v>
      </c>
      <c r="F1857" t="s">
        <v>2135</v>
      </c>
      <c r="G1857" t="s">
        <v>2135</v>
      </c>
      <c r="H1857" s="2">
        <v>45720</v>
      </c>
      <c r="I1857" s="2">
        <v>45750</v>
      </c>
      <c r="J1857" t="s">
        <v>20</v>
      </c>
      <c r="K1857" s="21">
        <v>182</v>
      </c>
      <c r="L1857" s="21">
        <v>182</v>
      </c>
      <c r="M1857">
        <v>0</v>
      </c>
      <c r="N1857" s="21">
        <v>0</v>
      </c>
    </row>
    <row r="1858" spans="1:14">
      <c r="A1858" t="str">
        <f>IFERROR(_xlfn.XLOOKUP(B1858,Cuentas!$C$1:$C$521,Cuentas!$A$1:$A$521),"")</f>
        <v>Nicolas</v>
      </c>
      <c r="B1858" t="s">
        <v>2136</v>
      </c>
      <c r="C1858" t="s">
        <v>2137</v>
      </c>
      <c r="D1858" t="s">
        <v>16</v>
      </c>
      <c r="E1858" t="s">
        <v>7</v>
      </c>
      <c r="F1858" t="s">
        <v>2138</v>
      </c>
      <c r="G1858" t="s">
        <v>2138</v>
      </c>
      <c r="H1858" s="2">
        <v>45331</v>
      </c>
      <c r="I1858" s="2">
        <v>45361</v>
      </c>
      <c r="J1858" t="s">
        <v>20</v>
      </c>
      <c r="K1858" s="21">
        <v>51.8</v>
      </c>
      <c r="L1858" s="21">
        <v>51.8</v>
      </c>
      <c r="M1858">
        <v>0</v>
      </c>
      <c r="N1858" s="21">
        <v>51.8</v>
      </c>
    </row>
    <row r="1859" spans="1:14">
      <c r="A1859" t="str">
        <f>IFERROR(_xlfn.XLOOKUP(B1859,Cuentas!$C$1:$C$521,Cuentas!$A$1:$A$521),"")</f>
        <v>Nicolas</v>
      </c>
      <c r="B1859" t="s">
        <v>2136</v>
      </c>
      <c r="C1859" t="s">
        <v>2137</v>
      </c>
      <c r="D1859" t="s">
        <v>16</v>
      </c>
      <c r="E1859" t="s">
        <v>3139</v>
      </c>
      <c r="F1859" t="s">
        <v>19</v>
      </c>
      <c r="G1859" t="s">
        <v>19</v>
      </c>
      <c r="I1859" s="2">
        <v>45586</v>
      </c>
      <c r="J1859" t="s">
        <v>20</v>
      </c>
      <c r="K1859" s="21">
        <v>-0.06</v>
      </c>
      <c r="L1859" s="21">
        <v>-0.06</v>
      </c>
      <c r="M1859">
        <v>0</v>
      </c>
      <c r="N1859" s="21">
        <v>-0.06</v>
      </c>
    </row>
    <row r="1860" spans="1:14">
      <c r="A1860" t="str">
        <f>IFERROR(_xlfn.XLOOKUP(B1860,Cuentas!$C$1:$C$521,Cuentas!$A$1:$A$521),"")</f>
        <v>Nicolas</v>
      </c>
      <c r="B1860" t="s">
        <v>2136</v>
      </c>
      <c r="C1860" t="s">
        <v>2137</v>
      </c>
      <c r="D1860" t="s">
        <v>16</v>
      </c>
      <c r="E1860" t="s">
        <v>7</v>
      </c>
      <c r="F1860" t="s">
        <v>2139</v>
      </c>
      <c r="G1860" t="s">
        <v>2139</v>
      </c>
      <c r="H1860" s="2">
        <v>45685</v>
      </c>
      <c r="I1860" s="2">
        <v>45715</v>
      </c>
      <c r="J1860" t="s">
        <v>20</v>
      </c>
      <c r="K1860" s="21">
        <v>56</v>
      </c>
      <c r="L1860" s="21">
        <v>56</v>
      </c>
      <c r="M1860">
        <v>0</v>
      </c>
      <c r="N1860" s="21">
        <v>56</v>
      </c>
    </row>
    <row r="1861" spans="1:14">
      <c r="A1861" t="str">
        <f>IFERROR(_xlfn.XLOOKUP(B1861,Cuentas!$C$1:$C$521,Cuentas!$A$1:$A$521),"")</f>
        <v/>
      </c>
      <c r="B1861" t="s">
        <v>2140</v>
      </c>
      <c r="C1861" t="s">
        <v>2141</v>
      </c>
      <c r="D1861" t="s">
        <v>16</v>
      </c>
      <c r="E1861" t="s">
        <v>7</v>
      </c>
      <c r="F1861" t="s">
        <v>2142</v>
      </c>
      <c r="G1861" t="s">
        <v>2142</v>
      </c>
      <c r="H1861" s="2">
        <v>45730</v>
      </c>
      <c r="I1861" s="2">
        <v>45760</v>
      </c>
      <c r="J1861" t="s">
        <v>20</v>
      </c>
      <c r="K1861" s="21">
        <v>313</v>
      </c>
      <c r="L1861" s="21">
        <v>313</v>
      </c>
      <c r="M1861">
        <v>0</v>
      </c>
      <c r="N1861" s="21">
        <v>0</v>
      </c>
    </row>
    <row r="1862" spans="1:14">
      <c r="A1862" t="str">
        <f>IFERROR(_xlfn.XLOOKUP(B1862,Cuentas!$C$1:$C$521,Cuentas!$A$1:$A$521),"")</f>
        <v>Alexandra</v>
      </c>
      <c r="B1862" t="s">
        <v>2143</v>
      </c>
      <c r="C1862" t="s">
        <v>2144</v>
      </c>
      <c r="D1862" t="s">
        <v>16</v>
      </c>
      <c r="E1862" t="s">
        <v>3139</v>
      </c>
      <c r="F1862" t="s">
        <v>19</v>
      </c>
      <c r="G1862" t="s">
        <v>19</v>
      </c>
      <c r="I1862" s="2">
        <v>45712</v>
      </c>
      <c r="J1862" t="s">
        <v>20</v>
      </c>
      <c r="K1862" s="21">
        <v>-134.4</v>
      </c>
      <c r="L1862" s="21">
        <v>-134.4</v>
      </c>
      <c r="M1862">
        <v>0</v>
      </c>
      <c r="N1862" s="21">
        <v>-134.4</v>
      </c>
    </row>
    <row r="1863" spans="1:14">
      <c r="A1863" t="str">
        <f>IFERROR(_xlfn.XLOOKUP(B1863,Cuentas!$C$1:$C$521,Cuentas!$A$1:$A$521),"")</f>
        <v>Yuldor</v>
      </c>
      <c r="B1863" t="s">
        <v>2145</v>
      </c>
      <c r="C1863" t="s">
        <v>2146</v>
      </c>
      <c r="D1863" t="s">
        <v>1555</v>
      </c>
      <c r="E1863" t="s">
        <v>7</v>
      </c>
      <c r="F1863" t="s">
        <v>2147</v>
      </c>
      <c r="G1863" t="s">
        <v>2147</v>
      </c>
      <c r="H1863" s="2">
        <v>45716</v>
      </c>
      <c r="I1863" s="2">
        <v>45761</v>
      </c>
      <c r="J1863" t="s">
        <v>20</v>
      </c>
      <c r="K1863" s="21">
        <v>462</v>
      </c>
      <c r="L1863" s="21">
        <v>462</v>
      </c>
      <c r="M1863">
        <v>0</v>
      </c>
      <c r="N1863" s="21">
        <v>0</v>
      </c>
    </row>
    <row r="1864" spans="1:14">
      <c r="A1864" t="str">
        <f>IFERROR(_xlfn.XLOOKUP(B1864,Cuentas!$C$1:$C$521,Cuentas!$A$1:$A$521),"")</f>
        <v>Yuldor</v>
      </c>
      <c r="B1864" t="s">
        <v>2148</v>
      </c>
      <c r="C1864" t="s">
        <v>2149</v>
      </c>
      <c r="D1864" t="s">
        <v>213</v>
      </c>
      <c r="E1864" t="s">
        <v>7</v>
      </c>
      <c r="F1864" t="s">
        <v>2150</v>
      </c>
      <c r="G1864" t="s">
        <v>2150</v>
      </c>
      <c r="H1864" s="2">
        <v>45103</v>
      </c>
      <c r="I1864" s="2">
        <v>45133</v>
      </c>
      <c r="J1864" t="s">
        <v>20</v>
      </c>
      <c r="K1864" s="21">
        <v>8020</v>
      </c>
      <c r="L1864" s="21">
        <v>2020</v>
      </c>
      <c r="M1864">
        <v>0</v>
      </c>
      <c r="N1864" s="21">
        <v>2020</v>
      </c>
    </row>
    <row r="1865" spans="1:14">
      <c r="A1865" t="str">
        <f>IFERROR(_xlfn.XLOOKUP(B1865,Cuentas!$C$1:$C$521,Cuentas!$A$1:$A$521),"")</f>
        <v>Yuldor</v>
      </c>
      <c r="B1865" t="s">
        <v>2148</v>
      </c>
      <c r="C1865" t="s">
        <v>2149</v>
      </c>
      <c r="D1865" t="s">
        <v>213</v>
      </c>
      <c r="E1865" t="s">
        <v>3139</v>
      </c>
      <c r="F1865" t="s">
        <v>2150</v>
      </c>
      <c r="G1865" t="s">
        <v>2150</v>
      </c>
      <c r="I1865" s="2">
        <v>45727</v>
      </c>
      <c r="J1865" t="s">
        <v>20</v>
      </c>
      <c r="K1865" s="21">
        <v>-3000</v>
      </c>
      <c r="L1865" s="21" t="s">
        <v>86</v>
      </c>
      <c r="M1865">
        <v>11</v>
      </c>
      <c r="N1865" s="21" t="s">
        <v>86</v>
      </c>
    </row>
    <row r="1866" spans="1:14">
      <c r="A1866" t="str">
        <f>IFERROR(_xlfn.XLOOKUP(B1866,Cuentas!$C$1:$C$521,Cuentas!$A$1:$A$521),"")</f>
        <v>Yuldor</v>
      </c>
      <c r="B1866" t="s">
        <v>2148</v>
      </c>
      <c r="C1866" t="s">
        <v>2149</v>
      </c>
      <c r="D1866" t="s">
        <v>213</v>
      </c>
      <c r="E1866" t="s">
        <v>3139</v>
      </c>
      <c r="F1866" t="s">
        <v>2150</v>
      </c>
      <c r="G1866" t="s">
        <v>2150</v>
      </c>
      <c r="I1866" s="2">
        <v>45734</v>
      </c>
      <c r="J1866" t="s">
        <v>20</v>
      </c>
      <c r="K1866" s="21">
        <v>-3000</v>
      </c>
      <c r="L1866" s="21" t="s">
        <v>86</v>
      </c>
      <c r="M1866">
        <v>12</v>
      </c>
      <c r="N1866" s="21" t="s">
        <v>86</v>
      </c>
    </row>
    <row r="1867" spans="1:14">
      <c r="A1867" t="str">
        <f>IFERROR(_xlfn.XLOOKUP(B1867,Cuentas!$C$1:$C$521,Cuentas!$A$1:$A$521),"")</f>
        <v>Yuldor</v>
      </c>
      <c r="B1867" t="s">
        <v>2148</v>
      </c>
      <c r="C1867" t="s">
        <v>2149</v>
      </c>
      <c r="D1867" t="s">
        <v>213</v>
      </c>
      <c r="E1867" t="s">
        <v>3139</v>
      </c>
      <c r="F1867" t="s">
        <v>2150</v>
      </c>
      <c r="G1867" t="s">
        <v>2150</v>
      </c>
      <c r="I1867" s="2">
        <v>45734</v>
      </c>
      <c r="J1867" t="s">
        <v>20</v>
      </c>
      <c r="K1867" s="21">
        <v>-3000</v>
      </c>
      <c r="L1867" s="21" t="s">
        <v>86</v>
      </c>
      <c r="M1867">
        <v>12</v>
      </c>
      <c r="N1867" s="21" t="s">
        <v>86</v>
      </c>
    </row>
    <row r="1868" spans="1:14">
      <c r="A1868" t="str">
        <f>IFERROR(_xlfn.XLOOKUP(B1868,Cuentas!$C$1:$C$521,Cuentas!$A$1:$A$521),"")</f>
        <v>Yuldor</v>
      </c>
      <c r="B1868" t="s">
        <v>2148</v>
      </c>
      <c r="C1868" t="s">
        <v>2149</v>
      </c>
      <c r="D1868" t="s">
        <v>213</v>
      </c>
      <c r="E1868" t="s">
        <v>3139</v>
      </c>
      <c r="F1868" t="s">
        <v>2150</v>
      </c>
      <c r="G1868" t="s">
        <v>2150</v>
      </c>
      <c r="I1868" s="2">
        <v>45734</v>
      </c>
      <c r="J1868" t="s">
        <v>20</v>
      </c>
      <c r="K1868" s="21">
        <v>3000</v>
      </c>
      <c r="L1868" s="21" t="s">
        <v>86</v>
      </c>
      <c r="M1868">
        <v>12</v>
      </c>
      <c r="N1868" s="21" t="s">
        <v>86</v>
      </c>
    </row>
    <row r="1869" spans="1:14">
      <c r="A1869" t="str">
        <f>IFERROR(_xlfn.XLOOKUP(B1869,Cuentas!$C$1:$C$521,Cuentas!$A$1:$A$521),"")</f>
        <v>Yuldor</v>
      </c>
      <c r="B1869" t="s">
        <v>2148</v>
      </c>
      <c r="C1869" t="s">
        <v>2149</v>
      </c>
      <c r="D1869" t="s">
        <v>213</v>
      </c>
      <c r="E1869" t="s">
        <v>7</v>
      </c>
      <c r="F1869" t="s">
        <v>2151</v>
      </c>
      <c r="G1869" t="s">
        <v>2151</v>
      </c>
      <c r="H1869" s="2">
        <v>45205</v>
      </c>
      <c r="I1869" s="2">
        <v>45235</v>
      </c>
      <c r="J1869" t="s">
        <v>20</v>
      </c>
      <c r="K1869" s="21">
        <v>4470</v>
      </c>
      <c r="L1869" s="21">
        <v>4470</v>
      </c>
      <c r="M1869">
        <v>0</v>
      </c>
      <c r="N1869" s="21">
        <v>4470</v>
      </c>
    </row>
    <row r="1870" spans="1:14">
      <c r="A1870" t="str">
        <f>IFERROR(_xlfn.XLOOKUP(B1870,Cuentas!$C$1:$C$521,Cuentas!$A$1:$A$521),"")</f>
        <v>Yuldor</v>
      </c>
      <c r="B1870" t="s">
        <v>2148</v>
      </c>
      <c r="C1870" t="s">
        <v>2149</v>
      </c>
      <c r="D1870" t="s">
        <v>213</v>
      </c>
      <c r="E1870" t="s">
        <v>3139</v>
      </c>
      <c r="F1870" t="s">
        <v>19</v>
      </c>
      <c r="G1870" t="s">
        <v>19</v>
      </c>
      <c r="I1870" s="2">
        <v>45735</v>
      </c>
      <c r="J1870" t="s">
        <v>20</v>
      </c>
      <c r="K1870" s="21">
        <v>-1360</v>
      </c>
      <c r="L1870" s="21">
        <v>-1360</v>
      </c>
      <c r="M1870">
        <v>12</v>
      </c>
      <c r="N1870" s="21">
        <v>-1360</v>
      </c>
    </row>
    <row r="1871" spans="1:14">
      <c r="A1871" t="str">
        <f>IFERROR(_xlfn.XLOOKUP(B1871,Cuentas!$C$1:$C$521,Cuentas!$A$1:$A$521),"")</f>
        <v>Yuldor</v>
      </c>
      <c r="B1871" t="s">
        <v>2152</v>
      </c>
      <c r="C1871" t="s">
        <v>2153</v>
      </c>
      <c r="D1871" t="s">
        <v>16</v>
      </c>
      <c r="E1871" t="s">
        <v>5502</v>
      </c>
      <c r="F1871" t="s">
        <v>2154</v>
      </c>
      <c r="G1871" t="s">
        <v>19</v>
      </c>
      <c r="I1871" s="2">
        <v>45238</v>
      </c>
      <c r="J1871" t="s">
        <v>20</v>
      </c>
      <c r="K1871" s="21">
        <v>-144.5</v>
      </c>
      <c r="L1871" s="21">
        <v>-144.5</v>
      </c>
      <c r="M1871">
        <v>0</v>
      </c>
      <c r="N1871" s="21">
        <v>-144.5</v>
      </c>
    </row>
    <row r="1872" spans="1:14">
      <c r="A1872" t="str">
        <f>IFERROR(_xlfn.XLOOKUP(B1872,Cuentas!$C$1:$C$521,Cuentas!$A$1:$A$521),"")</f>
        <v>Yuldor</v>
      </c>
      <c r="B1872" t="s">
        <v>2152</v>
      </c>
      <c r="C1872" t="s">
        <v>2153</v>
      </c>
      <c r="D1872" t="s">
        <v>16</v>
      </c>
      <c r="E1872" t="s">
        <v>5502</v>
      </c>
      <c r="F1872" t="s">
        <v>2155</v>
      </c>
      <c r="G1872" t="s">
        <v>19</v>
      </c>
      <c r="I1872" s="2">
        <v>45259</v>
      </c>
      <c r="J1872" t="s">
        <v>20</v>
      </c>
      <c r="K1872" s="21">
        <v>-50</v>
      </c>
      <c r="L1872" s="21">
        <v>-50</v>
      </c>
      <c r="M1872">
        <v>0</v>
      </c>
      <c r="N1872" s="21">
        <v>-50</v>
      </c>
    </row>
    <row r="1873" spans="1:14">
      <c r="A1873" t="str">
        <f>IFERROR(_xlfn.XLOOKUP(B1873,Cuentas!$C$1:$C$521,Cuentas!$A$1:$A$521),"")</f>
        <v>Yuldor</v>
      </c>
      <c r="B1873" t="s">
        <v>2152</v>
      </c>
      <c r="C1873" t="s">
        <v>2153</v>
      </c>
      <c r="D1873" t="s">
        <v>16</v>
      </c>
      <c r="E1873" t="s">
        <v>3139</v>
      </c>
      <c r="F1873" t="s">
        <v>19</v>
      </c>
      <c r="G1873" t="s">
        <v>19</v>
      </c>
      <c r="I1873" s="2">
        <v>45357</v>
      </c>
      <c r="J1873" t="s">
        <v>20</v>
      </c>
      <c r="K1873" s="21">
        <v>-69</v>
      </c>
      <c r="L1873" s="21">
        <v>-69</v>
      </c>
      <c r="M1873">
        <v>0</v>
      </c>
      <c r="N1873" s="21">
        <v>-69</v>
      </c>
    </row>
    <row r="1874" spans="1:14">
      <c r="A1874" t="str">
        <f>IFERROR(_xlfn.XLOOKUP(B1874,Cuentas!$C$1:$C$521,Cuentas!$A$1:$A$521),"")</f>
        <v>Yuldor</v>
      </c>
      <c r="B1874" t="s">
        <v>2152</v>
      </c>
      <c r="C1874" t="s">
        <v>2153</v>
      </c>
      <c r="D1874" t="s">
        <v>16</v>
      </c>
      <c r="E1874" t="s">
        <v>5502</v>
      </c>
      <c r="F1874" t="s">
        <v>2156</v>
      </c>
      <c r="G1874" t="s">
        <v>19</v>
      </c>
      <c r="I1874" s="2">
        <v>45408</v>
      </c>
      <c r="J1874" t="s">
        <v>20</v>
      </c>
      <c r="K1874" s="21">
        <v>-130.5</v>
      </c>
      <c r="L1874" s="21">
        <v>-130.5</v>
      </c>
      <c r="M1874">
        <v>0</v>
      </c>
      <c r="N1874" s="21">
        <v>-130.5</v>
      </c>
    </row>
    <row r="1875" spans="1:14">
      <c r="A1875" t="str">
        <f>IFERROR(_xlfn.XLOOKUP(B1875,Cuentas!$C$1:$C$521,Cuentas!$A$1:$A$521),"")</f>
        <v>Yuldor</v>
      </c>
      <c r="B1875" t="s">
        <v>2152</v>
      </c>
      <c r="C1875" t="s">
        <v>2153</v>
      </c>
      <c r="D1875" t="s">
        <v>16</v>
      </c>
      <c r="E1875" t="s">
        <v>5502</v>
      </c>
      <c r="F1875" t="s">
        <v>2157</v>
      </c>
      <c r="G1875" t="s">
        <v>19</v>
      </c>
      <c r="I1875" s="2">
        <v>45412</v>
      </c>
      <c r="J1875" t="s">
        <v>20</v>
      </c>
      <c r="K1875" s="21">
        <v>-151</v>
      </c>
      <c r="L1875" s="21">
        <v>-151</v>
      </c>
      <c r="M1875">
        <v>0</v>
      </c>
      <c r="N1875" s="21">
        <v>-151</v>
      </c>
    </row>
    <row r="1876" spans="1:14">
      <c r="A1876" t="str">
        <f>IFERROR(_xlfn.XLOOKUP(B1876,Cuentas!$C$1:$C$521,Cuentas!$A$1:$A$521),"")</f>
        <v>Yuldor</v>
      </c>
      <c r="B1876" t="s">
        <v>2152</v>
      </c>
      <c r="C1876" t="s">
        <v>2153</v>
      </c>
      <c r="D1876" t="s">
        <v>16</v>
      </c>
      <c r="E1876" t="s">
        <v>3139</v>
      </c>
      <c r="F1876" t="s">
        <v>19</v>
      </c>
      <c r="G1876" t="s">
        <v>19</v>
      </c>
      <c r="I1876" s="2">
        <v>45436</v>
      </c>
      <c r="J1876" t="s">
        <v>20</v>
      </c>
      <c r="K1876" s="21">
        <v>-165</v>
      </c>
      <c r="L1876" s="21">
        <v>-165</v>
      </c>
      <c r="M1876">
        <v>0</v>
      </c>
      <c r="N1876" s="21">
        <v>-165</v>
      </c>
    </row>
    <row r="1877" spans="1:14">
      <c r="A1877" t="str">
        <f>IFERROR(_xlfn.XLOOKUP(B1877,Cuentas!$C$1:$C$521,Cuentas!$A$1:$A$521),"")</f>
        <v>Yuldor</v>
      </c>
      <c r="B1877" t="s">
        <v>2152</v>
      </c>
      <c r="C1877" t="s">
        <v>2153</v>
      </c>
      <c r="D1877" t="s">
        <v>16</v>
      </c>
      <c r="E1877" t="s">
        <v>7</v>
      </c>
      <c r="F1877" t="s">
        <v>2158</v>
      </c>
      <c r="G1877" t="s">
        <v>2158</v>
      </c>
      <c r="H1877" s="2">
        <v>45418</v>
      </c>
      <c r="I1877" s="2">
        <v>45448</v>
      </c>
      <c r="J1877" t="s">
        <v>20</v>
      </c>
      <c r="K1877" s="21">
        <v>150.06</v>
      </c>
      <c r="L1877" s="21">
        <v>150.06</v>
      </c>
      <c r="M1877">
        <v>0</v>
      </c>
      <c r="N1877" s="21">
        <v>150.06</v>
      </c>
    </row>
    <row r="1878" spans="1:14">
      <c r="A1878" t="str">
        <f>IFERROR(_xlfn.XLOOKUP(B1878,Cuentas!$C$1:$C$521,Cuentas!$A$1:$A$521),"")</f>
        <v>Yuldor</v>
      </c>
      <c r="B1878" t="s">
        <v>2152</v>
      </c>
      <c r="C1878" t="s">
        <v>2153</v>
      </c>
      <c r="D1878" t="s">
        <v>16</v>
      </c>
      <c r="E1878" t="s">
        <v>3139</v>
      </c>
      <c r="F1878" t="s">
        <v>19</v>
      </c>
      <c r="G1878" t="s">
        <v>19</v>
      </c>
      <c r="I1878" s="2">
        <v>45449</v>
      </c>
      <c r="J1878" t="s">
        <v>20</v>
      </c>
      <c r="K1878" s="21">
        <v>-108.95</v>
      </c>
      <c r="L1878" s="21">
        <v>-108.95</v>
      </c>
      <c r="M1878">
        <v>0</v>
      </c>
      <c r="N1878" s="21">
        <v>-108.95</v>
      </c>
    </row>
    <row r="1879" spans="1:14">
      <c r="A1879" t="str">
        <f>IFERROR(_xlfn.XLOOKUP(B1879,Cuentas!$C$1:$C$521,Cuentas!$A$1:$A$521),"")</f>
        <v>Yuldor</v>
      </c>
      <c r="B1879" t="s">
        <v>2152</v>
      </c>
      <c r="C1879" t="s">
        <v>2153</v>
      </c>
      <c r="D1879" t="s">
        <v>16</v>
      </c>
      <c r="E1879" t="s">
        <v>7</v>
      </c>
      <c r="F1879" t="s">
        <v>2159</v>
      </c>
      <c r="G1879" t="s">
        <v>2159</v>
      </c>
      <c r="H1879" s="2">
        <v>45421</v>
      </c>
      <c r="I1879" s="2">
        <v>45451</v>
      </c>
      <c r="J1879" t="s">
        <v>20</v>
      </c>
      <c r="K1879" s="21">
        <v>6.71</v>
      </c>
      <c r="L1879" s="21">
        <v>6.71</v>
      </c>
      <c r="M1879">
        <v>0</v>
      </c>
      <c r="N1879" s="21">
        <v>6.71</v>
      </c>
    </row>
    <row r="1880" spans="1:14">
      <c r="A1880" t="str">
        <f>IFERROR(_xlfn.XLOOKUP(B1880,Cuentas!$C$1:$C$521,Cuentas!$A$1:$A$521),"")</f>
        <v>Yuldor</v>
      </c>
      <c r="B1880" t="s">
        <v>2152</v>
      </c>
      <c r="C1880" t="s">
        <v>2153</v>
      </c>
      <c r="D1880" t="s">
        <v>16</v>
      </c>
      <c r="E1880" t="s">
        <v>3139</v>
      </c>
      <c r="F1880" t="s">
        <v>19</v>
      </c>
      <c r="G1880" t="s">
        <v>19</v>
      </c>
      <c r="I1880" s="2">
        <v>45455</v>
      </c>
      <c r="J1880" t="s">
        <v>20</v>
      </c>
      <c r="K1880" s="21">
        <v>-145.57</v>
      </c>
      <c r="L1880" s="21">
        <v>-145.57</v>
      </c>
      <c r="M1880">
        <v>0</v>
      </c>
      <c r="N1880" s="21">
        <v>-145.57</v>
      </c>
    </row>
    <row r="1881" spans="1:14">
      <c r="A1881" t="str">
        <f>IFERROR(_xlfn.XLOOKUP(B1881,Cuentas!$C$1:$C$521,Cuentas!$A$1:$A$521),"")</f>
        <v>Yuldor</v>
      </c>
      <c r="B1881" t="s">
        <v>2152</v>
      </c>
      <c r="C1881" t="s">
        <v>2153</v>
      </c>
      <c r="D1881" t="s">
        <v>16</v>
      </c>
      <c r="E1881" t="s">
        <v>7</v>
      </c>
      <c r="F1881" t="s">
        <v>2160</v>
      </c>
      <c r="G1881" t="s">
        <v>2160</v>
      </c>
      <c r="H1881" s="2">
        <v>45432</v>
      </c>
      <c r="I1881" s="2">
        <v>45462</v>
      </c>
      <c r="J1881" t="s">
        <v>20</v>
      </c>
      <c r="K1881" s="21">
        <v>205.3</v>
      </c>
      <c r="L1881" s="21">
        <v>40.76</v>
      </c>
      <c r="M1881">
        <v>0</v>
      </c>
      <c r="N1881" s="21">
        <v>40.76</v>
      </c>
    </row>
    <row r="1882" spans="1:14">
      <c r="A1882" t="str">
        <f>IFERROR(_xlfn.XLOOKUP(B1882,Cuentas!$C$1:$C$521,Cuentas!$A$1:$A$521),"")</f>
        <v>Yuldor</v>
      </c>
      <c r="B1882" t="s">
        <v>2152</v>
      </c>
      <c r="C1882" t="s">
        <v>2153</v>
      </c>
      <c r="D1882" t="s">
        <v>16</v>
      </c>
      <c r="E1882" t="s">
        <v>5502</v>
      </c>
      <c r="F1882" t="s">
        <v>2161</v>
      </c>
      <c r="G1882" t="s">
        <v>2160</v>
      </c>
      <c r="I1882" s="2">
        <v>45554</v>
      </c>
      <c r="J1882" t="s">
        <v>20</v>
      </c>
      <c r="K1882" s="21">
        <v>-164.54</v>
      </c>
      <c r="L1882" s="21" t="s">
        <v>86</v>
      </c>
      <c r="M1882">
        <v>0</v>
      </c>
      <c r="N1882" s="21" t="s">
        <v>86</v>
      </c>
    </row>
    <row r="1883" spans="1:14">
      <c r="A1883" t="str">
        <f>IFERROR(_xlfn.XLOOKUP(B1883,Cuentas!$C$1:$C$521,Cuentas!$A$1:$A$521),"")</f>
        <v>Yuldor</v>
      </c>
      <c r="B1883" t="s">
        <v>2152</v>
      </c>
      <c r="C1883" t="s">
        <v>2153</v>
      </c>
      <c r="D1883" t="s">
        <v>16</v>
      </c>
      <c r="E1883" t="s">
        <v>3139</v>
      </c>
      <c r="F1883" t="s">
        <v>19</v>
      </c>
      <c r="G1883" t="s">
        <v>19</v>
      </c>
      <c r="I1883" s="2">
        <v>45463</v>
      </c>
      <c r="J1883" t="s">
        <v>20</v>
      </c>
      <c r="K1883" s="21">
        <v>-71.13</v>
      </c>
      <c r="L1883" s="21">
        <v>-71.13</v>
      </c>
      <c r="M1883">
        <v>0</v>
      </c>
      <c r="N1883" s="21">
        <v>-71.13</v>
      </c>
    </row>
    <row r="1884" spans="1:14">
      <c r="A1884" t="str">
        <f>IFERROR(_xlfn.XLOOKUP(B1884,Cuentas!$C$1:$C$521,Cuentas!$A$1:$A$521),"")</f>
        <v>Yuldor</v>
      </c>
      <c r="B1884" t="s">
        <v>2152</v>
      </c>
      <c r="C1884" t="s">
        <v>2153</v>
      </c>
      <c r="D1884" t="s">
        <v>16</v>
      </c>
      <c r="E1884" t="s">
        <v>5502</v>
      </c>
      <c r="F1884" t="s">
        <v>2162</v>
      </c>
      <c r="G1884" t="s">
        <v>19</v>
      </c>
      <c r="I1884" s="2">
        <v>45473</v>
      </c>
      <c r="J1884" t="s">
        <v>20</v>
      </c>
      <c r="K1884" s="21">
        <v>-13.64</v>
      </c>
      <c r="L1884" s="21">
        <v>-13.64</v>
      </c>
      <c r="M1884">
        <v>0</v>
      </c>
      <c r="N1884" s="21">
        <v>-13.64</v>
      </c>
    </row>
    <row r="1885" spans="1:14">
      <c r="A1885" t="str">
        <f>IFERROR(_xlfn.XLOOKUP(B1885,Cuentas!$C$1:$C$521,Cuentas!$A$1:$A$521),"")</f>
        <v>Yuldor</v>
      </c>
      <c r="B1885" t="s">
        <v>2152</v>
      </c>
      <c r="C1885" t="s">
        <v>2153</v>
      </c>
      <c r="D1885" t="s">
        <v>16</v>
      </c>
      <c r="E1885" t="s">
        <v>5502</v>
      </c>
      <c r="F1885" t="s">
        <v>2163</v>
      </c>
      <c r="G1885" t="s">
        <v>19</v>
      </c>
      <c r="I1885" s="2">
        <v>45473</v>
      </c>
      <c r="J1885" t="s">
        <v>20</v>
      </c>
      <c r="K1885" s="21">
        <v>-5.6</v>
      </c>
      <c r="L1885" s="21">
        <v>-5.6</v>
      </c>
      <c r="M1885">
        <v>0</v>
      </c>
      <c r="N1885" s="21">
        <v>-5.6</v>
      </c>
    </row>
    <row r="1886" spans="1:14">
      <c r="A1886" t="str">
        <f>IFERROR(_xlfn.XLOOKUP(B1886,Cuentas!$C$1:$C$521,Cuentas!$A$1:$A$521),"")</f>
        <v>Yuldor</v>
      </c>
      <c r="B1886" t="s">
        <v>2152</v>
      </c>
      <c r="C1886" t="s">
        <v>2153</v>
      </c>
      <c r="D1886" t="s">
        <v>16</v>
      </c>
      <c r="E1886" t="s">
        <v>5502</v>
      </c>
      <c r="F1886" t="s">
        <v>2164</v>
      </c>
      <c r="G1886" t="s">
        <v>19</v>
      </c>
      <c r="I1886" s="2">
        <v>45473</v>
      </c>
      <c r="J1886" t="s">
        <v>20</v>
      </c>
      <c r="K1886" s="21">
        <v>-8.09</v>
      </c>
      <c r="L1886" s="21">
        <v>-8.09</v>
      </c>
      <c r="M1886">
        <v>0</v>
      </c>
      <c r="N1886" s="21">
        <v>-8.09</v>
      </c>
    </row>
    <row r="1887" spans="1:14">
      <c r="A1887" t="str">
        <f>IFERROR(_xlfn.XLOOKUP(B1887,Cuentas!$C$1:$C$521,Cuentas!$A$1:$A$521),"")</f>
        <v>Yuldor</v>
      </c>
      <c r="B1887" t="s">
        <v>2152</v>
      </c>
      <c r="C1887" t="s">
        <v>2153</v>
      </c>
      <c r="D1887" t="s">
        <v>16</v>
      </c>
      <c r="E1887" t="s">
        <v>5502</v>
      </c>
      <c r="F1887" t="s">
        <v>2165</v>
      </c>
      <c r="G1887" t="s">
        <v>19</v>
      </c>
      <c r="I1887" s="2">
        <v>45473</v>
      </c>
      <c r="J1887" t="s">
        <v>20</v>
      </c>
      <c r="K1887" s="21">
        <v>-21.18</v>
      </c>
      <c r="L1887" s="21">
        <v>-21.18</v>
      </c>
      <c r="M1887">
        <v>0</v>
      </c>
      <c r="N1887" s="21">
        <v>-21.18</v>
      </c>
    </row>
    <row r="1888" spans="1:14">
      <c r="A1888" t="str">
        <f>IFERROR(_xlfn.XLOOKUP(B1888,Cuentas!$C$1:$C$521,Cuentas!$A$1:$A$521),"")</f>
        <v>Yuldor</v>
      </c>
      <c r="B1888" t="s">
        <v>2152</v>
      </c>
      <c r="C1888" t="s">
        <v>2153</v>
      </c>
      <c r="D1888" t="s">
        <v>16</v>
      </c>
      <c r="E1888" t="s">
        <v>3139</v>
      </c>
      <c r="F1888" t="s">
        <v>19</v>
      </c>
      <c r="G1888" t="s">
        <v>19</v>
      </c>
      <c r="I1888" s="2">
        <v>45483</v>
      </c>
      <c r="J1888" t="s">
        <v>20</v>
      </c>
      <c r="K1888" s="21">
        <v>-62</v>
      </c>
      <c r="L1888" s="21">
        <v>-62</v>
      </c>
      <c r="M1888">
        <v>0</v>
      </c>
      <c r="N1888" s="21">
        <v>-62</v>
      </c>
    </row>
    <row r="1889" spans="1:14">
      <c r="A1889" t="str">
        <f>IFERROR(_xlfn.XLOOKUP(B1889,Cuentas!$C$1:$C$521,Cuentas!$A$1:$A$521),"")</f>
        <v>Yuldor</v>
      </c>
      <c r="B1889" t="s">
        <v>2152</v>
      </c>
      <c r="C1889" t="s">
        <v>2153</v>
      </c>
      <c r="D1889" t="s">
        <v>16</v>
      </c>
      <c r="E1889" t="s">
        <v>3139</v>
      </c>
      <c r="F1889" t="s">
        <v>19</v>
      </c>
      <c r="G1889" t="s">
        <v>19</v>
      </c>
      <c r="I1889" s="2">
        <v>45484</v>
      </c>
      <c r="J1889" t="s">
        <v>20</v>
      </c>
      <c r="K1889" s="21">
        <v>-71.3</v>
      </c>
      <c r="L1889" s="21">
        <v>-71.3</v>
      </c>
      <c r="M1889">
        <v>0</v>
      </c>
      <c r="N1889" s="21">
        <v>-71.3</v>
      </c>
    </row>
    <row r="1890" spans="1:14">
      <c r="A1890" t="str">
        <f>IFERROR(_xlfn.XLOOKUP(B1890,Cuentas!$C$1:$C$521,Cuentas!$A$1:$A$521),"")</f>
        <v>Yuldor</v>
      </c>
      <c r="B1890" t="s">
        <v>2152</v>
      </c>
      <c r="C1890" t="s">
        <v>2153</v>
      </c>
      <c r="D1890" t="s">
        <v>16</v>
      </c>
      <c r="E1890" t="s">
        <v>3139</v>
      </c>
      <c r="F1890" t="s">
        <v>19</v>
      </c>
      <c r="G1890" t="s">
        <v>19</v>
      </c>
      <c r="I1890" s="2">
        <v>45488</v>
      </c>
      <c r="J1890" t="s">
        <v>20</v>
      </c>
      <c r="K1890" s="21">
        <v>-339.6</v>
      </c>
      <c r="L1890" s="21">
        <v>-339.6</v>
      </c>
      <c r="M1890">
        <v>0</v>
      </c>
      <c r="N1890" s="21">
        <v>-339.6</v>
      </c>
    </row>
    <row r="1891" spans="1:14">
      <c r="A1891" t="str">
        <f>IFERROR(_xlfn.XLOOKUP(B1891,Cuentas!$C$1:$C$521,Cuentas!$A$1:$A$521),"")</f>
        <v>Yuldor</v>
      </c>
      <c r="B1891" t="s">
        <v>2152</v>
      </c>
      <c r="C1891" t="s">
        <v>2153</v>
      </c>
      <c r="D1891" t="s">
        <v>16</v>
      </c>
      <c r="E1891" t="s">
        <v>3139</v>
      </c>
      <c r="F1891" t="s">
        <v>19</v>
      </c>
      <c r="G1891" t="s">
        <v>19</v>
      </c>
      <c r="I1891" s="2">
        <v>45499</v>
      </c>
      <c r="J1891" t="s">
        <v>20</v>
      </c>
      <c r="K1891" s="21">
        <v>-50</v>
      </c>
      <c r="L1891" s="21">
        <v>-50</v>
      </c>
      <c r="M1891">
        <v>0</v>
      </c>
      <c r="N1891" s="21">
        <v>-50</v>
      </c>
    </row>
    <row r="1892" spans="1:14">
      <c r="A1892" t="str">
        <f>IFERROR(_xlfn.XLOOKUP(B1892,Cuentas!$C$1:$C$521,Cuentas!$A$1:$A$521),"")</f>
        <v>Yuldor</v>
      </c>
      <c r="B1892" t="s">
        <v>2152</v>
      </c>
      <c r="C1892" t="s">
        <v>2153</v>
      </c>
      <c r="D1892" t="s">
        <v>16</v>
      </c>
      <c r="E1892" t="s">
        <v>3139</v>
      </c>
      <c r="F1892" t="s">
        <v>19</v>
      </c>
      <c r="G1892" t="s">
        <v>19</v>
      </c>
      <c r="I1892" s="2">
        <v>45504</v>
      </c>
      <c r="J1892" t="s">
        <v>20</v>
      </c>
      <c r="K1892" s="21">
        <v>-40</v>
      </c>
      <c r="L1892" s="21">
        <v>-40</v>
      </c>
      <c r="M1892">
        <v>0</v>
      </c>
      <c r="N1892" s="21">
        <v>-40</v>
      </c>
    </row>
    <row r="1893" spans="1:14">
      <c r="A1893" t="str">
        <f>IFERROR(_xlfn.XLOOKUP(B1893,Cuentas!$C$1:$C$521,Cuentas!$A$1:$A$521),"")</f>
        <v>Yuldor</v>
      </c>
      <c r="B1893" t="s">
        <v>2152</v>
      </c>
      <c r="C1893" t="s">
        <v>2153</v>
      </c>
      <c r="D1893" t="s">
        <v>16</v>
      </c>
      <c r="E1893" t="s">
        <v>5502</v>
      </c>
      <c r="F1893" t="s">
        <v>2166</v>
      </c>
      <c r="G1893" t="s">
        <v>19</v>
      </c>
      <c r="I1893" s="2">
        <v>45519</v>
      </c>
      <c r="J1893" t="s">
        <v>20</v>
      </c>
      <c r="K1893" s="21">
        <v>-5.64</v>
      </c>
      <c r="L1893" s="21">
        <v>-5.64</v>
      </c>
      <c r="M1893">
        <v>0</v>
      </c>
      <c r="N1893" s="21">
        <v>-5.64</v>
      </c>
    </row>
    <row r="1894" spans="1:14">
      <c r="A1894" t="str">
        <f>IFERROR(_xlfn.XLOOKUP(B1894,Cuentas!$C$1:$C$521,Cuentas!$A$1:$A$521),"")</f>
        <v>Yuldor</v>
      </c>
      <c r="B1894" t="s">
        <v>2152</v>
      </c>
      <c r="C1894" t="s">
        <v>2153</v>
      </c>
      <c r="D1894" t="s">
        <v>16</v>
      </c>
      <c r="E1894" t="s">
        <v>5502</v>
      </c>
      <c r="F1894" t="s">
        <v>2167</v>
      </c>
      <c r="G1894" t="s">
        <v>19</v>
      </c>
      <c r="I1894" s="2">
        <v>45519</v>
      </c>
      <c r="J1894" t="s">
        <v>20</v>
      </c>
      <c r="K1894" s="21">
        <v>-4.4400000000000004</v>
      </c>
      <c r="L1894" s="21">
        <v>-4.4400000000000004</v>
      </c>
      <c r="M1894">
        <v>0</v>
      </c>
      <c r="N1894" s="21">
        <v>-4.4400000000000004</v>
      </c>
    </row>
    <row r="1895" spans="1:14">
      <c r="A1895" t="str">
        <f>IFERROR(_xlfn.XLOOKUP(B1895,Cuentas!$C$1:$C$521,Cuentas!$A$1:$A$521),"")</f>
        <v>Yuldor</v>
      </c>
      <c r="B1895" t="s">
        <v>2152</v>
      </c>
      <c r="C1895" t="s">
        <v>2153</v>
      </c>
      <c r="D1895" t="s">
        <v>16</v>
      </c>
      <c r="E1895" t="s">
        <v>5502</v>
      </c>
      <c r="F1895" t="s">
        <v>2168</v>
      </c>
      <c r="G1895" t="s">
        <v>19</v>
      </c>
      <c r="I1895" s="2">
        <v>45532</v>
      </c>
      <c r="J1895" t="s">
        <v>20</v>
      </c>
      <c r="K1895" s="21">
        <v>-9.6199999999999992</v>
      </c>
      <c r="L1895" s="21">
        <v>-9.6199999999999992</v>
      </c>
      <c r="M1895">
        <v>0</v>
      </c>
      <c r="N1895" s="21">
        <v>-9.6199999999999992</v>
      </c>
    </row>
    <row r="1896" spans="1:14">
      <c r="A1896" t="str">
        <f>IFERROR(_xlfn.XLOOKUP(B1896,Cuentas!$C$1:$C$521,Cuentas!$A$1:$A$521),"")</f>
        <v>Yuldor</v>
      </c>
      <c r="B1896" t="s">
        <v>2152</v>
      </c>
      <c r="C1896" t="s">
        <v>2153</v>
      </c>
      <c r="D1896" t="s">
        <v>16</v>
      </c>
      <c r="E1896" t="s">
        <v>5502</v>
      </c>
      <c r="F1896" t="s">
        <v>2169</v>
      </c>
      <c r="G1896" t="s">
        <v>19</v>
      </c>
      <c r="I1896" s="2">
        <v>45532</v>
      </c>
      <c r="J1896" t="s">
        <v>20</v>
      </c>
      <c r="K1896" s="21">
        <v>-33.54</v>
      </c>
      <c r="L1896" s="21">
        <v>-33.54</v>
      </c>
      <c r="M1896">
        <v>0</v>
      </c>
      <c r="N1896" s="21">
        <v>-33.54</v>
      </c>
    </row>
    <row r="1897" spans="1:14">
      <c r="A1897" t="str">
        <f>IFERROR(_xlfn.XLOOKUP(B1897,Cuentas!$C$1:$C$521,Cuentas!$A$1:$A$521),"")</f>
        <v>Yuldor</v>
      </c>
      <c r="B1897" t="s">
        <v>2152</v>
      </c>
      <c r="C1897" t="s">
        <v>2153</v>
      </c>
      <c r="D1897" t="s">
        <v>16</v>
      </c>
      <c r="E1897" t="s">
        <v>5502</v>
      </c>
      <c r="F1897" t="s">
        <v>2170</v>
      </c>
      <c r="G1897" t="s">
        <v>19</v>
      </c>
      <c r="I1897" s="2">
        <v>45532</v>
      </c>
      <c r="J1897" t="s">
        <v>20</v>
      </c>
      <c r="K1897" s="21">
        <v>-4.4400000000000004</v>
      </c>
      <c r="L1897" s="21">
        <v>-4.4400000000000004</v>
      </c>
      <c r="M1897">
        <v>0</v>
      </c>
      <c r="N1897" s="21">
        <v>-4.4400000000000004</v>
      </c>
    </row>
    <row r="1898" spans="1:14">
      <c r="A1898" t="str">
        <f>IFERROR(_xlfn.XLOOKUP(B1898,Cuentas!$C$1:$C$521,Cuentas!$A$1:$A$521),"")</f>
        <v>Yuldor</v>
      </c>
      <c r="B1898" t="s">
        <v>2152</v>
      </c>
      <c r="C1898" t="s">
        <v>2153</v>
      </c>
      <c r="D1898" t="s">
        <v>16</v>
      </c>
      <c r="E1898" t="s">
        <v>5502</v>
      </c>
      <c r="F1898" t="s">
        <v>2171</v>
      </c>
      <c r="G1898" t="s">
        <v>19</v>
      </c>
      <c r="I1898" s="2">
        <v>45532</v>
      </c>
      <c r="J1898" t="s">
        <v>20</v>
      </c>
      <c r="K1898" s="21">
        <v>-2.54</v>
      </c>
      <c r="L1898" s="21">
        <v>-2.54</v>
      </c>
      <c r="M1898">
        <v>0</v>
      </c>
      <c r="N1898" s="21">
        <v>-2.54</v>
      </c>
    </row>
    <row r="1899" spans="1:14">
      <c r="A1899" t="str">
        <f>IFERROR(_xlfn.XLOOKUP(B1899,Cuentas!$C$1:$C$521,Cuentas!$A$1:$A$521),"")</f>
        <v>Yuldor</v>
      </c>
      <c r="B1899" t="s">
        <v>2152</v>
      </c>
      <c r="C1899" t="s">
        <v>2153</v>
      </c>
      <c r="D1899" t="s">
        <v>16</v>
      </c>
      <c r="E1899" t="s">
        <v>5502</v>
      </c>
      <c r="F1899" t="s">
        <v>2172</v>
      </c>
      <c r="G1899" t="s">
        <v>19</v>
      </c>
      <c r="I1899" s="2">
        <v>45532</v>
      </c>
      <c r="J1899" t="s">
        <v>20</v>
      </c>
      <c r="K1899" s="21">
        <v>-23.8</v>
      </c>
      <c r="L1899" s="21">
        <v>-23.8</v>
      </c>
      <c r="M1899">
        <v>0</v>
      </c>
      <c r="N1899" s="21">
        <v>-23.8</v>
      </c>
    </row>
    <row r="1900" spans="1:14">
      <c r="A1900" t="str">
        <f>IFERROR(_xlfn.XLOOKUP(B1900,Cuentas!$C$1:$C$521,Cuentas!$A$1:$A$521),"")</f>
        <v>Yuldor</v>
      </c>
      <c r="B1900" t="s">
        <v>2152</v>
      </c>
      <c r="C1900" t="s">
        <v>2153</v>
      </c>
      <c r="D1900" t="s">
        <v>16</v>
      </c>
      <c r="E1900" t="s">
        <v>3139</v>
      </c>
      <c r="F1900" t="s">
        <v>19</v>
      </c>
      <c r="G1900" t="s">
        <v>19</v>
      </c>
      <c r="I1900" s="2">
        <v>45534</v>
      </c>
      <c r="J1900" t="s">
        <v>20</v>
      </c>
      <c r="K1900" s="21">
        <v>-5.7</v>
      </c>
      <c r="L1900" s="21">
        <v>-5.7</v>
      </c>
      <c r="M1900">
        <v>0</v>
      </c>
      <c r="N1900" s="21">
        <v>-5.7</v>
      </c>
    </row>
    <row r="1901" spans="1:14">
      <c r="A1901" t="str">
        <f>IFERROR(_xlfn.XLOOKUP(B1901,Cuentas!$C$1:$C$521,Cuentas!$A$1:$A$521),"")</f>
        <v>Yuldor</v>
      </c>
      <c r="B1901" t="s">
        <v>2152</v>
      </c>
      <c r="C1901" t="s">
        <v>2153</v>
      </c>
      <c r="D1901" t="s">
        <v>16</v>
      </c>
      <c r="E1901" t="s">
        <v>7</v>
      </c>
      <c r="F1901" t="s">
        <v>2173</v>
      </c>
      <c r="G1901" t="s">
        <v>2173</v>
      </c>
      <c r="H1901" s="2">
        <v>45526</v>
      </c>
      <c r="I1901" s="2">
        <v>45556</v>
      </c>
      <c r="J1901" t="s">
        <v>20</v>
      </c>
      <c r="K1901" s="21">
        <v>480</v>
      </c>
      <c r="L1901" s="21">
        <v>480</v>
      </c>
      <c r="M1901">
        <v>0</v>
      </c>
      <c r="N1901" s="21">
        <v>480</v>
      </c>
    </row>
    <row r="1902" spans="1:14">
      <c r="A1902" t="str">
        <f>IFERROR(_xlfn.XLOOKUP(B1902,Cuentas!$C$1:$C$521,Cuentas!$A$1:$A$521),"")</f>
        <v>Yuldor</v>
      </c>
      <c r="B1902" t="s">
        <v>2152</v>
      </c>
      <c r="C1902" t="s">
        <v>2153</v>
      </c>
      <c r="D1902" t="s">
        <v>16</v>
      </c>
      <c r="E1902" t="s">
        <v>7</v>
      </c>
      <c r="F1902" t="s">
        <v>2174</v>
      </c>
      <c r="G1902" t="s">
        <v>2174</v>
      </c>
      <c r="H1902" s="2">
        <v>45531</v>
      </c>
      <c r="I1902" s="2">
        <v>45561</v>
      </c>
      <c r="J1902" t="s">
        <v>20</v>
      </c>
      <c r="K1902" s="21">
        <v>250</v>
      </c>
      <c r="L1902" s="21">
        <v>250</v>
      </c>
      <c r="M1902">
        <v>0</v>
      </c>
      <c r="N1902" s="21">
        <v>250</v>
      </c>
    </row>
    <row r="1903" spans="1:14">
      <c r="A1903" t="str">
        <f>IFERROR(_xlfn.XLOOKUP(B1903,Cuentas!$C$1:$C$521,Cuentas!$A$1:$A$521),"")</f>
        <v>Yuldor</v>
      </c>
      <c r="B1903" t="s">
        <v>2152</v>
      </c>
      <c r="C1903" t="s">
        <v>2153</v>
      </c>
      <c r="D1903" t="s">
        <v>16</v>
      </c>
      <c r="E1903" t="s">
        <v>7</v>
      </c>
      <c r="F1903" t="s">
        <v>2175</v>
      </c>
      <c r="G1903" t="s">
        <v>2175</v>
      </c>
      <c r="H1903" s="2">
        <v>45532</v>
      </c>
      <c r="I1903" s="2">
        <v>45562</v>
      </c>
      <c r="J1903" t="s">
        <v>20</v>
      </c>
      <c r="K1903" s="21">
        <v>240</v>
      </c>
      <c r="L1903" s="21">
        <v>240</v>
      </c>
      <c r="M1903">
        <v>0</v>
      </c>
      <c r="N1903" s="21">
        <v>240</v>
      </c>
    </row>
    <row r="1904" spans="1:14">
      <c r="A1904" t="str">
        <f>IFERROR(_xlfn.XLOOKUP(B1904,Cuentas!$C$1:$C$521,Cuentas!$A$1:$A$521),"")</f>
        <v>Yuldor</v>
      </c>
      <c r="B1904" t="s">
        <v>2152</v>
      </c>
      <c r="C1904" t="s">
        <v>2153</v>
      </c>
      <c r="D1904" t="s">
        <v>16</v>
      </c>
      <c r="E1904" t="s">
        <v>7</v>
      </c>
      <c r="F1904" t="s">
        <v>2176</v>
      </c>
      <c r="G1904" t="s">
        <v>2176</v>
      </c>
      <c r="H1904" s="2">
        <v>45532</v>
      </c>
      <c r="I1904" s="2">
        <v>45562</v>
      </c>
      <c r="J1904" t="s">
        <v>20</v>
      </c>
      <c r="K1904" s="21">
        <v>135</v>
      </c>
      <c r="L1904" s="21">
        <v>135</v>
      </c>
      <c r="M1904">
        <v>0</v>
      </c>
      <c r="N1904" s="21">
        <v>135</v>
      </c>
    </row>
    <row r="1905" spans="1:14">
      <c r="A1905" t="str">
        <f>IFERROR(_xlfn.XLOOKUP(B1905,Cuentas!$C$1:$C$521,Cuentas!$A$1:$A$521),"")</f>
        <v>Yuldor</v>
      </c>
      <c r="B1905" t="s">
        <v>2152</v>
      </c>
      <c r="C1905" t="s">
        <v>2153</v>
      </c>
      <c r="D1905" t="s">
        <v>16</v>
      </c>
      <c r="E1905" t="s">
        <v>7</v>
      </c>
      <c r="F1905" t="s">
        <v>2177</v>
      </c>
      <c r="G1905" t="s">
        <v>2177</v>
      </c>
      <c r="H1905" s="2">
        <v>45532</v>
      </c>
      <c r="I1905" s="2">
        <v>45562</v>
      </c>
      <c r="J1905" t="s">
        <v>20</v>
      </c>
      <c r="K1905" s="21">
        <v>254.4</v>
      </c>
      <c r="L1905" s="21">
        <v>254.4</v>
      </c>
      <c r="M1905">
        <v>0</v>
      </c>
      <c r="N1905" s="21">
        <v>254.4</v>
      </c>
    </row>
    <row r="1906" spans="1:14">
      <c r="A1906" t="str">
        <f>IFERROR(_xlfn.XLOOKUP(B1906,Cuentas!$C$1:$C$521,Cuentas!$A$1:$A$521),"")</f>
        <v>Yuldor</v>
      </c>
      <c r="B1906" t="s">
        <v>2152</v>
      </c>
      <c r="C1906" t="s">
        <v>2153</v>
      </c>
      <c r="D1906" t="s">
        <v>16</v>
      </c>
      <c r="E1906" t="s">
        <v>7</v>
      </c>
      <c r="F1906" t="s">
        <v>2178</v>
      </c>
      <c r="G1906" t="s">
        <v>2178</v>
      </c>
      <c r="H1906" s="2">
        <v>45532</v>
      </c>
      <c r="I1906" s="2">
        <v>45562</v>
      </c>
      <c r="J1906" t="s">
        <v>20</v>
      </c>
      <c r="K1906" s="21">
        <v>749.4</v>
      </c>
      <c r="L1906" s="21">
        <v>749.4</v>
      </c>
      <c r="M1906">
        <v>0</v>
      </c>
      <c r="N1906" s="21">
        <v>749.4</v>
      </c>
    </row>
    <row r="1907" spans="1:14">
      <c r="A1907" t="str">
        <f>IFERROR(_xlfn.XLOOKUP(B1907,Cuentas!$C$1:$C$521,Cuentas!$A$1:$A$521),"")</f>
        <v>Yuldor</v>
      </c>
      <c r="B1907" t="s">
        <v>2152</v>
      </c>
      <c r="C1907" t="s">
        <v>2153</v>
      </c>
      <c r="D1907" t="s">
        <v>16</v>
      </c>
      <c r="E1907" t="s">
        <v>7</v>
      </c>
      <c r="F1907" t="s">
        <v>2179</v>
      </c>
      <c r="G1907" t="s">
        <v>2179</v>
      </c>
      <c r="H1907" s="2">
        <v>45540</v>
      </c>
      <c r="I1907" s="2">
        <v>45570</v>
      </c>
      <c r="J1907" t="s">
        <v>20</v>
      </c>
      <c r="K1907" s="21">
        <v>263.93</v>
      </c>
      <c r="L1907" s="21">
        <v>263.93</v>
      </c>
      <c r="M1907">
        <v>0</v>
      </c>
      <c r="N1907" s="21">
        <v>263.93</v>
      </c>
    </row>
    <row r="1908" spans="1:14">
      <c r="A1908" t="str">
        <f>IFERROR(_xlfn.XLOOKUP(B1908,Cuentas!$C$1:$C$521,Cuentas!$A$1:$A$521),"")</f>
        <v>Yuldor</v>
      </c>
      <c r="B1908" t="s">
        <v>2152</v>
      </c>
      <c r="C1908" t="s">
        <v>2153</v>
      </c>
      <c r="D1908" t="s">
        <v>16</v>
      </c>
      <c r="E1908" t="s">
        <v>7</v>
      </c>
      <c r="F1908" t="s">
        <v>2180</v>
      </c>
      <c r="G1908" t="s">
        <v>2180</v>
      </c>
      <c r="H1908" s="2">
        <v>45540</v>
      </c>
      <c r="I1908" s="2">
        <v>45570</v>
      </c>
      <c r="J1908" t="s">
        <v>20</v>
      </c>
      <c r="K1908" s="21">
        <v>470.05</v>
      </c>
      <c r="L1908" s="21">
        <v>470.05</v>
      </c>
      <c r="M1908">
        <v>0</v>
      </c>
      <c r="N1908" s="21">
        <v>470.05</v>
      </c>
    </row>
    <row r="1909" spans="1:14">
      <c r="A1909" t="str">
        <f>IFERROR(_xlfn.XLOOKUP(B1909,Cuentas!$C$1:$C$521,Cuentas!$A$1:$A$521),"")</f>
        <v>Yuldor</v>
      </c>
      <c r="B1909" t="s">
        <v>2152</v>
      </c>
      <c r="C1909" t="s">
        <v>2153</v>
      </c>
      <c r="D1909" t="s">
        <v>16</v>
      </c>
      <c r="E1909" t="s">
        <v>7</v>
      </c>
      <c r="F1909" t="s">
        <v>2181</v>
      </c>
      <c r="G1909" t="s">
        <v>2181</v>
      </c>
      <c r="H1909" s="2">
        <v>45540</v>
      </c>
      <c r="I1909" s="2">
        <v>45570</v>
      </c>
      <c r="J1909" t="s">
        <v>20</v>
      </c>
      <c r="K1909" s="21">
        <v>80</v>
      </c>
      <c r="L1909" s="21">
        <v>80</v>
      </c>
      <c r="M1909">
        <v>0</v>
      </c>
      <c r="N1909" s="21">
        <v>80</v>
      </c>
    </row>
    <row r="1910" spans="1:14">
      <c r="A1910" t="str">
        <f>IFERROR(_xlfn.XLOOKUP(B1910,Cuentas!$C$1:$C$521,Cuentas!$A$1:$A$521),"")</f>
        <v>Yuldor</v>
      </c>
      <c r="B1910" t="s">
        <v>2152</v>
      </c>
      <c r="C1910" t="s">
        <v>2153</v>
      </c>
      <c r="D1910" t="s">
        <v>16</v>
      </c>
      <c r="E1910" t="s">
        <v>7</v>
      </c>
      <c r="F1910" t="s">
        <v>2182</v>
      </c>
      <c r="G1910" t="s">
        <v>2182</v>
      </c>
      <c r="H1910" s="2">
        <v>45541</v>
      </c>
      <c r="I1910" s="2">
        <v>45571</v>
      </c>
      <c r="J1910" t="s">
        <v>20</v>
      </c>
      <c r="K1910" s="21">
        <v>117.9</v>
      </c>
      <c r="L1910" s="21">
        <v>117.9</v>
      </c>
      <c r="M1910">
        <v>0</v>
      </c>
      <c r="N1910" s="21">
        <v>117.9</v>
      </c>
    </row>
    <row r="1911" spans="1:14">
      <c r="A1911" t="str">
        <f>IFERROR(_xlfn.XLOOKUP(B1911,Cuentas!$C$1:$C$521,Cuentas!$A$1:$A$521),"")</f>
        <v>Yuldor</v>
      </c>
      <c r="B1911" t="s">
        <v>2152</v>
      </c>
      <c r="C1911" t="s">
        <v>2153</v>
      </c>
      <c r="D1911" t="s">
        <v>16</v>
      </c>
      <c r="E1911" t="s">
        <v>7</v>
      </c>
      <c r="F1911" t="s">
        <v>2183</v>
      </c>
      <c r="G1911" t="s">
        <v>2183</v>
      </c>
      <c r="H1911" s="2">
        <v>45541</v>
      </c>
      <c r="I1911" s="2">
        <v>45571</v>
      </c>
      <c r="J1911" t="s">
        <v>20</v>
      </c>
      <c r="K1911" s="21">
        <v>60.06</v>
      </c>
      <c r="L1911" s="21">
        <v>60.06</v>
      </c>
      <c r="M1911">
        <v>0</v>
      </c>
      <c r="N1911" s="21">
        <v>60.06</v>
      </c>
    </row>
    <row r="1912" spans="1:14">
      <c r="A1912" t="str">
        <f>IFERROR(_xlfn.XLOOKUP(B1912,Cuentas!$C$1:$C$521,Cuentas!$A$1:$A$521),"")</f>
        <v>Yuldor</v>
      </c>
      <c r="B1912" t="s">
        <v>2152</v>
      </c>
      <c r="C1912" t="s">
        <v>2153</v>
      </c>
      <c r="D1912" t="s">
        <v>16</v>
      </c>
      <c r="E1912" t="s">
        <v>7</v>
      </c>
      <c r="F1912" t="s">
        <v>2184</v>
      </c>
      <c r="G1912" t="s">
        <v>2184</v>
      </c>
      <c r="H1912" s="2">
        <v>45541</v>
      </c>
      <c r="I1912" s="2">
        <v>45571</v>
      </c>
      <c r="J1912" t="s">
        <v>20</v>
      </c>
      <c r="K1912" s="21">
        <v>547.13</v>
      </c>
      <c r="L1912" s="21">
        <v>547.13</v>
      </c>
      <c r="M1912">
        <v>0</v>
      </c>
      <c r="N1912" s="21">
        <v>547.13</v>
      </c>
    </row>
    <row r="1913" spans="1:14">
      <c r="A1913" t="str">
        <f>IFERROR(_xlfn.XLOOKUP(B1913,Cuentas!$C$1:$C$521,Cuentas!$A$1:$A$521),"")</f>
        <v>Yuldor</v>
      </c>
      <c r="B1913" t="s">
        <v>2152</v>
      </c>
      <c r="C1913" t="s">
        <v>2153</v>
      </c>
      <c r="D1913" t="s">
        <v>16</v>
      </c>
      <c r="E1913" t="s">
        <v>7</v>
      </c>
      <c r="F1913" t="s">
        <v>2185</v>
      </c>
      <c r="G1913" t="s">
        <v>2185</v>
      </c>
      <c r="H1913" s="2">
        <v>45541</v>
      </c>
      <c r="I1913" s="2">
        <v>45571</v>
      </c>
      <c r="J1913" t="s">
        <v>20</v>
      </c>
      <c r="K1913" s="21">
        <v>274.16000000000003</v>
      </c>
      <c r="L1913" s="21">
        <v>274.16000000000003</v>
      </c>
      <c r="M1913">
        <v>0</v>
      </c>
      <c r="N1913" s="21">
        <v>274.16000000000003</v>
      </c>
    </row>
    <row r="1914" spans="1:14">
      <c r="A1914" t="str">
        <f>IFERROR(_xlfn.XLOOKUP(B1914,Cuentas!$C$1:$C$521,Cuentas!$A$1:$A$521),"")</f>
        <v>Yuldor</v>
      </c>
      <c r="B1914" t="s">
        <v>2152</v>
      </c>
      <c r="C1914" t="s">
        <v>2153</v>
      </c>
      <c r="D1914" t="s">
        <v>16</v>
      </c>
      <c r="E1914" t="s">
        <v>7</v>
      </c>
      <c r="F1914" t="s">
        <v>2186</v>
      </c>
      <c r="G1914" t="s">
        <v>2186</v>
      </c>
      <c r="H1914" s="2">
        <v>45541</v>
      </c>
      <c r="I1914" s="2">
        <v>45571</v>
      </c>
      <c r="J1914" t="s">
        <v>20</v>
      </c>
      <c r="K1914" s="21">
        <v>1020.2</v>
      </c>
      <c r="L1914" s="21">
        <v>1020.2</v>
      </c>
      <c r="M1914">
        <v>0</v>
      </c>
      <c r="N1914" s="21">
        <v>1020.2</v>
      </c>
    </row>
    <row r="1915" spans="1:14">
      <c r="A1915" t="str">
        <f>IFERROR(_xlfn.XLOOKUP(B1915,Cuentas!$C$1:$C$521,Cuentas!$A$1:$A$521),"")</f>
        <v>Yuldor</v>
      </c>
      <c r="B1915" t="s">
        <v>2152</v>
      </c>
      <c r="C1915" t="s">
        <v>2153</v>
      </c>
      <c r="D1915" t="s">
        <v>16</v>
      </c>
      <c r="E1915" t="s">
        <v>7</v>
      </c>
      <c r="F1915" t="s">
        <v>2187</v>
      </c>
      <c r="G1915" t="s">
        <v>2187</v>
      </c>
      <c r="H1915" s="2">
        <v>45546</v>
      </c>
      <c r="I1915" s="2">
        <v>45576</v>
      </c>
      <c r="J1915" t="s">
        <v>20</v>
      </c>
      <c r="K1915" s="21">
        <v>277.32</v>
      </c>
      <c r="L1915" s="21">
        <v>277.32</v>
      </c>
      <c r="M1915">
        <v>0</v>
      </c>
      <c r="N1915" s="21">
        <v>277.32</v>
      </c>
    </row>
    <row r="1916" spans="1:14">
      <c r="A1916" t="str">
        <f>IFERROR(_xlfn.XLOOKUP(B1916,Cuentas!$C$1:$C$521,Cuentas!$A$1:$A$521),"")</f>
        <v>Yuldor</v>
      </c>
      <c r="B1916" t="s">
        <v>2152</v>
      </c>
      <c r="C1916" t="s">
        <v>2153</v>
      </c>
      <c r="D1916" t="s">
        <v>16</v>
      </c>
      <c r="E1916" t="s">
        <v>7</v>
      </c>
      <c r="F1916" t="s">
        <v>2188</v>
      </c>
      <c r="G1916" t="s">
        <v>2188</v>
      </c>
      <c r="H1916" s="2">
        <v>45546</v>
      </c>
      <c r="I1916" s="2">
        <v>45576</v>
      </c>
      <c r="J1916" t="s">
        <v>20</v>
      </c>
      <c r="K1916" s="21">
        <v>180.63</v>
      </c>
      <c r="L1916" s="21">
        <v>180.63</v>
      </c>
      <c r="M1916">
        <v>0</v>
      </c>
      <c r="N1916" s="21">
        <v>180.63</v>
      </c>
    </row>
    <row r="1917" spans="1:14">
      <c r="A1917" t="str">
        <f>IFERROR(_xlfn.XLOOKUP(B1917,Cuentas!$C$1:$C$521,Cuentas!$A$1:$A$521),"")</f>
        <v>Yuldor</v>
      </c>
      <c r="B1917" t="s">
        <v>2152</v>
      </c>
      <c r="C1917" t="s">
        <v>2153</v>
      </c>
      <c r="D1917" t="s">
        <v>16</v>
      </c>
      <c r="E1917" t="s">
        <v>7</v>
      </c>
      <c r="F1917" t="s">
        <v>2189</v>
      </c>
      <c r="G1917" t="s">
        <v>2189</v>
      </c>
      <c r="H1917" s="2">
        <v>45546</v>
      </c>
      <c r="I1917" s="2">
        <v>45576</v>
      </c>
      <c r="J1917" t="s">
        <v>20</v>
      </c>
      <c r="K1917" s="21">
        <v>42.44</v>
      </c>
      <c r="L1917" s="21">
        <v>42.44</v>
      </c>
      <c r="M1917">
        <v>0</v>
      </c>
      <c r="N1917" s="21">
        <v>42.44</v>
      </c>
    </row>
    <row r="1918" spans="1:14">
      <c r="A1918" t="str">
        <f>IFERROR(_xlfn.XLOOKUP(B1918,Cuentas!$C$1:$C$521,Cuentas!$A$1:$A$521),"")</f>
        <v>Yuldor</v>
      </c>
      <c r="B1918" t="s">
        <v>2152</v>
      </c>
      <c r="C1918" t="s">
        <v>2153</v>
      </c>
      <c r="D1918" t="s">
        <v>16</v>
      </c>
      <c r="E1918" t="s">
        <v>7</v>
      </c>
      <c r="F1918" t="s">
        <v>2190</v>
      </c>
      <c r="G1918" t="s">
        <v>2190</v>
      </c>
      <c r="H1918" s="2">
        <v>45547</v>
      </c>
      <c r="I1918" s="2">
        <v>45577</v>
      </c>
      <c r="J1918" t="s">
        <v>20</v>
      </c>
      <c r="K1918" s="21">
        <v>285</v>
      </c>
      <c r="L1918" s="21">
        <v>285</v>
      </c>
      <c r="M1918">
        <v>0</v>
      </c>
      <c r="N1918" s="21">
        <v>285</v>
      </c>
    </row>
    <row r="1919" spans="1:14">
      <c r="A1919" t="str">
        <f>IFERROR(_xlfn.XLOOKUP(B1919,Cuentas!$C$1:$C$521,Cuentas!$A$1:$A$521),"")</f>
        <v>Yuldor</v>
      </c>
      <c r="B1919" t="s">
        <v>2152</v>
      </c>
      <c r="C1919" t="s">
        <v>2153</v>
      </c>
      <c r="D1919" t="s">
        <v>16</v>
      </c>
      <c r="E1919" t="s">
        <v>3139</v>
      </c>
      <c r="F1919" t="s">
        <v>19</v>
      </c>
      <c r="G1919" t="s">
        <v>19</v>
      </c>
      <c r="I1919" s="2">
        <v>45582</v>
      </c>
      <c r="J1919" t="s">
        <v>20</v>
      </c>
      <c r="K1919" s="21">
        <v>-29.21</v>
      </c>
      <c r="L1919" s="21">
        <v>-29.21</v>
      </c>
      <c r="M1919">
        <v>0</v>
      </c>
      <c r="N1919" s="21">
        <v>-29.21</v>
      </c>
    </row>
    <row r="1920" spans="1:14">
      <c r="A1920" t="str">
        <f>IFERROR(_xlfn.XLOOKUP(B1920,Cuentas!$C$1:$C$521,Cuentas!$A$1:$A$521),"")</f>
        <v>Yuldor</v>
      </c>
      <c r="B1920" t="s">
        <v>2152</v>
      </c>
      <c r="C1920" t="s">
        <v>2153</v>
      </c>
      <c r="D1920" t="s">
        <v>16</v>
      </c>
      <c r="E1920" t="s">
        <v>7</v>
      </c>
      <c r="F1920" t="s">
        <v>2191</v>
      </c>
      <c r="G1920" t="s">
        <v>2191</v>
      </c>
      <c r="H1920" s="2">
        <v>45553</v>
      </c>
      <c r="I1920" s="2">
        <v>45583</v>
      </c>
      <c r="J1920" t="s">
        <v>20</v>
      </c>
      <c r="K1920" s="21">
        <v>291.93</v>
      </c>
      <c r="L1920" s="21">
        <v>0.63</v>
      </c>
      <c r="M1920">
        <v>0</v>
      </c>
      <c r="N1920" s="21">
        <v>0.63</v>
      </c>
    </row>
    <row r="1921" spans="1:14">
      <c r="A1921" t="str">
        <f>IFERROR(_xlfn.XLOOKUP(B1921,Cuentas!$C$1:$C$521,Cuentas!$A$1:$A$521),"")</f>
        <v>Yuldor</v>
      </c>
      <c r="B1921" t="s">
        <v>2152</v>
      </c>
      <c r="C1921" t="s">
        <v>2153</v>
      </c>
      <c r="D1921" t="s">
        <v>16</v>
      </c>
      <c r="E1921" t="s">
        <v>3139</v>
      </c>
      <c r="F1921" t="s">
        <v>2191</v>
      </c>
      <c r="G1921" t="s">
        <v>2191</v>
      </c>
      <c r="I1921" s="2">
        <v>45596</v>
      </c>
      <c r="J1921" t="s">
        <v>20</v>
      </c>
      <c r="K1921" s="21">
        <v>-291.3</v>
      </c>
      <c r="L1921" s="21" t="s">
        <v>86</v>
      </c>
      <c r="M1921">
        <v>0</v>
      </c>
      <c r="N1921" s="21" t="s">
        <v>86</v>
      </c>
    </row>
    <row r="1922" spans="1:14">
      <c r="A1922" t="str">
        <f>IFERROR(_xlfn.XLOOKUP(B1922,Cuentas!$C$1:$C$521,Cuentas!$A$1:$A$521),"")</f>
        <v>Yuldor</v>
      </c>
      <c r="B1922" t="s">
        <v>2152</v>
      </c>
      <c r="C1922" t="s">
        <v>2153</v>
      </c>
      <c r="D1922" t="s">
        <v>16</v>
      </c>
      <c r="E1922" t="s">
        <v>7</v>
      </c>
      <c r="F1922" t="s">
        <v>2192</v>
      </c>
      <c r="G1922" t="s">
        <v>2192</v>
      </c>
      <c r="H1922" s="2">
        <v>45553</v>
      </c>
      <c r="I1922" s="2">
        <v>45583</v>
      </c>
      <c r="J1922" t="s">
        <v>20</v>
      </c>
      <c r="K1922" s="21">
        <v>130.5</v>
      </c>
      <c r="L1922" s="21">
        <v>130.5</v>
      </c>
      <c r="M1922">
        <v>0</v>
      </c>
      <c r="N1922" s="21">
        <v>130.5</v>
      </c>
    </row>
    <row r="1923" spans="1:14">
      <c r="A1923" t="str">
        <f>IFERROR(_xlfn.XLOOKUP(B1923,Cuentas!$C$1:$C$521,Cuentas!$A$1:$A$521),"")</f>
        <v>Yuldor</v>
      </c>
      <c r="B1923" t="s">
        <v>2152</v>
      </c>
      <c r="C1923" t="s">
        <v>2153</v>
      </c>
      <c r="D1923" t="s">
        <v>16</v>
      </c>
      <c r="E1923" t="s">
        <v>7</v>
      </c>
      <c r="F1923" t="s">
        <v>2193</v>
      </c>
      <c r="G1923" t="s">
        <v>2193</v>
      </c>
      <c r="H1923" s="2">
        <v>45553</v>
      </c>
      <c r="I1923" s="2">
        <v>45583</v>
      </c>
      <c r="J1923" t="s">
        <v>20</v>
      </c>
      <c r="K1923" s="21">
        <v>169.8</v>
      </c>
      <c r="L1923" s="21">
        <v>169.8</v>
      </c>
      <c r="M1923">
        <v>0</v>
      </c>
      <c r="N1923" s="21">
        <v>169.8</v>
      </c>
    </row>
    <row r="1924" spans="1:14">
      <c r="A1924" t="str">
        <f>IFERROR(_xlfn.XLOOKUP(B1924,Cuentas!$C$1:$C$521,Cuentas!$A$1:$A$521),"")</f>
        <v>Yuldor</v>
      </c>
      <c r="B1924" t="s">
        <v>2152</v>
      </c>
      <c r="C1924" t="s">
        <v>2153</v>
      </c>
      <c r="D1924" t="s">
        <v>16</v>
      </c>
      <c r="E1924" t="s">
        <v>7</v>
      </c>
      <c r="F1924" t="s">
        <v>2194</v>
      </c>
      <c r="G1924" t="s">
        <v>2194</v>
      </c>
      <c r="H1924" s="2">
        <v>45555</v>
      </c>
      <c r="I1924" s="2">
        <v>45585</v>
      </c>
      <c r="J1924" t="s">
        <v>20</v>
      </c>
      <c r="K1924" s="21">
        <v>58</v>
      </c>
      <c r="L1924" s="21">
        <v>29</v>
      </c>
      <c r="M1924">
        <v>0</v>
      </c>
      <c r="N1924" s="21">
        <v>29</v>
      </c>
    </row>
    <row r="1925" spans="1:14">
      <c r="A1925" t="str">
        <f>IFERROR(_xlfn.XLOOKUP(B1925,Cuentas!$C$1:$C$521,Cuentas!$A$1:$A$521),"")</f>
        <v>Yuldor</v>
      </c>
      <c r="B1925" t="s">
        <v>2152</v>
      </c>
      <c r="C1925" t="s">
        <v>2153</v>
      </c>
      <c r="D1925" t="s">
        <v>16</v>
      </c>
      <c r="E1925" t="s">
        <v>5502</v>
      </c>
      <c r="F1925" t="s">
        <v>2195</v>
      </c>
      <c r="G1925" t="s">
        <v>2194</v>
      </c>
      <c r="I1925" s="2">
        <v>45558</v>
      </c>
      <c r="J1925" t="s">
        <v>20</v>
      </c>
      <c r="K1925" s="21">
        <v>-29</v>
      </c>
      <c r="L1925" s="21" t="s">
        <v>86</v>
      </c>
      <c r="M1925">
        <v>0</v>
      </c>
      <c r="N1925" s="21" t="s">
        <v>86</v>
      </c>
    </row>
    <row r="1926" spans="1:14">
      <c r="A1926" t="str">
        <f>IFERROR(_xlfn.XLOOKUP(B1926,Cuentas!$C$1:$C$521,Cuentas!$A$1:$A$521),"")</f>
        <v>Yuldor</v>
      </c>
      <c r="B1926" t="s">
        <v>2152</v>
      </c>
      <c r="C1926" t="s">
        <v>2153</v>
      </c>
      <c r="D1926" t="s">
        <v>16</v>
      </c>
      <c r="E1926" t="s">
        <v>7</v>
      </c>
      <c r="F1926" t="s">
        <v>2196</v>
      </c>
      <c r="G1926" t="s">
        <v>2196</v>
      </c>
      <c r="H1926" s="2">
        <v>45560</v>
      </c>
      <c r="I1926" s="2">
        <v>45590</v>
      </c>
      <c r="J1926" t="s">
        <v>20</v>
      </c>
      <c r="K1926" s="21">
        <v>820.1</v>
      </c>
      <c r="L1926" s="21">
        <v>820.1</v>
      </c>
      <c r="M1926">
        <v>0</v>
      </c>
      <c r="N1926" s="21">
        <v>820.1</v>
      </c>
    </row>
    <row r="1927" spans="1:14">
      <c r="A1927" t="str">
        <f>IFERROR(_xlfn.XLOOKUP(B1927,Cuentas!$C$1:$C$521,Cuentas!$A$1:$A$521),"")</f>
        <v>Yuldor</v>
      </c>
      <c r="B1927" t="s">
        <v>2152</v>
      </c>
      <c r="C1927" t="s">
        <v>2153</v>
      </c>
      <c r="D1927" t="s">
        <v>16</v>
      </c>
      <c r="E1927" t="s">
        <v>3139</v>
      </c>
      <c r="F1927" t="s">
        <v>19</v>
      </c>
      <c r="G1927" t="s">
        <v>19</v>
      </c>
      <c r="I1927" s="2">
        <v>45596</v>
      </c>
      <c r="J1927" t="s">
        <v>20</v>
      </c>
      <c r="K1927" s="21">
        <v>-29</v>
      </c>
      <c r="L1927" s="21">
        <v>-29</v>
      </c>
      <c r="M1927">
        <v>0</v>
      </c>
      <c r="N1927" s="21">
        <v>-29</v>
      </c>
    </row>
    <row r="1928" spans="1:14">
      <c r="A1928" t="str">
        <f>IFERROR(_xlfn.XLOOKUP(B1928,Cuentas!$C$1:$C$521,Cuentas!$A$1:$A$521),"")</f>
        <v>Yuldor</v>
      </c>
      <c r="B1928" t="s">
        <v>2152</v>
      </c>
      <c r="C1928" t="s">
        <v>2153</v>
      </c>
      <c r="D1928" t="s">
        <v>16</v>
      </c>
      <c r="E1928" t="s">
        <v>7</v>
      </c>
      <c r="F1928" t="s">
        <v>2197</v>
      </c>
      <c r="G1928" t="s">
        <v>2197</v>
      </c>
      <c r="H1928" s="2">
        <v>45568</v>
      </c>
      <c r="I1928" s="2">
        <v>45598</v>
      </c>
      <c r="J1928" t="s">
        <v>20</v>
      </c>
      <c r="K1928" s="21">
        <v>162.9</v>
      </c>
      <c r="L1928" s="21">
        <v>162.9</v>
      </c>
      <c r="M1928">
        <v>0</v>
      </c>
      <c r="N1928" s="21">
        <v>162.9</v>
      </c>
    </row>
    <row r="1929" spans="1:14">
      <c r="A1929" t="str">
        <f>IFERROR(_xlfn.XLOOKUP(B1929,Cuentas!$C$1:$C$521,Cuentas!$A$1:$A$521),"")</f>
        <v>Yuldor</v>
      </c>
      <c r="B1929" t="s">
        <v>2152</v>
      </c>
      <c r="C1929" t="s">
        <v>2153</v>
      </c>
      <c r="D1929" t="s">
        <v>16</v>
      </c>
      <c r="E1929" t="s">
        <v>7</v>
      </c>
      <c r="F1929" t="s">
        <v>2198</v>
      </c>
      <c r="G1929" t="s">
        <v>2198</v>
      </c>
      <c r="H1929" s="2">
        <v>45568</v>
      </c>
      <c r="I1929" s="2">
        <v>45598</v>
      </c>
      <c r="J1929" t="s">
        <v>20</v>
      </c>
      <c r="K1929" s="21">
        <v>104.23</v>
      </c>
      <c r="L1929" s="21">
        <v>104.23</v>
      </c>
      <c r="M1929">
        <v>0</v>
      </c>
      <c r="N1929" s="21">
        <v>104.23</v>
      </c>
    </row>
    <row r="1930" spans="1:14">
      <c r="A1930" t="str">
        <f>IFERROR(_xlfn.XLOOKUP(B1930,Cuentas!$C$1:$C$521,Cuentas!$A$1:$A$521),"")</f>
        <v>Yuldor</v>
      </c>
      <c r="B1930" t="s">
        <v>2152</v>
      </c>
      <c r="C1930" t="s">
        <v>2153</v>
      </c>
      <c r="D1930" t="s">
        <v>16</v>
      </c>
      <c r="E1930" t="s">
        <v>7</v>
      </c>
      <c r="F1930" t="s">
        <v>2199</v>
      </c>
      <c r="G1930" t="s">
        <v>2199</v>
      </c>
      <c r="H1930" s="2">
        <v>45568</v>
      </c>
      <c r="I1930" s="2">
        <v>45598</v>
      </c>
      <c r="J1930" t="s">
        <v>20</v>
      </c>
      <c r="K1930" s="21">
        <v>270</v>
      </c>
      <c r="L1930" s="21">
        <v>270</v>
      </c>
      <c r="M1930">
        <v>0</v>
      </c>
      <c r="N1930" s="21">
        <v>270</v>
      </c>
    </row>
    <row r="1931" spans="1:14">
      <c r="A1931" t="str">
        <f>IFERROR(_xlfn.XLOOKUP(B1931,Cuentas!$C$1:$C$521,Cuentas!$A$1:$A$521),"")</f>
        <v>Yuldor</v>
      </c>
      <c r="B1931" t="s">
        <v>2152</v>
      </c>
      <c r="C1931" t="s">
        <v>2153</v>
      </c>
      <c r="D1931" t="s">
        <v>16</v>
      </c>
      <c r="E1931" t="s">
        <v>7</v>
      </c>
      <c r="F1931" t="s">
        <v>2200</v>
      </c>
      <c r="G1931" t="s">
        <v>2200</v>
      </c>
      <c r="H1931" s="2">
        <v>45568</v>
      </c>
      <c r="I1931" s="2">
        <v>45598</v>
      </c>
      <c r="J1931" t="s">
        <v>20</v>
      </c>
      <c r="K1931" s="21">
        <v>130.5</v>
      </c>
      <c r="L1931" s="21">
        <v>130.5</v>
      </c>
      <c r="M1931">
        <v>0</v>
      </c>
      <c r="N1931" s="21">
        <v>130.5</v>
      </c>
    </row>
    <row r="1932" spans="1:14">
      <c r="A1932" t="str">
        <f>IFERROR(_xlfn.XLOOKUP(B1932,Cuentas!$C$1:$C$521,Cuentas!$A$1:$A$521),"")</f>
        <v>Yuldor</v>
      </c>
      <c r="B1932" t="s">
        <v>2152</v>
      </c>
      <c r="C1932" t="s">
        <v>2153</v>
      </c>
      <c r="D1932" t="s">
        <v>16</v>
      </c>
      <c r="E1932" t="s">
        <v>7</v>
      </c>
      <c r="F1932" t="s">
        <v>2201</v>
      </c>
      <c r="G1932" t="s">
        <v>2201</v>
      </c>
      <c r="H1932" s="2">
        <v>45575</v>
      </c>
      <c r="I1932" s="2">
        <v>45605</v>
      </c>
      <c r="J1932" t="s">
        <v>20</v>
      </c>
      <c r="K1932" s="21">
        <v>156</v>
      </c>
      <c r="L1932" s="21">
        <v>156</v>
      </c>
      <c r="M1932">
        <v>0</v>
      </c>
      <c r="N1932" s="21">
        <v>156</v>
      </c>
    </row>
    <row r="1933" spans="1:14">
      <c r="A1933" t="str">
        <f>IFERROR(_xlfn.XLOOKUP(B1933,Cuentas!$C$1:$C$521,Cuentas!$A$1:$A$521),"")</f>
        <v>Yuldor</v>
      </c>
      <c r="B1933" t="s">
        <v>2152</v>
      </c>
      <c r="C1933" t="s">
        <v>2153</v>
      </c>
      <c r="D1933" t="s">
        <v>16</v>
      </c>
      <c r="E1933" t="s">
        <v>7</v>
      </c>
      <c r="F1933" t="s">
        <v>2202</v>
      </c>
      <c r="G1933" t="s">
        <v>2202</v>
      </c>
      <c r="H1933" s="2">
        <v>45575</v>
      </c>
      <c r="I1933" s="2">
        <v>45605</v>
      </c>
      <c r="J1933" t="s">
        <v>20</v>
      </c>
      <c r="K1933" s="21">
        <v>27</v>
      </c>
      <c r="L1933" s="21">
        <v>27</v>
      </c>
      <c r="M1933">
        <v>0</v>
      </c>
      <c r="N1933" s="21">
        <v>27</v>
      </c>
    </row>
    <row r="1934" spans="1:14">
      <c r="A1934" t="str">
        <f>IFERROR(_xlfn.XLOOKUP(B1934,Cuentas!$C$1:$C$521,Cuentas!$A$1:$A$521),"")</f>
        <v>Yuldor</v>
      </c>
      <c r="B1934" t="s">
        <v>2152</v>
      </c>
      <c r="C1934" t="s">
        <v>2153</v>
      </c>
      <c r="D1934" t="s">
        <v>16</v>
      </c>
      <c r="E1934" t="s">
        <v>7</v>
      </c>
      <c r="F1934" t="s">
        <v>2203</v>
      </c>
      <c r="G1934" t="s">
        <v>2203</v>
      </c>
      <c r="H1934" s="2">
        <v>45575</v>
      </c>
      <c r="I1934" s="2">
        <v>45605</v>
      </c>
      <c r="J1934" t="s">
        <v>20</v>
      </c>
      <c r="K1934" s="21">
        <v>39</v>
      </c>
      <c r="L1934" s="21">
        <v>39</v>
      </c>
      <c r="M1934">
        <v>0</v>
      </c>
      <c r="N1934" s="21">
        <v>39</v>
      </c>
    </row>
    <row r="1935" spans="1:14">
      <c r="A1935" t="str">
        <f>IFERROR(_xlfn.XLOOKUP(B1935,Cuentas!$C$1:$C$521,Cuentas!$A$1:$A$521),"")</f>
        <v>Yuldor</v>
      </c>
      <c r="B1935" t="s">
        <v>2152</v>
      </c>
      <c r="C1935" t="s">
        <v>2153</v>
      </c>
      <c r="D1935" t="s">
        <v>16</v>
      </c>
      <c r="E1935" t="s">
        <v>7</v>
      </c>
      <c r="F1935" t="s">
        <v>2204</v>
      </c>
      <c r="G1935" t="s">
        <v>2204</v>
      </c>
      <c r="H1935" s="2">
        <v>45575</v>
      </c>
      <c r="I1935" s="2">
        <v>45605</v>
      </c>
      <c r="J1935" t="s">
        <v>20</v>
      </c>
      <c r="K1935" s="21">
        <v>366</v>
      </c>
      <c r="L1935" s="21">
        <v>366</v>
      </c>
      <c r="M1935">
        <v>0</v>
      </c>
      <c r="N1935" s="21">
        <v>366</v>
      </c>
    </row>
    <row r="1936" spans="1:14">
      <c r="A1936" t="str">
        <f>IFERROR(_xlfn.XLOOKUP(B1936,Cuentas!$C$1:$C$521,Cuentas!$A$1:$A$521),"")</f>
        <v>Yuldor</v>
      </c>
      <c r="B1936" t="s">
        <v>2152</v>
      </c>
      <c r="C1936" t="s">
        <v>2153</v>
      </c>
      <c r="D1936" t="s">
        <v>16</v>
      </c>
      <c r="E1936" t="s">
        <v>7</v>
      </c>
      <c r="F1936" t="s">
        <v>2205</v>
      </c>
      <c r="G1936" t="s">
        <v>2205</v>
      </c>
      <c r="H1936" s="2">
        <v>45576</v>
      </c>
      <c r="I1936" s="2">
        <v>45606</v>
      </c>
      <c r="J1936" t="s">
        <v>20</v>
      </c>
      <c r="K1936" s="21">
        <v>78</v>
      </c>
      <c r="L1936" s="21">
        <v>78</v>
      </c>
      <c r="M1936">
        <v>0</v>
      </c>
      <c r="N1936" s="21">
        <v>78</v>
      </c>
    </row>
    <row r="1937" spans="1:14">
      <c r="A1937" t="str">
        <f>IFERROR(_xlfn.XLOOKUP(B1937,Cuentas!$C$1:$C$521,Cuentas!$A$1:$A$521),"")</f>
        <v>Yuldor</v>
      </c>
      <c r="B1937" t="s">
        <v>2152</v>
      </c>
      <c r="C1937" t="s">
        <v>2153</v>
      </c>
      <c r="D1937" t="s">
        <v>16</v>
      </c>
      <c r="E1937" t="s">
        <v>7</v>
      </c>
      <c r="F1937" t="s">
        <v>2206</v>
      </c>
      <c r="G1937" t="s">
        <v>2206</v>
      </c>
      <c r="H1937" s="2">
        <v>45583</v>
      </c>
      <c r="I1937" s="2">
        <v>45613</v>
      </c>
      <c r="J1937" t="s">
        <v>20</v>
      </c>
      <c r="K1937" s="21">
        <v>159.12</v>
      </c>
      <c r="L1937" s="21">
        <v>32.33</v>
      </c>
      <c r="M1937">
        <v>0</v>
      </c>
      <c r="N1937" s="21">
        <v>32.33</v>
      </c>
    </row>
    <row r="1938" spans="1:14">
      <c r="A1938" t="str">
        <f>IFERROR(_xlfn.XLOOKUP(B1938,Cuentas!$C$1:$C$521,Cuentas!$A$1:$A$521),"")</f>
        <v>Yuldor</v>
      </c>
      <c r="B1938" t="s">
        <v>2152</v>
      </c>
      <c r="C1938" t="s">
        <v>2153</v>
      </c>
      <c r="D1938" t="s">
        <v>16</v>
      </c>
      <c r="E1938" t="s">
        <v>3139</v>
      </c>
      <c r="F1938" t="s">
        <v>2206</v>
      </c>
      <c r="G1938" t="s">
        <v>2206</v>
      </c>
      <c r="I1938" s="2">
        <v>45611</v>
      </c>
      <c r="J1938" t="s">
        <v>20</v>
      </c>
      <c r="K1938" s="21">
        <v>-126.79</v>
      </c>
      <c r="L1938" s="21" t="s">
        <v>86</v>
      </c>
      <c r="M1938">
        <v>0</v>
      </c>
      <c r="N1938" s="21" t="s">
        <v>86</v>
      </c>
    </row>
    <row r="1939" spans="1:14">
      <c r="A1939" t="str">
        <f>IFERROR(_xlfn.XLOOKUP(B1939,Cuentas!$C$1:$C$521,Cuentas!$A$1:$A$521),"")</f>
        <v>Yuldor</v>
      </c>
      <c r="B1939" t="s">
        <v>2152</v>
      </c>
      <c r="C1939" t="s">
        <v>2153</v>
      </c>
      <c r="D1939" t="s">
        <v>16</v>
      </c>
      <c r="E1939" t="s">
        <v>7</v>
      </c>
      <c r="F1939" t="s">
        <v>2207</v>
      </c>
      <c r="G1939" t="s">
        <v>2207</v>
      </c>
      <c r="H1939" s="2">
        <v>45583</v>
      </c>
      <c r="I1939" s="2">
        <v>45613</v>
      </c>
      <c r="J1939" t="s">
        <v>20</v>
      </c>
      <c r="K1939" s="21">
        <v>1563.4</v>
      </c>
      <c r="L1939" s="21">
        <v>1563.4</v>
      </c>
      <c r="M1939">
        <v>0</v>
      </c>
      <c r="N1939" s="21">
        <v>1563.4</v>
      </c>
    </row>
    <row r="1940" spans="1:14">
      <c r="A1940" t="str">
        <f>IFERROR(_xlfn.XLOOKUP(B1940,Cuentas!$C$1:$C$521,Cuentas!$A$1:$A$521),"")</f>
        <v>Yuldor</v>
      </c>
      <c r="B1940" t="s">
        <v>2152</v>
      </c>
      <c r="C1940" t="s">
        <v>2153</v>
      </c>
      <c r="D1940" t="s">
        <v>16</v>
      </c>
      <c r="E1940" t="s">
        <v>7</v>
      </c>
      <c r="F1940" t="s">
        <v>2208</v>
      </c>
      <c r="G1940" t="s">
        <v>2208</v>
      </c>
      <c r="H1940" s="2">
        <v>45583</v>
      </c>
      <c r="I1940" s="2">
        <v>45613</v>
      </c>
      <c r="J1940" t="s">
        <v>20</v>
      </c>
      <c r="K1940" s="21">
        <v>887</v>
      </c>
      <c r="L1940" s="21">
        <v>887</v>
      </c>
      <c r="M1940">
        <v>0</v>
      </c>
      <c r="N1940" s="21">
        <v>887</v>
      </c>
    </row>
    <row r="1941" spans="1:14">
      <c r="A1941" t="str">
        <f>IFERROR(_xlfn.XLOOKUP(B1941,Cuentas!$C$1:$C$521,Cuentas!$A$1:$A$521),"")</f>
        <v>Yuldor</v>
      </c>
      <c r="B1941" t="s">
        <v>2152</v>
      </c>
      <c r="C1941" t="s">
        <v>2153</v>
      </c>
      <c r="D1941" t="s">
        <v>16</v>
      </c>
      <c r="E1941" t="s">
        <v>7</v>
      </c>
      <c r="F1941" t="s">
        <v>2209</v>
      </c>
      <c r="G1941" t="s">
        <v>2209</v>
      </c>
      <c r="H1941" s="2">
        <v>45587</v>
      </c>
      <c r="I1941" s="2">
        <v>45617</v>
      </c>
      <c r="J1941" t="s">
        <v>20</v>
      </c>
      <c r="K1941" s="21">
        <v>26</v>
      </c>
      <c r="L1941" s="21">
        <v>26</v>
      </c>
      <c r="M1941">
        <v>0</v>
      </c>
      <c r="N1941" s="21">
        <v>26</v>
      </c>
    </row>
    <row r="1942" spans="1:14">
      <c r="A1942" t="str">
        <f>IFERROR(_xlfn.XLOOKUP(B1942,Cuentas!$C$1:$C$521,Cuentas!$A$1:$A$521),"")</f>
        <v>Yuldor</v>
      </c>
      <c r="B1942" t="s">
        <v>2152</v>
      </c>
      <c r="C1942" t="s">
        <v>2153</v>
      </c>
      <c r="D1942" t="s">
        <v>16</v>
      </c>
      <c r="E1942" t="s">
        <v>7</v>
      </c>
      <c r="F1942" t="s">
        <v>2210</v>
      </c>
      <c r="G1942" t="s">
        <v>2210</v>
      </c>
      <c r="H1942" s="2">
        <v>45587</v>
      </c>
      <c r="I1942" s="2">
        <v>45617</v>
      </c>
      <c r="J1942" t="s">
        <v>20</v>
      </c>
      <c r="K1942" s="21">
        <v>53</v>
      </c>
      <c r="L1942" s="21">
        <v>53</v>
      </c>
      <c r="M1942">
        <v>0</v>
      </c>
      <c r="N1942" s="21">
        <v>53</v>
      </c>
    </row>
    <row r="1943" spans="1:14">
      <c r="A1943" t="str">
        <f>IFERROR(_xlfn.XLOOKUP(B1943,Cuentas!$C$1:$C$521,Cuentas!$A$1:$A$521),"")</f>
        <v>Yuldor</v>
      </c>
      <c r="B1943" t="s">
        <v>2152</v>
      </c>
      <c r="C1943" t="s">
        <v>2153</v>
      </c>
      <c r="D1943" t="s">
        <v>16</v>
      </c>
      <c r="E1943" t="s">
        <v>7</v>
      </c>
      <c r="F1943" t="s">
        <v>2211</v>
      </c>
      <c r="G1943" t="s">
        <v>2211</v>
      </c>
      <c r="H1943" s="2">
        <v>45587</v>
      </c>
      <c r="I1943" s="2">
        <v>45617</v>
      </c>
      <c r="J1943" t="s">
        <v>20</v>
      </c>
      <c r="K1943" s="21">
        <v>45</v>
      </c>
      <c r="L1943" s="21">
        <v>45</v>
      </c>
      <c r="M1943">
        <v>0</v>
      </c>
      <c r="N1943" s="21">
        <v>45</v>
      </c>
    </row>
    <row r="1944" spans="1:14">
      <c r="A1944" t="str">
        <f>IFERROR(_xlfn.XLOOKUP(B1944,Cuentas!$C$1:$C$521,Cuentas!$A$1:$A$521),"")</f>
        <v>Yuldor</v>
      </c>
      <c r="B1944" t="s">
        <v>2152</v>
      </c>
      <c r="C1944" t="s">
        <v>2153</v>
      </c>
      <c r="D1944" t="s">
        <v>16</v>
      </c>
      <c r="E1944" t="s">
        <v>7</v>
      </c>
      <c r="F1944" t="s">
        <v>2212</v>
      </c>
      <c r="G1944" t="s">
        <v>2212</v>
      </c>
      <c r="H1944" s="2">
        <v>45587</v>
      </c>
      <c r="I1944" s="2">
        <v>45617</v>
      </c>
      <c r="J1944" t="s">
        <v>20</v>
      </c>
      <c r="K1944" s="21">
        <v>19</v>
      </c>
      <c r="L1944" s="21">
        <v>19</v>
      </c>
      <c r="M1944">
        <v>0</v>
      </c>
      <c r="N1944" s="21">
        <v>19</v>
      </c>
    </row>
    <row r="1945" spans="1:14">
      <c r="A1945" t="str">
        <f>IFERROR(_xlfn.XLOOKUP(B1945,Cuentas!$C$1:$C$521,Cuentas!$A$1:$A$521),"")</f>
        <v>Yuldor</v>
      </c>
      <c r="B1945" t="s">
        <v>2152</v>
      </c>
      <c r="C1945" t="s">
        <v>2153</v>
      </c>
      <c r="D1945" t="s">
        <v>16</v>
      </c>
      <c r="E1945" t="s">
        <v>7</v>
      </c>
      <c r="F1945" t="s">
        <v>2213</v>
      </c>
      <c r="G1945" t="s">
        <v>2213</v>
      </c>
      <c r="H1945" s="2">
        <v>45587</v>
      </c>
      <c r="I1945" s="2">
        <v>45617</v>
      </c>
      <c r="J1945" t="s">
        <v>20</v>
      </c>
      <c r="K1945" s="21">
        <v>22</v>
      </c>
      <c r="L1945" s="21">
        <v>22</v>
      </c>
      <c r="M1945">
        <v>0</v>
      </c>
      <c r="N1945" s="21">
        <v>22</v>
      </c>
    </row>
    <row r="1946" spans="1:14">
      <c r="A1946" t="str">
        <f>IFERROR(_xlfn.XLOOKUP(B1946,Cuentas!$C$1:$C$521,Cuentas!$A$1:$A$521),"")</f>
        <v>Yuldor</v>
      </c>
      <c r="B1946" t="s">
        <v>2152</v>
      </c>
      <c r="C1946" t="s">
        <v>2153</v>
      </c>
      <c r="D1946" t="s">
        <v>16</v>
      </c>
      <c r="E1946" t="s">
        <v>7</v>
      </c>
      <c r="F1946" t="s">
        <v>2214</v>
      </c>
      <c r="G1946" t="s">
        <v>2214</v>
      </c>
      <c r="H1946" s="2">
        <v>45587</v>
      </c>
      <c r="I1946" s="2">
        <v>45617</v>
      </c>
      <c r="J1946" t="s">
        <v>20</v>
      </c>
      <c r="K1946" s="21">
        <v>14</v>
      </c>
      <c r="L1946" s="21">
        <v>14</v>
      </c>
      <c r="M1946">
        <v>0</v>
      </c>
      <c r="N1946" s="21">
        <v>14</v>
      </c>
    </row>
    <row r="1947" spans="1:14">
      <c r="A1947" t="str">
        <f>IFERROR(_xlfn.XLOOKUP(B1947,Cuentas!$C$1:$C$521,Cuentas!$A$1:$A$521),"")</f>
        <v>Yuldor</v>
      </c>
      <c r="B1947" t="s">
        <v>2152</v>
      </c>
      <c r="C1947" t="s">
        <v>2153</v>
      </c>
      <c r="D1947" t="s">
        <v>16</v>
      </c>
      <c r="E1947" t="s">
        <v>7</v>
      </c>
      <c r="F1947" t="s">
        <v>2215</v>
      </c>
      <c r="G1947" t="s">
        <v>2215</v>
      </c>
      <c r="H1947" s="2">
        <v>45587</v>
      </c>
      <c r="I1947" s="2">
        <v>45617</v>
      </c>
      <c r="J1947" t="s">
        <v>20</v>
      </c>
      <c r="K1947" s="21">
        <v>120</v>
      </c>
      <c r="L1947" s="21">
        <v>120</v>
      </c>
      <c r="M1947">
        <v>0</v>
      </c>
      <c r="N1947" s="21">
        <v>120</v>
      </c>
    </row>
    <row r="1948" spans="1:14">
      <c r="A1948" t="str">
        <f>IFERROR(_xlfn.XLOOKUP(B1948,Cuentas!$C$1:$C$521,Cuentas!$A$1:$A$521),"")</f>
        <v>Yuldor</v>
      </c>
      <c r="B1948" t="s">
        <v>2152</v>
      </c>
      <c r="C1948" t="s">
        <v>2153</v>
      </c>
      <c r="D1948" t="s">
        <v>16</v>
      </c>
      <c r="E1948" t="s">
        <v>7</v>
      </c>
      <c r="F1948" t="s">
        <v>2216</v>
      </c>
      <c r="G1948" t="s">
        <v>2216</v>
      </c>
      <c r="H1948" s="2">
        <v>45587</v>
      </c>
      <c r="I1948" s="2">
        <v>45617</v>
      </c>
      <c r="J1948" t="s">
        <v>20</v>
      </c>
      <c r="K1948" s="21">
        <v>131</v>
      </c>
      <c r="L1948" s="21">
        <v>131</v>
      </c>
      <c r="M1948">
        <v>0</v>
      </c>
      <c r="N1948" s="21">
        <v>131</v>
      </c>
    </row>
    <row r="1949" spans="1:14">
      <c r="A1949" t="str">
        <f>IFERROR(_xlfn.XLOOKUP(B1949,Cuentas!$C$1:$C$521,Cuentas!$A$1:$A$521),"")</f>
        <v>Yuldor</v>
      </c>
      <c r="B1949" t="s">
        <v>2152</v>
      </c>
      <c r="C1949" t="s">
        <v>2153</v>
      </c>
      <c r="D1949" t="s">
        <v>16</v>
      </c>
      <c r="E1949" t="s">
        <v>7</v>
      </c>
      <c r="F1949" t="s">
        <v>2217</v>
      </c>
      <c r="G1949" t="s">
        <v>2217</v>
      </c>
      <c r="H1949" s="2">
        <v>45587</v>
      </c>
      <c r="I1949" s="2">
        <v>45617</v>
      </c>
      <c r="J1949" t="s">
        <v>20</v>
      </c>
      <c r="K1949" s="21">
        <v>13</v>
      </c>
      <c r="L1949" s="21">
        <v>13</v>
      </c>
      <c r="M1949">
        <v>0</v>
      </c>
      <c r="N1949" s="21">
        <v>13</v>
      </c>
    </row>
    <row r="1950" spans="1:14">
      <c r="A1950" t="str">
        <f>IFERROR(_xlfn.XLOOKUP(B1950,Cuentas!$C$1:$C$521,Cuentas!$A$1:$A$521),"")</f>
        <v>Yuldor</v>
      </c>
      <c r="B1950" t="s">
        <v>2152</v>
      </c>
      <c r="C1950" t="s">
        <v>2153</v>
      </c>
      <c r="D1950" t="s">
        <v>16</v>
      </c>
      <c r="E1950" t="s">
        <v>7</v>
      </c>
      <c r="F1950" t="s">
        <v>2218</v>
      </c>
      <c r="G1950" t="s">
        <v>2218</v>
      </c>
      <c r="H1950" s="2">
        <v>45587</v>
      </c>
      <c r="I1950" s="2">
        <v>45617</v>
      </c>
      <c r="J1950" t="s">
        <v>20</v>
      </c>
      <c r="K1950" s="21">
        <v>53</v>
      </c>
      <c r="L1950" s="21">
        <v>53</v>
      </c>
      <c r="M1950">
        <v>0</v>
      </c>
      <c r="N1950" s="21">
        <v>53</v>
      </c>
    </row>
    <row r="1951" spans="1:14">
      <c r="A1951" t="str">
        <f>IFERROR(_xlfn.XLOOKUP(B1951,Cuentas!$C$1:$C$521,Cuentas!$A$1:$A$521),"")</f>
        <v>Yuldor</v>
      </c>
      <c r="B1951" t="s">
        <v>2152</v>
      </c>
      <c r="C1951" t="s">
        <v>2153</v>
      </c>
      <c r="D1951" t="s">
        <v>16</v>
      </c>
      <c r="E1951" t="s">
        <v>7</v>
      </c>
      <c r="F1951" t="s">
        <v>2219</v>
      </c>
      <c r="G1951" t="s">
        <v>2219</v>
      </c>
      <c r="H1951" s="2">
        <v>45587</v>
      </c>
      <c r="I1951" s="2">
        <v>45617</v>
      </c>
      <c r="J1951" t="s">
        <v>20</v>
      </c>
      <c r="K1951" s="21">
        <v>80</v>
      </c>
      <c r="L1951" s="21">
        <v>80</v>
      </c>
      <c r="M1951">
        <v>0</v>
      </c>
      <c r="N1951" s="21">
        <v>80</v>
      </c>
    </row>
    <row r="1952" spans="1:14">
      <c r="A1952" t="str">
        <f>IFERROR(_xlfn.XLOOKUP(B1952,Cuentas!$C$1:$C$521,Cuentas!$A$1:$A$521),"")</f>
        <v>Yuldor</v>
      </c>
      <c r="B1952" t="s">
        <v>2152</v>
      </c>
      <c r="C1952" t="s">
        <v>2153</v>
      </c>
      <c r="D1952" t="s">
        <v>16</v>
      </c>
      <c r="E1952" t="s">
        <v>7</v>
      </c>
      <c r="F1952" t="s">
        <v>2220</v>
      </c>
      <c r="G1952" t="s">
        <v>2220</v>
      </c>
      <c r="H1952" s="2">
        <v>45587</v>
      </c>
      <c r="I1952" s="2">
        <v>45617</v>
      </c>
      <c r="J1952" t="s">
        <v>20</v>
      </c>
      <c r="K1952" s="21">
        <v>42</v>
      </c>
      <c r="L1952" s="21">
        <v>42</v>
      </c>
      <c r="M1952">
        <v>0</v>
      </c>
      <c r="N1952" s="21">
        <v>42</v>
      </c>
    </row>
    <row r="1953" spans="1:14">
      <c r="A1953" t="str">
        <f>IFERROR(_xlfn.XLOOKUP(B1953,Cuentas!$C$1:$C$521,Cuentas!$A$1:$A$521),"")</f>
        <v>Yuldor</v>
      </c>
      <c r="B1953" t="s">
        <v>2152</v>
      </c>
      <c r="C1953" t="s">
        <v>2153</v>
      </c>
      <c r="D1953" t="s">
        <v>16</v>
      </c>
      <c r="E1953" t="s">
        <v>7</v>
      </c>
      <c r="F1953" t="s">
        <v>2221</v>
      </c>
      <c r="G1953" t="s">
        <v>2221</v>
      </c>
      <c r="H1953" s="2">
        <v>45587</v>
      </c>
      <c r="I1953" s="2">
        <v>45617</v>
      </c>
      <c r="J1953" t="s">
        <v>20</v>
      </c>
      <c r="K1953" s="21">
        <v>40</v>
      </c>
      <c r="L1953" s="21">
        <v>40</v>
      </c>
      <c r="M1953">
        <v>0</v>
      </c>
      <c r="N1953" s="21">
        <v>40</v>
      </c>
    </row>
    <row r="1954" spans="1:14">
      <c r="A1954" t="str">
        <f>IFERROR(_xlfn.XLOOKUP(B1954,Cuentas!$C$1:$C$521,Cuentas!$A$1:$A$521),"")</f>
        <v>Yuldor</v>
      </c>
      <c r="B1954" t="s">
        <v>2152</v>
      </c>
      <c r="C1954" t="s">
        <v>2153</v>
      </c>
      <c r="D1954" t="s">
        <v>16</v>
      </c>
      <c r="E1954" t="s">
        <v>7</v>
      </c>
      <c r="F1954" t="s">
        <v>2222</v>
      </c>
      <c r="G1954" t="s">
        <v>2222</v>
      </c>
      <c r="H1954" s="2">
        <v>45587</v>
      </c>
      <c r="I1954" s="2">
        <v>45617</v>
      </c>
      <c r="J1954" t="s">
        <v>20</v>
      </c>
      <c r="K1954" s="21">
        <v>105</v>
      </c>
      <c r="L1954" s="21">
        <v>105</v>
      </c>
      <c r="M1954">
        <v>0</v>
      </c>
      <c r="N1954" s="21">
        <v>105</v>
      </c>
    </row>
    <row r="1955" spans="1:14">
      <c r="A1955" t="str">
        <f>IFERROR(_xlfn.XLOOKUP(B1955,Cuentas!$C$1:$C$521,Cuentas!$A$1:$A$521),"")</f>
        <v>Yuldor</v>
      </c>
      <c r="B1955" t="s">
        <v>2152</v>
      </c>
      <c r="C1955" t="s">
        <v>2153</v>
      </c>
      <c r="D1955" t="s">
        <v>16</v>
      </c>
      <c r="E1955" t="s">
        <v>7</v>
      </c>
      <c r="F1955" t="s">
        <v>2223</v>
      </c>
      <c r="G1955" t="s">
        <v>2223</v>
      </c>
      <c r="H1955" s="2">
        <v>45587</v>
      </c>
      <c r="I1955" s="2">
        <v>45617</v>
      </c>
      <c r="J1955" t="s">
        <v>20</v>
      </c>
      <c r="K1955" s="21">
        <v>27</v>
      </c>
      <c r="L1955" s="21">
        <v>27</v>
      </c>
      <c r="M1955">
        <v>0</v>
      </c>
      <c r="N1955" s="21">
        <v>27</v>
      </c>
    </row>
    <row r="1956" spans="1:14">
      <c r="A1956" t="str">
        <f>IFERROR(_xlfn.XLOOKUP(B1956,Cuentas!$C$1:$C$521,Cuentas!$A$1:$A$521),"")</f>
        <v>Yuldor</v>
      </c>
      <c r="B1956" t="s">
        <v>2152</v>
      </c>
      <c r="C1956" t="s">
        <v>2153</v>
      </c>
      <c r="D1956" t="s">
        <v>16</v>
      </c>
      <c r="E1956" t="s">
        <v>7</v>
      </c>
      <c r="F1956" t="s">
        <v>2224</v>
      </c>
      <c r="G1956" t="s">
        <v>2224</v>
      </c>
      <c r="H1956" s="2">
        <v>45587</v>
      </c>
      <c r="I1956" s="2">
        <v>45617</v>
      </c>
      <c r="J1956" t="s">
        <v>20</v>
      </c>
      <c r="K1956" s="21">
        <v>40</v>
      </c>
      <c r="L1956" s="21">
        <v>40</v>
      </c>
      <c r="M1956">
        <v>0</v>
      </c>
      <c r="N1956" s="21">
        <v>40</v>
      </c>
    </row>
    <row r="1957" spans="1:14">
      <c r="A1957" t="str">
        <f>IFERROR(_xlfn.XLOOKUP(B1957,Cuentas!$C$1:$C$521,Cuentas!$A$1:$A$521),"")</f>
        <v>Yuldor</v>
      </c>
      <c r="B1957" t="s">
        <v>2152</v>
      </c>
      <c r="C1957" t="s">
        <v>2153</v>
      </c>
      <c r="D1957" t="s">
        <v>16</v>
      </c>
      <c r="E1957" t="s">
        <v>7</v>
      </c>
      <c r="F1957" t="s">
        <v>2225</v>
      </c>
      <c r="G1957" t="s">
        <v>2225</v>
      </c>
      <c r="H1957" s="2">
        <v>45587</v>
      </c>
      <c r="I1957" s="2">
        <v>45617</v>
      </c>
      <c r="J1957" t="s">
        <v>20</v>
      </c>
      <c r="K1957" s="21">
        <v>105</v>
      </c>
      <c r="L1957" s="21">
        <v>105</v>
      </c>
      <c r="M1957">
        <v>0</v>
      </c>
      <c r="N1957" s="21">
        <v>105</v>
      </c>
    </row>
    <row r="1958" spans="1:14">
      <c r="A1958" t="str">
        <f>IFERROR(_xlfn.XLOOKUP(B1958,Cuentas!$C$1:$C$521,Cuentas!$A$1:$A$521),"")</f>
        <v>Yuldor</v>
      </c>
      <c r="B1958" t="s">
        <v>2152</v>
      </c>
      <c r="C1958" t="s">
        <v>2153</v>
      </c>
      <c r="D1958" t="s">
        <v>16</v>
      </c>
      <c r="E1958" t="s">
        <v>7</v>
      </c>
      <c r="F1958" t="s">
        <v>2226</v>
      </c>
      <c r="G1958" t="s">
        <v>2226</v>
      </c>
      <c r="H1958" s="2">
        <v>45596</v>
      </c>
      <c r="I1958" s="2">
        <v>45626</v>
      </c>
      <c r="J1958" t="s">
        <v>20</v>
      </c>
      <c r="K1958" s="21">
        <v>94.2</v>
      </c>
      <c r="L1958" s="21">
        <v>94.2</v>
      </c>
      <c r="M1958">
        <v>0</v>
      </c>
      <c r="N1958" s="21">
        <v>94.2</v>
      </c>
    </row>
    <row r="1959" spans="1:14">
      <c r="A1959" t="str">
        <f>IFERROR(_xlfn.XLOOKUP(B1959,Cuentas!$C$1:$C$521,Cuentas!$A$1:$A$521),"")</f>
        <v>Yuldor</v>
      </c>
      <c r="B1959" t="s">
        <v>2152</v>
      </c>
      <c r="C1959" t="s">
        <v>2153</v>
      </c>
      <c r="D1959" t="s">
        <v>16</v>
      </c>
      <c r="E1959" t="s">
        <v>7</v>
      </c>
      <c r="F1959" t="s">
        <v>2227</v>
      </c>
      <c r="G1959" t="s">
        <v>2227</v>
      </c>
      <c r="H1959" s="2">
        <v>45596</v>
      </c>
      <c r="I1959" s="2">
        <v>45626</v>
      </c>
      <c r="J1959" t="s">
        <v>20</v>
      </c>
      <c r="K1959" s="21">
        <v>156.9</v>
      </c>
      <c r="L1959" s="21">
        <v>156.9</v>
      </c>
      <c r="M1959">
        <v>0</v>
      </c>
      <c r="N1959" s="21">
        <v>156.9</v>
      </c>
    </row>
    <row r="1960" spans="1:14">
      <c r="A1960" t="str">
        <f>IFERROR(_xlfn.XLOOKUP(B1960,Cuentas!$C$1:$C$521,Cuentas!$A$1:$A$521),"")</f>
        <v>Yuldor</v>
      </c>
      <c r="B1960" t="s">
        <v>2152</v>
      </c>
      <c r="C1960" t="s">
        <v>2153</v>
      </c>
      <c r="D1960" t="s">
        <v>16</v>
      </c>
      <c r="E1960" t="s">
        <v>7</v>
      </c>
      <c r="F1960" t="s">
        <v>2228</v>
      </c>
      <c r="G1960" t="s">
        <v>2228</v>
      </c>
      <c r="H1960" s="2">
        <v>45596</v>
      </c>
      <c r="I1960" s="2">
        <v>45626</v>
      </c>
      <c r="J1960" t="s">
        <v>20</v>
      </c>
      <c r="K1960" s="21">
        <v>35</v>
      </c>
      <c r="L1960" s="21">
        <v>35</v>
      </c>
      <c r="M1960">
        <v>0</v>
      </c>
      <c r="N1960" s="21">
        <v>35</v>
      </c>
    </row>
    <row r="1961" spans="1:14">
      <c r="A1961" t="str">
        <f>IFERROR(_xlfn.XLOOKUP(B1961,Cuentas!$C$1:$C$521,Cuentas!$A$1:$A$521),"")</f>
        <v>Yuldor</v>
      </c>
      <c r="B1961" t="s">
        <v>2152</v>
      </c>
      <c r="C1961" t="s">
        <v>2153</v>
      </c>
      <c r="D1961" t="s">
        <v>16</v>
      </c>
      <c r="E1961" t="s">
        <v>7</v>
      </c>
      <c r="F1961" t="s">
        <v>2229</v>
      </c>
      <c r="G1961" t="s">
        <v>2229</v>
      </c>
      <c r="H1961" s="2">
        <v>45596</v>
      </c>
      <c r="I1961" s="2">
        <v>45626</v>
      </c>
      <c r="J1961" t="s">
        <v>20</v>
      </c>
      <c r="K1961" s="21">
        <v>427</v>
      </c>
      <c r="L1961" s="21">
        <v>427</v>
      </c>
      <c r="M1961">
        <v>0</v>
      </c>
      <c r="N1961" s="21">
        <v>427</v>
      </c>
    </row>
    <row r="1962" spans="1:14">
      <c r="A1962" t="str">
        <f>IFERROR(_xlfn.XLOOKUP(B1962,Cuentas!$C$1:$C$521,Cuentas!$A$1:$A$521),"")</f>
        <v>Yuldor</v>
      </c>
      <c r="B1962" t="s">
        <v>2152</v>
      </c>
      <c r="C1962" t="s">
        <v>2153</v>
      </c>
      <c r="D1962" t="s">
        <v>16</v>
      </c>
      <c r="E1962" t="s">
        <v>7</v>
      </c>
      <c r="F1962" t="s">
        <v>2230</v>
      </c>
      <c r="G1962" t="s">
        <v>2230</v>
      </c>
      <c r="H1962" s="2">
        <v>45604</v>
      </c>
      <c r="I1962" s="2">
        <v>45634</v>
      </c>
      <c r="J1962" t="s">
        <v>20</v>
      </c>
      <c r="K1962" s="21">
        <v>813.43</v>
      </c>
      <c r="L1962" s="21">
        <v>813.43</v>
      </c>
      <c r="M1962">
        <v>0</v>
      </c>
      <c r="N1962" s="21">
        <v>813.43</v>
      </c>
    </row>
    <row r="1963" spans="1:14">
      <c r="A1963" t="str">
        <f>IFERROR(_xlfn.XLOOKUP(B1963,Cuentas!$C$1:$C$521,Cuentas!$A$1:$A$521),"")</f>
        <v>Yuldor</v>
      </c>
      <c r="B1963" t="s">
        <v>2152</v>
      </c>
      <c r="C1963" t="s">
        <v>2153</v>
      </c>
      <c r="D1963" t="s">
        <v>16</v>
      </c>
      <c r="E1963" t="s">
        <v>7</v>
      </c>
      <c r="F1963" t="s">
        <v>2231</v>
      </c>
      <c r="G1963" t="s">
        <v>2231</v>
      </c>
      <c r="H1963" s="2">
        <v>45604</v>
      </c>
      <c r="I1963" s="2">
        <v>45634</v>
      </c>
      <c r="J1963" t="s">
        <v>20</v>
      </c>
      <c r="K1963" s="21">
        <v>104.6</v>
      </c>
      <c r="L1963" s="21">
        <v>104.6</v>
      </c>
      <c r="M1963">
        <v>0</v>
      </c>
      <c r="N1963" s="21">
        <v>104.6</v>
      </c>
    </row>
    <row r="1964" spans="1:14">
      <c r="A1964" t="str">
        <f>IFERROR(_xlfn.XLOOKUP(B1964,Cuentas!$C$1:$C$521,Cuentas!$A$1:$A$521),"")</f>
        <v>Yuldor</v>
      </c>
      <c r="B1964" t="s">
        <v>2152</v>
      </c>
      <c r="C1964" t="s">
        <v>2153</v>
      </c>
      <c r="D1964" t="s">
        <v>16</v>
      </c>
      <c r="E1964" t="s">
        <v>7</v>
      </c>
      <c r="F1964" t="s">
        <v>2232</v>
      </c>
      <c r="G1964" t="s">
        <v>2232</v>
      </c>
      <c r="H1964" s="2">
        <v>45604</v>
      </c>
      <c r="I1964" s="2">
        <v>45634</v>
      </c>
      <c r="J1964" t="s">
        <v>20</v>
      </c>
      <c r="K1964" s="21">
        <v>280.2</v>
      </c>
      <c r="L1964" s="21">
        <v>280.2</v>
      </c>
      <c r="M1964">
        <v>0</v>
      </c>
      <c r="N1964" s="21">
        <v>280.2</v>
      </c>
    </row>
    <row r="1965" spans="1:14">
      <c r="A1965" t="str">
        <f>IFERROR(_xlfn.XLOOKUP(B1965,Cuentas!$C$1:$C$521,Cuentas!$A$1:$A$521),"")</f>
        <v>Yuldor</v>
      </c>
      <c r="B1965" t="s">
        <v>2152</v>
      </c>
      <c r="C1965" t="s">
        <v>2153</v>
      </c>
      <c r="D1965" t="s">
        <v>16</v>
      </c>
      <c r="E1965" t="s">
        <v>7</v>
      </c>
      <c r="F1965" t="s">
        <v>2233</v>
      </c>
      <c r="G1965" t="s">
        <v>2233</v>
      </c>
      <c r="H1965" s="2">
        <v>45604</v>
      </c>
      <c r="I1965" s="2">
        <v>45634</v>
      </c>
      <c r="J1965" t="s">
        <v>20</v>
      </c>
      <c r="K1965" s="21">
        <v>147.5</v>
      </c>
      <c r="L1965" s="21">
        <v>147.5</v>
      </c>
      <c r="M1965">
        <v>0</v>
      </c>
      <c r="N1965" s="21">
        <v>147.5</v>
      </c>
    </row>
    <row r="1966" spans="1:14">
      <c r="A1966" t="str">
        <f>IFERROR(_xlfn.XLOOKUP(B1966,Cuentas!$C$1:$C$521,Cuentas!$A$1:$A$521),"")</f>
        <v>Yuldor</v>
      </c>
      <c r="B1966" t="s">
        <v>2152</v>
      </c>
      <c r="C1966" t="s">
        <v>2153</v>
      </c>
      <c r="D1966" t="s">
        <v>16</v>
      </c>
      <c r="E1966" t="s">
        <v>7</v>
      </c>
      <c r="F1966" t="s">
        <v>2234</v>
      </c>
      <c r="G1966" t="s">
        <v>2234</v>
      </c>
      <c r="H1966" s="2">
        <v>45607</v>
      </c>
      <c r="I1966" s="2">
        <v>45637</v>
      </c>
      <c r="J1966" t="s">
        <v>20</v>
      </c>
      <c r="K1966" s="21">
        <v>107.6</v>
      </c>
      <c r="L1966" s="21">
        <v>107.6</v>
      </c>
      <c r="M1966">
        <v>0</v>
      </c>
      <c r="N1966" s="21">
        <v>107.6</v>
      </c>
    </row>
    <row r="1967" spans="1:14">
      <c r="A1967" t="str">
        <f>IFERROR(_xlfn.XLOOKUP(B1967,Cuentas!$C$1:$C$521,Cuentas!$A$1:$A$521),"")</f>
        <v>Yuldor</v>
      </c>
      <c r="B1967" t="s">
        <v>2152</v>
      </c>
      <c r="C1967" t="s">
        <v>2153</v>
      </c>
      <c r="D1967" t="s">
        <v>16</v>
      </c>
      <c r="E1967" t="s">
        <v>7</v>
      </c>
      <c r="F1967" t="s">
        <v>2235</v>
      </c>
      <c r="G1967" t="s">
        <v>2235</v>
      </c>
      <c r="H1967" s="2">
        <v>45607</v>
      </c>
      <c r="I1967" s="2">
        <v>45637</v>
      </c>
      <c r="J1967" t="s">
        <v>20</v>
      </c>
      <c r="K1967" s="21">
        <v>350.1</v>
      </c>
      <c r="L1967" s="21">
        <v>350.1</v>
      </c>
      <c r="M1967">
        <v>0</v>
      </c>
      <c r="N1967" s="21">
        <v>350.1</v>
      </c>
    </row>
    <row r="1968" spans="1:14">
      <c r="A1968" t="str">
        <f>IFERROR(_xlfn.XLOOKUP(B1968,Cuentas!$C$1:$C$521,Cuentas!$A$1:$A$521),"")</f>
        <v>Yuldor</v>
      </c>
      <c r="B1968" t="s">
        <v>2152</v>
      </c>
      <c r="C1968" t="s">
        <v>2153</v>
      </c>
      <c r="D1968" t="s">
        <v>16</v>
      </c>
      <c r="E1968" t="s">
        <v>7</v>
      </c>
      <c r="F1968" t="s">
        <v>2236</v>
      </c>
      <c r="G1968" t="s">
        <v>2236</v>
      </c>
      <c r="H1968" s="2">
        <v>45607</v>
      </c>
      <c r="I1968" s="2">
        <v>45637</v>
      </c>
      <c r="J1968" t="s">
        <v>20</v>
      </c>
      <c r="K1968" s="21">
        <v>257.99</v>
      </c>
      <c r="L1968" s="21">
        <v>257.99</v>
      </c>
      <c r="M1968">
        <v>0</v>
      </c>
      <c r="N1968" s="21">
        <v>257.99</v>
      </c>
    </row>
    <row r="1969" spans="1:14">
      <c r="A1969" t="str">
        <f>IFERROR(_xlfn.XLOOKUP(B1969,Cuentas!$C$1:$C$521,Cuentas!$A$1:$A$521),"")</f>
        <v>Yuldor</v>
      </c>
      <c r="B1969" t="s">
        <v>2152</v>
      </c>
      <c r="C1969" t="s">
        <v>2153</v>
      </c>
      <c r="D1969" t="s">
        <v>16</v>
      </c>
      <c r="E1969" t="s">
        <v>7</v>
      </c>
      <c r="F1969" t="s">
        <v>2237</v>
      </c>
      <c r="G1969" t="s">
        <v>2237</v>
      </c>
      <c r="H1969" s="2">
        <v>45609</v>
      </c>
      <c r="I1969" s="2">
        <v>45639</v>
      </c>
      <c r="J1969" t="s">
        <v>20</v>
      </c>
      <c r="K1969" s="21">
        <v>1817.86</v>
      </c>
      <c r="L1969" s="21">
        <v>1817.86</v>
      </c>
      <c r="M1969">
        <v>0</v>
      </c>
      <c r="N1969" s="21">
        <v>1817.86</v>
      </c>
    </row>
    <row r="1970" spans="1:14">
      <c r="A1970" t="str">
        <f>IFERROR(_xlfn.XLOOKUP(B1970,Cuentas!$C$1:$C$521,Cuentas!$A$1:$A$521),"")</f>
        <v>Yuldor</v>
      </c>
      <c r="B1970" t="s">
        <v>2152</v>
      </c>
      <c r="C1970" t="s">
        <v>2153</v>
      </c>
      <c r="D1970" t="s">
        <v>16</v>
      </c>
      <c r="E1970" t="s">
        <v>7</v>
      </c>
      <c r="F1970" t="s">
        <v>2238</v>
      </c>
      <c r="G1970" t="s">
        <v>2238</v>
      </c>
      <c r="H1970" s="2">
        <v>45611</v>
      </c>
      <c r="I1970" s="2">
        <v>45641</v>
      </c>
      <c r="J1970" t="s">
        <v>20</v>
      </c>
      <c r="K1970" s="21">
        <v>482.68</v>
      </c>
      <c r="L1970" s="21">
        <v>54</v>
      </c>
      <c r="M1970">
        <v>0</v>
      </c>
      <c r="N1970" s="21">
        <v>54</v>
      </c>
    </row>
    <row r="1971" spans="1:14">
      <c r="A1971" t="str">
        <f>IFERROR(_xlfn.XLOOKUP(B1971,Cuentas!$C$1:$C$521,Cuentas!$A$1:$A$521),"")</f>
        <v>Yuldor</v>
      </c>
      <c r="B1971" t="s">
        <v>2152</v>
      </c>
      <c r="C1971" t="s">
        <v>2153</v>
      </c>
      <c r="D1971" t="s">
        <v>16</v>
      </c>
      <c r="E1971" t="s">
        <v>3139</v>
      </c>
      <c r="F1971" t="s">
        <v>2238</v>
      </c>
      <c r="G1971" t="s">
        <v>2238</v>
      </c>
      <c r="I1971" s="2">
        <v>45639</v>
      </c>
      <c r="J1971" t="s">
        <v>20</v>
      </c>
      <c r="K1971" s="21">
        <v>-428.68</v>
      </c>
      <c r="L1971" s="21" t="s">
        <v>86</v>
      </c>
      <c r="M1971">
        <v>0</v>
      </c>
      <c r="N1971" s="21" t="s">
        <v>86</v>
      </c>
    </row>
    <row r="1972" spans="1:14">
      <c r="A1972" t="str">
        <f>IFERROR(_xlfn.XLOOKUP(B1972,Cuentas!$C$1:$C$521,Cuentas!$A$1:$A$521),"")</f>
        <v>Yuldor</v>
      </c>
      <c r="B1972" t="s">
        <v>2152</v>
      </c>
      <c r="C1972" t="s">
        <v>2153</v>
      </c>
      <c r="D1972" t="s">
        <v>16</v>
      </c>
      <c r="E1972" t="s">
        <v>7</v>
      </c>
      <c r="F1972" t="s">
        <v>2239</v>
      </c>
      <c r="G1972" t="s">
        <v>2239</v>
      </c>
      <c r="H1972" s="2">
        <v>45617</v>
      </c>
      <c r="I1972" s="2">
        <v>45647</v>
      </c>
      <c r="J1972" t="s">
        <v>20</v>
      </c>
      <c r="K1972" s="21">
        <v>1272.9000000000001</v>
      </c>
      <c r="L1972" s="21">
        <v>1272.9000000000001</v>
      </c>
      <c r="M1972">
        <v>0</v>
      </c>
      <c r="N1972" s="21">
        <v>1272.9000000000001</v>
      </c>
    </row>
    <row r="1973" spans="1:14">
      <c r="A1973" t="str">
        <f>IFERROR(_xlfn.XLOOKUP(B1973,Cuentas!$C$1:$C$521,Cuentas!$A$1:$A$521),"")</f>
        <v>Yuldor</v>
      </c>
      <c r="B1973" t="s">
        <v>2152</v>
      </c>
      <c r="C1973" t="s">
        <v>2153</v>
      </c>
      <c r="D1973" t="s">
        <v>16</v>
      </c>
      <c r="E1973" t="s">
        <v>7</v>
      </c>
      <c r="F1973" t="s">
        <v>2240</v>
      </c>
      <c r="G1973" t="s">
        <v>2240</v>
      </c>
      <c r="H1973" s="2">
        <v>45617</v>
      </c>
      <c r="I1973" s="2">
        <v>45647</v>
      </c>
      <c r="J1973" t="s">
        <v>20</v>
      </c>
      <c r="K1973" s="21">
        <v>104.6</v>
      </c>
      <c r="L1973" s="21">
        <v>104.6</v>
      </c>
      <c r="M1973">
        <v>0</v>
      </c>
      <c r="N1973" s="21">
        <v>104.6</v>
      </c>
    </row>
    <row r="1974" spans="1:14">
      <c r="A1974" t="str">
        <f>IFERROR(_xlfn.XLOOKUP(B1974,Cuentas!$C$1:$C$521,Cuentas!$A$1:$A$521),"")</f>
        <v>Yuldor</v>
      </c>
      <c r="B1974" t="s">
        <v>2152</v>
      </c>
      <c r="C1974" t="s">
        <v>2153</v>
      </c>
      <c r="D1974" t="s">
        <v>16</v>
      </c>
      <c r="E1974" t="s">
        <v>7</v>
      </c>
      <c r="F1974" t="s">
        <v>2241</v>
      </c>
      <c r="G1974" t="s">
        <v>2241</v>
      </c>
      <c r="H1974" s="2">
        <v>45623</v>
      </c>
      <c r="I1974" s="2">
        <v>45653</v>
      </c>
      <c r="J1974" t="s">
        <v>20</v>
      </c>
      <c r="K1974" s="21">
        <v>156.9</v>
      </c>
      <c r="L1974" s="21">
        <v>156.9</v>
      </c>
      <c r="M1974">
        <v>0</v>
      </c>
      <c r="N1974" s="21">
        <v>156.9</v>
      </c>
    </row>
    <row r="1975" spans="1:14">
      <c r="A1975" t="str">
        <f>IFERROR(_xlfn.XLOOKUP(B1975,Cuentas!$C$1:$C$521,Cuentas!$A$1:$A$521),"")</f>
        <v>Yuldor</v>
      </c>
      <c r="B1975" t="s">
        <v>2152</v>
      </c>
      <c r="C1975" t="s">
        <v>2153</v>
      </c>
      <c r="D1975" t="s">
        <v>16</v>
      </c>
      <c r="E1975" t="s">
        <v>7</v>
      </c>
      <c r="F1975" t="s">
        <v>2242</v>
      </c>
      <c r="G1975" t="s">
        <v>2242</v>
      </c>
      <c r="H1975" s="2">
        <v>45631</v>
      </c>
      <c r="I1975" s="2">
        <v>45661</v>
      </c>
      <c r="J1975" t="s">
        <v>20</v>
      </c>
      <c r="K1975" s="21">
        <v>812.6</v>
      </c>
      <c r="L1975" s="21">
        <v>812.6</v>
      </c>
      <c r="M1975">
        <v>0</v>
      </c>
      <c r="N1975" s="21">
        <v>812.6</v>
      </c>
    </row>
    <row r="1976" spans="1:14">
      <c r="A1976" t="str">
        <f>IFERROR(_xlfn.XLOOKUP(B1976,Cuentas!$C$1:$C$521,Cuentas!$A$1:$A$521),"")</f>
        <v>Yuldor</v>
      </c>
      <c r="B1976" t="s">
        <v>2152</v>
      </c>
      <c r="C1976" t="s">
        <v>2153</v>
      </c>
      <c r="D1976" t="s">
        <v>16</v>
      </c>
      <c r="E1976" t="s">
        <v>7</v>
      </c>
      <c r="F1976" t="s">
        <v>2243</v>
      </c>
      <c r="G1976" t="s">
        <v>2243</v>
      </c>
      <c r="H1976" s="2">
        <v>45632</v>
      </c>
      <c r="I1976" s="2">
        <v>45662</v>
      </c>
      <c r="J1976" t="s">
        <v>20</v>
      </c>
      <c r="K1976" s="21">
        <v>329</v>
      </c>
      <c r="L1976" s="21">
        <v>329</v>
      </c>
      <c r="M1976">
        <v>0</v>
      </c>
      <c r="N1976" s="21">
        <v>329</v>
      </c>
    </row>
    <row r="1977" spans="1:14">
      <c r="A1977" t="str">
        <f>IFERROR(_xlfn.XLOOKUP(B1977,Cuentas!$C$1:$C$521,Cuentas!$A$1:$A$521),"")</f>
        <v>Yuldor</v>
      </c>
      <c r="B1977" t="s">
        <v>2152</v>
      </c>
      <c r="C1977" t="s">
        <v>2153</v>
      </c>
      <c r="D1977" t="s">
        <v>16</v>
      </c>
      <c r="E1977" t="s">
        <v>7</v>
      </c>
      <c r="F1977" t="s">
        <v>2244</v>
      </c>
      <c r="G1977" t="s">
        <v>2244</v>
      </c>
      <c r="H1977" s="2">
        <v>45639</v>
      </c>
      <c r="I1977" s="2">
        <v>45669</v>
      </c>
      <c r="J1977" t="s">
        <v>20</v>
      </c>
      <c r="K1977" s="21">
        <v>81</v>
      </c>
      <c r="L1977" s="21">
        <v>81</v>
      </c>
      <c r="M1977">
        <v>0</v>
      </c>
      <c r="N1977" s="21">
        <v>81</v>
      </c>
    </row>
    <row r="1978" spans="1:14">
      <c r="A1978" t="str">
        <f>IFERROR(_xlfn.XLOOKUP(B1978,Cuentas!$C$1:$C$521,Cuentas!$A$1:$A$521),"")</f>
        <v>Yuldor</v>
      </c>
      <c r="B1978" t="s">
        <v>2152</v>
      </c>
      <c r="C1978" t="s">
        <v>2153</v>
      </c>
      <c r="D1978" t="s">
        <v>16</v>
      </c>
      <c r="E1978" t="s">
        <v>7</v>
      </c>
      <c r="F1978" t="s">
        <v>2245</v>
      </c>
      <c r="G1978" t="s">
        <v>2245</v>
      </c>
      <c r="H1978" s="2">
        <v>45639</v>
      </c>
      <c r="I1978" s="2">
        <v>45669</v>
      </c>
      <c r="J1978" t="s">
        <v>20</v>
      </c>
      <c r="K1978" s="21">
        <v>26</v>
      </c>
      <c r="L1978" s="21">
        <v>26</v>
      </c>
      <c r="M1978">
        <v>0</v>
      </c>
      <c r="N1978" s="21">
        <v>26</v>
      </c>
    </row>
    <row r="1979" spans="1:14">
      <c r="A1979" t="str">
        <f>IFERROR(_xlfn.XLOOKUP(B1979,Cuentas!$C$1:$C$521,Cuentas!$A$1:$A$521),"")</f>
        <v>Yuldor</v>
      </c>
      <c r="B1979" t="s">
        <v>2152</v>
      </c>
      <c r="C1979" t="s">
        <v>2153</v>
      </c>
      <c r="D1979" t="s">
        <v>16</v>
      </c>
      <c r="E1979" t="s">
        <v>7</v>
      </c>
      <c r="F1979" t="s">
        <v>2246</v>
      </c>
      <c r="G1979" t="s">
        <v>2246</v>
      </c>
      <c r="H1979" s="2">
        <v>45652</v>
      </c>
      <c r="I1979" s="2">
        <v>45682</v>
      </c>
      <c r="J1979" t="s">
        <v>20</v>
      </c>
      <c r="K1979" s="21">
        <v>715</v>
      </c>
      <c r="L1979" s="21">
        <v>-80</v>
      </c>
      <c r="M1979">
        <v>0</v>
      </c>
      <c r="N1979" s="21">
        <v>-80</v>
      </c>
    </row>
    <row r="1980" spans="1:14">
      <c r="A1980" t="str">
        <f>IFERROR(_xlfn.XLOOKUP(B1980,Cuentas!$C$1:$C$521,Cuentas!$A$1:$A$521),"")</f>
        <v>Yuldor</v>
      </c>
      <c r="B1980" t="s">
        <v>2152</v>
      </c>
      <c r="C1980" t="s">
        <v>2153</v>
      </c>
      <c r="D1980" t="s">
        <v>16</v>
      </c>
      <c r="E1980" t="s">
        <v>5502</v>
      </c>
      <c r="F1980" t="s">
        <v>2247</v>
      </c>
      <c r="G1980" t="s">
        <v>2246</v>
      </c>
      <c r="I1980" s="2">
        <v>45714</v>
      </c>
      <c r="J1980" t="s">
        <v>20</v>
      </c>
      <c r="K1980" s="21">
        <v>-80</v>
      </c>
      <c r="L1980" s="21" t="s">
        <v>86</v>
      </c>
      <c r="M1980">
        <v>0</v>
      </c>
      <c r="N1980" s="21" t="s">
        <v>86</v>
      </c>
    </row>
    <row r="1981" spans="1:14">
      <c r="A1981" t="str">
        <f>IFERROR(_xlfn.XLOOKUP(B1981,Cuentas!$C$1:$C$521,Cuentas!$A$1:$A$521),"")</f>
        <v>Yuldor</v>
      </c>
      <c r="B1981" t="s">
        <v>2152</v>
      </c>
      <c r="C1981" t="s">
        <v>2153</v>
      </c>
      <c r="D1981" t="s">
        <v>16</v>
      </c>
      <c r="E1981" t="s">
        <v>3139</v>
      </c>
      <c r="F1981" t="s">
        <v>2246</v>
      </c>
      <c r="G1981" t="s">
        <v>2246</v>
      </c>
      <c r="I1981" s="2">
        <v>45681</v>
      </c>
      <c r="J1981" t="s">
        <v>20</v>
      </c>
      <c r="K1981" s="21">
        <v>-715</v>
      </c>
      <c r="L1981" s="21" t="s">
        <v>86</v>
      </c>
      <c r="M1981">
        <v>0</v>
      </c>
      <c r="N1981" s="21" t="s">
        <v>86</v>
      </c>
    </row>
    <row r="1982" spans="1:14">
      <c r="A1982" t="str">
        <f>IFERROR(_xlfn.XLOOKUP(B1982,Cuentas!$C$1:$C$521,Cuentas!$A$1:$A$521),"")</f>
        <v>Yuldor</v>
      </c>
      <c r="B1982" t="s">
        <v>2152</v>
      </c>
      <c r="C1982" t="s">
        <v>2153</v>
      </c>
      <c r="D1982" t="s">
        <v>16</v>
      </c>
      <c r="E1982" t="s">
        <v>7</v>
      </c>
      <c r="F1982" t="s">
        <v>2248</v>
      </c>
      <c r="G1982" t="s">
        <v>2248</v>
      </c>
      <c r="H1982" s="2">
        <v>45652</v>
      </c>
      <c r="I1982" s="2">
        <v>45682</v>
      </c>
      <c r="J1982" t="s">
        <v>20</v>
      </c>
      <c r="K1982" s="21">
        <v>354.52</v>
      </c>
      <c r="L1982" s="21">
        <v>354.52</v>
      </c>
      <c r="M1982">
        <v>0</v>
      </c>
      <c r="N1982" s="21">
        <v>354.52</v>
      </c>
    </row>
    <row r="1983" spans="1:14">
      <c r="A1983" t="str">
        <f>IFERROR(_xlfn.XLOOKUP(B1983,Cuentas!$C$1:$C$521,Cuentas!$A$1:$A$521),"")</f>
        <v>Yuldor</v>
      </c>
      <c r="B1983" t="s">
        <v>2152</v>
      </c>
      <c r="C1983" t="s">
        <v>2153</v>
      </c>
      <c r="D1983" t="s">
        <v>16</v>
      </c>
      <c r="E1983" t="s">
        <v>7</v>
      </c>
      <c r="F1983" t="s">
        <v>2249</v>
      </c>
      <c r="G1983" t="s">
        <v>2249</v>
      </c>
      <c r="H1983" s="2">
        <v>45652</v>
      </c>
      <c r="I1983" s="2">
        <v>45682</v>
      </c>
      <c r="J1983" t="s">
        <v>20</v>
      </c>
      <c r="K1983" s="21">
        <v>531.78</v>
      </c>
      <c r="L1983" s="21">
        <v>531.78</v>
      </c>
      <c r="M1983">
        <v>0</v>
      </c>
      <c r="N1983" s="21">
        <v>531.78</v>
      </c>
    </row>
    <row r="1984" spans="1:14">
      <c r="A1984" t="str">
        <f>IFERROR(_xlfn.XLOOKUP(B1984,Cuentas!$C$1:$C$521,Cuentas!$A$1:$A$521),"")</f>
        <v>Yuldor</v>
      </c>
      <c r="B1984" t="s">
        <v>2152</v>
      </c>
      <c r="C1984" t="s">
        <v>2153</v>
      </c>
      <c r="D1984" t="s">
        <v>16</v>
      </c>
      <c r="E1984" t="s">
        <v>7</v>
      </c>
      <c r="F1984" t="s">
        <v>2250</v>
      </c>
      <c r="G1984" t="s">
        <v>2250</v>
      </c>
      <c r="H1984" s="2">
        <v>45653</v>
      </c>
      <c r="I1984" s="2">
        <v>45683</v>
      </c>
      <c r="J1984" t="s">
        <v>20</v>
      </c>
      <c r="K1984" s="21">
        <v>52.3</v>
      </c>
      <c r="L1984" s="21">
        <v>52.3</v>
      </c>
      <c r="M1984">
        <v>0</v>
      </c>
      <c r="N1984" s="21">
        <v>52.3</v>
      </c>
    </row>
    <row r="1985" spans="1:14">
      <c r="A1985" t="str">
        <f>IFERROR(_xlfn.XLOOKUP(B1985,Cuentas!$C$1:$C$521,Cuentas!$A$1:$A$521),"")</f>
        <v>Yuldor</v>
      </c>
      <c r="B1985" t="s">
        <v>2152</v>
      </c>
      <c r="C1985" t="s">
        <v>2153</v>
      </c>
      <c r="D1985" t="s">
        <v>16</v>
      </c>
      <c r="E1985" t="s">
        <v>7</v>
      </c>
      <c r="F1985" t="s">
        <v>2251</v>
      </c>
      <c r="G1985" t="s">
        <v>2251</v>
      </c>
      <c r="H1985" s="2">
        <v>45653</v>
      </c>
      <c r="I1985" s="2">
        <v>45683</v>
      </c>
      <c r="J1985" t="s">
        <v>20</v>
      </c>
      <c r="K1985" s="21">
        <v>235.3</v>
      </c>
      <c r="L1985" s="21">
        <v>235.3</v>
      </c>
      <c r="M1985">
        <v>0</v>
      </c>
      <c r="N1985" s="21">
        <v>235.3</v>
      </c>
    </row>
    <row r="1986" spans="1:14">
      <c r="A1986" t="str">
        <f>IFERROR(_xlfn.XLOOKUP(B1986,Cuentas!$C$1:$C$521,Cuentas!$A$1:$A$521),"")</f>
        <v>Yuldor</v>
      </c>
      <c r="B1986" t="s">
        <v>2152</v>
      </c>
      <c r="C1986" t="s">
        <v>2153</v>
      </c>
      <c r="D1986" t="s">
        <v>16</v>
      </c>
      <c r="E1986" t="s">
        <v>7</v>
      </c>
      <c r="F1986" t="s">
        <v>2252</v>
      </c>
      <c r="G1986" t="s">
        <v>2252</v>
      </c>
      <c r="H1986" s="2">
        <v>45653</v>
      </c>
      <c r="I1986" s="2">
        <v>45683</v>
      </c>
      <c r="J1986" t="s">
        <v>20</v>
      </c>
      <c r="K1986" s="21">
        <v>1128</v>
      </c>
      <c r="L1986" s="21">
        <v>1128</v>
      </c>
      <c r="M1986">
        <v>0</v>
      </c>
      <c r="N1986" s="21">
        <v>1128</v>
      </c>
    </row>
    <row r="1987" spans="1:14">
      <c r="A1987" t="str">
        <f>IFERROR(_xlfn.XLOOKUP(B1987,Cuentas!$C$1:$C$521,Cuentas!$A$1:$A$521),"")</f>
        <v>Yuldor</v>
      </c>
      <c r="B1987" t="s">
        <v>2152</v>
      </c>
      <c r="C1987" t="s">
        <v>2153</v>
      </c>
      <c r="D1987" t="s">
        <v>16</v>
      </c>
      <c r="E1987" t="s">
        <v>7</v>
      </c>
      <c r="F1987" t="s">
        <v>2253</v>
      </c>
      <c r="G1987" t="s">
        <v>2253</v>
      </c>
      <c r="H1987" s="2">
        <v>45656</v>
      </c>
      <c r="I1987" s="2">
        <v>45686</v>
      </c>
      <c r="J1987" t="s">
        <v>20</v>
      </c>
      <c r="K1987" s="21">
        <v>398.8</v>
      </c>
      <c r="L1987" s="21">
        <v>398.8</v>
      </c>
      <c r="M1987">
        <v>0</v>
      </c>
      <c r="N1987" s="21">
        <v>398.8</v>
      </c>
    </row>
    <row r="1988" spans="1:14">
      <c r="A1988" t="str">
        <f>IFERROR(_xlfn.XLOOKUP(B1988,Cuentas!$C$1:$C$521,Cuentas!$A$1:$A$521),"")</f>
        <v>Yuldor</v>
      </c>
      <c r="B1988" t="s">
        <v>2152</v>
      </c>
      <c r="C1988" t="s">
        <v>2153</v>
      </c>
      <c r="D1988" t="s">
        <v>16</v>
      </c>
      <c r="E1988" t="s">
        <v>7</v>
      </c>
      <c r="F1988" t="s">
        <v>2254</v>
      </c>
      <c r="G1988" t="s">
        <v>2254</v>
      </c>
      <c r="H1988" s="2">
        <v>45656</v>
      </c>
      <c r="I1988" s="2">
        <v>45686</v>
      </c>
      <c r="J1988" t="s">
        <v>20</v>
      </c>
      <c r="K1988" s="21">
        <v>185</v>
      </c>
      <c r="L1988" s="21">
        <v>185</v>
      </c>
      <c r="M1988">
        <v>0</v>
      </c>
      <c r="N1988" s="21">
        <v>185</v>
      </c>
    </row>
    <row r="1989" spans="1:14">
      <c r="A1989" t="str">
        <f>IFERROR(_xlfn.XLOOKUP(B1989,Cuentas!$C$1:$C$521,Cuentas!$A$1:$A$521),"")</f>
        <v>Yuldor</v>
      </c>
      <c r="B1989" t="s">
        <v>2152</v>
      </c>
      <c r="C1989" t="s">
        <v>2153</v>
      </c>
      <c r="D1989" t="s">
        <v>16</v>
      </c>
      <c r="E1989" t="s">
        <v>7</v>
      </c>
      <c r="F1989" t="s">
        <v>2255</v>
      </c>
      <c r="G1989" t="s">
        <v>2255</v>
      </c>
      <c r="H1989" s="2">
        <v>45656</v>
      </c>
      <c r="I1989" s="2">
        <v>45686</v>
      </c>
      <c r="J1989" t="s">
        <v>20</v>
      </c>
      <c r="K1989" s="21">
        <v>349.3</v>
      </c>
      <c r="L1989" s="21">
        <v>349.3</v>
      </c>
      <c r="M1989">
        <v>0</v>
      </c>
      <c r="N1989" s="21">
        <v>349.3</v>
      </c>
    </row>
    <row r="1990" spans="1:14">
      <c r="A1990" t="str">
        <f>IFERROR(_xlfn.XLOOKUP(B1990,Cuentas!$C$1:$C$521,Cuentas!$A$1:$A$521),"")</f>
        <v>Yuldor</v>
      </c>
      <c r="B1990" t="s">
        <v>2152</v>
      </c>
      <c r="C1990" t="s">
        <v>2153</v>
      </c>
      <c r="D1990" t="s">
        <v>16</v>
      </c>
      <c r="E1990" t="s">
        <v>7</v>
      </c>
      <c r="F1990" t="s">
        <v>2256</v>
      </c>
      <c r="G1990" t="s">
        <v>2256</v>
      </c>
      <c r="H1990" s="2">
        <v>45656</v>
      </c>
      <c r="I1990" s="2">
        <v>45686</v>
      </c>
      <c r="J1990" t="s">
        <v>20</v>
      </c>
      <c r="K1990" s="21">
        <v>367</v>
      </c>
      <c r="L1990" s="21">
        <v>367</v>
      </c>
      <c r="M1990">
        <v>0</v>
      </c>
      <c r="N1990" s="21">
        <v>367</v>
      </c>
    </row>
    <row r="1991" spans="1:14">
      <c r="A1991" t="str">
        <f>IFERROR(_xlfn.XLOOKUP(B1991,Cuentas!$C$1:$C$521,Cuentas!$A$1:$A$521),"")</f>
        <v>Yuldor</v>
      </c>
      <c r="B1991" t="s">
        <v>2152</v>
      </c>
      <c r="C1991" t="s">
        <v>2153</v>
      </c>
      <c r="D1991" t="s">
        <v>16</v>
      </c>
      <c r="E1991" t="s">
        <v>7</v>
      </c>
      <c r="F1991" t="s">
        <v>2257</v>
      </c>
      <c r="G1991" t="s">
        <v>2257</v>
      </c>
      <c r="H1991" s="2">
        <v>45656</v>
      </c>
      <c r="I1991" s="2">
        <v>45686</v>
      </c>
      <c r="J1991" t="s">
        <v>20</v>
      </c>
      <c r="K1991" s="21">
        <v>295</v>
      </c>
      <c r="L1991" s="21">
        <v>295</v>
      </c>
      <c r="M1991">
        <v>0</v>
      </c>
      <c r="N1991" s="21">
        <v>295</v>
      </c>
    </row>
    <row r="1992" spans="1:14">
      <c r="A1992" t="str">
        <f>IFERROR(_xlfn.XLOOKUP(B1992,Cuentas!$C$1:$C$521,Cuentas!$A$1:$A$521),"")</f>
        <v>Yuldor</v>
      </c>
      <c r="B1992" t="s">
        <v>2152</v>
      </c>
      <c r="C1992" t="s">
        <v>2153</v>
      </c>
      <c r="D1992" t="s">
        <v>16</v>
      </c>
      <c r="E1992" t="s">
        <v>7</v>
      </c>
      <c r="F1992" t="s">
        <v>2258</v>
      </c>
      <c r="G1992" t="s">
        <v>2258</v>
      </c>
      <c r="H1992" s="2">
        <v>45656</v>
      </c>
      <c r="I1992" s="2">
        <v>45686</v>
      </c>
      <c r="J1992" t="s">
        <v>20</v>
      </c>
      <c r="K1992" s="21">
        <v>368</v>
      </c>
      <c r="L1992" s="21">
        <v>368</v>
      </c>
      <c r="M1992">
        <v>0</v>
      </c>
      <c r="N1992" s="21">
        <v>368</v>
      </c>
    </row>
    <row r="1993" spans="1:14">
      <c r="A1993" t="str">
        <f>IFERROR(_xlfn.XLOOKUP(B1993,Cuentas!$C$1:$C$521,Cuentas!$A$1:$A$521),"")</f>
        <v>Yuldor</v>
      </c>
      <c r="B1993" t="s">
        <v>2152</v>
      </c>
      <c r="C1993" t="s">
        <v>2153</v>
      </c>
      <c r="D1993" t="s">
        <v>16</v>
      </c>
      <c r="E1993" t="s">
        <v>7</v>
      </c>
      <c r="F1993" t="s">
        <v>2259</v>
      </c>
      <c r="G1993" t="s">
        <v>2259</v>
      </c>
      <c r="H1993" s="2">
        <v>45656</v>
      </c>
      <c r="I1993" s="2">
        <v>45686</v>
      </c>
      <c r="J1993" t="s">
        <v>20</v>
      </c>
      <c r="K1993" s="21">
        <v>276</v>
      </c>
      <c r="L1993" s="21">
        <v>276</v>
      </c>
      <c r="M1993">
        <v>0</v>
      </c>
      <c r="N1993" s="21">
        <v>276</v>
      </c>
    </row>
    <row r="1994" spans="1:14">
      <c r="A1994" t="str">
        <f>IFERROR(_xlfn.XLOOKUP(B1994,Cuentas!$C$1:$C$521,Cuentas!$A$1:$A$521),"")</f>
        <v>Yuldor</v>
      </c>
      <c r="B1994" t="s">
        <v>2152</v>
      </c>
      <c r="C1994" t="s">
        <v>2153</v>
      </c>
      <c r="D1994" t="s">
        <v>16</v>
      </c>
      <c r="E1994" t="s">
        <v>7</v>
      </c>
      <c r="F1994" t="s">
        <v>2260</v>
      </c>
      <c r="G1994" t="s">
        <v>2260</v>
      </c>
      <c r="H1994" s="2">
        <v>45656</v>
      </c>
      <c r="I1994" s="2">
        <v>45686</v>
      </c>
      <c r="J1994" t="s">
        <v>20</v>
      </c>
      <c r="K1994" s="21">
        <v>1128.0999999999999</v>
      </c>
      <c r="L1994" s="21">
        <v>1128.0999999999999</v>
      </c>
      <c r="M1994">
        <v>0</v>
      </c>
      <c r="N1994" s="21">
        <v>1128.0999999999999</v>
      </c>
    </row>
    <row r="1995" spans="1:14">
      <c r="A1995" t="str">
        <f>IFERROR(_xlfn.XLOOKUP(B1995,Cuentas!$C$1:$C$521,Cuentas!$A$1:$A$521),"")</f>
        <v>Yuldor</v>
      </c>
      <c r="B1995" t="s">
        <v>2152</v>
      </c>
      <c r="C1995" t="s">
        <v>2153</v>
      </c>
      <c r="D1995" t="s">
        <v>16</v>
      </c>
      <c r="E1995" t="s">
        <v>7</v>
      </c>
      <c r="F1995" t="s">
        <v>2261</v>
      </c>
      <c r="G1995" t="s">
        <v>2261</v>
      </c>
      <c r="H1995" s="2">
        <v>45656</v>
      </c>
      <c r="I1995" s="2">
        <v>45686</v>
      </c>
      <c r="J1995" t="s">
        <v>20</v>
      </c>
      <c r="K1995" s="21">
        <v>153</v>
      </c>
      <c r="L1995" s="21">
        <v>153</v>
      </c>
      <c r="M1995">
        <v>0</v>
      </c>
      <c r="N1995" s="21">
        <v>153</v>
      </c>
    </row>
    <row r="1996" spans="1:14">
      <c r="A1996" t="str">
        <f>IFERROR(_xlfn.XLOOKUP(B1996,Cuentas!$C$1:$C$521,Cuentas!$A$1:$A$521),"")</f>
        <v>Yuldor</v>
      </c>
      <c r="B1996" t="s">
        <v>2152</v>
      </c>
      <c r="C1996" t="s">
        <v>2153</v>
      </c>
      <c r="D1996" t="s">
        <v>16</v>
      </c>
      <c r="E1996" t="s">
        <v>7</v>
      </c>
      <c r="F1996" t="s">
        <v>2262</v>
      </c>
      <c r="G1996" t="s">
        <v>2262</v>
      </c>
      <c r="H1996" s="2">
        <v>45656</v>
      </c>
      <c r="I1996" s="2">
        <v>45686</v>
      </c>
      <c r="J1996" t="s">
        <v>20</v>
      </c>
      <c r="K1996" s="21">
        <v>920</v>
      </c>
      <c r="L1996" s="21">
        <v>920</v>
      </c>
      <c r="M1996">
        <v>0</v>
      </c>
      <c r="N1996" s="21">
        <v>920</v>
      </c>
    </row>
    <row r="1997" spans="1:14">
      <c r="A1997" t="str">
        <f>IFERROR(_xlfn.XLOOKUP(B1997,Cuentas!$C$1:$C$521,Cuentas!$A$1:$A$521),"")</f>
        <v>Yuldor</v>
      </c>
      <c r="B1997" t="s">
        <v>2152</v>
      </c>
      <c r="C1997" t="s">
        <v>2153</v>
      </c>
      <c r="D1997" t="s">
        <v>16</v>
      </c>
      <c r="E1997" t="s">
        <v>7</v>
      </c>
      <c r="F1997" t="s">
        <v>2263</v>
      </c>
      <c r="G1997" t="s">
        <v>2263</v>
      </c>
      <c r="H1997" s="2">
        <v>45656</v>
      </c>
      <c r="I1997" s="2">
        <v>45686</v>
      </c>
      <c r="J1997" t="s">
        <v>20</v>
      </c>
      <c r="K1997" s="21">
        <v>149</v>
      </c>
      <c r="L1997" s="21">
        <v>149</v>
      </c>
      <c r="M1997">
        <v>0</v>
      </c>
      <c r="N1997" s="21">
        <v>149</v>
      </c>
    </row>
    <row r="1998" spans="1:14">
      <c r="A1998" t="str">
        <f>IFERROR(_xlfn.XLOOKUP(B1998,Cuentas!$C$1:$C$521,Cuentas!$A$1:$A$521),"")</f>
        <v>Yuldor</v>
      </c>
      <c r="B1998" t="s">
        <v>2152</v>
      </c>
      <c r="C1998" t="s">
        <v>2153</v>
      </c>
      <c r="D1998" t="s">
        <v>16</v>
      </c>
      <c r="E1998" t="s">
        <v>7</v>
      </c>
      <c r="F1998" t="s">
        <v>2264</v>
      </c>
      <c r="G1998" t="s">
        <v>2264</v>
      </c>
      <c r="H1998" s="2">
        <v>45656</v>
      </c>
      <c r="I1998" s="2">
        <v>45686</v>
      </c>
      <c r="J1998" t="s">
        <v>20</v>
      </c>
      <c r="K1998" s="21">
        <v>368</v>
      </c>
      <c r="L1998" s="21">
        <v>368</v>
      </c>
      <c r="M1998">
        <v>0</v>
      </c>
      <c r="N1998" s="21">
        <v>368</v>
      </c>
    </row>
    <row r="1999" spans="1:14">
      <c r="A1999" t="str">
        <f>IFERROR(_xlfn.XLOOKUP(B1999,Cuentas!$C$1:$C$521,Cuentas!$A$1:$A$521),"")</f>
        <v>Yuldor</v>
      </c>
      <c r="B1999" t="s">
        <v>2152</v>
      </c>
      <c r="C1999" t="s">
        <v>2153</v>
      </c>
      <c r="D1999" t="s">
        <v>16</v>
      </c>
      <c r="E1999" t="s">
        <v>7</v>
      </c>
      <c r="F1999" t="s">
        <v>2265</v>
      </c>
      <c r="G1999" t="s">
        <v>2265</v>
      </c>
      <c r="H1999" s="2">
        <v>45656</v>
      </c>
      <c r="I1999" s="2">
        <v>45686</v>
      </c>
      <c r="J1999" t="s">
        <v>20</v>
      </c>
      <c r="K1999" s="21">
        <v>292.3</v>
      </c>
      <c r="L1999" s="21">
        <v>292.3</v>
      </c>
      <c r="M1999">
        <v>0</v>
      </c>
      <c r="N1999" s="21">
        <v>292.3</v>
      </c>
    </row>
    <row r="2000" spans="1:14">
      <c r="A2000" t="str">
        <f>IFERROR(_xlfn.XLOOKUP(B2000,Cuentas!$C$1:$C$521,Cuentas!$A$1:$A$521),"")</f>
        <v>Yuldor</v>
      </c>
      <c r="B2000" t="s">
        <v>2152</v>
      </c>
      <c r="C2000" t="s">
        <v>2153</v>
      </c>
      <c r="D2000" t="s">
        <v>16</v>
      </c>
      <c r="E2000" t="s">
        <v>7</v>
      </c>
      <c r="F2000" t="s">
        <v>2266</v>
      </c>
      <c r="G2000" t="s">
        <v>2266</v>
      </c>
      <c r="H2000" s="2">
        <v>45656</v>
      </c>
      <c r="I2000" s="2">
        <v>45686</v>
      </c>
      <c r="J2000" t="s">
        <v>20</v>
      </c>
      <c r="K2000" s="21">
        <v>303.89999999999998</v>
      </c>
      <c r="L2000" s="21">
        <v>303.89999999999998</v>
      </c>
      <c r="M2000">
        <v>0</v>
      </c>
      <c r="N2000" s="21">
        <v>303.89999999999998</v>
      </c>
    </row>
    <row r="2001" spans="1:14">
      <c r="A2001" t="str">
        <f>IFERROR(_xlfn.XLOOKUP(B2001,Cuentas!$C$1:$C$521,Cuentas!$A$1:$A$521),"")</f>
        <v>Yuldor</v>
      </c>
      <c r="B2001" t="s">
        <v>2152</v>
      </c>
      <c r="C2001" t="s">
        <v>2153</v>
      </c>
      <c r="D2001" t="s">
        <v>16</v>
      </c>
      <c r="E2001" t="s">
        <v>7</v>
      </c>
      <c r="F2001" t="s">
        <v>2267</v>
      </c>
      <c r="G2001" t="s">
        <v>2267</v>
      </c>
      <c r="H2001" s="2">
        <v>45657</v>
      </c>
      <c r="I2001" s="2">
        <v>45687</v>
      </c>
      <c r="J2001" t="s">
        <v>20</v>
      </c>
      <c r="K2001" s="21">
        <v>128.16</v>
      </c>
      <c r="L2001" s="21">
        <v>128.16</v>
      </c>
      <c r="M2001">
        <v>0</v>
      </c>
      <c r="N2001" s="21">
        <v>128.16</v>
      </c>
    </row>
    <row r="2002" spans="1:14">
      <c r="A2002" t="str">
        <f>IFERROR(_xlfn.XLOOKUP(B2002,Cuentas!$C$1:$C$521,Cuentas!$A$1:$A$521),"")</f>
        <v>Yuldor</v>
      </c>
      <c r="B2002" t="s">
        <v>2152</v>
      </c>
      <c r="C2002" t="s">
        <v>2153</v>
      </c>
      <c r="D2002" t="s">
        <v>16</v>
      </c>
      <c r="E2002" t="s">
        <v>7</v>
      </c>
      <c r="F2002" t="s">
        <v>2268</v>
      </c>
      <c r="G2002" t="s">
        <v>2268</v>
      </c>
      <c r="H2002" s="2">
        <v>45657</v>
      </c>
      <c r="I2002" s="2">
        <v>45687</v>
      </c>
      <c r="J2002" t="s">
        <v>20</v>
      </c>
      <c r="K2002" s="21">
        <v>231.5</v>
      </c>
      <c r="L2002" s="21">
        <v>231.5</v>
      </c>
      <c r="M2002">
        <v>0</v>
      </c>
      <c r="N2002" s="21">
        <v>231.5</v>
      </c>
    </row>
    <row r="2003" spans="1:14">
      <c r="A2003" t="str">
        <f>IFERROR(_xlfn.XLOOKUP(B2003,Cuentas!$C$1:$C$521,Cuentas!$A$1:$A$521),"")</f>
        <v>Yuldor</v>
      </c>
      <c r="B2003" t="s">
        <v>2152</v>
      </c>
      <c r="C2003" t="s">
        <v>2153</v>
      </c>
      <c r="D2003" t="s">
        <v>16</v>
      </c>
      <c r="E2003" t="s">
        <v>7</v>
      </c>
      <c r="F2003" t="s">
        <v>2269</v>
      </c>
      <c r="G2003" t="s">
        <v>2269</v>
      </c>
      <c r="H2003" s="2">
        <v>45657</v>
      </c>
      <c r="I2003" s="2">
        <v>45687</v>
      </c>
      <c r="J2003" t="s">
        <v>20</v>
      </c>
      <c r="K2003" s="21">
        <v>179.13</v>
      </c>
      <c r="L2003" s="21">
        <v>179.13</v>
      </c>
      <c r="M2003">
        <v>0</v>
      </c>
      <c r="N2003" s="21">
        <v>179.13</v>
      </c>
    </row>
    <row r="2004" spans="1:14">
      <c r="A2004" t="str">
        <f>IFERROR(_xlfn.XLOOKUP(B2004,Cuentas!$C$1:$C$521,Cuentas!$A$1:$A$521),"")</f>
        <v>Yuldor</v>
      </c>
      <c r="B2004" t="s">
        <v>2152</v>
      </c>
      <c r="C2004" t="s">
        <v>2153</v>
      </c>
      <c r="D2004" t="s">
        <v>16</v>
      </c>
      <c r="E2004" t="s">
        <v>7</v>
      </c>
      <c r="F2004" t="s">
        <v>2270</v>
      </c>
      <c r="G2004" t="s">
        <v>2270</v>
      </c>
      <c r="H2004" s="2">
        <v>45657</v>
      </c>
      <c r="I2004" s="2">
        <v>45687</v>
      </c>
      <c r="J2004" t="s">
        <v>20</v>
      </c>
      <c r="K2004" s="21">
        <v>477.3</v>
      </c>
      <c r="L2004" s="21">
        <v>477.3</v>
      </c>
      <c r="M2004">
        <v>0</v>
      </c>
      <c r="N2004" s="21">
        <v>477.3</v>
      </c>
    </row>
    <row r="2005" spans="1:14">
      <c r="A2005" t="str">
        <f>IFERROR(_xlfn.XLOOKUP(B2005,Cuentas!$C$1:$C$521,Cuentas!$A$1:$A$521),"")</f>
        <v>Yuldor</v>
      </c>
      <c r="B2005" t="s">
        <v>2152</v>
      </c>
      <c r="C2005" t="s">
        <v>2153</v>
      </c>
      <c r="D2005" t="s">
        <v>16</v>
      </c>
      <c r="E2005" t="s">
        <v>7</v>
      </c>
      <c r="F2005" t="s">
        <v>2271</v>
      </c>
      <c r="G2005" t="s">
        <v>2271</v>
      </c>
      <c r="H2005" s="2">
        <v>45657</v>
      </c>
      <c r="I2005" s="2">
        <v>45687</v>
      </c>
      <c r="J2005" t="s">
        <v>20</v>
      </c>
      <c r="K2005" s="21">
        <v>259.5</v>
      </c>
      <c r="L2005" s="21">
        <v>259.5</v>
      </c>
      <c r="M2005">
        <v>0</v>
      </c>
      <c r="N2005" s="21">
        <v>259.5</v>
      </c>
    </row>
    <row r="2006" spans="1:14">
      <c r="A2006" t="str">
        <f>IFERROR(_xlfn.XLOOKUP(B2006,Cuentas!$C$1:$C$521,Cuentas!$A$1:$A$521),"")</f>
        <v>Yuldor</v>
      </c>
      <c r="B2006" t="s">
        <v>2152</v>
      </c>
      <c r="C2006" t="s">
        <v>2153</v>
      </c>
      <c r="D2006" t="s">
        <v>16</v>
      </c>
      <c r="E2006" t="s">
        <v>7</v>
      </c>
      <c r="F2006" t="s">
        <v>2272</v>
      </c>
      <c r="G2006" t="s">
        <v>2272</v>
      </c>
      <c r="H2006" s="2">
        <v>45657</v>
      </c>
      <c r="I2006" s="2">
        <v>45687</v>
      </c>
      <c r="J2006" t="s">
        <v>20</v>
      </c>
      <c r="K2006" s="21">
        <v>197.8</v>
      </c>
      <c r="L2006" s="21">
        <v>197.8</v>
      </c>
      <c r="M2006">
        <v>0</v>
      </c>
      <c r="N2006" s="21">
        <v>197.8</v>
      </c>
    </row>
    <row r="2007" spans="1:14">
      <c r="A2007" t="str">
        <f>IFERROR(_xlfn.XLOOKUP(B2007,Cuentas!$C$1:$C$521,Cuentas!$A$1:$A$521),"")</f>
        <v>Yuldor</v>
      </c>
      <c r="B2007" t="s">
        <v>2152</v>
      </c>
      <c r="C2007" t="s">
        <v>2153</v>
      </c>
      <c r="D2007" t="s">
        <v>16</v>
      </c>
      <c r="E2007" t="s">
        <v>7</v>
      </c>
      <c r="F2007" t="s">
        <v>2273</v>
      </c>
      <c r="G2007" t="s">
        <v>2273</v>
      </c>
      <c r="H2007" s="2">
        <v>45657</v>
      </c>
      <c r="I2007" s="2">
        <v>45687</v>
      </c>
      <c r="J2007" t="s">
        <v>20</v>
      </c>
      <c r="K2007" s="21">
        <v>57</v>
      </c>
      <c r="L2007" s="21">
        <v>57</v>
      </c>
      <c r="M2007">
        <v>0</v>
      </c>
      <c r="N2007" s="21">
        <v>57</v>
      </c>
    </row>
    <row r="2008" spans="1:14">
      <c r="A2008" t="str">
        <f>IFERROR(_xlfn.XLOOKUP(B2008,Cuentas!$C$1:$C$521,Cuentas!$A$1:$A$521),"")</f>
        <v>Yuldor</v>
      </c>
      <c r="B2008" t="s">
        <v>2152</v>
      </c>
      <c r="C2008" t="s">
        <v>2153</v>
      </c>
      <c r="D2008" t="s">
        <v>16</v>
      </c>
      <c r="E2008" t="s">
        <v>7</v>
      </c>
      <c r="F2008" t="s">
        <v>2274</v>
      </c>
      <c r="G2008" t="s">
        <v>2274</v>
      </c>
      <c r="H2008" s="2">
        <v>45657</v>
      </c>
      <c r="I2008" s="2">
        <v>45687</v>
      </c>
      <c r="J2008" t="s">
        <v>20</v>
      </c>
      <c r="K2008" s="21">
        <v>547.1</v>
      </c>
      <c r="L2008" s="21">
        <v>547.1</v>
      </c>
      <c r="M2008">
        <v>0</v>
      </c>
      <c r="N2008" s="21">
        <v>547.1</v>
      </c>
    </row>
    <row r="2009" spans="1:14">
      <c r="A2009" t="str">
        <f>IFERROR(_xlfn.XLOOKUP(B2009,Cuentas!$C$1:$C$521,Cuentas!$A$1:$A$521),"")</f>
        <v>Yuldor</v>
      </c>
      <c r="B2009" t="s">
        <v>2152</v>
      </c>
      <c r="C2009" t="s">
        <v>2153</v>
      </c>
      <c r="D2009" t="s">
        <v>16</v>
      </c>
      <c r="E2009" t="s">
        <v>7</v>
      </c>
      <c r="F2009" t="s">
        <v>2275</v>
      </c>
      <c r="G2009" t="s">
        <v>2275</v>
      </c>
      <c r="H2009" s="2">
        <v>45657</v>
      </c>
      <c r="I2009" s="2">
        <v>45687</v>
      </c>
      <c r="J2009" t="s">
        <v>20</v>
      </c>
      <c r="K2009" s="21">
        <v>189.8</v>
      </c>
      <c r="L2009" s="21">
        <v>189.8</v>
      </c>
      <c r="M2009">
        <v>0</v>
      </c>
      <c r="N2009" s="21">
        <v>189.8</v>
      </c>
    </row>
    <row r="2010" spans="1:14">
      <c r="A2010" t="str">
        <f>IFERROR(_xlfn.XLOOKUP(B2010,Cuentas!$C$1:$C$521,Cuentas!$A$1:$A$521),"")</f>
        <v>Yuldor</v>
      </c>
      <c r="B2010" t="s">
        <v>2152</v>
      </c>
      <c r="C2010" t="s">
        <v>2153</v>
      </c>
      <c r="D2010" t="s">
        <v>16</v>
      </c>
      <c r="E2010" t="s">
        <v>7</v>
      </c>
      <c r="F2010" t="s">
        <v>2276</v>
      </c>
      <c r="G2010" t="s">
        <v>2276</v>
      </c>
      <c r="H2010" s="2">
        <v>45657</v>
      </c>
      <c r="I2010" s="2">
        <v>45687</v>
      </c>
      <c r="J2010" t="s">
        <v>20</v>
      </c>
      <c r="K2010" s="21">
        <v>217.49</v>
      </c>
      <c r="L2010" s="21">
        <v>217.49</v>
      </c>
      <c r="M2010">
        <v>0</v>
      </c>
      <c r="N2010" s="21">
        <v>217.49</v>
      </c>
    </row>
    <row r="2011" spans="1:14">
      <c r="A2011" t="str">
        <f>IFERROR(_xlfn.XLOOKUP(B2011,Cuentas!$C$1:$C$521,Cuentas!$A$1:$A$521),"")</f>
        <v>Yuldor</v>
      </c>
      <c r="B2011" t="s">
        <v>2152</v>
      </c>
      <c r="C2011" t="s">
        <v>2153</v>
      </c>
      <c r="D2011" t="s">
        <v>16</v>
      </c>
      <c r="E2011" t="s">
        <v>7</v>
      </c>
      <c r="F2011" t="s">
        <v>2277</v>
      </c>
      <c r="G2011" t="s">
        <v>2277</v>
      </c>
      <c r="H2011" s="2">
        <v>45657</v>
      </c>
      <c r="I2011" s="2">
        <v>45687</v>
      </c>
      <c r="J2011" t="s">
        <v>20</v>
      </c>
      <c r="K2011" s="21">
        <v>56.3</v>
      </c>
      <c r="L2011" s="21">
        <v>56.3</v>
      </c>
      <c r="M2011">
        <v>0</v>
      </c>
      <c r="N2011" s="21">
        <v>56.3</v>
      </c>
    </row>
    <row r="2012" spans="1:14">
      <c r="A2012" t="str">
        <f>IFERROR(_xlfn.XLOOKUP(B2012,Cuentas!$C$1:$C$521,Cuentas!$A$1:$A$521),"")</f>
        <v>Yuldor</v>
      </c>
      <c r="B2012" t="s">
        <v>2152</v>
      </c>
      <c r="C2012" t="s">
        <v>2153</v>
      </c>
      <c r="D2012" t="s">
        <v>16</v>
      </c>
      <c r="E2012" t="s">
        <v>7</v>
      </c>
      <c r="F2012" t="s">
        <v>2278</v>
      </c>
      <c r="G2012" t="s">
        <v>2278</v>
      </c>
      <c r="H2012" s="2">
        <v>45657</v>
      </c>
      <c r="I2012" s="2">
        <v>45687</v>
      </c>
      <c r="J2012" t="s">
        <v>20</v>
      </c>
      <c r="K2012" s="21">
        <v>144.5</v>
      </c>
      <c r="L2012" s="21">
        <v>144.5</v>
      </c>
      <c r="M2012">
        <v>0</v>
      </c>
      <c r="N2012" s="21">
        <v>144.5</v>
      </c>
    </row>
    <row r="2013" spans="1:14">
      <c r="A2013" t="str">
        <f>IFERROR(_xlfn.XLOOKUP(B2013,Cuentas!$C$1:$C$521,Cuentas!$A$1:$A$521),"")</f>
        <v>Yuldor</v>
      </c>
      <c r="B2013" t="s">
        <v>2152</v>
      </c>
      <c r="C2013" t="s">
        <v>2153</v>
      </c>
      <c r="D2013" t="s">
        <v>16</v>
      </c>
      <c r="E2013" t="s">
        <v>7</v>
      </c>
      <c r="F2013" t="s">
        <v>2279</v>
      </c>
      <c r="G2013" t="s">
        <v>2279</v>
      </c>
      <c r="H2013" s="2">
        <v>45657</v>
      </c>
      <c r="I2013" s="2">
        <v>45687</v>
      </c>
      <c r="J2013" t="s">
        <v>20</v>
      </c>
      <c r="K2013" s="21">
        <v>144.5</v>
      </c>
      <c r="L2013" s="21">
        <v>144.5</v>
      </c>
      <c r="M2013">
        <v>0</v>
      </c>
      <c r="N2013" s="21">
        <v>144.5</v>
      </c>
    </row>
    <row r="2014" spans="1:14">
      <c r="A2014" t="str">
        <f>IFERROR(_xlfn.XLOOKUP(B2014,Cuentas!$C$1:$C$521,Cuentas!$A$1:$A$521),"")</f>
        <v>Yuldor</v>
      </c>
      <c r="B2014" t="s">
        <v>2152</v>
      </c>
      <c r="C2014" t="s">
        <v>2153</v>
      </c>
      <c r="D2014" t="s">
        <v>16</v>
      </c>
      <c r="E2014" t="s">
        <v>7</v>
      </c>
      <c r="F2014" t="s">
        <v>2280</v>
      </c>
      <c r="G2014" t="s">
        <v>2280</v>
      </c>
      <c r="H2014" s="2">
        <v>45657</v>
      </c>
      <c r="I2014" s="2">
        <v>45687</v>
      </c>
      <c r="J2014" t="s">
        <v>20</v>
      </c>
      <c r="K2014" s="21">
        <v>147.5</v>
      </c>
      <c r="L2014" s="21">
        <v>147.5</v>
      </c>
      <c r="M2014">
        <v>0</v>
      </c>
      <c r="N2014" s="21">
        <v>147.5</v>
      </c>
    </row>
    <row r="2015" spans="1:14">
      <c r="A2015" t="str">
        <f>IFERROR(_xlfn.XLOOKUP(B2015,Cuentas!$C$1:$C$521,Cuentas!$A$1:$A$521),"")</f>
        <v>Yuldor</v>
      </c>
      <c r="B2015" t="s">
        <v>2152</v>
      </c>
      <c r="C2015" t="s">
        <v>2153</v>
      </c>
      <c r="D2015" t="s">
        <v>16</v>
      </c>
      <c r="E2015" t="s">
        <v>7</v>
      </c>
      <c r="F2015" t="s">
        <v>2281</v>
      </c>
      <c r="G2015" t="s">
        <v>2281</v>
      </c>
      <c r="H2015" s="2">
        <v>45660</v>
      </c>
      <c r="I2015" s="2">
        <v>45690</v>
      </c>
      <c r="J2015" t="s">
        <v>20</v>
      </c>
      <c r="K2015" s="21">
        <v>552</v>
      </c>
      <c r="L2015" s="21">
        <v>552</v>
      </c>
      <c r="M2015">
        <v>0</v>
      </c>
      <c r="N2015" s="21">
        <v>552</v>
      </c>
    </row>
    <row r="2016" spans="1:14">
      <c r="A2016" t="str">
        <f>IFERROR(_xlfn.XLOOKUP(B2016,Cuentas!$C$1:$C$521,Cuentas!$A$1:$A$521),"")</f>
        <v>Yuldor</v>
      </c>
      <c r="B2016" t="s">
        <v>2152</v>
      </c>
      <c r="C2016" t="s">
        <v>2153</v>
      </c>
      <c r="D2016" t="s">
        <v>16</v>
      </c>
      <c r="E2016" t="s">
        <v>7</v>
      </c>
      <c r="F2016" t="s">
        <v>2282</v>
      </c>
      <c r="G2016" t="s">
        <v>2282</v>
      </c>
      <c r="H2016" s="2">
        <v>45660</v>
      </c>
      <c r="I2016" s="2">
        <v>45690</v>
      </c>
      <c r="J2016" t="s">
        <v>20</v>
      </c>
      <c r="K2016" s="21">
        <v>208.2</v>
      </c>
      <c r="L2016" s="21">
        <v>208.2</v>
      </c>
      <c r="M2016">
        <v>0</v>
      </c>
      <c r="N2016" s="21">
        <v>208.2</v>
      </c>
    </row>
    <row r="2017" spans="1:14">
      <c r="A2017" t="str">
        <f>IFERROR(_xlfn.XLOOKUP(B2017,Cuentas!$C$1:$C$521,Cuentas!$A$1:$A$521),"")</f>
        <v>Yuldor</v>
      </c>
      <c r="B2017" t="s">
        <v>2152</v>
      </c>
      <c r="C2017" t="s">
        <v>2153</v>
      </c>
      <c r="D2017" t="s">
        <v>16</v>
      </c>
      <c r="E2017" t="s">
        <v>7</v>
      </c>
      <c r="F2017" t="s">
        <v>2283</v>
      </c>
      <c r="G2017" t="s">
        <v>2283</v>
      </c>
      <c r="H2017" s="2">
        <v>45660</v>
      </c>
      <c r="I2017" s="2">
        <v>45690</v>
      </c>
      <c r="J2017" t="s">
        <v>20</v>
      </c>
      <c r="K2017" s="21">
        <v>306.43</v>
      </c>
      <c r="L2017" s="21">
        <v>306.43</v>
      </c>
      <c r="M2017">
        <v>0</v>
      </c>
      <c r="N2017" s="21">
        <v>306.43</v>
      </c>
    </row>
    <row r="2018" spans="1:14">
      <c r="A2018" t="str">
        <f>IFERROR(_xlfn.XLOOKUP(B2018,Cuentas!$C$1:$C$521,Cuentas!$A$1:$A$521),"")</f>
        <v>Yuldor</v>
      </c>
      <c r="B2018" t="s">
        <v>2152</v>
      </c>
      <c r="C2018" t="s">
        <v>2153</v>
      </c>
      <c r="D2018" t="s">
        <v>16</v>
      </c>
      <c r="E2018" t="s">
        <v>7</v>
      </c>
      <c r="F2018" t="s">
        <v>2284</v>
      </c>
      <c r="G2018" t="s">
        <v>2284</v>
      </c>
      <c r="H2018" s="2">
        <v>45660</v>
      </c>
      <c r="I2018" s="2">
        <v>45690</v>
      </c>
      <c r="J2018" t="s">
        <v>20</v>
      </c>
      <c r="K2018" s="21">
        <v>168.9</v>
      </c>
      <c r="L2018" s="21">
        <v>168.9</v>
      </c>
      <c r="M2018">
        <v>0</v>
      </c>
      <c r="N2018" s="21">
        <v>168.9</v>
      </c>
    </row>
    <row r="2019" spans="1:14">
      <c r="A2019" t="str">
        <f>IFERROR(_xlfn.XLOOKUP(B2019,Cuentas!$C$1:$C$521,Cuentas!$A$1:$A$521),"")</f>
        <v>Yuldor</v>
      </c>
      <c r="B2019" t="s">
        <v>2152</v>
      </c>
      <c r="C2019" t="s">
        <v>2153</v>
      </c>
      <c r="D2019" t="s">
        <v>16</v>
      </c>
      <c r="E2019" t="s">
        <v>7</v>
      </c>
      <c r="F2019" t="s">
        <v>2285</v>
      </c>
      <c r="G2019" t="s">
        <v>2285</v>
      </c>
      <c r="H2019" s="2">
        <v>45660</v>
      </c>
      <c r="I2019" s="2">
        <v>45690</v>
      </c>
      <c r="J2019" t="s">
        <v>20</v>
      </c>
      <c r="K2019" s="21">
        <v>225.2</v>
      </c>
      <c r="L2019" s="21">
        <v>225.2</v>
      </c>
      <c r="M2019">
        <v>0</v>
      </c>
      <c r="N2019" s="21">
        <v>225.2</v>
      </c>
    </row>
    <row r="2020" spans="1:14">
      <c r="A2020" t="str">
        <f>IFERROR(_xlfn.XLOOKUP(B2020,Cuentas!$C$1:$C$521,Cuentas!$A$1:$A$521),"")</f>
        <v>Yuldor</v>
      </c>
      <c r="B2020" t="s">
        <v>2152</v>
      </c>
      <c r="C2020" t="s">
        <v>2153</v>
      </c>
      <c r="D2020" t="s">
        <v>16</v>
      </c>
      <c r="E2020" t="s">
        <v>7</v>
      </c>
      <c r="F2020" t="s">
        <v>2286</v>
      </c>
      <c r="G2020" t="s">
        <v>2286</v>
      </c>
      <c r="H2020" s="2">
        <v>45660</v>
      </c>
      <c r="I2020" s="2">
        <v>45690</v>
      </c>
      <c r="J2020" t="s">
        <v>20</v>
      </c>
      <c r="K2020" s="21">
        <v>509.3</v>
      </c>
      <c r="L2020" s="21">
        <v>509.3</v>
      </c>
      <c r="M2020">
        <v>0</v>
      </c>
      <c r="N2020" s="21">
        <v>509.3</v>
      </c>
    </row>
    <row r="2021" spans="1:14">
      <c r="A2021" t="str">
        <f>IFERROR(_xlfn.XLOOKUP(B2021,Cuentas!$C$1:$C$521,Cuentas!$A$1:$A$521),"")</f>
        <v>Yuldor</v>
      </c>
      <c r="B2021" t="s">
        <v>2152</v>
      </c>
      <c r="C2021" t="s">
        <v>2153</v>
      </c>
      <c r="D2021" t="s">
        <v>16</v>
      </c>
      <c r="E2021" t="s">
        <v>7</v>
      </c>
      <c r="F2021" t="s">
        <v>2287</v>
      </c>
      <c r="G2021" t="s">
        <v>2287</v>
      </c>
      <c r="H2021" s="2">
        <v>45660</v>
      </c>
      <c r="I2021" s="2">
        <v>45690</v>
      </c>
      <c r="J2021" t="s">
        <v>20</v>
      </c>
      <c r="K2021" s="21">
        <v>119.33</v>
      </c>
      <c r="L2021" s="21">
        <v>111</v>
      </c>
      <c r="M2021">
        <v>0</v>
      </c>
      <c r="N2021" s="21">
        <v>111</v>
      </c>
    </row>
    <row r="2022" spans="1:14">
      <c r="A2022" t="str">
        <f>IFERROR(_xlfn.XLOOKUP(B2022,Cuentas!$C$1:$C$521,Cuentas!$A$1:$A$521),"")</f>
        <v>Yuldor</v>
      </c>
      <c r="B2022" t="s">
        <v>2152</v>
      </c>
      <c r="C2022" t="s">
        <v>2153</v>
      </c>
      <c r="D2022" t="s">
        <v>16</v>
      </c>
      <c r="E2022" t="s">
        <v>5502</v>
      </c>
      <c r="F2022" t="s">
        <v>2288</v>
      </c>
      <c r="G2022" t="s">
        <v>2287</v>
      </c>
      <c r="I2022" s="2">
        <v>45688</v>
      </c>
      <c r="J2022" t="s">
        <v>20</v>
      </c>
      <c r="K2022" s="21">
        <v>-8.33</v>
      </c>
      <c r="L2022" s="21" t="s">
        <v>86</v>
      </c>
      <c r="M2022">
        <v>0</v>
      </c>
      <c r="N2022" s="21" t="s">
        <v>86</v>
      </c>
    </row>
    <row r="2023" spans="1:14">
      <c r="A2023" t="str">
        <f>IFERROR(_xlfn.XLOOKUP(B2023,Cuentas!$C$1:$C$521,Cuentas!$A$1:$A$521),"")</f>
        <v>Yuldor</v>
      </c>
      <c r="B2023" t="s">
        <v>2152</v>
      </c>
      <c r="C2023" t="s">
        <v>2153</v>
      </c>
      <c r="D2023" t="s">
        <v>16</v>
      </c>
      <c r="E2023" t="s">
        <v>7</v>
      </c>
      <c r="F2023" t="s">
        <v>2289</v>
      </c>
      <c r="G2023" t="s">
        <v>2289</v>
      </c>
      <c r="H2023" s="2">
        <v>45663</v>
      </c>
      <c r="I2023" s="2">
        <v>45693</v>
      </c>
      <c r="J2023" t="s">
        <v>20</v>
      </c>
      <c r="K2023" s="21">
        <v>697.4</v>
      </c>
      <c r="L2023" s="21">
        <v>697.4</v>
      </c>
      <c r="M2023">
        <v>0</v>
      </c>
      <c r="N2023" s="21">
        <v>697.4</v>
      </c>
    </row>
    <row r="2024" spans="1:14">
      <c r="A2024" t="str">
        <f>IFERROR(_xlfn.XLOOKUP(B2024,Cuentas!$C$1:$C$521,Cuentas!$A$1:$A$521),"")</f>
        <v>Yuldor</v>
      </c>
      <c r="B2024" t="s">
        <v>2152</v>
      </c>
      <c r="C2024" t="s">
        <v>2153</v>
      </c>
      <c r="D2024" t="s">
        <v>16</v>
      </c>
      <c r="E2024" t="s">
        <v>7</v>
      </c>
      <c r="F2024" t="s">
        <v>2290</v>
      </c>
      <c r="G2024" t="s">
        <v>2290</v>
      </c>
      <c r="H2024" s="2">
        <v>45663</v>
      </c>
      <c r="I2024" s="2">
        <v>45693</v>
      </c>
      <c r="J2024" t="s">
        <v>20</v>
      </c>
      <c r="K2024" s="21">
        <v>597.6</v>
      </c>
      <c r="L2024" s="21">
        <v>597.6</v>
      </c>
      <c r="M2024">
        <v>0</v>
      </c>
      <c r="N2024" s="21">
        <v>597.6</v>
      </c>
    </row>
    <row r="2025" spans="1:14">
      <c r="A2025" t="str">
        <f>IFERROR(_xlfn.XLOOKUP(B2025,Cuentas!$C$1:$C$521,Cuentas!$A$1:$A$521),"")</f>
        <v>Yuldor</v>
      </c>
      <c r="B2025" t="s">
        <v>2152</v>
      </c>
      <c r="C2025" t="s">
        <v>2153</v>
      </c>
      <c r="D2025" t="s">
        <v>16</v>
      </c>
      <c r="E2025" t="s">
        <v>7</v>
      </c>
      <c r="F2025" t="s">
        <v>2291</v>
      </c>
      <c r="G2025" t="s">
        <v>2291</v>
      </c>
      <c r="H2025" s="2">
        <v>45663</v>
      </c>
      <c r="I2025" s="2">
        <v>45693</v>
      </c>
      <c r="J2025" t="s">
        <v>20</v>
      </c>
      <c r="K2025" s="21">
        <v>413.6</v>
      </c>
      <c r="L2025" s="21">
        <v>413.6</v>
      </c>
      <c r="M2025">
        <v>0</v>
      </c>
      <c r="N2025" s="21">
        <v>413.6</v>
      </c>
    </row>
    <row r="2026" spans="1:14">
      <c r="A2026" t="str">
        <f>IFERROR(_xlfn.XLOOKUP(B2026,Cuentas!$C$1:$C$521,Cuentas!$A$1:$A$521),"")</f>
        <v>Yuldor</v>
      </c>
      <c r="B2026" t="s">
        <v>2152</v>
      </c>
      <c r="C2026" t="s">
        <v>2153</v>
      </c>
      <c r="D2026" t="s">
        <v>16</v>
      </c>
      <c r="E2026" t="s">
        <v>7</v>
      </c>
      <c r="F2026" t="s">
        <v>2292</v>
      </c>
      <c r="G2026" t="s">
        <v>2292</v>
      </c>
      <c r="H2026" s="2">
        <v>45663</v>
      </c>
      <c r="I2026" s="2">
        <v>45693</v>
      </c>
      <c r="J2026" t="s">
        <v>20</v>
      </c>
      <c r="K2026" s="21">
        <v>88.13</v>
      </c>
      <c r="L2026" s="21">
        <v>88.13</v>
      </c>
      <c r="M2026">
        <v>0</v>
      </c>
      <c r="N2026" s="21">
        <v>88.13</v>
      </c>
    </row>
    <row r="2027" spans="1:14">
      <c r="A2027" t="str">
        <f>IFERROR(_xlfn.XLOOKUP(B2027,Cuentas!$C$1:$C$521,Cuentas!$A$1:$A$521),"")</f>
        <v>Yuldor</v>
      </c>
      <c r="B2027" t="s">
        <v>2152</v>
      </c>
      <c r="C2027" t="s">
        <v>2153</v>
      </c>
      <c r="D2027" t="s">
        <v>16</v>
      </c>
      <c r="E2027" t="s">
        <v>7</v>
      </c>
      <c r="F2027" t="s">
        <v>2293</v>
      </c>
      <c r="G2027" t="s">
        <v>2293</v>
      </c>
      <c r="H2027" s="2">
        <v>45663</v>
      </c>
      <c r="I2027" s="2">
        <v>45693</v>
      </c>
      <c r="J2027" t="s">
        <v>20</v>
      </c>
      <c r="K2027" s="21">
        <v>386.59</v>
      </c>
      <c r="L2027" s="21">
        <v>386.59</v>
      </c>
      <c r="M2027">
        <v>0</v>
      </c>
      <c r="N2027" s="21">
        <v>386.59</v>
      </c>
    </row>
    <row r="2028" spans="1:14">
      <c r="A2028" t="str">
        <f>IFERROR(_xlfn.XLOOKUP(B2028,Cuentas!$C$1:$C$521,Cuentas!$A$1:$A$521),"")</f>
        <v>Yuldor</v>
      </c>
      <c r="B2028" t="s">
        <v>2152</v>
      </c>
      <c r="C2028" t="s">
        <v>2153</v>
      </c>
      <c r="D2028" t="s">
        <v>16</v>
      </c>
      <c r="E2028" t="s">
        <v>7</v>
      </c>
      <c r="F2028" t="s">
        <v>2294</v>
      </c>
      <c r="G2028" t="s">
        <v>2294</v>
      </c>
      <c r="H2028" s="2">
        <v>45663</v>
      </c>
      <c r="I2028" s="2">
        <v>45693</v>
      </c>
      <c r="J2028" t="s">
        <v>20</v>
      </c>
      <c r="K2028" s="21">
        <v>136.22999999999999</v>
      </c>
      <c r="L2028" s="21">
        <v>136.22999999999999</v>
      </c>
      <c r="M2028">
        <v>0</v>
      </c>
      <c r="N2028" s="21">
        <v>136.22999999999999</v>
      </c>
    </row>
    <row r="2029" spans="1:14">
      <c r="A2029" t="str">
        <f>IFERROR(_xlfn.XLOOKUP(B2029,Cuentas!$C$1:$C$521,Cuentas!$A$1:$A$521),"")</f>
        <v>Yuldor</v>
      </c>
      <c r="B2029" t="s">
        <v>2152</v>
      </c>
      <c r="C2029" t="s">
        <v>2153</v>
      </c>
      <c r="D2029" t="s">
        <v>16</v>
      </c>
      <c r="E2029" t="s">
        <v>7</v>
      </c>
      <c r="F2029" t="s">
        <v>2295</v>
      </c>
      <c r="G2029" t="s">
        <v>2295</v>
      </c>
      <c r="H2029" s="2">
        <v>45663</v>
      </c>
      <c r="I2029" s="2">
        <v>45693</v>
      </c>
      <c r="J2029" t="s">
        <v>20</v>
      </c>
      <c r="K2029" s="21">
        <v>943.2</v>
      </c>
      <c r="L2029" s="21">
        <v>943.2</v>
      </c>
      <c r="M2029">
        <v>0</v>
      </c>
      <c r="N2029" s="21">
        <v>943.2</v>
      </c>
    </row>
    <row r="2030" spans="1:14">
      <c r="A2030" t="str">
        <f>IFERROR(_xlfn.XLOOKUP(B2030,Cuentas!$C$1:$C$521,Cuentas!$A$1:$A$521),"")</f>
        <v>Yuldor</v>
      </c>
      <c r="B2030" t="s">
        <v>2152</v>
      </c>
      <c r="C2030" t="s">
        <v>2153</v>
      </c>
      <c r="D2030" t="s">
        <v>16</v>
      </c>
      <c r="E2030" t="s">
        <v>7</v>
      </c>
      <c r="F2030" t="s">
        <v>2296</v>
      </c>
      <c r="G2030" t="s">
        <v>2296</v>
      </c>
      <c r="H2030" s="2">
        <v>45663</v>
      </c>
      <c r="I2030" s="2">
        <v>45693</v>
      </c>
      <c r="J2030" t="s">
        <v>20</v>
      </c>
      <c r="K2030" s="21">
        <v>148</v>
      </c>
      <c r="L2030" s="21">
        <v>148</v>
      </c>
      <c r="M2030">
        <v>0</v>
      </c>
      <c r="N2030" s="21">
        <v>148</v>
      </c>
    </row>
    <row r="2031" spans="1:14">
      <c r="A2031" t="str">
        <f>IFERROR(_xlfn.XLOOKUP(B2031,Cuentas!$C$1:$C$521,Cuentas!$A$1:$A$521),"")</f>
        <v>Yuldor</v>
      </c>
      <c r="B2031" t="s">
        <v>2152</v>
      </c>
      <c r="C2031" t="s">
        <v>2153</v>
      </c>
      <c r="D2031" t="s">
        <v>16</v>
      </c>
      <c r="E2031" t="s">
        <v>7</v>
      </c>
      <c r="F2031" t="s">
        <v>2297</v>
      </c>
      <c r="G2031" t="s">
        <v>2297</v>
      </c>
      <c r="H2031" s="2">
        <v>45663</v>
      </c>
      <c r="I2031" s="2">
        <v>45693</v>
      </c>
      <c r="J2031" t="s">
        <v>20</v>
      </c>
      <c r="K2031" s="21">
        <v>409.6</v>
      </c>
      <c r="L2031" s="21">
        <v>409.6</v>
      </c>
      <c r="M2031">
        <v>0</v>
      </c>
      <c r="N2031" s="21">
        <v>409.6</v>
      </c>
    </row>
    <row r="2032" spans="1:14">
      <c r="A2032" t="str">
        <f>IFERROR(_xlfn.XLOOKUP(B2032,Cuentas!$C$1:$C$521,Cuentas!$A$1:$A$521),"")</f>
        <v>Yuldor</v>
      </c>
      <c r="B2032" t="s">
        <v>2152</v>
      </c>
      <c r="C2032" t="s">
        <v>2153</v>
      </c>
      <c r="D2032" t="s">
        <v>16</v>
      </c>
      <c r="E2032" t="s">
        <v>7</v>
      </c>
      <c r="F2032" t="s">
        <v>2298</v>
      </c>
      <c r="G2032" t="s">
        <v>2298</v>
      </c>
      <c r="H2032" s="2">
        <v>45663</v>
      </c>
      <c r="I2032" s="2">
        <v>45693</v>
      </c>
      <c r="J2032" t="s">
        <v>20</v>
      </c>
      <c r="K2032" s="21">
        <v>220.3</v>
      </c>
      <c r="L2032" s="21">
        <v>220.3</v>
      </c>
      <c r="M2032">
        <v>0</v>
      </c>
      <c r="N2032" s="21">
        <v>220.3</v>
      </c>
    </row>
    <row r="2033" spans="1:14">
      <c r="A2033" t="str">
        <f>IFERROR(_xlfn.XLOOKUP(B2033,Cuentas!$C$1:$C$521,Cuentas!$A$1:$A$521),"")</f>
        <v>Yuldor</v>
      </c>
      <c r="B2033" t="s">
        <v>2152</v>
      </c>
      <c r="C2033" t="s">
        <v>2153</v>
      </c>
      <c r="D2033" t="s">
        <v>16</v>
      </c>
      <c r="E2033" t="s">
        <v>7</v>
      </c>
      <c r="F2033" t="s">
        <v>2299</v>
      </c>
      <c r="G2033" t="s">
        <v>2299</v>
      </c>
      <c r="H2033" s="2">
        <v>45663</v>
      </c>
      <c r="I2033" s="2">
        <v>45693</v>
      </c>
      <c r="J2033" t="s">
        <v>20</v>
      </c>
      <c r="K2033" s="21">
        <v>204.8</v>
      </c>
      <c r="L2033" s="21">
        <v>204.8</v>
      </c>
      <c r="M2033">
        <v>0</v>
      </c>
      <c r="N2033" s="21">
        <v>204.8</v>
      </c>
    </row>
    <row r="2034" spans="1:14">
      <c r="A2034" t="str">
        <f>IFERROR(_xlfn.XLOOKUP(B2034,Cuentas!$C$1:$C$521,Cuentas!$A$1:$A$521),"")</f>
        <v>Yuldor</v>
      </c>
      <c r="B2034" t="s">
        <v>2152</v>
      </c>
      <c r="C2034" t="s">
        <v>2153</v>
      </c>
      <c r="D2034" t="s">
        <v>16</v>
      </c>
      <c r="E2034" t="s">
        <v>7</v>
      </c>
      <c r="F2034" t="s">
        <v>2300</v>
      </c>
      <c r="G2034" t="s">
        <v>2300</v>
      </c>
      <c r="H2034" s="2">
        <v>45663</v>
      </c>
      <c r="I2034" s="2">
        <v>45693</v>
      </c>
      <c r="J2034" t="s">
        <v>20</v>
      </c>
      <c r="K2034" s="21">
        <v>51.3</v>
      </c>
      <c r="L2034" s="21">
        <v>51.3</v>
      </c>
      <c r="M2034">
        <v>0</v>
      </c>
      <c r="N2034" s="21">
        <v>51.3</v>
      </c>
    </row>
    <row r="2035" spans="1:14">
      <c r="A2035" t="str">
        <f>IFERROR(_xlfn.XLOOKUP(B2035,Cuentas!$C$1:$C$521,Cuentas!$A$1:$A$521),"")</f>
        <v>Yuldor</v>
      </c>
      <c r="B2035" t="s">
        <v>2152</v>
      </c>
      <c r="C2035" t="s">
        <v>2153</v>
      </c>
      <c r="D2035" t="s">
        <v>16</v>
      </c>
      <c r="E2035" t="s">
        <v>7</v>
      </c>
      <c r="F2035" t="s">
        <v>2301</v>
      </c>
      <c r="G2035" t="s">
        <v>2301</v>
      </c>
      <c r="H2035" s="2">
        <v>45665</v>
      </c>
      <c r="I2035" s="2">
        <v>45695</v>
      </c>
      <c r="J2035" t="s">
        <v>20</v>
      </c>
      <c r="K2035" s="21">
        <v>49.3</v>
      </c>
      <c r="L2035" s="21">
        <v>49.3</v>
      </c>
      <c r="M2035">
        <v>0</v>
      </c>
      <c r="N2035" s="21">
        <v>49.3</v>
      </c>
    </row>
    <row r="2036" spans="1:14">
      <c r="A2036" t="str">
        <f>IFERROR(_xlfn.XLOOKUP(B2036,Cuentas!$C$1:$C$521,Cuentas!$A$1:$A$521),"")</f>
        <v>Yuldor</v>
      </c>
      <c r="B2036" t="s">
        <v>2152</v>
      </c>
      <c r="C2036" t="s">
        <v>2153</v>
      </c>
      <c r="D2036" t="s">
        <v>16</v>
      </c>
      <c r="E2036" t="s">
        <v>7</v>
      </c>
      <c r="F2036" t="s">
        <v>2302</v>
      </c>
      <c r="G2036" t="s">
        <v>2302</v>
      </c>
      <c r="H2036" s="2">
        <v>45665</v>
      </c>
      <c r="I2036" s="2">
        <v>45695</v>
      </c>
      <c r="J2036" t="s">
        <v>20</v>
      </c>
      <c r="K2036" s="21">
        <v>270.3</v>
      </c>
      <c r="L2036" s="21">
        <v>270.3</v>
      </c>
      <c r="M2036">
        <v>0</v>
      </c>
      <c r="N2036" s="21">
        <v>270.3</v>
      </c>
    </row>
    <row r="2037" spans="1:14">
      <c r="A2037" t="str">
        <f>IFERROR(_xlfn.XLOOKUP(B2037,Cuentas!$C$1:$C$521,Cuentas!$A$1:$A$521),"")</f>
        <v>Yuldor</v>
      </c>
      <c r="B2037" t="s">
        <v>2152</v>
      </c>
      <c r="C2037" t="s">
        <v>2153</v>
      </c>
      <c r="D2037" t="s">
        <v>16</v>
      </c>
      <c r="E2037" t="s">
        <v>7</v>
      </c>
      <c r="F2037" t="s">
        <v>2303</v>
      </c>
      <c r="G2037" t="s">
        <v>2303</v>
      </c>
      <c r="H2037" s="2">
        <v>45665</v>
      </c>
      <c r="I2037" s="2">
        <v>45695</v>
      </c>
      <c r="J2037" t="s">
        <v>20</v>
      </c>
      <c r="K2037" s="21">
        <v>105.6</v>
      </c>
      <c r="L2037" s="21">
        <v>105.6</v>
      </c>
      <c r="M2037">
        <v>0</v>
      </c>
      <c r="N2037" s="21">
        <v>105.6</v>
      </c>
    </row>
    <row r="2038" spans="1:14">
      <c r="A2038" t="str">
        <f>IFERROR(_xlfn.XLOOKUP(B2038,Cuentas!$C$1:$C$521,Cuentas!$A$1:$A$521),"")</f>
        <v>Yuldor</v>
      </c>
      <c r="B2038" t="s">
        <v>2152</v>
      </c>
      <c r="C2038" t="s">
        <v>2153</v>
      </c>
      <c r="D2038" t="s">
        <v>16</v>
      </c>
      <c r="E2038" t="s">
        <v>7</v>
      </c>
      <c r="F2038" t="s">
        <v>2304</v>
      </c>
      <c r="G2038" t="s">
        <v>2304</v>
      </c>
      <c r="H2038" s="2">
        <v>45665</v>
      </c>
      <c r="I2038" s="2">
        <v>45695</v>
      </c>
      <c r="J2038" t="s">
        <v>20</v>
      </c>
      <c r="K2038" s="21">
        <v>149</v>
      </c>
      <c r="L2038" s="21">
        <v>149</v>
      </c>
      <c r="M2038">
        <v>0</v>
      </c>
      <c r="N2038" s="21">
        <v>149</v>
      </c>
    </row>
    <row r="2039" spans="1:14">
      <c r="A2039" t="str">
        <f>IFERROR(_xlfn.XLOOKUP(B2039,Cuentas!$C$1:$C$521,Cuentas!$A$1:$A$521),"")</f>
        <v>Yuldor</v>
      </c>
      <c r="B2039" t="s">
        <v>2152</v>
      </c>
      <c r="C2039" t="s">
        <v>2153</v>
      </c>
      <c r="D2039" t="s">
        <v>16</v>
      </c>
      <c r="E2039" t="s">
        <v>7</v>
      </c>
      <c r="F2039" t="s">
        <v>2305</v>
      </c>
      <c r="G2039" t="s">
        <v>2305</v>
      </c>
      <c r="H2039" s="2">
        <v>45665</v>
      </c>
      <c r="I2039" s="2">
        <v>45695</v>
      </c>
      <c r="J2039" t="s">
        <v>20</v>
      </c>
      <c r="K2039" s="21">
        <v>105.6</v>
      </c>
      <c r="L2039" s="21">
        <v>105.6</v>
      </c>
      <c r="M2039">
        <v>0</v>
      </c>
      <c r="N2039" s="21">
        <v>105.6</v>
      </c>
    </row>
    <row r="2040" spans="1:14">
      <c r="A2040" t="str">
        <f>IFERROR(_xlfn.XLOOKUP(B2040,Cuentas!$C$1:$C$521,Cuentas!$A$1:$A$521),"")</f>
        <v>Yuldor</v>
      </c>
      <c r="B2040" t="s">
        <v>2152</v>
      </c>
      <c r="C2040" t="s">
        <v>2153</v>
      </c>
      <c r="D2040" t="s">
        <v>16</v>
      </c>
      <c r="E2040" t="s">
        <v>7</v>
      </c>
      <c r="F2040" t="s">
        <v>2306</v>
      </c>
      <c r="G2040" t="s">
        <v>2306</v>
      </c>
      <c r="H2040" s="2">
        <v>45665</v>
      </c>
      <c r="I2040" s="2">
        <v>45695</v>
      </c>
      <c r="J2040" t="s">
        <v>20</v>
      </c>
      <c r="K2040" s="21">
        <v>217.8</v>
      </c>
      <c r="L2040" s="21">
        <v>217.8</v>
      </c>
      <c r="M2040">
        <v>0</v>
      </c>
      <c r="N2040" s="21">
        <v>217.8</v>
      </c>
    </row>
    <row r="2041" spans="1:14">
      <c r="A2041" t="str">
        <f>IFERROR(_xlfn.XLOOKUP(B2041,Cuentas!$C$1:$C$521,Cuentas!$A$1:$A$521),"")</f>
        <v>Yuldor</v>
      </c>
      <c r="B2041" t="s">
        <v>2152</v>
      </c>
      <c r="C2041" t="s">
        <v>2153</v>
      </c>
      <c r="D2041" t="s">
        <v>16</v>
      </c>
      <c r="E2041" t="s">
        <v>7</v>
      </c>
      <c r="F2041" t="s">
        <v>2307</v>
      </c>
      <c r="G2041" t="s">
        <v>2307</v>
      </c>
      <c r="H2041" s="2">
        <v>45665</v>
      </c>
      <c r="I2041" s="2">
        <v>45695</v>
      </c>
      <c r="J2041" t="s">
        <v>20</v>
      </c>
      <c r="K2041" s="21">
        <v>550</v>
      </c>
      <c r="L2041" s="21">
        <v>550</v>
      </c>
      <c r="M2041">
        <v>0</v>
      </c>
      <c r="N2041" s="21">
        <v>550</v>
      </c>
    </row>
    <row r="2042" spans="1:14">
      <c r="A2042" t="str">
        <f>IFERROR(_xlfn.XLOOKUP(B2042,Cuentas!$C$1:$C$521,Cuentas!$A$1:$A$521),"")</f>
        <v>Yuldor</v>
      </c>
      <c r="B2042" t="s">
        <v>2152</v>
      </c>
      <c r="C2042" t="s">
        <v>2153</v>
      </c>
      <c r="D2042" t="s">
        <v>16</v>
      </c>
      <c r="E2042" t="s">
        <v>7</v>
      </c>
      <c r="F2042" t="s">
        <v>2308</v>
      </c>
      <c r="G2042" t="s">
        <v>2308</v>
      </c>
      <c r="H2042" s="2">
        <v>45665</v>
      </c>
      <c r="I2042" s="2">
        <v>45695</v>
      </c>
      <c r="J2042" t="s">
        <v>20</v>
      </c>
      <c r="K2042" s="21">
        <v>312.10000000000002</v>
      </c>
      <c r="L2042" s="21">
        <v>312.10000000000002</v>
      </c>
      <c r="M2042">
        <v>0</v>
      </c>
      <c r="N2042" s="21">
        <v>312.10000000000002</v>
      </c>
    </row>
    <row r="2043" spans="1:14">
      <c r="A2043" t="str">
        <f>IFERROR(_xlfn.XLOOKUP(B2043,Cuentas!$C$1:$C$521,Cuentas!$A$1:$A$521),"")</f>
        <v>Yuldor</v>
      </c>
      <c r="B2043" t="s">
        <v>2152</v>
      </c>
      <c r="C2043" t="s">
        <v>2153</v>
      </c>
      <c r="D2043" t="s">
        <v>16</v>
      </c>
      <c r="E2043" t="s">
        <v>7</v>
      </c>
      <c r="F2043" t="s">
        <v>2309</v>
      </c>
      <c r="G2043" t="s">
        <v>2309</v>
      </c>
      <c r="H2043" s="2">
        <v>45665</v>
      </c>
      <c r="I2043" s="2">
        <v>45695</v>
      </c>
      <c r="J2043" t="s">
        <v>20</v>
      </c>
      <c r="K2043" s="21">
        <v>284.5</v>
      </c>
      <c r="L2043" s="21">
        <v>284.5</v>
      </c>
      <c r="M2043">
        <v>0</v>
      </c>
      <c r="N2043" s="21">
        <v>284.5</v>
      </c>
    </row>
    <row r="2044" spans="1:14">
      <c r="A2044" t="str">
        <f>IFERROR(_xlfn.XLOOKUP(B2044,Cuentas!$C$1:$C$521,Cuentas!$A$1:$A$521),"")</f>
        <v>Yuldor</v>
      </c>
      <c r="B2044" t="s">
        <v>2152</v>
      </c>
      <c r="C2044" t="s">
        <v>2153</v>
      </c>
      <c r="D2044" t="s">
        <v>16</v>
      </c>
      <c r="E2044" t="s">
        <v>7</v>
      </c>
      <c r="F2044" t="s">
        <v>2310</v>
      </c>
      <c r="G2044" t="s">
        <v>2310</v>
      </c>
      <c r="H2044" s="2">
        <v>45665</v>
      </c>
      <c r="I2044" s="2">
        <v>45695</v>
      </c>
      <c r="J2044" t="s">
        <v>20</v>
      </c>
      <c r="K2044" s="21">
        <v>92</v>
      </c>
      <c r="L2044" s="21">
        <v>92</v>
      </c>
      <c r="M2044">
        <v>0</v>
      </c>
      <c r="N2044" s="21">
        <v>92</v>
      </c>
    </row>
    <row r="2045" spans="1:14">
      <c r="A2045" t="str">
        <f>IFERROR(_xlfn.XLOOKUP(B2045,Cuentas!$C$1:$C$521,Cuentas!$A$1:$A$521),"")</f>
        <v>Yuldor</v>
      </c>
      <c r="B2045" t="s">
        <v>2152</v>
      </c>
      <c r="C2045" t="s">
        <v>2153</v>
      </c>
      <c r="D2045" t="s">
        <v>16</v>
      </c>
      <c r="E2045" t="s">
        <v>7</v>
      </c>
      <c r="F2045" t="s">
        <v>2311</v>
      </c>
      <c r="G2045" t="s">
        <v>2311</v>
      </c>
      <c r="H2045" s="2">
        <v>45665</v>
      </c>
      <c r="I2045" s="2">
        <v>45695</v>
      </c>
      <c r="J2045" t="s">
        <v>20</v>
      </c>
      <c r="K2045" s="21">
        <v>105.6</v>
      </c>
      <c r="L2045" s="21">
        <v>105.6</v>
      </c>
      <c r="M2045">
        <v>0</v>
      </c>
      <c r="N2045" s="21">
        <v>105.6</v>
      </c>
    </row>
    <row r="2046" spans="1:14">
      <c r="A2046" t="str">
        <f>IFERROR(_xlfn.XLOOKUP(B2046,Cuentas!$C$1:$C$521,Cuentas!$A$1:$A$521),"")</f>
        <v>Yuldor</v>
      </c>
      <c r="B2046" t="s">
        <v>2152</v>
      </c>
      <c r="C2046" t="s">
        <v>2153</v>
      </c>
      <c r="D2046" t="s">
        <v>16</v>
      </c>
      <c r="E2046" t="s">
        <v>7</v>
      </c>
      <c r="F2046" t="s">
        <v>2312</v>
      </c>
      <c r="G2046" t="s">
        <v>2312</v>
      </c>
      <c r="H2046" s="2">
        <v>45665</v>
      </c>
      <c r="I2046" s="2">
        <v>45695</v>
      </c>
      <c r="J2046" t="s">
        <v>20</v>
      </c>
      <c r="K2046" s="21">
        <v>459.92</v>
      </c>
      <c r="L2046" s="21">
        <v>459.92</v>
      </c>
      <c r="M2046">
        <v>0</v>
      </c>
      <c r="N2046" s="21">
        <v>459.92</v>
      </c>
    </row>
    <row r="2047" spans="1:14">
      <c r="A2047" t="str">
        <f>IFERROR(_xlfn.XLOOKUP(B2047,Cuentas!$C$1:$C$521,Cuentas!$A$1:$A$521),"")</f>
        <v>Yuldor</v>
      </c>
      <c r="B2047" t="s">
        <v>2152</v>
      </c>
      <c r="C2047" t="s">
        <v>2153</v>
      </c>
      <c r="D2047" t="s">
        <v>16</v>
      </c>
      <c r="E2047" t="s">
        <v>7</v>
      </c>
      <c r="F2047" t="s">
        <v>2313</v>
      </c>
      <c r="G2047" t="s">
        <v>2313</v>
      </c>
      <c r="H2047" s="2">
        <v>45665</v>
      </c>
      <c r="I2047" s="2">
        <v>45695</v>
      </c>
      <c r="J2047" t="s">
        <v>20</v>
      </c>
      <c r="K2047" s="21">
        <v>936.6</v>
      </c>
      <c r="L2047" s="21">
        <v>936.6</v>
      </c>
      <c r="M2047">
        <v>0</v>
      </c>
      <c r="N2047" s="21">
        <v>936.6</v>
      </c>
    </row>
    <row r="2048" spans="1:14">
      <c r="A2048" t="str">
        <f>IFERROR(_xlfn.XLOOKUP(B2048,Cuentas!$C$1:$C$521,Cuentas!$A$1:$A$521),"")</f>
        <v>Yuldor</v>
      </c>
      <c r="B2048" t="s">
        <v>2152</v>
      </c>
      <c r="C2048" t="s">
        <v>2153</v>
      </c>
      <c r="D2048" t="s">
        <v>16</v>
      </c>
      <c r="E2048" t="s">
        <v>7</v>
      </c>
      <c r="F2048" t="s">
        <v>2314</v>
      </c>
      <c r="G2048" t="s">
        <v>2314</v>
      </c>
      <c r="H2048" s="2">
        <v>45665</v>
      </c>
      <c r="I2048" s="2">
        <v>45695</v>
      </c>
      <c r="J2048" t="s">
        <v>20</v>
      </c>
      <c r="K2048" s="21">
        <v>207.8</v>
      </c>
      <c r="L2048" s="21">
        <v>207.8</v>
      </c>
      <c r="M2048">
        <v>0</v>
      </c>
      <c r="N2048" s="21">
        <v>207.8</v>
      </c>
    </row>
    <row r="2049" spans="1:14">
      <c r="A2049" t="str">
        <f>IFERROR(_xlfn.XLOOKUP(B2049,Cuentas!$C$1:$C$521,Cuentas!$A$1:$A$521),"")</f>
        <v>Yuldor</v>
      </c>
      <c r="B2049" t="s">
        <v>2152</v>
      </c>
      <c r="C2049" t="s">
        <v>2153</v>
      </c>
      <c r="D2049" t="s">
        <v>16</v>
      </c>
      <c r="E2049" t="s">
        <v>7</v>
      </c>
      <c r="F2049" t="s">
        <v>2315</v>
      </c>
      <c r="G2049" t="s">
        <v>2315</v>
      </c>
      <c r="H2049" s="2">
        <v>45665</v>
      </c>
      <c r="I2049" s="2">
        <v>45695</v>
      </c>
      <c r="J2049" t="s">
        <v>20</v>
      </c>
      <c r="K2049" s="21">
        <v>302.2</v>
      </c>
      <c r="L2049" s="21">
        <v>302.2</v>
      </c>
      <c r="M2049">
        <v>0</v>
      </c>
      <c r="N2049" s="21">
        <v>302.2</v>
      </c>
    </row>
    <row r="2050" spans="1:14">
      <c r="A2050" t="str">
        <f>IFERROR(_xlfn.XLOOKUP(B2050,Cuentas!$C$1:$C$521,Cuentas!$A$1:$A$521),"")</f>
        <v>Yuldor</v>
      </c>
      <c r="B2050" t="s">
        <v>2152</v>
      </c>
      <c r="C2050" t="s">
        <v>2153</v>
      </c>
      <c r="D2050" t="s">
        <v>16</v>
      </c>
      <c r="E2050" t="s">
        <v>7</v>
      </c>
      <c r="F2050" t="s">
        <v>2316</v>
      </c>
      <c r="G2050" t="s">
        <v>2316</v>
      </c>
      <c r="H2050" s="2">
        <v>45665</v>
      </c>
      <c r="I2050" s="2">
        <v>45695</v>
      </c>
      <c r="J2050" t="s">
        <v>20</v>
      </c>
      <c r="K2050" s="21">
        <v>105.6</v>
      </c>
      <c r="L2050" s="21">
        <v>105.6</v>
      </c>
      <c r="M2050">
        <v>0</v>
      </c>
      <c r="N2050" s="21">
        <v>105.6</v>
      </c>
    </row>
    <row r="2051" spans="1:14">
      <c r="A2051" t="str">
        <f>IFERROR(_xlfn.XLOOKUP(B2051,Cuentas!$C$1:$C$521,Cuentas!$A$1:$A$521),"")</f>
        <v>Yuldor</v>
      </c>
      <c r="B2051" t="s">
        <v>2152</v>
      </c>
      <c r="C2051" t="s">
        <v>2153</v>
      </c>
      <c r="D2051" t="s">
        <v>16</v>
      </c>
      <c r="E2051" t="s">
        <v>7</v>
      </c>
      <c r="F2051" t="s">
        <v>2317</v>
      </c>
      <c r="G2051" t="s">
        <v>2317</v>
      </c>
      <c r="H2051" s="2">
        <v>45665</v>
      </c>
      <c r="I2051" s="2">
        <v>45695</v>
      </c>
      <c r="J2051" t="s">
        <v>20</v>
      </c>
      <c r="K2051" s="21">
        <v>671.92</v>
      </c>
      <c r="L2051" s="21">
        <v>671.92</v>
      </c>
      <c r="M2051">
        <v>0</v>
      </c>
      <c r="N2051" s="21">
        <v>671.92</v>
      </c>
    </row>
    <row r="2052" spans="1:14">
      <c r="A2052" t="str">
        <f>IFERROR(_xlfn.XLOOKUP(B2052,Cuentas!$C$1:$C$521,Cuentas!$A$1:$A$521),"")</f>
        <v>Yuldor</v>
      </c>
      <c r="B2052" t="s">
        <v>2152</v>
      </c>
      <c r="C2052" t="s">
        <v>2153</v>
      </c>
      <c r="D2052" t="s">
        <v>16</v>
      </c>
      <c r="E2052" t="s">
        <v>7</v>
      </c>
      <c r="F2052" t="s">
        <v>2318</v>
      </c>
      <c r="G2052" t="s">
        <v>2318</v>
      </c>
      <c r="H2052" s="2">
        <v>45665</v>
      </c>
      <c r="I2052" s="2">
        <v>45695</v>
      </c>
      <c r="J2052" t="s">
        <v>20</v>
      </c>
      <c r="K2052" s="21">
        <v>308</v>
      </c>
      <c r="L2052" s="21">
        <v>308</v>
      </c>
      <c r="M2052">
        <v>0</v>
      </c>
      <c r="N2052" s="21">
        <v>308</v>
      </c>
    </row>
    <row r="2053" spans="1:14">
      <c r="A2053" t="str">
        <f>IFERROR(_xlfn.XLOOKUP(B2053,Cuentas!$C$1:$C$521,Cuentas!$A$1:$A$521),"")</f>
        <v>Yuldor</v>
      </c>
      <c r="B2053" t="s">
        <v>2152</v>
      </c>
      <c r="C2053" t="s">
        <v>2153</v>
      </c>
      <c r="D2053" t="s">
        <v>16</v>
      </c>
      <c r="E2053" t="s">
        <v>7</v>
      </c>
      <c r="F2053" t="s">
        <v>2319</v>
      </c>
      <c r="G2053" t="s">
        <v>2319</v>
      </c>
      <c r="H2053" s="2">
        <v>45665</v>
      </c>
      <c r="I2053" s="2">
        <v>45695</v>
      </c>
      <c r="J2053" t="s">
        <v>20</v>
      </c>
      <c r="K2053" s="21">
        <v>160.5</v>
      </c>
      <c r="L2053" s="21">
        <v>160.5</v>
      </c>
      <c r="M2053">
        <v>0</v>
      </c>
      <c r="N2053" s="21">
        <v>160.5</v>
      </c>
    </row>
    <row r="2054" spans="1:14">
      <c r="A2054" t="str">
        <f>IFERROR(_xlfn.XLOOKUP(B2054,Cuentas!$C$1:$C$521,Cuentas!$A$1:$A$521),"")</f>
        <v>Yuldor</v>
      </c>
      <c r="B2054" t="s">
        <v>2152</v>
      </c>
      <c r="C2054" t="s">
        <v>2153</v>
      </c>
      <c r="D2054" t="s">
        <v>16</v>
      </c>
      <c r="E2054" t="s">
        <v>7</v>
      </c>
      <c r="F2054" t="s">
        <v>2320</v>
      </c>
      <c r="G2054" t="s">
        <v>2320</v>
      </c>
      <c r="H2054" s="2">
        <v>45665</v>
      </c>
      <c r="I2054" s="2">
        <v>45695</v>
      </c>
      <c r="J2054" t="s">
        <v>20</v>
      </c>
      <c r="K2054" s="21">
        <v>225.36</v>
      </c>
      <c r="L2054" s="21">
        <v>225.36</v>
      </c>
      <c r="M2054">
        <v>0</v>
      </c>
      <c r="N2054" s="21">
        <v>225.36</v>
      </c>
    </row>
    <row r="2055" spans="1:14">
      <c r="A2055" t="str">
        <f>IFERROR(_xlfn.XLOOKUP(B2055,Cuentas!$C$1:$C$521,Cuentas!$A$1:$A$521),"")</f>
        <v>Yuldor</v>
      </c>
      <c r="B2055" t="s">
        <v>2152</v>
      </c>
      <c r="C2055" t="s">
        <v>2153</v>
      </c>
      <c r="D2055" t="s">
        <v>16</v>
      </c>
      <c r="E2055" t="s">
        <v>7</v>
      </c>
      <c r="F2055" t="s">
        <v>2321</v>
      </c>
      <c r="G2055" t="s">
        <v>2321</v>
      </c>
      <c r="H2055" s="2">
        <v>45665</v>
      </c>
      <c r="I2055" s="2">
        <v>45695</v>
      </c>
      <c r="J2055" t="s">
        <v>20</v>
      </c>
      <c r="K2055" s="21">
        <v>409.6</v>
      </c>
      <c r="L2055" s="21">
        <v>409.6</v>
      </c>
      <c r="M2055">
        <v>0</v>
      </c>
      <c r="N2055" s="21">
        <v>409.6</v>
      </c>
    </row>
    <row r="2056" spans="1:14">
      <c r="A2056" t="str">
        <f>IFERROR(_xlfn.XLOOKUP(B2056,Cuentas!$C$1:$C$521,Cuentas!$A$1:$A$521),"")</f>
        <v>Yuldor</v>
      </c>
      <c r="B2056" t="s">
        <v>2152</v>
      </c>
      <c r="C2056" t="s">
        <v>2153</v>
      </c>
      <c r="D2056" t="s">
        <v>16</v>
      </c>
      <c r="E2056" t="s">
        <v>7</v>
      </c>
      <c r="F2056" t="s">
        <v>2322</v>
      </c>
      <c r="G2056" t="s">
        <v>2322</v>
      </c>
      <c r="H2056" s="2">
        <v>45665</v>
      </c>
      <c r="I2056" s="2">
        <v>45695</v>
      </c>
      <c r="J2056" t="s">
        <v>20</v>
      </c>
      <c r="K2056" s="21">
        <v>466.9</v>
      </c>
      <c r="L2056" s="21">
        <v>466.9</v>
      </c>
      <c r="M2056">
        <v>0</v>
      </c>
      <c r="N2056" s="21">
        <v>466.9</v>
      </c>
    </row>
    <row r="2057" spans="1:14">
      <c r="A2057" t="str">
        <f>IFERROR(_xlfn.XLOOKUP(B2057,Cuentas!$C$1:$C$521,Cuentas!$A$1:$A$521),"")</f>
        <v>Yuldor</v>
      </c>
      <c r="B2057" t="s">
        <v>2152</v>
      </c>
      <c r="C2057" t="s">
        <v>2153</v>
      </c>
      <c r="D2057" t="s">
        <v>16</v>
      </c>
      <c r="E2057" t="s">
        <v>7</v>
      </c>
      <c r="F2057" t="s">
        <v>2323</v>
      </c>
      <c r="G2057" t="s">
        <v>2323</v>
      </c>
      <c r="H2057" s="2">
        <v>45665</v>
      </c>
      <c r="I2057" s="2">
        <v>45695</v>
      </c>
      <c r="J2057" t="s">
        <v>20</v>
      </c>
      <c r="K2057" s="21">
        <v>154.5</v>
      </c>
      <c r="L2057" s="21">
        <v>154.5</v>
      </c>
      <c r="M2057">
        <v>0</v>
      </c>
      <c r="N2057" s="21">
        <v>154.5</v>
      </c>
    </row>
    <row r="2058" spans="1:14">
      <c r="A2058" t="str">
        <f>IFERROR(_xlfn.XLOOKUP(B2058,Cuentas!$C$1:$C$521,Cuentas!$A$1:$A$521),"")</f>
        <v>Yuldor</v>
      </c>
      <c r="B2058" t="s">
        <v>2152</v>
      </c>
      <c r="C2058" t="s">
        <v>2153</v>
      </c>
      <c r="D2058" t="s">
        <v>16</v>
      </c>
      <c r="E2058" t="s">
        <v>7</v>
      </c>
      <c r="F2058" t="s">
        <v>2324</v>
      </c>
      <c r="G2058" t="s">
        <v>2324</v>
      </c>
      <c r="H2058" s="2">
        <v>45665</v>
      </c>
      <c r="I2058" s="2">
        <v>45695</v>
      </c>
      <c r="J2058" t="s">
        <v>20</v>
      </c>
      <c r="K2058" s="21">
        <v>155.5</v>
      </c>
      <c r="L2058" s="21">
        <v>155.5</v>
      </c>
      <c r="M2058">
        <v>0</v>
      </c>
      <c r="N2058" s="21">
        <v>155.5</v>
      </c>
    </row>
    <row r="2059" spans="1:14">
      <c r="A2059" t="str">
        <f>IFERROR(_xlfn.XLOOKUP(B2059,Cuentas!$C$1:$C$521,Cuentas!$A$1:$A$521),"")</f>
        <v>Yuldor</v>
      </c>
      <c r="B2059" t="s">
        <v>2152</v>
      </c>
      <c r="C2059" t="s">
        <v>2153</v>
      </c>
      <c r="D2059" t="s">
        <v>16</v>
      </c>
      <c r="E2059" t="s">
        <v>7</v>
      </c>
      <c r="F2059" t="s">
        <v>2325</v>
      </c>
      <c r="G2059" t="s">
        <v>2325</v>
      </c>
      <c r="H2059" s="2">
        <v>45665</v>
      </c>
      <c r="I2059" s="2">
        <v>45695</v>
      </c>
      <c r="J2059" t="s">
        <v>20</v>
      </c>
      <c r="K2059" s="21">
        <v>260.10000000000002</v>
      </c>
      <c r="L2059" s="21">
        <v>260.10000000000002</v>
      </c>
      <c r="M2059">
        <v>0</v>
      </c>
      <c r="N2059" s="21">
        <v>260.10000000000002</v>
      </c>
    </row>
    <row r="2060" spans="1:14">
      <c r="A2060" t="str">
        <f>IFERROR(_xlfn.XLOOKUP(B2060,Cuentas!$C$1:$C$521,Cuentas!$A$1:$A$521),"")</f>
        <v>Yuldor</v>
      </c>
      <c r="B2060" t="s">
        <v>2152</v>
      </c>
      <c r="C2060" t="s">
        <v>2153</v>
      </c>
      <c r="D2060" t="s">
        <v>16</v>
      </c>
      <c r="E2060" t="s">
        <v>7</v>
      </c>
      <c r="F2060" t="s">
        <v>2326</v>
      </c>
      <c r="G2060" t="s">
        <v>2326</v>
      </c>
      <c r="H2060" s="2">
        <v>45665</v>
      </c>
      <c r="I2060" s="2">
        <v>45695</v>
      </c>
      <c r="J2060" t="s">
        <v>20</v>
      </c>
      <c r="K2060" s="21">
        <v>1104.26</v>
      </c>
      <c r="L2060" s="21">
        <v>1104.26</v>
      </c>
      <c r="M2060">
        <v>0</v>
      </c>
      <c r="N2060" s="21">
        <v>1104.26</v>
      </c>
    </row>
    <row r="2061" spans="1:14">
      <c r="A2061" t="str">
        <f>IFERROR(_xlfn.XLOOKUP(B2061,Cuentas!$C$1:$C$521,Cuentas!$A$1:$A$521),"")</f>
        <v>Yuldor</v>
      </c>
      <c r="B2061" t="s">
        <v>2152</v>
      </c>
      <c r="C2061" t="s">
        <v>2153</v>
      </c>
      <c r="D2061" t="s">
        <v>16</v>
      </c>
      <c r="E2061" t="s">
        <v>7</v>
      </c>
      <c r="F2061" t="s">
        <v>2327</v>
      </c>
      <c r="G2061" t="s">
        <v>2327</v>
      </c>
      <c r="H2061" s="2">
        <v>45665</v>
      </c>
      <c r="I2061" s="2">
        <v>45695</v>
      </c>
      <c r="J2061" t="s">
        <v>20</v>
      </c>
      <c r="K2061" s="21">
        <v>331.4</v>
      </c>
      <c r="L2061" s="21">
        <v>331.4</v>
      </c>
      <c r="M2061">
        <v>0</v>
      </c>
      <c r="N2061" s="21">
        <v>331.4</v>
      </c>
    </row>
    <row r="2062" spans="1:14">
      <c r="A2062" t="str">
        <f>IFERROR(_xlfn.XLOOKUP(B2062,Cuentas!$C$1:$C$521,Cuentas!$A$1:$A$521),"")</f>
        <v>Yuldor</v>
      </c>
      <c r="B2062" t="s">
        <v>2152</v>
      </c>
      <c r="C2062" t="s">
        <v>2153</v>
      </c>
      <c r="D2062" t="s">
        <v>16</v>
      </c>
      <c r="E2062" t="s">
        <v>7</v>
      </c>
      <c r="F2062" t="s">
        <v>2328</v>
      </c>
      <c r="G2062" t="s">
        <v>2328</v>
      </c>
      <c r="H2062" s="2">
        <v>45665</v>
      </c>
      <c r="I2062" s="2">
        <v>45695</v>
      </c>
      <c r="J2062" t="s">
        <v>20</v>
      </c>
      <c r="K2062" s="21">
        <v>57.3</v>
      </c>
      <c r="L2062" s="21">
        <v>57.3</v>
      </c>
      <c r="M2062">
        <v>0</v>
      </c>
      <c r="N2062" s="21">
        <v>57.3</v>
      </c>
    </row>
    <row r="2063" spans="1:14">
      <c r="A2063" t="str">
        <f>IFERROR(_xlfn.XLOOKUP(B2063,Cuentas!$C$1:$C$521,Cuentas!$A$1:$A$521),"")</f>
        <v>Yuldor</v>
      </c>
      <c r="B2063" t="s">
        <v>2152</v>
      </c>
      <c r="C2063" t="s">
        <v>2153</v>
      </c>
      <c r="D2063" t="s">
        <v>16</v>
      </c>
      <c r="E2063" t="s">
        <v>7</v>
      </c>
      <c r="F2063" t="s">
        <v>2329</v>
      </c>
      <c r="G2063" t="s">
        <v>2329</v>
      </c>
      <c r="H2063" s="2">
        <v>45665</v>
      </c>
      <c r="I2063" s="2">
        <v>45695</v>
      </c>
      <c r="J2063" t="s">
        <v>20</v>
      </c>
      <c r="K2063" s="21">
        <v>506.6</v>
      </c>
      <c r="L2063" s="21">
        <v>506.6</v>
      </c>
      <c r="M2063">
        <v>0</v>
      </c>
      <c r="N2063" s="21">
        <v>506.6</v>
      </c>
    </row>
    <row r="2064" spans="1:14">
      <c r="A2064" t="str">
        <f>IFERROR(_xlfn.XLOOKUP(B2064,Cuentas!$C$1:$C$521,Cuentas!$A$1:$A$521),"")</f>
        <v>Yuldor</v>
      </c>
      <c r="B2064" t="s">
        <v>2152</v>
      </c>
      <c r="C2064" t="s">
        <v>2153</v>
      </c>
      <c r="D2064" t="s">
        <v>16</v>
      </c>
      <c r="E2064" t="s">
        <v>7</v>
      </c>
      <c r="F2064" t="s">
        <v>2330</v>
      </c>
      <c r="G2064" t="s">
        <v>2330</v>
      </c>
      <c r="H2064" s="2">
        <v>45665</v>
      </c>
      <c r="I2064" s="2">
        <v>45695</v>
      </c>
      <c r="J2064" t="s">
        <v>20</v>
      </c>
      <c r="K2064" s="21">
        <v>621.4</v>
      </c>
      <c r="L2064" s="21">
        <v>621.4</v>
      </c>
      <c r="M2064">
        <v>0</v>
      </c>
      <c r="N2064" s="21">
        <v>621.4</v>
      </c>
    </row>
    <row r="2065" spans="1:14">
      <c r="A2065" t="str">
        <f>IFERROR(_xlfn.XLOOKUP(B2065,Cuentas!$C$1:$C$521,Cuentas!$A$1:$A$521),"")</f>
        <v>Yuldor</v>
      </c>
      <c r="B2065" t="s">
        <v>2152</v>
      </c>
      <c r="C2065" t="s">
        <v>2153</v>
      </c>
      <c r="D2065" t="s">
        <v>16</v>
      </c>
      <c r="E2065" t="s">
        <v>7</v>
      </c>
      <c r="F2065" t="s">
        <v>2331</v>
      </c>
      <c r="G2065" t="s">
        <v>2331</v>
      </c>
      <c r="H2065" s="2">
        <v>45665</v>
      </c>
      <c r="I2065" s="2">
        <v>45695</v>
      </c>
      <c r="J2065" t="s">
        <v>20</v>
      </c>
      <c r="K2065" s="21">
        <v>1607.5</v>
      </c>
      <c r="L2065" s="21">
        <v>1607.5</v>
      </c>
      <c r="M2065">
        <v>0</v>
      </c>
      <c r="N2065" s="21">
        <v>1607.5</v>
      </c>
    </row>
    <row r="2066" spans="1:14">
      <c r="A2066" t="str">
        <f>IFERROR(_xlfn.XLOOKUP(B2066,Cuentas!$C$1:$C$521,Cuentas!$A$1:$A$521),"")</f>
        <v>Yuldor</v>
      </c>
      <c r="B2066" t="s">
        <v>2152</v>
      </c>
      <c r="C2066" t="s">
        <v>2153</v>
      </c>
      <c r="D2066" t="s">
        <v>16</v>
      </c>
      <c r="E2066" t="s">
        <v>7</v>
      </c>
      <c r="F2066" t="s">
        <v>2332</v>
      </c>
      <c r="G2066" t="s">
        <v>2332</v>
      </c>
      <c r="H2066" s="2">
        <v>45665</v>
      </c>
      <c r="I2066" s="2">
        <v>45695</v>
      </c>
      <c r="J2066" t="s">
        <v>20</v>
      </c>
      <c r="K2066" s="21">
        <v>260.10000000000002</v>
      </c>
      <c r="L2066" s="21">
        <v>260.10000000000002</v>
      </c>
      <c r="M2066">
        <v>0</v>
      </c>
      <c r="N2066" s="21">
        <v>260.10000000000002</v>
      </c>
    </row>
    <row r="2067" spans="1:14">
      <c r="A2067" t="str">
        <f>IFERROR(_xlfn.XLOOKUP(B2067,Cuentas!$C$1:$C$521,Cuentas!$A$1:$A$521),"")</f>
        <v>Yuldor</v>
      </c>
      <c r="B2067" t="s">
        <v>2152</v>
      </c>
      <c r="C2067" t="s">
        <v>2153</v>
      </c>
      <c r="D2067" t="s">
        <v>16</v>
      </c>
      <c r="E2067" t="s">
        <v>7</v>
      </c>
      <c r="F2067" t="s">
        <v>2333</v>
      </c>
      <c r="G2067" t="s">
        <v>2333</v>
      </c>
      <c r="H2067" s="2">
        <v>45665</v>
      </c>
      <c r="I2067" s="2">
        <v>45695</v>
      </c>
      <c r="J2067" t="s">
        <v>20</v>
      </c>
      <c r="K2067" s="21">
        <v>829.2</v>
      </c>
      <c r="L2067" s="21">
        <v>829.2</v>
      </c>
      <c r="M2067">
        <v>0</v>
      </c>
      <c r="N2067" s="21">
        <v>829.2</v>
      </c>
    </row>
    <row r="2068" spans="1:14">
      <c r="A2068" t="str">
        <f>IFERROR(_xlfn.XLOOKUP(B2068,Cuentas!$C$1:$C$521,Cuentas!$A$1:$A$521),"")</f>
        <v>Yuldor</v>
      </c>
      <c r="B2068" t="s">
        <v>2152</v>
      </c>
      <c r="C2068" t="s">
        <v>2153</v>
      </c>
      <c r="D2068" t="s">
        <v>16</v>
      </c>
      <c r="E2068" t="s">
        <v>7</v>
      </c>
      <c r="F2068" t="s">
        <v>2334</v>
      </c>
      <c r="G2068" t="s">
        <v>2334</v>
      </c>
      <c r="H2068" s="2">
        <v>45665</v>
      </c>
      <c r="I2068" s="2">
        <v>45695</v>
      </c>
      <c r="J2068" t="s">
        <v>20</v>
      </c>
      <c r="K2068" s="21">
        <v>367</v>
      </c>
      <c r="L2068" s="21">
        <v>367</v>
      </c>
      <c r="M2068">
        <v>0</v>
      </c>
      <c r="N2068" s="21">
        <v>367</v>
      </c>
    </row>
    <row r="2069" spans="1:14">
      <c r="A2069" t="str">
        <f>IFERROR(_xlfn.XLOOKUP(B2069,Cuentas!$C$1:$C$521,Cuentas!$A$1:$A$521),"")</f>
        <v>Yuldor</v>
      </c>
      <c r="B2069" t="s">
        <v>2152</v>
      </c>
      <c r="C2069" t="s">
        <v>2153</v>
      </c>
      <c r="D2069" t="s">
        <v>16</v>
      </c>
      <c r="E2069" t="s">
        <v>7</v>
      </c>
      <c r="F2069" t="s">
        <v>2335</v>
      </c>
      <c r="G2069" t="s">
        <v>2335</v>
      </c>
      <c r="H2069" s="2">
        <v>45665</v>
      </c>
      <c r="I2069" s="2">
        <v>45695</v>
      </c>
      <c r="J2069" t="s">
        <v>20</v>
      </c>
      <c r="K2069" s="21">
        <v>299.8</v>
      </c>
      <c r="L2069" s="21">
        <v>299.8</v>
      </c>
      <c r="M2069">
        <v>0</v>
      </c>
      <c r="N2069" s="21">
        <v>299.8</v>
      </c>
    </row>
    <row r="2070" spans="1:14">
      <c r="A2070" t="str">
        <f>IFERROR(_xlfn.XLOOKUP(B2070,Cuentas!$C$1:$C$521,Cuentas!$A$1:$A$521),"")</f>
        <v>Yuldor</v>
      </c>
      <c r="B2070" t="s">
        <v>2152</v>
      </c>
      <c r="C2070" t="s">
        <v>2153</v>
      </c>
      <c r="D2070" t="s">
        <v>16</v>
      </c>
      <c r="E2070" t="s">
        <v>7</v>
      </c>
      <c r="F2070" t="s">
        <v>2336</v>
      </c>
      <c r="G2070" t="s">
        <v>2336</v>
      </c>
      <c r="H2070" s="2">
        <v>45665</v>
      </c>
      <c r="I2070" s="2">
        <v>45695</v>
      </c>
      <c r="J2070" t="s">
        <v>20</v>
      </c>
      <c r="K2070" s="21">
        <v>552</v>
      </c>
      <c r="L2070" s="21">
        <v>552</v>
      </c>
      <c r="M2070">
        <v>0</v>
      </c>
      <c r="N2070" s="21">
        <v>552</v>
      </c>
    </row>
    <row r="2071" spans="1:14">
      <c r="A2071" t="str">
        <f>IFERROR(_xlfn.XLOOKUP(B2071,Cuentas!$C$1:$C$521,Cuentas!$A$1:$A$521),"")</f>
        <v>Yuldor</v>
      </c>
      <c r="B2071" t="s">
        <v>2152</v>
      </c>
      <c r="C2071" t="s">
        <v>2153</v>
      </c>
      <c r="D2071" t="s">
        <v>16</v>
      </c>
      <c r="E2071" t="s">
        <v>7</v>
      </c>
      <c r="F2071" t="s">
        <v>2337</v>
      </c>
      <c r="G2071" t="s">
        <v>2337</v>
      </c>
      <c r="H2071" s="2">
        <v>45665</v>
      </c>
      <c r="I2071" s="2">
        <v>45695</v>
      </c>
      <c r="J2071" t="s">
        <v>20</v>
      </c>
      <c r="K2071" s="21">
        <v>92</v>
      </c>
      <c r="L2071" s="21">
        <v>92</v>
      </c>
      <c r="M2071">
        <v>0</v>
      </c>
      <c r="N2071" s="21">
        <v>92</v>
      </c>
    </row>
    <row r="2072" spans="1:14">
      <c r="A2072" t="str">
        <f>IFERROR(_xlfn.XLOOKUP(B2072,Cuentas!$C$1:$C$521,Cuentas!$A$1:$A$521),"")</f>
        <v>Yuldor</v>
      </c>
      <c r="B2072" t="s">
        <v>2152</v>
      </c>
      <c r="C2072" t="s">
        <v>2153</v>
      </c>
      <c r="D2072" t="s">
        <v>16</v>
      </c>
      <c r="E2072" t="s">
        <v>7</v>
      </c>
      <c r="F2072" t="s">
        <v>2338</v>
      </c>
      <c r="G2072" t="s">
        <v>2338</v>
      </c>
      <c r="H2072" s="2">
        <v>45665</v>
      </c>
      <c r="I2072" s="2">
        <v>45695</v>
      </c>
      <c r="J2072" t="s">
        <v>20</v>
      </c>
      <c r="K2072" s="21">
        <v>621.4</v>
      </c>
      <c r="L2072" s="21">
        <v>621.4</v>
      </c>
      <c r="M2072">
        <v>0</v>
      </c>
      <c r="N2072" s="21">
        <v>621.4</v>
      </c>
    </row>
    <row r="2073" spans="1:14">
      <c r="A2073" t="str">
        <f>IFERROR(_xlfn.XLOOKUP(B2073,Cuentas!$C$1:$C$521,Cuentas!$A$1:$A$521),"")</f>
        <v>Yuldor</v>
      </c>
      <c r="B2073" t="s">
        <v>2152</v>
      </c>
      <c r="C2073" t="s">
        <v>2153</v>
      </c>
      <c r="D2073" t="s">
        <v>16</v>
      </c>
      <c r="E2073" t="s">
        <v>7</v>
      </c>
      <c r="F2073" t="s">
        <v>2339</v>
      </c>
      <c r="G2073" t="s">
        <v>2339</v>
      </c>
      <c r="H2073" s="2">
        <v>45665</v>
      </c>
      <c r="I2073" s="2">
        <v>45695</v>
      </c>
      <c r="J2073" t="s">
        <v>20</v>
      </c>
      <c r="K2073" s="21">
        <v>184</v>
      </c>
      <c r="L2073" s="21">
        <v>184</v>
      </c>
      <c r="M2073">
        <v>0</v>
      </c>
      <c r="N2073" s="21">
        <v>184</v>
      </c>
    </row>
    <row r="2074" spans="1:14">
      <c r="A2074" t="str">
        <f>IFERROR(_xlfn.XLOOKUP(B2074,Cuentas!$C$1:$C$521,Cuentas!$A$1:$A$521),"")</f>
        <v>Yuldor</v>
      </c>
      <c r="B2074" t="s">
        <v>2152</v>
      </c>
      <c r="C2074" t="s">
        <v>2153</v>
      </c>
      <c r="D2074" t="s">
        <v>16</v>
      </c>
      <c r="E2074" t="s">
        <v>7</v>
      </c>
      <c r="F2074" t="s">
        <v>2340</v>
      </c>
      <c r="G2074" t="s">
        <v>2340</v>
      </c>
      <c r="H2074" s="2">
        <v>45665</v>
      </c>
      <c r="I2074" s="2">
        <v>45695</v>
      </c>
      <c r="J2074" t="s">
        <v>20</v>
      </c>
      <c r="K2074" s="21">
        <v>310</v>
      </c>
      <c r="L2074" s="21">
        <v>310</v>
      </c>
      <c r="M2074">
        <v>0</v>
      </c>
      <c r="N2074" s="21">
        <v>310</v>
      </c>
    </row>
    <row r="2075" spans="1:14">
      <c r="A2075" t="str">
        <f>IFERROR(_xlfn.XLOOKUP(B2075,Cuentas!$C$1:$C$521,Cuentas!$A$1:$A$521),"")</f>
        <v>Yuldor</v>
      </c>
      <c r="B2075" t="s">
        <v>2152</v>
      </c>
      <c r="C2075" t="s">
        <v>2153</v>
      </c>
      <c r="D2075" t="s">
        <v>16</v>
      </c>
      <c r="E2075" t="s">
        <v>7</v>
      </c>
      <c r="F2075" t="s">
        <v>2341</v>
      </c>
      <c r="G2075" t="s">
        <v>2341</v>
      </c>
      <c r="H2075" s="2">
        <v>45665</v>
      </c>
      <c r="I2075" s="2">
        <v>45695</v>
      </c>
      <c r="J2075" t="s">
        <v>20</v>
      </c>
      <c r="K2075" s="21">
        <v>155.5</v>
      </c>
      <c r="L2075" s="21">
        <v>155.5</v>
      </c>
      <c r="M2075">
        <v>0</v>
      </c>
      <c r="N2075" s="21">
        <v>155.5</v>
      </c>
    </row>
    <row r="2076" spans="1:14">
      <c r="A2076" t="str">
        <f>IFERROR(_xlfn.XLOOKUP(B2076,Cuentas!$C$1:$C$521,Cuentas!$A$1:$A$521),"")</f>
        <v>Yuldor</v>
      </c>
      <c r="B2076" t="s">
        <v>2152</v>
      </c>
      <c r="C2076" t="s">
        <v>2153</v>
      </c>
      <c r="D2076" t="s">
        <v>16</v>
      </c>
      <c r="E2076" t="s">
        <v>7</v>
      </c>
      <c r="F2076" t="s">
        <v>2342</v>
      </c>
      <c r="G2076" t="s">
        <v>2342</v>
      </c>
      <c r="H2076" s="2">
        <v>45665</v>
      </c>
      <c r="I2076" s="2">
        <v>45695</v>
      </c>
      <c r="J2076" t="s">
        <v>20</v>
      </c>
      <c r="K2076" s="21">
        <v>361.26</v>
      </c>
      <c r="L2076" s="21">
        <v>361.26</v>
      </c>
      <c r="M2076">
        <v>0</v>
      </c>
      <c r="N2076" s="21">
        <v>361.26</v>
      </c>
    </row>
    <row r="2077" spans="1:14">
      <c r="A2077" t="str">
        <f>IFERROR(_xlfn.XLOOKUP(B2077,Cuentas!$C$1:$C$521,Cuentas!$A$1:$A$521),"")</f>
        <v>Yuldor</v>
      </c>
      <c r="B2077" t="s">
        <v>2152</v>
      </c>
      <c r="C2077" t="s">
        <v>2153</v>
      </c>
      <c r="D2077" t="s">
        <v>16</v>
      </c>
      <c r="E2077" t="s">
        <v>7</v>
      </c>
      <c r="F2077" t="s">
        <v>2343</v>
      </c>
      <c r="G2077" t="s">
        <v>2343</v>
      </c>
      <c r="H2077" s="2">
        <v>45665</v>
      </c>
      <c r="I2077" s="2">
        <v>45695</v>
      </c>
      <c r="J2077" t="s">
        <v>20</v>
      </c>
      <c r="K2077" s="21">
        <v>410.63</v>
      </c>
      <c r="L2077" s="21">
        <v>410.63</v>
      </c>
      <c r="M2077">
        <v>0</v>
      </c>
      <c r="N2077" s="21">
        <v>410.63</v>
      </c>
    </row>
    <row r="2078" spans="1:14">
      <c r="A2078" t="str">
        <f>IFERROR(_xlfn.XLOOKUP(B2078,Cuentas!$C$1:$C$521,Cuentas!$A$1:$A$521),"")</f>
        <v>Yuldor</v>
      </c>
      <c r="B2078" t="s">
        <v>2152</v>
      </c>
      <c r="C2078" t="s">
        <v>2153</v>
      </c>
      <c r="D2078" t="s">
        <v>16</v>
      </c>
      <c r="E2078" t="s">
        <v>7</v>
      </c>
      <c r="F2078" t="s">
        <v>2344</v>
      </c>
      <c r="G2078" t="s">
        <v>2344</v>
      </c>
      <c r="H2078" s="2">
        <v>45665</v>
      </c>
      <c r="I2078" s="2">
        <v>45695</v>
      </c>
      <c r="J2078" t="s">
        <v>20</v>
      </c>
      <c r="K2078" s="21">
        <v>414.6</v>
      </c>
      <c r="L2078" s="21">
        <v>414.6</v>
      </c>
      <c r="M2078">
        <v>0</v>
      </c>
      <c r="N2078" s="21">
        <v>414.6</v>
      </c>
    </row>
    <row r="2079" spans="1:14">
      <c r="A2079" t="str">
        <f>IFERROR(_xlfn.XLOOKUP(B2079,Cuentas!$C$1:$C$521,Cuentas!$A$1:$A$521),"")</f>
        <v>Yuldor</v>
      </c>
      <c r="B2079" t="s">
        <v>2152</v>
      </c>
      <c r="C2079" t="s">
        <v>2153</v>
      </c>
      <c r="D2079" t="s">
        <v>16</v>
      </c>
      <c r="E2079" t="s">
        <v>7</v>
      </c>
      <c r="F2079" t="s">
        <v>2345</v>
      </c>
      <c r="G2079" t="s">
        <v>2345</v>
      </c>
      <c r="H2079" s="2">
        <v>45665</v>
      </c>
      <c r="I2079" s="2">
        <v>45695</v>
      </c>
      <c r="J2079" t="s">
        <v>20</v>
      </c>
      <c r="K2079" s="21">
        <v>861</v>
      </c>
      <c r="L2079" s="21">
        <v>861</v>
      </c>
      <c r="M2079">
        <v>0</v>
      </c>
      <c r="N2079" s="21">
        <v>861</v>
      </c>
    </row>
    <row r="2080" spans="1:14">
      <c r="A2080" t="str">
        <f>IFERROR(_xlfn.XLOOKUP(B2080,Cuentas!$C$1:$C$521,Cuentas!$A$1:$A$521),"")</f>
        <v>Yuldor</v>
      </c>
      <c r="B2080" t="s">
        <v>2152</v>
      </c>
      <c r="C2080" t="s">
        <v>2153</v>
      </c>
      <c r="D2080" t="s">
        <v>16</v>
      </c>
      <c r="E2080" t="s">
        <v>7</v>
      </c>
      <c r="F2080" t="s">
        <v>2346</v>
      </c>
      <c r="G2080" t="s">
        <v>2346</v>
      </c>
      <c r="H2080" s="2">
        <v>45666</v>
      </c>
      <c r="I2080" s="2">
        <v>45696</v>
      </c>
      <c r="J2080" t="s">
        <v>20</v>
      </c>
      <c r="K2080" s="21">
        <v>92</v>
      </c>
      <c r="L2080" s="21">
        <v>92</v>
      </c>
      <c r="M2080">
        <v>0</v>
      </c>
      <c r="N2080" s="21">
        <v>92</v>
      </c>
    </row>
    <row r="2081" spans="1:14">
      <c r="A2081" t="str">
        <f>IFERROR(_xlfn.XLOOKUP(B2081,Cuentas!$C$1:$C$521,Cuentas!$A$1:$A$521),"")</f>
        <v>Yuldor</v>
      </c>
      <c r="B2081" t="s">
        <v>2152</v>
      </c>
      <c r="C2081" t="s">
        <v>2153</v>
      </c>
      <c r="D2081" t="s">
        <v>16</v>
      </c>
      <c r="E2081" t="s">
        <v>7</v>
      </c>
      <c r="F2081" t="s">
        <v>2347</v>
      </c>
      <c r="G2081" t="s">
        <v>2347</v>
      </c>
      <c r="H2081" s="2">
        <v>45666</v>
      </c>
      <c r="I2081" s="2">
        <v>45696</v>
      </c>
      <c r="J2081" t="s">
        <v>20</v>
      </c>
      <c r="K2081" s="21">
        <v>946.2</v>
      </c>
      <c r="L2081" s="21">
        <v>946.2</v>
      </c>
      <c r="M2081">
        <v>0</v>
      </c>
      <c r="N2081" s="21">
        <v>946.2</v>
      </c>
    </row>
    <row r="2082" spans="1:14">
      <c r="A2082" t="str">
        <f>IFERROR(_xlfn.XLOOKUP(B2082,Cuentas!$C$1:$C$521,Cuentas!$A$1:$A$521),"")</f>
        <v>Yuldor</v>
      </c>
      <c r="B2082" t="s">
        <v>2152</v>
      </c>
      <c r="C2082" t="s">
        <v>2153</v>
      </c>
      <c r="D2082" t="s">
        <v>16</v>
      </c>
      <c r="E2082" t="s">
        <v>7</v>
      </c>
      <c r="F2082" t="s">
        <v>2348</v>
      </c>
      <c r="G2082" t="s">
        <v>2348</v>
      </c>
      <c r="H2082" s="2">
        <v>45666</v>
      </c>
      <c r="I2082" s="2">
        <v>45696</v>
      </c>
      <c r="J2082" t="s">
        <v>20</v>
      </c>
      <c r="K2082" s="21">
        <v>522.5</v>
      </c>
      <c r="L2082" s="21">
        <v>522.5</v>
      </c>
      <c r="M2082">
        <v>0</v>
      </c>
      <c r="N2082" s="21">
        <v>522.5</v>
      </c>
    </row>
    <row r="2083" spans="1:14">
      <c r="A2083" t="str">
        <f>IFERROR(_xlfn.XLOOKUP(B2083,Cuentas!$C$1:$C$521,Cuentas!$A$1:$A$521),"")</f>
        <v>Yuldor</v>
      </c>
      <c r="B2083" t="s">
        <v>2152</v>
      </c>
      <c r="C2083" t="s">
        <v>2153</v>
      </c>
      <c r="D2083" t="s">
        <v>16</v>
      </c>
      <c r="E2083" t="s">
        <v>7</v>
      </c>
      <c r="F2083" t="s">
        <v>2349</v>
      </c>
      <c r="G2083" t="s">
        <v>2349</v>
      </c>
      <c r="H2083" s="2">
        <v>45666</v>
      </c>
      <c r="I2083" s="2">
        <v>45696</v>
      </c>
      <c r="J2083" t="s">
        <v>20</v>
      </c>
      <c r="K2083" s="21">
        <v>207.8</v>
      </c>
      <c r="L2083" s="21">
        <v>207.8</v>
      </c>
      <c r="M2083">
        <v>0</v>
      </c>
      <c r="N2083" s="21">
        <v>207.8</v>
      </c>
    </row>
    <row r="2084" spans="1:14">
      <c r="A2084" t="str">
        <f>IFERROR(_xlfn.XLOOKUP(B2084,Cuentas!$C$1:$C$521,Cuentas!$A$1:$A$521),"")</f>
        <v>Yuldor</v>
      </c>
      <c r="B2084" t="s">
        <v>2152</v>
      </c>
      <c r="C2084" t="s">
        <v>2153</v>
      </c>
      <c r="D2084" t="s">
        <v>16</v>
      </c>
      <c r="E2084" t="s">
        <v>7</v>
      </c>
      <c r="F2084" t="s">
        <v>2350</v>
      </c>
      <c r="G2084" t="s">
        <v>2350</v>
      </c>
      <c r="H2084" s="2">
        <v>45666</v>
      </c>
      <c r="I2084" s="2">
        <v>45696</v>
      </c>
      <c r="J2084" t="s">
        <v>20</v>
      </c>
      <c r="K2084" s="21">
        <v>106.4</v>
      </c>
      <c r="L2084" s="21">
        <v>106.4</v>
      </c>
      <c r="M2084">
        <v>0</v>
      </c>
      <c r="N2084" s="21">
        <v>106.4</v>
      </c>
    </row>
    <row r="2085" spans="1:14">
      <c r="A2085" t="str">
        <f>IFERROR(_xlfn.XLOOKUP(B2085,Cuentas!$C$1:$C$521,Cuentas!$A$1:$A$521),"")</f>
        <v>Yuldor</v>
      </c>
      <c r="B2085" t="s">
        <v>2152</v>
      </c>
      <c r="C2085" t="s">
        <v>2153</v>
      </c>
      <c r="D2085" t="s">
        <v>16</v>
      </c>
      <c r="E2085" t="s">
        <v>7</v>
      </c>
      <c r="F2085" t="s">
        <v>2351</v>
      </c>
      <c r="G2085" t="s">
        <v>2351</v>
      </c>
      <c r="H2085" s="2">
        <v>45670</v>
      </c>
      <c r="I2085" s="2">
        <v>45700</v>
      </c>
      <c r="J2085" t="s">
        <v>20</v>
      </c>
      <c r="K2085" s="21">
        <v>414.6</v>
      </c>
      <c r="L2085" s="21">
        <v>414.6</v>
      </c>
      <c r="M2085">
        <v>0</v>
      </c>
      <c r="N2085" s="21">
        <v>414.6</v>
      </c>
    </row>
    <row r="2086" spans="1:14">
      <c r="A2086" t="str">
        <f>IFERROR(_xlfn.XLOOKUP(B2086,Cuentas!$C$1:$C$521,Cuentas!$A$1:$A$521),"")</f>
        <v>Yuldor</v>
      </c>
      <c r="B2086" t="s">
        <v>2152</v>
      </c>
      <c r="C2086" t="s">
        <v>2153</v>
      </c>
      <c r="D2086" t="s">
        <v>16</v>
      </c>
      <c r="E2086" t="s">
        <v>7</v>
      </c>
      <c r="F2086" t="s">
        <v>2352</v>
      </c>
      <c r="G2086" t="s">
        <v>2352</v>
      </c>
      <c r="H2086" s="2">
        <v>45670</v>
      </c>
      <c r="I2086" s="2">
        <v>45700</v>
      </c>
      <c r="J2086" t="s">
        <v>20</v>
      </c>
      <c r="K2086" s="21">
        <v>184</v>
      </c>
      <c r="L2086" s="21">
        <v>184</v>
      </c>
      <c r="M2086">
        <v>0</v>
      </c>
      <c r="N2086" s="21">
        <v>184</v>
      </c>
    </row>
    <row r="2087" spans="1:14">
      <c r="A2087" t="str">
        <f>IFERROR(_xlfn.XLOOKUP(B2087,Cuentas!$C$1:$C$521,Cuentas!$A$1:$A$521),"")</f>
        <v>Yuldor</v>
      </c>
      <c r="B2087" t="s">
        <v>2152</v>
      </c>
      <c r="C2087" t="s">
        <v>2153</v>
      </c>
      <c r="D2087" t="s">
        <v>16</v>
      </c>
      <c r="E2087" t="s">
        <v>7</v>
      </c>
      <c r="F2087" t="s">
        <v>2353</v>
      </c>
      <c r="G2087" t="s">
        <v>2353</v>
      </c>
      <c r="H2087" s="2">
        <v>45670</v>
      </c>
      <c r="I2087" s="2">
        <v>45700</v>
      </c>
      <c r="J2087" t="s">
        <v>20</v>
      </c>
      <c r="K2087" s="21">
        <v>241</v>
      </c>
      <c r="L2087" s="21">
        <v>241</v>
      </c>
      <c r="M2087">
        <v>0</v>
      </c>
      <c r="N2087" s="21">
        <v>241</v>
      </c>
    </row>
    <row r="2088" spans="1:14">
      <c r="A2088" t="str">
        <f>IFERROR(_xlfn.XLOOKUP(B2088,Cuentas!$C$1:$C$521,Cuentas!$A$1:$A$521),"")</f>
        <v>Yuldor</v>
      </c>
      <c r="B2088" t="s">
        <v>2152</v>
      </c>
      <c r="C2088" t="s">
        <v>2153</v>
      </c>
      <c r="D2088" t="s">
        <v>16</v>
      </c>
      <c r="E2088" t="s">
        <v>7</v>
      </c>
      <c r="F2088" t="s">
        <v>2354</v>
      </c>
      <c r="G2088" t="s">
        <v>2354</v>
      </c>
      <c r="H2088" s="2">
        <v>45670</v>
      </c>
      <c r="I2088" s="2">
        <v>45700</v>
      </c>
      <c r="J2088" t="s">
        <v>20</v>
      </c>
      <c r="K2088" s="21">
        <v>339.83</v>
      </c>
      <c r="L2088" s="21">
        <v>339.83</v>
      </c>
      <c r="M2088">
        <v>0</v>
      </c>
      <c r="N2088" s="21">
        <v>339.83</v>
      </c>
    </row>
    <row r="2089" spans="1:14">
      <c r="A2089" t="str">
        <f>IFERROR(_xlfn.XLOOKUP(B2089,Cuentas!$C$1:$C$521,Cuentas!$A$1:$A$521),"")</f>
        <v>Yuldor</v>
      </c>
      <c r="B2089" t="s">
        <v>2152</v>
      </c>
      <c r="C2089" t="s">
        <v>2153</v>
      </c>
      <c r="D2089" t="s">
        <v>16</v>
      </c>
      <c r="E2089" t="s">
        <v>7</v>
      </c>
      <c r="F2089" t="s">
        <v>2355</v>
      </c>
      <c r="G2089" t="s">
        <v>2355</v>
      </c>
      <c r="H2089" s="2">
        <v>45670</v>
      </c>
      <c r="I2089" s="2">
        <v>45700</v>
      </c>
      <c r="J2089" t="s">
        <v>20</v>
      </c>
      <c r="K2089" s="21">
        <v>550</v>
      </c>
      <c r="L2089" s="21">
        <v>550</v>
      </c>
      <c r="M2089">
        <v>0</v>
      </c>
      <c r="N2089" s="21">
        <v>550</v>
      </c>
    </row>
    <row r="2090" spans="1:14">
      <c r="A2090" t="str">
        <f>IFERROR(_xlfn.XLOOKUP(B2090,Cuentas!$C$1:$C$521,Cuentas!$A$1:$A$521),"")</f>
        <v>Yuldor</v>
      </c>
      <c r="B2090" t="s">
        <v>2152</v>
      </c>
      <c r="C2090" t="s">
        <v>2153</v>
      </c>
      <c r="D2090" t="s">
        <v>16</v>
      </c>
      <c r="E2090" t="s">
        <v>7</v>
      </c>
      <c r="F2090" t="s">
        <v>2356</v>
      </c>
      <c r="G2090" t="s">
        <v>2356</v>
      </c>
      <c r="H2090" s="2">
        <v>45670</v>
      </c>
      <c r="I2090" s="2">
        <v>45700</v>
      </c>
      <c r="J2090" t="s">
        <v>20</v>
      </c>
      <c r="K2090" s="21">
        <v>791.4</v>
      </c>
      <c r="L2090" s="21">
        <v>791.4</v>
      </c>
      <c r="M2090">
        <v>0</v>
      </c>
      <c r="N2090" s="21">
        <v>791.4</v>
      </c>
    </row>
    <row r="2091" spans="1:14">
      <c r="A2091" t="str">
        <f>IFERROR(_xlfn.XLOOKUP(B2091,Cuentas!$C$1:$C$521,Cuentas!$A$1:$A$521),"")</f>
        <v>Yuldor</v>
      </c>
      <c r="B2091" t="s">
        <v>2152</v>
      </c>
      <c r="C2091" t="s">
        <v>2153</v>
      </c>
      <c r="D2091" t="s">
        <v>16</v>
      </c>
      <c r="E2091" t="s">
        <v>7</v>
      </c>
      <c r="F2091" t="s">
        <v>2357</v>
      </c>
      <c r="G2091" t="s">
        <v>2357</v>
      </c>
      <c r="H2091" s="2">
        <v>45670</v>
      </c>
      <c r="I2091" s="2">
        <v>45700</v>
      </c>
      <c r="J2091" t="s">
        <v>20</v>
      </c>
      <c r="K2091" s="21">
        <v>207.8</v>
      </c>
      <c r="L2091" s="21">
        <v>207.8</v>
      </c>
      <c r="M2091">
        <v>0</v>
      </c>
      <c r="N2091" s="21">
        <v>207.8</v>
      </c>
    </row>
    <row r="2092" spans="1:14">
      <c r="A2092" t="str">
        <f>IFERROR(_xlfn.XLOOKUP(B2092,Cuentas!$C$1:$C$521,Cuentas!$A$1:$A$521),"")</f>
        <v>Yuldor</v>
      </c>
      <c r="B2092" t="s">
        <v>2152</v>
      </c>
      <c r="C2092" t="s">
        <v>2153</v>
      </c>
      <c r="D2092" t="s">
        <v>16</v>
      </c>
      <c r="E2092" t="s">
        <v>7</v>
      </c>
      <c r="F2092" t="s">
        <v>2358</v>
      </c>
      <c r="G2092" t="s">
        <v>2358</v>
      </c>
      <c r="H2092" s="2">
        <v>45670</v>
      </c>
      <c r="I2092" s="2">
        <v>45700</v>
      </c>
      <c r="J2092" t="s">
        <v>20</v>
      </c>
      <c r="K2092" s="21">
        <v>1010.5</v>
      </c>
      <c r="L2092" s="21">
        <v>1010.5</v>
      </c>
      <c r="M2092">
        <v>0</v>
      </c>
      <c r="N2092" s="21">
        <v>1010.5</v>
      </c>
    </row>
    <row r="2093" spans="1:14">
      <c r="A2093" t="str">
        <f>IFERROR(_xlfn.XLOOKUP(B2093,Cuentas!$C$1:$C$521,Cuentas!$A$1:$A$521),"")</f>
        <v>Yuldor</v>
      </c>
      <c r="B2093" t="s">
        <v>2152</v>
      </c>
      <c r="C2093" t="s">
        <v>2153</v>
      </c>
      <c r="D2093" t="s">
        <v>16</v>
      </c>
      <c r="E2093" t="s">
        <v>7</v>
      </c>
      <c r="F2093" t="s">
        <v>2359</v>
      </c>
      <c r="G2093" t="s">
        <v>2359</v>
      </c>
      <c r="H2093" s="2">
        <v>45670</v>
      </c>
      <c r="I2093" s="2">
        <v>45700</v>
      </c>
      <c r="J2093" t="s">
        <v>20</v>
      </c>
      <c r="K2093" s="21">
        <v>157.9</v>
      </c>
      <c r="L2093" s="21">
        <v>157.9</v>
      </c>
      <c r="M2093">
        <v>0</v>
      </c>
      <c r="N2093" s="21">
        <v>157.9</v>
      </c>
    </row>
    <row r="2094" spans="1:14">
      <c r="A2094" t="str">
        <f>IFERROR(_xlfn.XLOOKUP(B2094,Cuentas!$C$1:$C$521,Cuentas!$A$1:$A$521),"")</f>
        <v>Yuldor</v>
      </c>
      <c r="B2094" t="s">
        <v>2152</v>
      </c>
      <c r="C2094" t="s">
        <v>2153</v>
      </c>
      <c r="D2094" t="s">
        <v>16</v>
      </c>
      <c r="E2094" t="s">
        <v>7</v>
      </c>
      <c r="F2094" t="s">
        <v>2360</v>
      </c>
      <c r="G2094" t="s">
        <v>2360</v>
      </c>
      <c r="H2094" s="2">
        <v>45670</v>
      </c>
      <c r="I2094" s="2">
        <v>45700</v>
      </c>
      <c r="J2094" t="s">
        <v>20</v>
      </c>
      <c r="K2094" s="21">
        <v>204.8</v>
      </c>
      <c r="L2094" s="21">
        <v>204.8</v>
      </c>
      <c r="M2094">
        <v>0</v>
      </c>
      <c r="N2094" s="21">
        <v>204.8</v>
      </c>
    </row>
    <row r="2095" spans="1:14">
      <c r="A2095" t="str">
        <f>IFERROR(_xlfn.XLOOKUP(B2095,Cuentas!$C$1:$C$521,Cuentas!$A$1:$A$521),"")</f>
        <v>Yuldor</v>
      </c>
      <c r="B2095" t="s">
        <v>2152</v>
      </c>
      <c r="C2095" t="s">
        <v>2153</v>
      </c>
      <c r="D2095" t="s">
        <v>16</v>
      </c>
      <c r="E2095" t="s">
        <v>7</v>
      </c>
      <c r="F2095" t="s">
        <v>2361</v>
      </c>
      <c r="G2095" t="s">
        <v>2361</v>
      </c>
      <c r="H2095" s="2">
        <v>45670</v>
      </c>
      <c r="I2095" s="2">
        <v>45700</v>
      </c>
      <c r="J2095" t="s">
        <v>20</v>
      </c>
      <c r="K2095" s="21">
        <v>92</v>
      </c>
      <c r="L2095" s="21">
        <v>92</v>
      </c>
      <c r="M2095">
        <v>0</v>
      </c>
      <c r="N2095" s="21">
        <v>92</v>
      </c>
    </row>
    <row r="2096" spans="1:14">
      <c r="A2096" t="str">
        <f>IFERROR(_xlfn.XLOOKUP(B2096,Cuentas!$C$1:$C$521,Cuentas!$A$1:$A$521),"")</f>
        <v>Yuldor</v>
      </c>
      <c r="B2096" t="s">
        <v>2152</v>
      </c>
      <c r="C2096" t="s">
        <v>2153</v>
      </c>
      <c r="D2096" t="s">
        <v>16</v>
      </c>
      <c r="E2096" t="s">
        <v>7</v>
      </c>
      <c r="F2096" t="s">
        <v>2362</v>
      </c>
      <c r="G2096" t="s">
        <v>2362</v>
      </c>
      <c r="H2096" s="2">
        <v>45670</v>
      </c>
      <c r="I2096" s="2">
        <v>45700</v>
      </c>
      <c r="J2096" t="s">
        <v>20</v>
      </c>
      <c r="K2096" s="21">
        <v>423</v>
      </c>
      <c r="L2096" s="21">
        <v>423</v>
      </c>
      <c r="M2096">
        <v>0</v>
      </c>
      <c r="N2096" s="21">
        <v>423</v>
      </c>
    </row>
    <row r="2097" spans="1:14">
      <c r="A2097" t="str">
        <f>IFERROR(_xlfn.XLOOKUP(B2097,Cuentas!$C$1:$C$521,Cuentas!$A$1:$A$521),"")</f>
        <v>Yuldor</v>
      </c>
      <c r="B2097" t="s">
        <v>2152</v>
      </c>
      <c r="C2097" t="s">
        <v>2153</v>
      </c>
      <c r="D2097" t="s">
        <v>16</v>
      </c>
      <c r="E2097" t="s">
        <v>7</v>
      </c>
      <c r="F2097" t="s">
        <v>2363</v>
      </c>
      <c r="G2097" t="s">
        <v>2363</v>
      </c>
      <c r="H2097" s="2">
        <v>45670</v>
      </c>
      <c r="I2097" s="2">
        <v>45700</v>
      </c>
      <c r="J2097" t="s">
        <v>20</v>
      </c>
      <c r="K2097" s="21">
        <v>729.4</v>
      </c>
      <c r="L2097" s="21">
        <v>729.4</v>
      </c>
      <c r="M2097">
        <v>0</v>
      </c>
      <c r="N2097" s="21">
        <v>729.4</v>
      </c>
    </row>
    <row r="2098" spans="1:14">
      <c r="A2098" t="str">
        <f>IFERROR(_xlfn.XLOOKUP(B2098,Cuentas!$C$1:$C$521,Cuentas!$A$1:$A$521),"")</f>
        <v>Yuldor</v>
      </c>
      <c r="B2098" t="s">
        <v>2152</v>
      </c>
      <c r="C2098" t="s">
        <v>2153</v>
      </c>
      <c r="D2098" t="s">
        <v>16</v>
      </c>
      <c r="E2098" t="s">
        <v>7</v>
      </c>
      <c r="F2098" t="s">
        <v>2364</v>
      </c>
      <c r="G2098" t="s">
        <v>2364</v>
      </c>
      <c r="H2098" s="2">
        <v>45670</v>
      </c>
      <c r="I2098" s="2">
        <v>45700</v>
      </c>
      <c r="J2098" t="s">
        <v>20</v>
      </c>
      <c r="K2098" s="21">
        <v>916</v>
      </c>
      <c r="L2098" s="21">
        <v>916</v>
      </c>
      <c r="M2098">
        <v>0</v>
      </c>
      <c r="N2098" s="21">
        <v>916</v>
      </c>
    </row>
    <row r="2099" spans="1:14">
      <c r="A2099" t="str">
        <f>IFERROR(_xlfn.XLOOKUP(B2099,Cuentas!$C$1:$C$521,Cuentas!$A$1:$A$521),"")</f>
        <v>Yuldor</v>
      </c>
      <c r="B2099" t="s">
        <v>2152</v>
      </c>
      <c r="C2099" t="s">
        <v>2153</v>
      </c>
      <c r="D2099" t="s">
        <v>16</v>
      </c>
      <c r="E2099" t="s">
        <v>7</v>
      </c>
      <c r="F2099" t="s">
        <v>2365</v>
      </c>
      <c r="G2099" t="s">
        <v>2365</v>
      </c>
      <c r="H2099" s="2">
        <v>45670</v>
      </c>
      <c r="I2099" s="2">
        <v>45700</v>
      </c>
      <c r="J2099" t="s">
        <v>20</v>
      </c>
      <c r="K2099" s="21">
        <v>438.65</v>
      </c>
      <c r="L2099" s="21">
        <v>438.65</v>
      </c>
      <c r="M2099">
        <v>0</v>
      </c>
      <c r="N2099" s="21">
        <v>438.65</v>
      </c>
    </row>
    <row r="2100" spans="1:14">
      <c r="A2100" t="str">
        <f>IFERROR(_xlfn.XLOOKUP(B2100,Cuentas!$C$1:$C$521,Cuentas!$A$1:$A$521),"")</f>
        <v>Yuldor</v>
      </c>
      <c r="B2100" t="s">
        <v>2152</v>
      </c>
      <c r="C2100" t="s">
        <v>2153</v>
      </c>
      <c r="D2100" t="s">
        <v>16</v>
      </c>
      <c r="E2100" t="s">
        <v>7</v>
      </c>
      <c r="F2100" t="s">
        <v>2366</v>
      </c>
      <c r="G2100" t="s">
        <v>2366</v>
      </c>
      <c r="H2100" s="2">
        <v>45670</v>
      </c>
      <c r="I2100" s="2">
        <v>45700</v>
      </c>
      <c r="J2100" t="s">
        <v>20</v>
      </c>
      <c r="K2100" s="21">
        <v>217.8</v>
      </c>
      <c r="L2100" s="21">
        <v>217.8</v>
      </c>
      <c r="M2100">
        <v>0</v>
      </c>
      <c r="N2100" s="21">
        <v>217.8</v>
      </c>
    </row>
    <row r="2101" spans="1:14">
      <c r="A2101" t="str">
        <f>IFERROR(_xlfn.XLOOKUP(B2101,Cuentas!$C$1:$C$521,Cuentas!$A$1:$A$521),"")</f>
        <v>Yuldor</v>
      </c>
      <c r="B2101" t="s">
        <v>2152</v>
      </c>
      <c r="C2101" t="s">
        <v>2153</v>
      </c>
      <c r="D2101" t="s">
        <v>16</v>
      </c>
      <c r="E2101" t="s">
        <v>7</v>
      </c>
      <c r="F2101" t="s">
        <v>2367</v>
      </c>
      <c r="G2101" t="s">
        <v>2367</v>
      </c>
      <c r="H2101" s="2">
        <v>45670</v>
      </c>
      <c r="I2101" s="2">
        <v>45700</v>
      </c>
      <c r="J2101" t="s">
        <v>20</v>
      </c>
      <c r="K2101" s="21">
        <v>162.5</v>
      </c>
      <c r="L2101" s="21">
        <v>162.5</v>
      </c>
      <c r="M2101">
        <v>0</v>
      </c>
      <c r="N2101" s="21">
        <v>162.5</v>
      </c>
    </row>
    <row r="2102" spans="1:14">
      <c r="A2102" t="str">
        <f>IFERROR(_xlfn.XLOOKUP(B2102,Cuentas!$C$1:$C$521,Cuentas!$A$1:$A$521),"")</f>
        <v>Yuldor</v>
      </c>
      <c r="B2102" t="s">
        <v>2152</v>
      </c>
      <c r="C2102" t="s">
        <v>2153</v>
      </c>
      <c r="D2102" t="s">
        <v>16</v>
      </c>
      <c r="E2102" t="s">
        <v>7</v>
      </c>
      <c r="F2102" t="s">
        <v>2368</v>
      </c>
      <c r="G2102" t="s">
        <v>2368</v>
      </c>
      <c r="H2102" s="2">
        <v>45670</v>
      </c>
      <c r="I2102" s="2">
        <v>45700</v>
      </c>
      <c r="J2102" t="s">
        <v>20</v>
      </c>
      <c r="K2102" s="21">
        <v>362.3</v>
      </c>
      <c r="L2102" s="21">
        <v>362.3</v>
      </c>
      <c r="M2102">
        <v>0</v>
      </c>
      <c r="N2102" s="21">
        <v>362.3</v>
      </c>
    </row>
    <row r="2103" spans="1:14">
      <c r="A2103" t="str">
        <f>IFERROR(_xlfn.XLOOKUP(B2103,Cuentas!$C$1:$C$521,Cuentas!$A$1:$A$521),"")</f>
        <v>Yuldor</v>
      </c>
      <c r="B2103" t="s">
        <v>2152</v>
      </c>
      <c r="C2103" t="s">
        <v>2153</v>
      </c>
      <c r="D2103" t="s">
        <v>16</v>
      </c>
      <c r="E2103" t="s">
        <v>7</v>
      </c>
      <c r="F2103" t="s">
        <v>2369</v>
      </c>
      <c r="G2103" t="s">
        <v>2369</v>
      </c>
      <c r="H2103" s="2">
        <v>45670</v>
      </c>
      <c r="I2103" s="2">
        <v>45700</v>
      </c>
      <c r="J2103" t="s">
        <v>20</v>
      </c>
      <c r="K2103" s="21">
        <v>466.9</v>
      </c>
      <c r="L2103" s="21">
        <v>466.9</v>
      </c>
      <c r="M2103">
        <v>0</v>
      </c>
      <c r="N2103" s="21">
        <v>466.9</v>
      </c>
    </row>
    <row r="2104" spans="1:14">
      <c r="A2104" t="str">
        <f>IFERROR(_xlfn.XLOOKUP(B2104,Cuentas!$C$1:$C$521,Cuentas!$A$1:$A$521),"")</f>
        <v>Yuldor</v>
      </c>
      <c r="B2104" t="s">
        <v>2152</v>
      </c>
      <c r="C2104" t="s">
        <v>2153</v>
      </c>
      <c r="D2104" t="s">
        <v>16</v>
      </c>
      <c r="E2104" t="s">
        <v>7</v>
      </c>
      <c r="F2104" t="s">
        <v>2370</v>
      </c>
      <c r="G2104" t="s">
        <v>2370</v>
      </c>
      <c r="H2104" s="2">
        <v>45670</v>
      </c>
      <c r="I2104" s="2">
        <v>45700</v>
      </c>
      <c r="J2104" t="s">
        <v>20</v>
      </c>
      <c r="K2104" s="21">
        <v>414.6</v>
      </c>
      <c r="L2104" s="21">
        <v>414.6</v>
      </c>
      <c r="M2104">
        <v>0</v>
      </c>
      <c r="N2104" s="21">
        <v>414.6</v>
      </c>
    </row>
    <row r="2105" spans="1:14">
      <c r="A2105" t="str">
        <f>IFERROR(_xlfn.XLOOKUP(B2105,Cuentas!$C$1:$C$521,Cuentas!$A$1:$A$521),"")</f>
        <v>Yuldor</v>
      </c>
      <c r="B2105" t="s">
        <v>2152</v>
      </c>
      <c r="C2105" t="s">
        <v>2153</v>
      </c>
      <c r="D2105" t="s">
        <v>16</v>
      </c>
      <c r="E2105" t="s">
        <v>7</v>
      </c>
      <c r="F2105" t="s">
        <v>2371</v>
      </c>
      <c r="G2105" t="s">
        <v>2371</v>
      </c>
      <c r="H2105" s="2">
        <v>45670</v>
      </c>
      <c r="I2105" s="2">
        <v>45700</v>
      </c>
      <c r="J2105" t="s">
        <v>20</v>
      </c>
      <c r="K2105" s="21">
        <v>552</v>
      </c>
      <c r="L2105" s="21">
        <v>552</v>
      </c>
      <c r="M2105">
        <v>0</v>
      </c>
      <c r="N2105" s="21">
        <v>552</v>
      </c>
    </row>
    <row r="2106" spans="1:14">
      <c r="A2106" t="str">
        <f>IFERROR(_xlfn.XLOOKUP(B2106,Cuentas!$C$1:$C$521,Cuentas!$A$1:$A$521),"")</f>
        <v>Yuldor</v>
      </c>
      <c r="B2106" t="s">
        <v>2152</v>
      </c>
      <c r="C2106" t="s">
        <v>2153</v>
      </c>
      <c r="D2106" t="s">
        <v>16</v>
      </c>
      <c r="E2106" t="s">
        <v>7</v>
      </c>
      <c r="F2106" t="s">
        <v>2372</v>
      </c>
      <c r="G2106" t="s">
        <v>2372</v>
      </c>
      <c r="H2106" s="2">
        <v>45670</v>
      </c>
      <c r="I2106" s="2">
        <v>45700</v>
      </c>
      <c r="J2106" t="s">
        <v>20</v>
      </c>
      <c r="K2106" s="21">
        <v>377.3</v>
      </c>
      <c r="L2106" s="21">
        <v>377.3</v>
      </c>
      <c r="M2106">
        <v>0</v>
      </c>
      <c r="N2106" s="21">
        <v>377.3</v>
      </c>
    </row>
    <row r="2107" spans="1:14">
      <c r="A2107" t="str">
        <f>IFERROR(_xlfn.XLOOKUP(B2107,Cuentas!$C$1:$C$521,Cuentas!$A$1:$A$521),"")</f>
        <v>Yuldor</v>
      </c>
      <c r="B2107" t="s">
        <v>2152</v>
      </c>
      <c r="C2107" t="s">
        <v>2153</v>
      </c>
      <c r="D2107" t="s">
        <v>16</v>
      </c>
      <c r="E2107" t="s">
        <v>7</v>
      </c>
      <c r="F2107" t="s">
        <v>2373</v>
      </c>
      <c r="G2107" t="s">
        <v>2373</v>
      </c>
      <c r="H2107" s="2">
        <v>45670</v>
      </c>
      <c r="I2107" s="2">
        <v>45700</v>
      </c>
      <c r="J2107" t="s">
        <v>20</v>
      </c>
      <c r="K2107" s="21">
        <v>310</v>
      </c>
      <c r="L2107" s="21">
        <v>310</v>
      </c>
      <c r="M2107">
        <v>0</v>
      </c>
      <c r="N2107" s="21">
        <v>310</v>
      </c>
    </row>
    <row r="2108" spans="1:14">
      <c r="A2108" t="str">
        <f>IFERROR(_xlfn.XLOOKUP(B2108,Cuentas!$C$1:$C$521,Cuentas!$A$1:$A$521),"")</f>
        <v>Yuldor</v>
      </c>
      <c r="B2108" t="s">
        <v>2152</v>
      </c>
      <c r="C2108" t="s">
        <v>2153</v>
      </c>
      <c r="D2108" t="s">
        <v>16</v>
      </c>
      <c r="E2108" t="s">
        <v>7</v>
      </c>
      <c r="F2108" t="s">
        <v>2374</v>
      </c>
      <c r="G2108" t="s">
        <v>2374</v>
      </c>
      <c r="H2108" s="2">
        <v>45672</v>
      </c>
      <c r="I2108" s="2">
        <v>45702</v>
      </c>
      <c r="J2108" t="s">
        <v>20</v>
      </c>
      <c r="K2108" s="21">
        <v>1225.5</v>
      </c>
      <c r="L2108" s="21">
        <v>1225.5</v>
      </c>
      <c r="M2108">
        <v>0</v>
      </c>
      <c r="N2108" s="21">
        <v>1225.5</v>
      </c>
    </row>
    <row r="2109" spans="1:14">
      <c r="A2109" t="str">
        <f>IFERROR(_xlfn.XLOOKUP(B2109,Cuentas!$C$1:$C$521,Cuentas!$A$1:$A$521),"")</f>
        <v>Yuldor</v>
      </c>
      <c r="B2109" t="s">
        <v>2152</v>
      </c>
      <c r="C2109" t="s">
        <v>2153</v>
      </c>
      <c r="D2109" t="s">
        <v>16</v>
      </c>
      <c r="E2109" t="s">
        <v>7</v>
      </c>
      <c r="F2109" t="s">
        <v>2375</v>
      </c>
      <c r="G2109" t="s">
        <v>2375</v>
      </c>
      <c r="H2109" s="2">
        <v>45672</v>
      </c>
      <c r="I2109" s="2">
        <v>45702</v>
      </c>
      <c r="J2109" t="s">
        <v>20</v>
      </c>
      <c r="K2109" s="21">
        <v>217.8</v>
      </c>
      <c r="L2109" s="21">
        <v>217.8</v>
      </c>
      <c r="M2109">
        <v>0</v>
      </c>
      <c r="N2109" s="21">
        <v>217.8</v>
      </c>
    </row>
    <row r="2110" spans="1:14">
      <c r="A2110" t="str">
        <f>IFERROR(_xlfn.XLOOKUP(B2110,Cuentas!$C$1:$C$521,Cuentas!$A$1:$A$521),"")</f>
        <v>Yuldor</v>
      </c>
      <c r="B2110" t="s">
        <v>2152</v>
      </c>
      <c r="C2110" t="s">
        <v>2153</v>
      </c>
      <c r="D2110" t="s">
        <v>16</v>
      </c>
      <c r="E2110" t="s">
        <v>7</v>
      </c>
      <c r="F2110" t="s">
        <v>2376</v>
      </c>
      <c r="G2110" t="s">
        <v>2376</v>
      </c>
      <c r="H2110" s="2">
        <v>45672</v>
      </c>
      <c r="I2110" s="2">
        <v>45702</v>
      </c>
      <c r="J2110" t="s">
        <v>20</v>
      </c>
      <c r="K2110" s="21">
        <v>204.8</v>
      </c>
      <c r="L2110" s="21">
        <v>204.8</v>
      </c>
      <c r="M2110">
        <v>0</v>
      </c>
      <c r="N2110" s="21">
        <v>204.8</v>
      </c>
    </row>
    <row r="2111" spans="1:14">
      <c r="A2111" t="str">
        <f>IFERROR(_xlfn.XLOOKUP(B2111,Cuentas!$C$1:$C$521,Cuentas!$A$1:$A$521),"")</f>
        <v>Yuldor</v>
      </c>
      <c r="B2111" t="s">
        <v>2152</v>
      </c>
      <c r="C2111" t="s">
        <v>2153</v>
      </c>
      <c r="D2111" t="s">
        <v>16</v>
      </c>
      <c r="E2111" t="s">
        <v>7</v>
      </c>
      <c r="F2111" t="s">
        <v>2377</v>
      </c>
      <c r="G2111" t="s">
        <v>2377</v>
      </c>
      <c r="H2111" s="2">
        <v>45672</v>
      </c>
      <c r="I2111" s="2">
        <v>45702</v>
      </c>
      <c r="J2111" t="s">
        <v>20</v>
      </c>
      <c r="K2111" s="21">
        <v>177.26</v>
      </c>
      <c r="L2111" s="21">
        <v>177.26</v>
      </c>
      <c r="M2111">
        <v>0</v>
      </c>
      <c r="N2111" s="21">
        <v>177.26</v>
      </c>
    </row>
    <row r="2112" spans="1:14">
      <c r="A2112" t="str">
        <f>IFERROR(_xlfn.XLOOKUP(B2112,Cuentas!$C$1:$C$521,Cuentas!$A$1:$A$521),"")</f>
        <v>Yuldor</v>
      </c>
      <c r="B2112" t="s">
        <v>2152</v>
      </c>
      <c r="C2112" t="s">
        <v>2153</v>
      </c>
      <c r="D2112" t="s">
        <v>16</v>
      </c>
      <c r="E2112" t="s">
        <v>7</v>
      </c>
      <c r="F2112" t="s">
        <v>2378</v>
      </c>
      <c r="G2112" t="s">
        <v>2378</v>
      </c>
      <c r="H2112" s="2">
        <v>45672</v>
      </c>
      <c r="I2112" s="2">
        <v>45702</v>
      </c>
      <c r="J2112" t="s">
        <v>20</v>
      </c>
      <c r="K2112" s="21">
        <v>184</v>
      </c>
      <c r="L2112" s="21">
        <v>184</v>
      </c>
      <c r="M2112">
        <v>0</v>
      </c>
      <c r="N2112" s="21">
        <v>184</v>
      </c>
    </row>
    <row r="2113" spans="1:14">
      <c r="A2113" t="str">
        <f>IFERROR(_xlfn.XLOOKUP(B2113,Cuentas!$C$1:$C$521,Cuentas!$A$1:$A$521),"")</f>
        <v>Yuldor</v>
      </c>
      <c r="B2113" t="s">
        <v>2152</v>
      </c>
      <c r="C2113" t="s">
        <v>2153</v>
      </c>
      <c r="D2113" t="s">
        <v>16</v>
      </c>
      <c r="E2113" t="s">
        <v>7</v>
      </c>
      <c r="F2113" t="s">
        <v>2379</v>
      </c>
      <c r="G2113" t="s">
        <v>2379</v>
      </c>
      <c r="H2113" s="2">
        <v>45672</v>
      </c>
      <c r="I2113" s="2">
        <v>45702</v>
      </c>
      <c r="J2113" t="s">
        <v>20</v>
      </c>
      <c r="K2113" s="21">
        <v>207.8</v>
      </c>
      <c r="L2113" s="21">
        <v>207.8</v>
      </c>
      <c r="M2113">
        <v>0</v>
      </c>
      <c r="N2113" s="21">
        <v>207.8</v>
      </c>
    </row>
    <row r="2114" spans="1:14">
      <c r="A2114" t="str">
        <f>IFERROR(_xlfn.XLOOKUP(B2114,Cuentas!$C$1:$C$521,Cuentas!$A$1:$A$521),"")</f>
        <v>Yuldor</v>
      </c>
      <c r="B2114" t="s">
        <v>2152</v>
      </c>
      <c r="C2114" t="s">
        <v>2153</v>
      </c>
      <c r="D2114" t="s">
        <v>16</v>
      </c>
      <c r="E2114" t="s">
        <v>7</v>
      </c>
      <c r="F2114" t="s">
        <v>2380</v>
      </c>
      <c r="G2114" t="s">
        <v>2380</v>
      </c>
      <c r="H2114" s="2">
        <v>45672</v>
      </c>
      <c r="I2114" s="2">
        <v>45702</v>
      </c>
      <c r="J2114" t="s">
        <v>20</v>
      </c>
      <c r="K2114" s="21">
        <v>323.10000000000002</v>
      </c>
      <c r="L2114" s="21">
        <v>323.10000000000002</v>
      </c>
      <c r="M2114">
        <v>0</v>
      </c>
      <c r="N2114" s="21">
        <v>323.10000000000002</v>
      </c>
    </row>
    <row r="2115" spans="1:14">
      <c r="A2115" t="str">
        <f>IFERROR(_xlfn.XLOOKUP(B2115,Cuentas!$C$1:$C$521,Cuentas!$A$1:$A$521),"")</f>
        <v>Yuldor</v>
      </c>
      <c r="B2115" t="s">
        <v>2152</v>
      </c>
      <c r="C2115" t="s">
        <v>2153</v>
      </c>
      <c r="D2115" t="s">
        <v>16</v>
      </c>
      <c r="E2115" t="s">
        <v>7</v>
      </c>
      <c r="F2115" t="s">
        <v>2381</v>
      </c>
      <c r="G2115" t="s">
        <v>2381</v>
      </c>
      <c r="H2115" s="2">
        <v>45672</v>
      </c>
      <c r="I2115" s="2">
        <v>45702</v>
      </c>
      <c r="J2115" t="s">
        <v>20</v>
      </c>
      <c r="K2115" s="21">
        <v>57.3</v>
      </c>
      <c r="L2115" s="21">
        <v>57.3</v>
      </c>
      <c r="M2115">
        <v>0</v>
      </c>
      <c r="N2115" s="21">
        <v>57.3</v>
      </c>
    </row>
    <row r="2116" spans="1:14">
      <c r="A2116" t="str">
        <f>IFERROR(_xlfn.XLOOKUP(B2116,Cuentas!$C$1:$C$521,Cuentas!$A$1:$A$521),"")</f>
        <v>Yuldor</v>
      </c>
      <c r="B2116" t="s">
        <v>2152</v>
      </c>
      <c r="C2116" t="s">
        <v>2153</v>
      </c>
      <c r="D2116" t="s">
        <v>16</v>
      </c>
      <c r="E2116" t="s">
        <v>7</v>
      </c>
      <c r="F2116" t="s">
        <v>2382</v>
      </c>
      <c r="G2116" t="s">
        <v>2382</v>
      </c>
      <c r="H2116" s="2">
        <v>45672</v>
      </c>
      <c r="I2116" s="2">
        <v>45702</v>
      </c>
      <c r="J2116" t="s">
        <v>20</v>
      </c>
      <c r="K2116" s="21">
        <v>764.8</v>
      </c>
      <c r="L2116" s="21">
        <v>764.8</v>
      </c>
      <c r="M2116">
        <v>0</v>
      </c>
      <c r="N2116" s="21">
        <v>764.8</v>
      </c>
    </row>
    <row r="2117" spans="1:14">
      <c r="A2117" t="str">
        <f>IFERROR(_xlfn.XLOOKUP(B2117,Cuentas!$C$1:$C$521,Cuentas!$A$1:$A$521),"")</f>
        <v>Yuldor</v>
      </c>
      <c r="B2117" t="s">
        <v>2152</v>
      </c>
      <c r="C2117" t="s">
        <v>2153</v>
      </c>
      <c r="D2117" t="s">
        <v>16</v>
      </c>
      <c r="E2117" t="s">
        <v>7</v>
      </c>
      <c r="F2117" t="s">
        <v>2383</v>
      </c>
      <c r="G2117" t="s">
        <v>2383</v>
      </c>
      <c r="H2117" s="2">
        <v>45672</v>
      </c>
      <c r="I2117" s="2">
        <v>45702</v>
      </c>
      <c r="J2117" t="s">
        <v>20</v>
      </c>
      <c r="K2117" s="21">
        <v>320.8</v>
      </c>
      <c r="L2117" s="21">
        <v>320.8</v>
      </c>
      <c r="M2117">
        <v>0</v>
      </c>
      <c r="N2117" s="21">
        <v>320.8</v>
      </c>
    </row>
    <row r="2118" spans="1:14">
      <c r="A2118" t="str">
        <f>IFERROR(_xlfn.XLOOKUP(B2118,Cuentas!$C$1:$C$521,Cuentas!$A$1:$A$521),"")</f>
        <v>Yuldor</v>
      </c>
      <c r="B2118" t="s">
        <v>2152</v>
      </c>
      <c r="C2118" t="s">
        <v>2153</v>
      </c>
      <c r="D2118" t="s">
        <v>16</v>
      </c>
      <c r="E2118" t="s">
        <v>7</v>
      </c>
      <c r="F2118" t="s">
        <v>2384</v>
      </c>
      <c r="G2118" t="s">
        <v>2384</v>
      </c>
      <c r="H2118" s="2">
        <v>45672</v>
      </c>
      <c r="I2118" s="2">
        <v>45702</v>
      </c>
      <c r="J2118" t="s">
        <v>20</v>
      </c>
      <c r="K2118" s="21">
        <v>170.9</v>
      </c>
      <c r="L2118" s="21">
        <v>170.9</v>
      </c>
      <c r="M2118">
        <v>0</v>
      </c>
      <c r="N2118" s="21">
        <v>170.9</v>
      </c>
    </row>
    <row r="2119" spans="1:14">
      <c r="A2119" t="str">
        <f>IFERROR(_xlfn.XLOOKUP(B2119,Cuentas!$C$1:$C$521,Cuentas!$A$1:$A$521),"")</f>
        <v>Yuldor</v>
      </c>
      <c r="B2119" t="s">
        <v>2152</v>
      </c>
      <c r="C2119" t="s">
        <v>2153</v>
      </c>
      <c r="D2119" t="s">
        <v>16</v>
      </c>
      <c r="E2119" t="s">
        <v>7</v>
      </c>
      <c r="F2119" t="s">
        <v>2385</v>
      </c>
      <c r="G2119" t="s">
        <v>2385</v>
      </c>
      <c r="H2119" s="2">
        <v>45672</v>
      </c>
      <c r="I2119" s="2">
        <v>45702</v>
      </c>
      <c r="J2119" t="s">
        <v>20</v>
      </c>
      <c r="K2119" s="21">
        <v>1827</v>
      </c>
      <c r="L2119" s="21">
        <v>1827</v>
      </c>
      <c r="M2119">
        <v>0</v>
      </c>
      <c r="N2119" s="21">
        <v>1827</v>
      </c>
    </row>
    <row r="2120" spans="1:14">
      <c r="A2120" t="str">
        <f>IFERROR(_xlfn.XLOOKUP(B2120,Cuentas!$C$1:$C$521,Cuentas!$A$1:$A$521),"")</f>
        <v>Yuldor</v>
      </c>
      <c r="B2120" t="s">
        <v>2152</v>
      </c>
      <c r="C2120" t="s">
        <v>2153</v>
      </c>
      <c r="D2120" t="s">
        <v>16</v>
      </c>
      <c r="E2120" t="s">
        <v>7</v>
      </c>
      <c r="F2120" t="s">
        <v>2386</v>
      </c>
      <c r="G2120" t="s">
        <v>2386</v>
      </c>
      <c r="H2120" s="2">
        <v>45672</v>
      </c>
      <c r="I2120" s="2">
        <v>45702</v>
      </c>
      <c r="J2120" t="s">
        <v>20</v>
      </c>
      <c r="K2120" s="21">
        <v>562</v>
      </c>
      <c r="L2120" s="21">
        <v>562</v>
      </c>
      <c r="M2120">
        <v>0</v>
      </c>
      <c r="N2120" s="21">
        <v>562</v>
      </c>
    </row>
    <row r="2121" spans="1:14">
      <c r="A2121" t="str">
        <f>IFERROR(_xlfn.XLOOKUP(B2121,Cuentas!$C$1:$C$521,Cuentas!$A$1:$A$521),"")</f>
        <v>Yuldor</v>
      </c>
      <c r="B2121" t="s">
        <v>2152</v>
      </c>
      <c r="C2121" t="s">
        <v>2153</v>
      </c>
      <c r="D2121" t="s">
        <v>16</v>
      </c>
      <c r="E2121" t="s">
        <v>7</v>
      </c>
      <c r="F2121" t="s">
        <v>2387</v>
      </c>
      <c r="G2121" t="s">
        <v>2387</v>
      </c>
      <c r="H2121" s="2">
        <v>45672</v>
      </c>
      <c r="I2121" s="2">
        <v>45702</v>
      </c>
      <c r="J2121" t="s">
        <v>20</v>
      </c>
      <c r="K2121" s="21">
        <v>157.9</v>
      </c>
      <c r="L2121" s="21">
        <v>157.9</v>
      </c>
      <c r="M2121">
        <v>0</v>
      </c>
      <c r="N2121" s="21">
        <v>157.9</v>
      </c>
    </row>
    <row r="2122" spans="1:14">
      <c r="A2122" t="str">
        <f>IFERROR(_xlfn.XLOOKUP(B2122,Cuentas!$C$1:$C$521,Cuentas!$A$1:$A$521),"")</f>
        <v>Yuldor</v>
      </c>
      <c r="B2122" t="s">
        <v>2152</v>
      </c>
      <c r="C2122" t="s">
        <v>2153</v>
      </c>
      <c r="D2122" t="s">
        <v>16</v>
      </c>
      <c r="E2122" t="s">
        <v>7</v>
      </c>
      <c r="F2122" t="s">
        <v>2388</v>
      </c>
      <c r="G2122" t="s">
        <v>2388</v>
      </c>
      <c r="H2122" s="2">
        <v>45672</v>
      </c>
      <c r="I2122" s="2">
        <v>45702</v>
      </c>
      <c r="J2122" t="s">
        <v>20</v>
      </c>
      <c r="K2122" s="21">
        <v>210.2</v>
      </c>
      <c r="L2122" s="21">
        <v>210.2</v>
      </c>
      <c r="M2122">
        <v>0</v>
      </c>
      <c r="N2122" s="21">
        <v>210.2</v>
      </c>
    </row>
    <row r="2123" spans="1:14">
      <c r="A2123" t="str">
        <f>IFERROR(_xlfn.XLOOKUP(B2123,Cuentas!$C$1:$C$521,Cuentas!$A$1:$A$521),"")</f>
        <v>Yuldor</v>
      </c>
      <c r="B2123" t="s">
        <v>2152</v>
      </c>
      <c r="C2123" t="s">
        <v>2153</v>
      </c>
      <c r="D2123" t="s">
        <v>16</v>
      </c>
      <c r="E2123" t="s">
        <v>7</v>
      </c>
      <c r="F2123" t="s">
        <v>2389</v>
      </c>
      <c r="G2123" t="s">
        <v>2389</v>
      </c>
      <c r="H2123" s="2">
        <v>45672</v>
      </c>
      <c r="I2123" s="2">
        <v>45702</v>
      </c>
      <c r="J2123" t="s">
        <v>20</v>
      </c>
      <c r="K2123" s="21">
        <v>207.8</v>
      </c>
      <c r="L2123" s="21">
        <v>207.8</v>
      </c>
      <c r="M2123">
        <v>0</v>
      </c>
      <c r="N2123" s="21">
        <v>207.8</v>
      </c>
    </row>
    <row r="2124" spans="1:14">
      <c r="A2124" t="str">
        <f>IFERROR(_xlfn.XLOOKUP(B2124,Cuentas!$C$1:$C$521,Cuentas!$A$1:$A$521),"")</f>
        <v>Yuldor</v>
      </c>
      <c r="B2124" t="s">
        <v>2152</v>
      </c>
      <c r="C2124" t="s">
        <v>2153</v>
      </c>
      <c r="D2124" t="s">
        <v>16</v>
      </c>
      <c r="E2124" t="s">
        <v>7</v>
      </c>
      <c r="F2124" t="s">
        <v>2390</v>
      </c>
      <c r="G2124" t="s">
        <v>2390</v>
      </c>
      <c r="H2124" s="2">
        <v>45673</v>
      </c>
      <c r="I2124" s="2">
        <v>45703</v>
      </c>
      <c r="J2124" t="s">
        <v>20</v>
      </c>
      <c r="K2124" s="21">
        <v>204.2</v>
      </c>
      <c r="L2124" s="21">
        <v>204.2</v>
      </c>
      <c r="M2124">
        <v>0</v>
      </c>
      <c r="N2124" s="21">
        <v>204.2</v>
      </c>
    </row>
    <row r="2125" spans="1:14">
      <c r="A2125" t="str">
        <f>IFERROR(_xlfn.XLOOKUP(B2125,Cuentas!$C$1:$C$521,Cuentas!$A$1:$A$521),"")</f>
        <v>Yuldor</v>
      </c>
      <c r="B2125" t="s">
        <v>2152</v>
      </c>
      <c r="C2125" t="s">
        <v>2153</v>
      </c>
      <c r="D2125" t="s">
        <v>16</v>
      </c>
      <c r="E2125" t="s">
        <v>7</v>
      </c>
      <c r="F2125" t="s">
        <v>2391</v>
      </c>
      <c r="G2125" t="s">
        <v>2391</v>
      </c>
      <c r="H2125" s="2">
        <v>45673</v>
      </c>
      <c r="I2125" s="2">
        <v>45703</v>
      </c>
      <c r="J2125" t="s">
        <v>20</v>
      </c>
      <c r="K2125" s="21">
        <v>615.9</v>
      </c>
      <c r="L2125" s="21">
        <v>615.9</v>
      </c>
      <c r="M2125">
        <v>0</v>
      </c>
      <c r="N2125" s="21">
        <v>615.9</v>
      </c>
    </row>
    <row r="2126" spans="1:14">
      <c r="A2126" t="str">
        <f>IFERROR(_xlfn.XLOOKUP(B2126,Cuentas!$C$1:$C$521,Cuentas!$A$1:$A$521),"")</f>
        <v>Yuldor</v>
      </c>
      <c r="B2126" t="s">
        <v>2152</v>
      </c>
      <c r="C2126" t="s">
        <v>2153</v>
      </c>
      <c r="D2126" t="s">
        <v>16</v>
      </c>
      <c r="E2126" t="s">
        <v>7</v>
      </c>
      <c r="F2126" t="s">
        <v>2392</v>
      </c>
      <c r="G2126" t="s">
        <v>2392</v>
      </c>
      <c r="H2126" s="2">
        <v>45673</v>
      </c>
      <c r="I2126" s="2">
        <v>45703</v>
      </c>
      <c r="J2126" t="s">
        <v>20</v>
      </c>
      <c r="K2126" s="21">
        <v>619</v>
      </c>
      <c r="L2126" s="21">
        <v>619</v>
      </c>
      <c r="M2126">
        <v>0</v>
      </c>
      <c r="N2126" s="21">
        <v>619</v>
      </c>
    </row>
    <row r="2127" spans="1:14">
      <c r="A2127" t="str">
        <f>IFERROR(_xlfn.XLOOKUP(B2127,Cuentas!$C$1:$C$521,Cuentas!$A$1:$A$521),"")</f>
        <v>Yuldor</v>
      </c>
      <c r="B2127" t="s">
        <v>2152</v>
      </c>
      <c r="C2127" t="s">
        <v>2153</v>
      </c>
      <c r="D2127" t="s">
        <v>16</v>
      </c>
      <c r="E2127" t="s">
        <v>7</v>
      </c>
      <c r="F2127" t="s">
        <v>2393</v>
      </c>
      <c r="G2127" t="s">
        <v>2393</v>
      </c>
      <c r="H2127" s="2">
        <v>45673</v>
      </c>
      <c r="I2127" s="2">
        <v>45703</v>
      </c>
      <c r="J2127" t="s">
        <v>20</v>
      </c>
      <c r="K2127" s="21">
        <v>312.39999999999998</v>
      </c>
      <c r="L2127" s="21">
        <v>312.39999999999998</v>
      </c>
      <c r="M2127">
        <v>0</v>
      </c>
      <c r="N2127" s="21">
        <v>312.39999999999998</v>
      </c>
    </row>
    <row r="2128" spans="1:14">
      <c r="A2128" t="str">
        <f>IFERROR(_xlfn.XLOOKUP(B2128,Cuentas!$C$1:$C$521,Cuentas!$A$1:$A$521),"")</f>
        <v>Yuldor</v>
      </c>
      <c r="B2128" t="s">
        <v>2152</v>
      </c>
      <c r="C2128" t="s">
        <v>2153</v>
      </c>
      <c r="D2128" t="s">
        <v>16</v>
      </c>
      <c r="E2128" t="s">
        <v>7</v>
      </c>
      <c r="F2128" t="s">
        <v>2394</v>
      </c>
      <c r="G2128" t="s">
        <v>2394</v>
      </c>
      <c r="H2128" s="2">
        <v>45673</v>
      </c>
      <c r="I2128" s="2">
        <v>45703</v>
      </c>
      <c r="J2128" t="s">
        <v>20</v>
      </c>
      <c r="K2128" s="21">
        <v>450</v>
      </c>
      <c r="L2128" s="21">
        <v>450</v>
      </c>
      <c r="M2128">
        <v>0</v>
      </c>
      <c r="N2128" s="21">
        <v>450</v>
      </c>
    </row>
    <row r="2129" spans="1:14">
      <c r="A2129" t="str">
        <f>IFERROR(_xlfn.XLOOKUP(B2129,Cuentas!$C$1:$C$521,Cuentas!$A$1:$A$521),"")</f>
        <v>Yuldor</v>
      </c>
      <c r="B2129" t="s">
        <v>2152</v>
      </c>
      <c r="C2129" t="s">
        <v>2153</v>
      </c>
      <c r="D2129" t="s">
        <v>16</v>
      </c>
      <c r="E2129" t="s">
        <v>7</v>
      </c>
      <c r="F2129" t="s">
        <v>2395</v>
      </c>
      <c r="G2129" t="s">
        <v>2395</v>
      </c>
      <c r="H2129" s="2">
        <v>45673</v>
      </c>
      <c r="I2129" s="2">
        <v>45703</v>
      </c>
      <c r="J2129" t="s">
        <v>20</v>
      </c>
      <c r="K2129" s="21">
        <v>735.5</v>
      </c>
      <c r="L2129" s="21">
        <v>735.5</v>
      </c>
      <c r="M2129">
        <v>0</v>
      </c>
      <c r="N2129" s="21">
        <v>735.5</v>
      </c>
    </row>
    <row r="2130" spans="1:14">
      <c r="A2130" t="str">
        <f>IFERROR(_xlfn.XLOOKUP(B2130,Cuentas!$C$1:$C$521,Cuentas!$A$1:$A$521),"")</f>
        <v>Yuldor</v>
      </c>
      <c r="B2130" t="s">
        <v>2152</v>
      </c>
      <c r="C2130" t="s">
        <v>2153</v>
      </c>
      <c r="D2130" t="s">
        <v>16</v>
      </c>
      <c r="E2130" t="s">
        <v>7</v>
      </c>
      <c r="F2130" t="s">
        <v>2396</v>
      </c>
      <c r="G2130" t="s">
        <v>2396</v>
      </c>
      <c r="H2130" s="2">
        <v>45673</v>
      </c>
      <c r="I2130" s="2">
        <v>45703</v>
      </c>
      <c r="J2130" t="s">
        <v>20</v>
      </c>
      <c r="K2130" s="21">
        <v>214.42</v>
      </c>
      <c r="L2130" s="21">
        <v>214.42</v>
      </c>
      <c r="M2130">
        <v>0</v>
      </c>
      <c r="N2130" s="21">
        <v>214.42</v>
      </c>
    </row>
    <row r="2131" spans="1:14">
      <c r="A2131" t="str">
        <f>IFERROR(_xlfn.XLOOKUP(B2131,Cuentas!$C$1:$C$521,Cuentas!$A$1:$A$521),"")</f>
        <v>Yuldor</v>
      </c>
      <c r="B2131" t="s">
        <v>2152</v>
      </c>
      <c r="C2131" t="s">
        <v>2153</v>
      </c>
      <c r="D2131" t="s">
        <v>16</v>
      </c>
      <c r="E2131" t="s">
        <v>7</v>
      </c>
      <c r="F2131" t="s">
        <v>2397</v>
      </c>
      <c r="G2131" t="s">
        <v>2397</v>
      </c>
      <c r="H2131" s="2">
        <v>45673</v>
      </c>
      <c r="I2131" s="2">
        <v>45703</v>
      </c>
      <c r="J2131" t="s">
        <v>20</v>
      </c>
      <c r="K2131" s="21">
        <v>916</v>
      </c>
      <c r="L2131" s="21">
        <v>916</v>
      </c>
      <c r="M2131">
        <v>0</v>
      </c>
      <c r="N2131" s="21">
        <v>916</v>
      </c>
    </row>
    <row r="2132" spans="1:14">
      <c r="A2132" t="str">
        <f>IFERROR(_xlfn.XLOOKUP(B2132,Cuentas!$C$1:$C$521,Cuentas!$A$1:$A$521),"")</f>
        <v>Yuldor</v>
      </c>
      <c r="B2132" t="s">
        <v>2152</v>
      </c>
      <c r="C2132" t="s">
        <v>2153</v>
      </c>
      <c r="D2132" t="s">
        <v>16</v>
      </c>
      <c r="E2132" t="s">
        <v>7</v>
      </c>
      <c r="F2132" t="s">
        <v>2398</v>
      </c>
      <c r="G2132" t="s">
        <v>2398</v>
      </c>
      <c r="H2132" s="2">
        <v>45673</v>
      </c>
      <c r="I2132" s="2">
        <v>45703</v>
      </c>
      <c r="J2132" t="s">
        <v>20</v>
      </c>
      <c r="K2132" s="21">
        <v>439.93</v>
      </c>
      <c r="L2132" s="21">
        <v>439.93</v>
      </c>
      <c r="M2132">
        <v>0</v>
      </c>
      <c r="N2132" s="21">
        <v>439.93</v>
      </c>
    </row>
    <row r="2133" spans="1:14">
      <c r="A2133" t="str">
        <f>IFERROR(_xlfn.XLOOKUP(B2133,Cuentas!$C$1:$C$521,Cuentas!$A$1:$A$521),"")</f>
        <v>Yuldor</v>
      </c>
      <c r="B2133" t="s">
        <v>2152</v>
      </c>
      <c r="C2133" t="s">
        <v>2153</v>
      </c>
      <c r="D2133" t="s">
        <v>16</v>
      </c>
      <c r="E2133" t="s">
        <v>7</v>
      </c>
      <c r="F2133" t="s">
        <v>2399</v>
      </c>
      <c r="G2133" t="s">
        <v>2399</v>
      </c>
      <c r="H2133" s="2">
        <v>45673</v>
      </c>
      <c r="I2133" s="2">
        <v>45703</v>
      </c>
      <c r="J2133" t="s">
        <v>20</v>
      </c>
      <c r="K2133" s="21">
        <v>155.5</v>
      </c>
      <c r="L2133" s="21">
        <v>155.5</v>
      </c>
      <c r="M2133">
        <v>0</v>
      </c>
      <c r="N2133" s="21">
        <v>155.5</v>
      </c>
    </row>
    <row r="2134" spans="1:14">
      <c r="A2134" t="str">
        <f>IFERROR(_xlfn.XLOOKUP(B2134,Cuentas!$C$1:$C$521,Cuentas!$A$1:$A$521),"")</f>
        <v>Yuldor</v>
      </c>
      <c r="B2134" t="s">
        <v>2152</v>
      </c>
      <c r="C2134" t="s">
        <v>2153</v>
      </c>
      <c r="D2134" t="s">
        <v>16</v>
      </c>
      <c r="E2134" t="s">
        <v>7</v>
      </c>
      <c r="F2134" t="s">
        <v>2400</v>
      </c>
      <c r="G2134" t="s">
        <v>2400</v>
      </c>
      <c r="H2134" s="2">
        <v>45673</v>
      </c>
      <c r="I2134" s="2">
        <v>45703</v>
      </c>
      <c r="J2134" t="s">
        <v>20</v>
      </c>
      <c r="K2134" s="21">
        <v>458</v>
      </c>
      <c r="L2134" s="21">
        <v>458</v>
      </c>
      <c r="M2134">
        <v>0</v>
      </c>
      <c r="N2134" s="21">
        <v>458</v>
      </c>
    </row>
    <row r="2135" spans="1:14">
      <c r="A2135" t="str">
        <f>IFERROR(_xlfn.XLOOKUP(B2135,Cuentas!$C$1:$C$521,Cuentas!$A$1:$A$521),"")</f>
        <v>Yuldor</v>
      </c>
      <c r="B2135" t="s">
        <v>2152</v>
      </c>
      <c r="C2135" t="s">
        <v>2153</v>
      </c>
      <c r="D2135" t="s">
        <v>16</v>
      </c>
      <c r="E2135" t="s">
        <v>7</v>
      </c>
      <c r="F2135" t="s">
        <v>2401</v>
      </c>
      <c r="G2135" t="s">
        <v>2401</v>
      </c>
      <c r="H2135" s="2">
        <v>45673</v>
      </c>
      <c r="I2135" s="2">
        <v>45703</v>
      </c>
      <c r="J2135" t="s">
        <v>20</v>
      </c>
      <c r="K2135" s="21">
        <v>368</v>
      </c>
      <c r="L2135" s="21">
        <v>368</v>
      </c>
      <c r="M2135">
        <v>0</v>
      </c>
      <c r="N2135" s="21">
        <v>368</v>
      </c>
    </row>
    <row r="2136" spans="1:14">
      <c r="A2136" t="str">
        <f>IFERROR(_xlfn.XLOOKUP(B2136,Cuentas!$C$1:$C$521,Cuentas!$A$1:$A$521),"")</f>
        <v>Yuldor</v>
      </c>
      <c r="B2136" t="s">
        <v>2152</v>
      </c>
      <c r="C2136" t="s">
        <v>2153</v>
      </c>
      <c r="D2136" t="s">
        <v>16</v>
      </c>
      <c r="E2136" t="s">
        <v>7</v>
      </c>
      <c r="F2136" t="s">
        <v>2402</v>
      </c>
      <c r="G2136" t="s">
        <v>2402</v>
      </c>
      <c r="H2136" s="2">
        <v>45673</v>
      </c>
      <c r="I2136" s="2">
        <v>45703</v>
      </c>
      <c r="J2136" t="s">
        <v>20</v>
      </c>
      <c r="K2136" s="21">
        <v>207.8</v>
      </c>
      <c r="L2136" s="21">
        <v>207.8</v>
      </c>
      <c r="M2136">
        <v>0</v>
      </c>
      <c r="N2136" s="21">
        <v>207.8</v>
      </c>
    </row>
    <row r="2137" spans="1:14">
      <c r="A2137" t="str">
        <f>IFERROR(_xlfn.XLOOKUP(B2137,Cuentas!$C$1:$C$521,Cuentas!$A$1:$A$521),"")</f>
        <v>Yuldor</v>
      </c>
      <c r="B2137" t="s">
        <v>2152</v>
      </c>
      <c r="C2137" t="s">
        <v>2153</v>
      </c>
      <c r="D2137" t="s">
        <v>16</v>
      </c>
      <c r="E2137" t="s">
        <v>7</v>
      </c>
      <c r="F2137" t="s">
        <v>2403</v>
      </c>
      <c r="G2137" t="s">
        <v>2403</v>
      </c>
      <c r="H2137" s="2">
        <v>45673</v>
      </c>
      <c r="I2137" s="2">
        <v>45703</v>
      </c>
      <c r="J2137" t="s">
        <v>20</v>
      </c>
      <c r="K2137" s="21">
        <v>1081.4000000000001</v>
      </c>
      <c r="L2137" s="21">
        <v>1081.4000000000001</v>
      </c>
      <c r="M2137">
        <v>0</v>
      </c>
      <c r="N2137" s="21">
        <v>1081.4000000000001</v>
      </c>
    </row>
    <row r="2138" spans="1:14">
      <c r="A2138" t="str">
        <f>IFERROR(_xlfn.XLOOKUP(B2138,Cuentas!$C$1:$C$521,Cuentas!$A$1:$A$521),"")</f>
        <v>Yuldor</v>
      </c>
      <c r="B2138" t="s">
        <v>2152</v>
      </c>
      <c r="C2138" t="s">
        <v>2153</v>
      </c>
      <c r="D2138" t="s">
        <v>16</v>
      </c>
      <c r="E2138" t="s">
        <v>7</v>
      </c>
      <c r="F2138" t="s">
        <v>2404</v>
      </c>
      <c r="G2138" t="s">
        <v>2404</v>
      </c>
      <c r="H2138" s="2">
        <v>45673</v>
      </c>
      <c r="I2138" s="2">
        <v>45703</v>
      </c>
      <c r="J2138" t="s">
        <v>20</v>
      </c>
      <c r="K2138" s="21">
        <v>207.8</v>
      </c>
      <c r="L2138" s="21">
        <v>207.8</v>
      </c>
      <c r="M2138">
        <v>0</v>
      </c>
      <c r="N2138" s="21">
        <v>207.8</v>
      </c>
    </row>
    <row r="2139" spans="1:14">
      <c r="A2139" t="str">
        <f>IFERROR(_xlfn.XLOOKUP(B2139,Cuentas!$C$1:$C$521,Cuentas!$A$1:$A$521),"")</f>
        <v>Yuldor</v>
      </c>
      <c r="B2139" t="s">
        <v>2152</v>
      </c>
      <c r="C2139" t="s">
        <v>2153</v>
      </c>
      <c r="D2139" t="s">
        <v>16</v>
      </c>
      <c r="E2139" t="s">
        <v>7</v>
      </c>
      <c r="F2139" t="s">
        <v>2405</v>
      </c>
      <c r="G2139" t="s">
        <v>2405</v>
      </c>
      <c r="H2139" s="2">
        <v>45673</v>
      </c>
      <c r="I2139" s="2">
        <v>45703</v>
      </c>
      <c r="J2139" t="s">
        <v>20</v>
      </c>
      <c r="K2139" s="21">
        <v>550</v>
      </c>
      <c r="L2139" s="21">
        <v>550</v>
      </c>
      <c r="M2139">
        <v>0</v>
      </c>
      <c r="N2139" s="21">
        <v>550</v>
      </c>
    </row>
    <row r="2140" spans="1:14">
      <c r="A2140" t="str">
        <f>IFERROR(_xlfn.XLOOKUP(B2140,Cuentas!$C$1:$C$521,Cuentas!$A$1:$A$521),"")</f>
        <v>Yuldor</v>
      </c>
      <c r="B2140" t="s">
        <v>2152</v>
      </c>
      <c r="C2140" t="s">
        <v>2153</v>
      </c>
      <c r="D2140" t="s">
        <v>16</v>
      </c>
      <c r="E2140" t="s">
        <v>7</v>
      </c>
      <c r="F2140" t="s">
        <v>2406</v>
      </c>
      <c r="G2140" t="s">
        <v>2406</v>
      </c>
      <c r="H2140" s="2">
        <v>45674</v>
      </c>
      <c r="I2140" s="2">
        <v>45704</v>
      </c>
      <c r="J2140" t="s">
        <v>20</v>
      </c>
      <c r="K2140" s="21">
        <v>3590</v>
      </c>
      <c r="L2140" s="21">
        <v>3590</v>
      </c>
      <c r="M2140">
        <v>0</v>
      </c>
      <c r="N2140" s="21">
        <v>3590</v>
      </c>
    </row>
    <row r="2141" spans="1:14">
      <c r="A2141" t="str">
        <f>IFERROR(_xlfn.XLOOKUP(B2141,Cuentas!$C$1:$C$521,Cuentas!$A$1:$A$521),"")</f>
        <v>Yuldor</v>
      </c>
      <c r="B2141" t="s">
        <v>2152</v>
      </c>
      <c r="C2141" t="s">
        <v>2153</v>
      </c>
      <c r="D2141" t="s">
        <v>16</v>
      </c>
      <c r="E2141" t="s">
        <v>7</v>
      </c>
      <c r="F2141" t="s">
        <v>2407</v>
      </c>
      <c r="G2141" t="s">
        <v>2407</v>
      </c>
      <c r="H2141" s="2">
        <v>45674</v>
      </c>
      <c r="I2141" s="2">
        <v>45704</v>
      </c>
      <c r="J2141" t="s">
        <v>20</v>
      </c>
      <c r="K2141" s="21">
        <v>2988.6</v>
      </c>
      <c r="L2141" s="21">
        <v>2988.6</v>
      </c>
      <c r="M2141">
        <v>0</v>
      </c>
      <c r="N2141" s="21">
        <v>2988.6</v>
      </c>
    </row>
    <row r="2142" spans="1:14">
      <c r="A2142" t="str">
        <f>IFERROR(_xlfn.XLOOKUP(B2142,Cuentas!$C$1:$C$521,Cuentas!$A$1:$A$521),"")</f>
        <v>Yuldor</v>
      </c>
      <c r="B2142" t="s">
        <v>2152</v>
      </c>
      <c r="C2142" t="s">
        <v>2153</v>
      </c>
      <c r="D2142" t="s">
        <v>16</v>
      </c>
      <c r="E2142" t="s">
        <v>7</v>
      </c>
      <c r="F2142" t="s">
        <v>2408</v>
      </c>
      <c r="G2142" t="s">
        <v>2408</v>
      </c>
      <c r="H2142" s="2">
        <v>45674</v>
      </c>
      <c r="I2142" s="2">
        <v>45704</v>
      </c>
      <c r="J2142" t="s">
        <v>20</v>
      </c>
      <c r="K2142" s="21">
        <v>1147.79</v>
      </c>
      <c r="L2142" s="21">
        <v>1147.79</v>
      </c>
      <c r="M2142">
        <v>0</v>
      </c>
      <c r="N2142" s="21">
        <v>1147.79</v>
      </c>
    </row>
    <row r="2143" spans="1:14">
      <c r="A2143" t="str">
        <f>IFERROR(_xlfn.XLOOKUP(B2143,Cuentas!$C$1:$C$521,Cuentas!$A$1:$A$521),"")</f>
        <v>Yuldor</v>
      </c>
      <c r="B2143" t="s">
        <v>2152</v>
      </c>
      <c r="C2143" t="s">
        <v>2153</v>
      </c>
      <c r="D2143" t="s">
        <v>16</v>
      </c>
      <c r="E2143" t="s">
        <v>7</v>
      </c>
      <c r="F2143" t="s">
        <v>2409</v>
      </c>
      <c r="G2143" t="s">
        <v>2409</v>
      </c>
      <c r="H2143" s="2">
        <v>45674</v>
      </c>
      <c r="I2143" s="2">
        <v>45704</v>
      </c>
      <c r="J2143" t="s">
        <v>20</v>
      </c>
      <c r="K2143" s="21">
        <v>260.10000000000002</v>
      </c>
      <c r="L2143" s="21">
        <v>260.10000000000002</v>
      </c>
      <c r="M2143">
        <v>0</v>
      </c>
      <c r="N2143" s="21">
        <v>260.10000000000002</v>
      </c>
    </row>
    <row r="2144" spans="1:14">
      <c r="A2144" t="str">
        <f>IFERROR(_xlfn.XLOOKUP(B2144,Cuentas!$C$1:$C$521,Cuentas!$A$1:$A$521),"")</f>
        <v>Yuldor</v>
      </c>
      <c r="B2144" t="s">
        <v>2152</v>
      </c>
      <c r="C2144" t="s">
        <v>2153</v>
      </c>
      <c r="D2144" t="s">
        <v>16</v>
      </c>
      <c r="E2144" t="s">
        <v>7</v>
      </c>
      <c r="F2144" t="s">
        <v>2410</v>
      </c>
      <c r="G2144" t="s">
        <v>2410</v>
      </c>
      <c r="H2144" s="2">
        <v>45674</v>
      </c>
      <c r="I2144" s="2">
        <v>45704</v>
      </c>
      <c r="J2144" t="s">
        <v>20</v>
      </c>
      <c r="K2144" s="21">
        <v>443.93</v>
      </c>
      <c r="L2144" s="21">
        <v>443.93</v>
      </c>
      <c r="M2144">
        <v>0</v>
      </c>
      <c r="N2144" s="21">
        <v>443.93</v>
      </c>
    </row>
    <row r="2145" spans="1:14">
      <c r="A2145" t="str">
        <f>IFERROR(_xlfn.XLOOKUP(B2145,Cuentas!$C$1:$C$521,Cuentas!$A$1:$A$521),"")</f>
        <v>Yuldor</v>
      </c>
      <c r="B2145" t="s">
        <v>2152</v>
      </c>
      <c r="C2145" t="s">
        <v>2153</v>
      </c>
      <c r="D2145" t="s">
        <v>16</v>
      </c>
      <c r="E2145" t="s">
        <v>7</v>
      </c>
      <c r="F2145" t="s">
        <v>2411</v>
      </c>
      <c r="G2145" t="s">
        <v>2411</v>
      </c>
      <c r="H2145" s="2">
        <v>45674</v>
      </c>
      <c r="I2145" s="2">
        <v>45704</v>
      </c>
      <c r="J2145" t="s">
        <v>20</v>
      </c>
      <c r="K2145" s="21">
        <v>364.7</v>
      </c>
      <c r="L2145" s="21">
        <v>364.7</v>
      </c>
      <c r="M2145">
        <v>0</v>
      </c>
      <c r="N2145" s="21">
        <v>364.7</v>
      </c>
    </row>
    <row r="2146" spans="1:14">
      <c r="A2146" t="str">
        <f>IFERROR(_xlfn.XLOOKUP(B2146,Cuentas!$C$1:$C$521,Cuentas!$A$1:$A$521),"")</f>
        <v>Yuldor</v>
      </c>
      <c r="B2146" t="s">
        <v>2152</v>
      </c>
      <c r="C2146" t="s">
        <v>2153</v>
      </c>
      <c r="D2146" t="s">
        <v>16</v>
      </c>
      <c r="E2146" t="s">
        <v>7</v>
      </c>
      <c r="F2146" t="s">
        <v>2412</v>
      </c>
      <c r="G2146" t="s">
        <v>2412</v>
      </c>
      <c r="H2146" s="2">
        <v>45674</v>
      </c>
      <c r="I2146" s="2">
        <v>45704</v>
      </c>
      <c r="J2146" t="s">
        <v>20</v>
      </c>
      <c r="K2146" s="21">
        <v>260.10000000000002</v>
      </c>
      <c r="L2146" s="21">
        <v>260.10000000000002</v>
      </c>
      <c r="M2146">
        <v>0</v>
      </c>
      <c r="N2146" s="21">
        <v>260.10000000000002</v>
      </c>
    </row>
    <row r="2147" spans="1:14">
      <c r="A2147" t="str">
        <f>IFERROR(_xlfn.XLOOKUP(B2147,Cuentas!$C$1:$C$521,Cuentas!$A$1:$A$521),"")</f>
        <v>Yuldor</v>
      </c>
      <c r="B2147" t="s">
        <v>2152</v>
      </c>
      <c r="C2147" t="s">
        <v>2153</v>
      </c>
      <c r="D2147" t="s">
        <v>16</v>
      </c>
      <c r="E2147" t="s">
        <v>7</v>
      </c>
      <c r="F2147" t="s">
        <v>2413</v>
      </c>
      <c r="G2147" t="s">
        <v>2413</v>
      </c>
      <c r="H2147" s="2">
        <v>45674</v>
      </c>
      <c r="I2147" s="2">
        <v>45704</v>
      </c>
      <c r="J2147" t="s">
        <v>20</v>
      </c>
      <c r="K2147" s="21">
        <v>414.6</v>
      </c>
      <c r="L2147" s="21">
        <v>414.6</v>
      </c>
      <c r="M2147">
        <v>0</v>
      </c>
      <c r="N2147" s="21">
        <v>414.6</v>
      </c>
    </row>
    <row r="2148" spans="1:14">
      <c r="A2148" t="str">
        <f>IFERROR(_xlfn.XLOOKUP(B2148,Cuentas!$C$1:$C$521,Cuentas!$A$1:$A$521),"")</f>
        <v>Yuldor</v>
      </c>
      <c r="B2148" t="s">
        <v>2152</v>
      </c>
      <c r="C2148" t="s">
        <v>2153</v>
      </c>
      <c r="D2148" t="s">
        <v>16</v>
      </c>
      <c r="E2148" t="s">
        <v>7</v>
      </c>
      <c r="F2148" t="s">
        <v>2414</v>
      </c>
      <c r="G2148" t="s">
        <v>2414</v>
      </c>
      <c r="H2148" s="2">
        <v>45674</v>
      </c>
      <c r="I2148" s="2">
        <v>45704</v>
      </c>
      <c r="J2148" t="s">
        <v>20</v>
      </c>
      <c r="K2148" s="21">
        <v>157.9</v>
      </c>
      <c r="L2148" s="21">
        <v>157.9</v>
      </c>
      <c r="M2148">
        <v>0</v>
      </c>
      <c r="N2148" s="21">
        <v>157.9</v>
      </c>
    </row>
    <row r="2149" spans="1:14">
      <c r="A2149" t="str">
        <f>IFERROR(_xlfn.XLOOKUP(B2149,Cuentas!$C$1:$C$521,Cuentas!$A$1:$A$521),"")</f>
        <v>Yuldor</v>
      </c>
      <c r="B2149" t="s">
        <v>2152</v>
      </c>
      <c r="C2149" t="s">
        <v>2153</v>
      </c>
      <c r="D2149" t="s">
        <v>16</v>
      </c>
      <c r="E2149" t="s">
        <v>7</v>
      </c>
      <c r="F2149" t="s">
        <v>2415</v>
      </c>
      <c r="G2149" t="s">
        <v>2415</v>
      </c>
      <c r="H2149" s="2">
        <v>45674</v>
      </c>
      <c r="I2149" s="2">
        <v>45704</v>
      </c>
      <c r="J2149" t="s">
        <v>20</v>
      </c>
      <c r="K2149" s="21">
        <v>105.6</v>
      </c>
      <c r="L2149" s="21">
        <v>105.6</v>
      </c>
      <c r="M2149">
        <v>0</v>
      </c>
      <c r="N2149" s="21">
        <v>105.6</v>
      </c>
    </row>
    <row r="2150" spans="1:14">
      <c r="A2150" t="str">
        <f>IFERROR(_xlfn.XLOOKUP(B2150,Cuentas!$C$1:$C$521,Cuentas!$A$1:$A$521),"")</f>
        <v>Yuldor</v>
      </c>
      <c r="B2150" t="s">
        <v>2152</v>
      </c>
      <c r="C2150" t="s">
        <v>2153</v>
      </c>
      <c r="D2150" t="s">
        <v>16</v>
      </c>
      <c r="E2150" t="s">
        <v>7</v>
      </c>
      <c r="F2150" t="s">
        <v>2416</v>
      </c>
      <c r="G2150" t="s">
        <v>2416</v>
      </c>
      <c r="H2150" s="2">
        <v>45674</v>
      </c>
      <c r="I2150" s="2">
        <v>45704</v>
      </c>
      <c r="J2150" t="s">
        <v>20</v>
      </c>
      <c r="K2150" s="21">
        <v>274.10000000000002</v>
      </c>
      <c r="L2150" s="21">
        <v>274.10000000000002</v>
      </c>
      <c r="M2150">
        <v>0</v>
      </c>
      <c r="N2150" s="21">
        <v>274.10000000000002</v>
      </c>
    </row>
    <row r="2151" spans="1:14">
      <c r="A2151" t="str">
        <f>IFERROR(_xlfn.XLOOKUP(B2151,Cuentas!$C$1:$C$521,Cuentas!$A$1:$A$521),"")</f>
        <v>Yuldor</v>
      </c>
      <c r="B2151" t="s">
        <v>2152</v>
      </c>
      <c r="C2151" t="s">
        <v>2153</v>
      </c>
      <c r="D2151" t="s">
        <v>16</v>
      </c>
      <c r="E2151" t="s">
        <v>7</v>
      </c>
      <c r="F2151" t="s">
        <v>2417</v>
      </c>
      <c r="G2151" t="s">
        <v>2417</v>
      </c>
      <c r="H2151" s="2">
        <v>45674</v>
      </c>
      <c r="I2151" s="2">
        <v>45704</v>
      </c>
      <c r="J2151" t="s">
        <v>20</v>
      </c>
      <c r="K2151" s="21">
        <v>434.6</v>
      </c>
      <c r="L2151" s="21">
        <v>434.6</v>
      </c>
      <c r="M2151">
        <v>0</v>
      </c>
      <c r="N2151" s="21">
        <v>434.6</v>
      </c>
    </row>
    <row r="2152" spans="1:14">
      <c r="A2152" t="str">
        <f>IFERROR(_xlfn.XLOOKUP(B2152,Cuentas!$C$1:$C$521,Cuentas!$A$1:$A$521),"")</f>
        <v>Yuldor</v>
      </c>
      <c r="B2152" t="s">
        <v>2152</v>
      </c>
      <c r="C2152" t="s">
        <v>2153</v>
      </c>
      <c r="D2152" t="s">
        <v>16</v>
      </c>
      <c r="E2152" t="s">
        <v>7</v>
      </c>
      <c r="F2152" t="s">
        <v>2418</v>
      </c>
      <c r="G2152" t="s">
        <v>2418</v>
      </c>
      <c r="H2152" s="2">
        <v>45674</v>
      </c>
      <c r="I2152" s="2">
        <v>45704</v>
      </c>
      <c r="J2152" t="s">
        <v>20</v>
      </c>
      <c r="K2152" s="21">
        <v>217.8</v>
      </c>
      <c r="L2152" s="21">
        <v>217.8</v>
      </c>
      <c r="M2152">
        <v>0</v>
      </c>
      <c r="N2152" s="21">
        <v>217.8</v>
      </c>
    </row>
    <row r="2153" spans="1:14">
      <c r="A2153" t="str">
        <f>IFERROR(_xlfn.XLOOKUP(B2153,Cuentas!$C$1:$C$521,Cuentas!$A$1:$A$521),"")</f>
        <v>Yuldor</v>
      </c>
      <c r="B2153" t="s">
        <v>2152</v>
      </c>
      <c r="C2153" t="s">
        <v>2153</v>
      </c>
      <c r="D2153" t="s">
        <v>16</v>
      </c>
      <c r="E2153" t="s">
        <v>7</v>
      </c>
      <c r="F2153" t="s">
        <v>2419</v>
      </c>
      <c r="G2153" t="s">
        <v>2419</v>
      </c>
      <c r="H2153" s="2">
        <v>45674</v>
      </c>
      <c r="I2153" s="2">
        <v>45704</v>
      </c>
      <c r="J2153" t="s">
        <v>20</v>
      </c>
      <c r="K2153" s="21">
        <v>212.8</v>
      </c>
      <c r="L2153" s="21">
        <v>212.8</v>
      </c>
      <c r="M2153">
        <v>0</v>
      </c>
      <c r="N2153" s="21">
        <v>212.8</v>
      </c>
    </row>
    <row r="2154" spans="1:14">
      <c r="A2154" t="str">
        <f>IFERROR(_xlfn.XLOOKUP(B2154,Cuentas!$C$1:$C$521,Cuentas!$A$1:$A$521),"")</f>
        <v>Yuldor</v>
      </c>
      <c r="B2154" t="s">
        <v>2152</v>
      </c>
      <c r="C2154" t="s">
        <v>2153</v>
      </c>
      <c r="D2154" t="s">
        <v>16</v>
      </c>
      <c r="E2154" t="s">
        <v>7</v>
      </c>
      <c r="F2154" t="s">
        <v>2420</v>
      </c>
      <c r="G2154" t="s">
        <v>2420</v>
      </c>
      <c r="H2154" s="2">
        <v>45674</v>
      </c>
      <c r="I2154" s="2">
        <v>45704</v>
      </c>
      <c r="J2154" t="s">
        <v>20</v>
      </c>
      <c r="K2154" s="21">
        <v>155.5</v>
      </c>
      <c r="L2154" s="21">
        <v>155.5</v>
      </c>
      <c r="M2154">
        <v>0</v>
      </c>
      <c r="N2154" s="21">
        <v>155.5</v>
      </c>
    </row>
    <row r="2155" spans="1:14">
      <c r="A2155" t="str">
        <f>IFERROR(_xlfn.XLOOKUP(B2155,Cuentas!$C$1:$C$521,Cuentas!$A$1:$A$521),"")</f>
        <v>Yuldor</v>
      </c>
      <c r="B2155" t="s">
        <v>2152</v>
      </c>
      <c r="C2155" t="s">
        <v>2153</v>
      </c>
      <c r="D2155" t="s">
        <v>16</v>
      </c>
      <c r="E2155" t="s">
        <v>7</v>
      </c>
      <c r="F2155" t="s">
        <v>2421</v>
      </c>
      <c r="G2155" t="s">
        <v>2421</v>
      </c>
      <c r="H2155" s="2">
        <v>45674</v>
      </c>
      <c r="I2155" s="2">
        <v>45704</v>
      </c>
      <c r="J2155" t="s">
        <v>20</v>
      </c>
      <c r="K2155" s="21">
        <v>573.1</v>
      </c>
      <c r="L2155" s="21">
        <v>573.1</v>
      </c>
      <c r="M2155">
        <v>0</v>
      </c>
      <c r="N2155" s="21">
        <v>573.1</v>
      </c>
    </row>
    <row r="2156" spans="1:14">
      <c r="A2156" t="str">
        <f>IFERROR(_xlfn.XLOOKUP(B2156,Cuentas!$C$1:$C$521,Cuentas!$A$1:$A$521),"")</f>
        <v>Yuldor</v>
      </c>
      <c r="B2156" t="s">
        <v>2152</v>
      </c>
      <c r="C2156" t="s">
        <v>2153</v>
      </c>
      <c r="D2156" t="s">
        <v>16</v>
      </c>
      <c r="E2156" t="s">
        <v>7</v>
      </c>
      <c r="F2156" t="s">
        <v>2422</v>
      </c>
      <c r="G2156" t="s">
        <v>2422</v>
      </c>
      <c r="H2156" s="2">
        <v>45674</v>
      </c>
      <c r="I2156" s="2">
        <v>45704</v>
      </c>
      <c r="J2156" t="s">
        <v>20</v>
      </c>
      <c r="K2156" s="21">
        <v>274.10000000000002</v>
      </c>
      <c r="L2156" s="21">
        <v>274.10000000000002</v>
      </c>
      <c r="M2156">
        <v>0</v>
      </c>
      <c r="N2156" s="21">
        <v>274.10000000000002</v>
      </c>
    </row>
    <row r="2157" spans="1:14">
      <c r="A2157" t="str">
        <f>IFERROR(_xlfn.XLOOKUP(B2157,Cuentas!$C$1:$C$521,Cuentas!$A$1:$A$521),"")</f>
        <v>Yuldor</v>
      </c>
      <c r="B2157" t="s">
        <v>2152</v>
      </c>
      <c r="C2157" t="s">
        <v>2153</v>
      </c>
      <c r="D2157" t="s">
        <v>16</v>
      </c>
      <c r="E2157" t="s">
        <v>7</v>
      </c>
      <c r="F2157" t="s">
        <v>2423</v>
      </c>
      <c r="G2157" t="s">
        <v>2423</v>
      </c>
      <c r="H2157" s="2">
        <v>45674</v>
      </c>
      <c r="I2157" s="2">
        <v>45704</v>
      </c>
      <c r="J2157" t="s">
        <v>20</v>
      </c>
      <c r="K2157" s="21">
        <v>160.5</v>
      </c>
      <c r="L2157" s="21">
        <v>160.5</v>
      </c>
      <c r="M2157">
        <v>0</v>
      </c>
      <c r="N2157" s="21">
        <v>160.5</v>
      </c>
    </row>
    <row r="2158" spans="1:14">
      <c r="A2158" t="str">
        <f>IFERROR(_xlfn.XLOOKUP(B2158,Cuentas!$C$1:$C$521,Cuentas!$A$1:$A$521),"")</f>
        <v>Yuldor</v>
      </c>
      <c r="B2158" t="s">
        <v>2152</v>
      </c>
      <c r="C2158" t="s">
        <v>2153</v>
      </c>
      <c r="D2158" t="s">
        <v>16</v>
      </c>
      <c r="E2158" t="s">
        <v>7</v>
      </c>
      <c r="F2158" t="s">
        <v>2424</v>
      </c>
      <c r="G2158" t="s">
        <v>2424</v>
      </c>
      <c r="H2158" s="2">
        <v>45674</v>
      </c>
      <c r="I2158" s="2">
        <v>45704</v>
      </c>
      <c r="J2158" t="s">
        <v>20</v>
      </c>
      <c r="K2158" s="21">
        <v>853.5</v>
      </c>
      <c r="L2158" s="21">
        <v>853.5</v>
      </c>
      <c r="M2158">
        <v>0</v>
      </c>
      <c r="N2158" s="21">
        <v>853.5</v>
      </c>
    </row>
    <row r="2159" spans="1:14">
      <c r="A2159" t="str">
        <f>IFERROR(_xlfn.XLOOKUP(B2159,Cuentas!$C$1:$C$521,Cuentas!$A$1:$A$521),"")</f>
        <v>Yuldor</v>
      </c>
      <c r="B2159" t="s">
        <v>2152</v>
      </c>
      <c r="C2159" t="s">
        <v>2153</v>
      </c>
      <c r="D2159" t="s">
        <v>16</v>
      </c>
      <c r="E2159" t="s">
        <v>7</v>
      </c>
      <c r="F2159" t="s">
        <v>2425</v>
      </c>
      <c r="G2159" t="s">
        <v>2425</v>
      </c>
      <c r="H2159" s="2">
        <v>45674</v>
      </c>
      <c r="I2159" s="2">
        <v>45704</v>
      </c>
      <c r="J2159" t="s">
        <v>20</v>
      </c>
      <c r="K2159" s="21">
        <v>274.10000000000002</v>
      </c>
      <c r="L2159" s="21">
        <v>274.10000000000002</v>
      </c>
      <c r="M2159">
        <v>0</v>
      </c>
      <c r="N2159" s="21">
        <v>274.10000000000002</v>
      </c>
    </row>
    <row r="2160" spans="1:14">
      <c r="A2160" t="str">
        <f>IFERROR(_xlfn.XLOOKUP(B2160,Cuentas!$C$1:$C$521,Cuentas!$A$1:$A$521),"")</f>
        <v>Yuldor</v>
      </c>
      <c r="B2160" t="s">
        <v>2152</v>
      </c>
      <c r="C2160" t="s">
        <v>2153</v>
      </c>
      <c r="D2160" t="s">
        <v>16</v>
      </c>
      <c r="E2160" t="s">
        <v>7</v>
      </c>
      <c r="F2160" t="s">
        <v>2426</v>
      </c>
      <c r="G2160" t="s">
        <v>2426</v>
      </c>
      <c r="H2160" s="2">
        <v>45674</v>
      </c>
      <c r="I2160" s="2">
        <v>45704</v>
      </c>
      <c r="J2160" t="s">
        <v>20</v>
      </c>
      <c r="K2160" s="21">
        <v>57.3</v>
      </c>
      <c r="L2160" s="21">
        <v>57.3</v>
      </c>
      <c r="M2160">
        <v>0</v>
      </c>
      <c r="N2160" s="21">
        <v>57.3</v>
      </c>
    </row>
    <row r="2161" spans="1:14">
      <c r="A2161" t="str">
        <f>IFERROR(_xlfn.XLOOKUP(B2161,Cuentas!$C$1:$C$521,Cuentas!$A$1:$A$521),"")</f>
        <v>Yuldor</v>
      </c>
      <c r="B2161" t="s">
        <v>2152</v>
      </c>
      <c r="C2161" t="s">
        <v>2153</v>
      </c>
      <c r="D2161" t="s">
        <v>16</v>
      </c>
      <c r="E2161" t="s">
        <v>7</v>
      </c>
      <c r="F2161" t="s">
        <v>2427</v>
      </c>
      <c r="G2161" t="s">
        <v>2427</v>
      </c>
      <c r="H2161" s="2">
        <v>45674</v>
      </c>
      <c r="I2161" s="2">
        <v>45704</v>
      </c>
      <c r="J2161" t="s">
        <v>20</v>
      </c>
      <c r="K2161" s="21">
        <v>160.5</v>
      </c>
      <c r="L2161" s="21">
        <v>160.5</v>
      </c>
      <c r="M2161">
        <v>0</v>
      </c>
      <c r="N2161" s="21">
        <v>160.5</v>
      </c>
    </row>
    <row r="2162" spans="1:14">
      <c r="A2162" t="str">
        <f>IFERROR(_xlfn.XLOOKUP(B2162,Cuentas!$C$1:$C$521,Cuentas!$A$1:$A$521),"")</f>
        <v>Yuldor</v>
      </c>
      <c r="B2162" t="s">
        <v>2152</v>
      </c>
      <c r="C2162" t="s">
        <v>2153</v>
      </c>
      <c r="D2162" t="s">
        <v>16</v>
      </c>
      <c r="E2162" t="s">
        <v>7</v>
      </c>
      <c r="F2162" t="s">
        <v>2428</v>
      </c>
      <c r="G2162" t="s">
        <v>2428</v>
      </c>
      <c r="H2162" s="2">
        <v>45677</v>
      </c>
      <c r="I2162" s="2">
        <v>45707</v>
      </c>
      <c r="J2162" t="s">
        <v>20</v>
      </c>
      <c r="K2162" s="21">
        <v>2093.4</v>
      </c>
      <c r="L2162" s="21">
        <v>2093.4</v>
      </c>
      <c r="M2162">
        <v>0</v>
      </c>
      <c r="N2162" s="21">
        <v>2093.4</v>
      </c>
    </row>
    <row r="2163" spans="1:14">
      <c r="A2163" t="str">
        <f>IFERROR(_xlfn.XLOOKUP(B2163,Cuentas!$C$1:$C$521,Cuentas!$A$1:$A$521),"")</f>
        <v>Yuldor</v>
      </c>
      <c r="B2163" t="s">
        <v>2152</v>
      </c>
      <c r="C2163" t="s">
        <v>2153</v>
      </c>
      <c r="D2163" t="s">
        <v>16</v>
      </c>
      <c r="E2163" t="s">
        <v>7</v>
      </c>
      <c r="F2163" t="s">
        <v>2429</v>
      </c>
      <c r="G2163" t="s">
        <v>2429</v>
      </c>
      <c r="H2163" s="2">
        <v>45677</v>
      </c>
      <c r="I2163" s="2">
        <v>45707</v>
      </c>
      <c r="J2163" t="s">
        <v>20</v>
      </c>
      <c r="K2163" s="21">
        <v>829.2</v>
      </c>
      <c r="L2163" s="21">
        <v>829.2</v>
      </c>
      <c r="M2163">
        <v>0</v>
      </c>
      <c r="N2163" s="21">
        <v>829.2</v>
      </c>
    </row>
    <row r="2164" spans="1:14">
      <c r="A2164" t="str">
        <f>IFERROR(_xlfn.XLOOKUP(B2164,Cuentas!$C$1:$C$521,Cuentas!$A$1:$A$521),"")</f>
        <v>Yuldor</v>
      </c>
      <c r="B2164" t="s">
        <v>2152</v>
      </c>
      <c r="C2164" t="s">
        <v>2153</v>
      </c>
      <c r="D2164" t="s">
        <v>16</v>
      </c>
      <c r="E2164" t="s">
        <v>7</v>
      </c>
      <c r="F2164" t="s">
        <v>2430</v>
      </c>
      <c r="G2164" t="s">
        <v>2430</v>
      </c>
      <c r="H2164" s="2">
        <v>45677</v>
      </c>
      <c r="I2164" s="2">
        <v>45707</v>
      </c>
      <c r="J2164" t="s">
        <v>20</v>
      </c>
      <c r="K2164" s="21">
        <v>81.06</v>
      </c>
      <c r="L2164" s="21">
        <v>81.06</v>
      </c>
      <c r="M2164">
        <v>0</v>
      </c>
      <c r="N2164" s="21">
        <v>81.06</v>
      </c>
    </row>
    <row r="2165" spans="1:14">
      <c r="A2165" t="str">
        <f>IFERROR(_xlfn.XLOOKUP(B2165,Cuentas!$C$1:$C$521,Cuentas!$A$1:$A$521),"")</f>
        <v>Yuldor</v>
      </c>
      <c r="B2165" t="s">
        <v>2152</v>
      </c>
      <c r="C2165" t="s">
        <v>2153</v>
      </c>
      <c r="D2165" t="s">
        <v>16</v>
      </c>
      <c r="E2165" t="s">
        <v>7</v>
      </c>
      <c r="F2165" t="s">
        <v>2431</v>
      </c>
      <c r="G2165" t="s">
        <v>2431</v>
      </c>
      <c r="H2165" s="2">
        <v>45677</v>
      </c>
      <c r="I2165" s="2">
        <v>45707</v>
      </c>
      <c r="J2165" t="s">
        <v>20</v>
      </c>
      <c r="K2165" s="21">
        <v>850.2</v>
      </c>
      <c r="L2165" s="21">
        <v>850.2</v>
      </c>
      <c r="M2165">
        <v>0</v>
      </c>
      <c r="N2165" s="21">
        <v>850.2</v>
      </c>
    </row>
    <row r="2166" spans="1:14">
      <c r="A2166" t="str">
        <f>IFERROR(_xlfn.XLOOKUP(B2166,Cuentas!$C$1:$C$521,Cuentas!$A$1:$A$521),"")</f>
        <v>Yuldor</v>
      </c>
      <c r="B2166" t="s">
        <v>2152</v>
      </c>
      <c r="C2166" t="s">
        <v>2153</v>
      </c>
      <c r="D2166" t="s">
        <v>16</v>
      </c>
      <c r="E2166" t="s">
        <v>7</v>
      </c>
      <c r="F2166" t="s">
        <v>2432</v>
      </c>
      <c r="G2166" t="s">
        <v>2432</v>
      </c>
      <c r="H2166" s="2">
        <v>45677</v>
      </c>
      <c r="I2166" s="2">
        <v>45707</v>
      </c>
      <c r="J2166" t="s">
        <v>20</v>
      </c>
      <c r="K2166" s="21">
        <v>775.6</v>
      </c>
      <c r="L2166" s="21">
        <v>775.6</v>
      </c>
      <c r="M2166">
        <v>0</v>
      </c>
      <c r="N2166" s="21">
        <v>775.6</v>
      </c>
    </row>
    <row r="2167" spans="1:14">
      <c r="A2167" t="str">
        <f>IFERROR(_xlfn.XLOOKUP(B2167,Cuentas!$C$1:$C$521,Cuentas!$A$1:$A$521),"")</f>
        <v>Yuldor</v>
      </c>
      <c r="B2167" t="s">
        <v>2152</v>
      </c>
      <c r="C2167" t="s">
        <v>2153</v>
      </c>
      <c r="D2167" t="s">
        <v>16</v>
      </c>
      <c r="E2167" t="s">
        <v>7</v>
      </c>
      <c r="F2167" t="s">
        <v>2433</v>
      </c>
      <c r="G2167" t="s">
        <v>2433</v>
      </c>
      <c r="H2167" s="2">
        <v>45677</v>
      </c>
      <c r="I2167" s="2">
        <v>45707</v>
      </c>
      <c r="J2167" t="s">
        <v>20</v>
      </c>
      <c r="K2167" s="21">
        <v>105.6</v>
      </c>
      <c r="L2167" s="21">
        <v>105.6</v>
      </c>
      <c r="M2167">
        <v>0</v>
      </c>
      <c r="N2167" s="21">
        <v>105.6</v>
      </c>
    </row>
    <row r="2168" spans="1:14">
      <c r="A2168" t="str">
        <f>IFERROR(_xlfn.XLOOKUP(B2168,Cuentas!$C$1:$C$521,Cuentas!$A$1:$A$521),"")</f>
        <v>Yuldor</v>
      </c>
      <c r="B2168" t="s">
        <v>2152</v>
      </c>
      <c r="C2168" t="s">
        <v>2153</v>
      </c>
      <c r="D2168" t="s">
        <v>16</v>
      </c>
      <c r="E2168" t="s">
        <v>7</v>
      </c>
      <c r="F2168" t="s">
        <v>2434</v>
      </c>
      <c r="G2168" t="s">
        <v>2434</v>
      </c>
      <c r="H2168" s="2">
        <v>45677</v>
      </c>
      <c r="I2168" s="2">
        <v>45707</v>
      </c>
      <c r="J2168" t="s">
        <v>20</v>
      </c>
      <c r="K2168" s="21">
        <v>157.9</v>
      </c>
      <c r="L2168" s="21">
        <v>157.9</v>
      </c>
      <c r="M2168">
        <v>0</v>
      </c>
      <c r="N2168" s="21">
        <v>157.9</v>
      </c>
    </row>
    <row r="2169" spans="1:14">
      <c r="A2169" t="str">
        <f>IFERROR(_xlfn.XLOOKUP(B2169,Cuentas!$C$1:$C$521,Cuentas!$A$1:$A$521),"")</f>
        <v>Yuldor</v>
      </c>
      <c r="B2169" t="s">
        <v>2152</v>
      </c>
      <c r="C2169" t="s">
        <v>2153</v>
      </c>
      <c r="D2169" t="s">
        <v>16</v>
      </c>
      <c r="E2169" t="s">
        <v>7</v>
      </c>
      <c r="F2169" t="s">
        <v>2435</v>
      </c>
      <c r="G2169" t="s">
        <v>2435</v>
      </c>
      <c r="H2169" s="2">
        <v>45677</v>
      </c>
      <c r="I2169" s="2">
        <v>45707</v>
      </c>
      <c r="J2169" t="s">
        <v>20</v>
      </c>
      <c r="K2169" s="21">
        <v>614.4</v>
      </c>
      <c r="L2169" s="21">
        <v>614.4</v>
      </c>
      <c r="M2169">
        <v>0</v>
      </c>
      <c r="N2169" s="21">
        <v>614.4</v>
      </c>
    </row>
    <row r="2170" spans="1:14">
      <c r="A2170" t="str">
        <f>IFERROR(_xlfn.XLOOKUP(B2170,Cuentas!$C$1:$C$521,Cuentas!$A$1:$A$521),"")</f>
        <v>Yuldor</v>
      </c>
      <c r="B2170" t="s">
        <v>2152</v>
      </c>
      <c r="C2170" t="s">
        <v>2153</v>
      </c>
      <c r="D2170" t="s">
        <v>16</v>
      </c>
      <c r="E2170" t="s">
        <v>7</v>
      </c>
      <c r="F2170" t="s">
        <v>2436</v>
      </c>
      <c r="G2170" t="s">
        <v>2436</v>
      </c>
      <c r="H2170" s="2">
        <v>45677</v>
      </c>
      <c r="I2170" s="2">
        <v>45707</v>
      </c>
      <c r="J2170" t="s">
        <v>20</v>
      </c>
      <c r="K2170" s="21">
        <v>1036</v>
      </c>
      <c r="L2170" s="21">
        <v>1036</v>
      </c>
      <c r="M2170">
        <v>0</v>
      </c>
      <c r="N2170" s="21">
        <v>1036</v>
      </c>
    </row>
    <row r="2171" spans="1:14">
      <c r="A2171" t="str">
        <f>IFERROR(_xlfn.XLOOKUP(B2171,Cuentas!$C$1:$C$521,Cuentas!$A$1:$A$521),"")</f>
        <v>Yuldor</v>
      </c>
      <c r="B2171" t="s">
        <v>2152</v>
      </c>
      <c r="C2171" t="s">
        <v>2153</v>
      </c>
      <c r="D2171" t="s">
        <v>16</v>
      </c>
      <c r="E2171" t="s">
        <v>7</v>
      </c>
      <c r="F2171" t="s">
        <v>2437</v>
      </c>
      <c r="G2171" t="s">
        <v>2437</v>
      </c>
      <c r="H2171" s="2">
        <v>45677</v>
      </c>
      <c r="I2171" s="2">
        <v>45707</v>
      </c>
      <c r="J2171" t="s">
        <v>20</v>
      </c>
      <c r="K2171" s="21">
        <v>1254.58</v>
      </c>
      <c r="L2171" s="21">
        <v>1254.58</v>
      </c>
      <c r="M2171">
        <v>0</v>
      </c>
      <c r="N2171" s="21">
        <v>1254.58</v>
      </c>
    </row>
    <row r="2172" spans="1:14">
      <c r="A2172" t="str">
        <f>IFERROR(_xlfn.XLOOKUP(B2172,Cuentas!$C$1:$C$521,Cuentas!$A$1:$A$521),"")</f>
        <v>Yuldor</v>
      </c>
      <c r="B2172" t="s">
        <v>2152</v>
      </c>
      <c r="C2172" t="s">
        <v>2153</v>
      </c>
      <c r="D2172" t="s">
        <v>16</v>
      </c>
      <c r="E2172" t="s">
        <v>7</v>
      </c>
      <c r="F2172" t="s">
        <v>2438</v>
      </c>
      <c r="G2172" t="s">
        <v>2438</v>
      </c>
      <c r="H2172" s="2">
        <v>45677</v>
      </c>
      <c r="I2172" s="2">
        <v>45707</v>
      </c>
      <c r="J2172" t="s">
        <v>20</v>
      </c>
      <c r="K2172" s="21">
        <v>228.2</v>
      </c>
      <c r="L2172" s="21">
        <v>228.2</v>
      </c>
      <c r="M2172">
        <v>0</v>
      </c>
      <c r="N2172" s="21">
        <v>228.2</v>
      </c>
    </row>
    <row r="2173" spans="1:14">
      <c r="A2173" t="str">
        <f>IFERROR(_xlfn.XLOOKUP(B2173,Cuentas!$C$1:$C$521,Cuentas!$A$1:$A$521),"")</f>
        <v>Yuldor</v>
      </c>
      <c r="B2173" t="s">
        <v>2152</v>
      </c>
      <c r="C2173" t="s">
        <v>2153</v>
      </c>
      <c r="D2173" t="s">
        <v>16</v>
      </c>
      <c r="E2173" t="s">
        <v>7</v>
      </c>
      <c r="F2173" t="s">
        <v>2439</v>
      </c>
      <c r="G2173" t="s">
        <v>2439</v>
      </c>
      <c r="H2173" s="2">
        <v>45677</v>
      </c>
      <c r="I2173" s="2">
        <v>45707</v>
      </c>
      <c r="J2173" t="s">
        <v>20</v>
      </c>
      <c r="K2173" s="21">
        <v>501.3</v>
      </c>
      <c r="L2173" s="21">
        <v>501.3</v>
      </c>
      <c r="M2173">
        <v>0</v>
      </c>
      <c r="N2173" s="21">
        <v>501.3</v>
      </c>
    </row>
    <row r="2174" spans="1:14">
      <c r="A2174" t="str">
        <f>IFERROR(_xlfn.XLOOKUP(B2174,Cuentas!$C$1:$C$521,Cuentas!$A$1:$A$521),"")</f>
        <v>Yuldor</v>
      </c>
      <c r="B2174" t="s">
        <v>2152</v>
      </c>
      <c r="C2174" t="s">
        <v>2153</v>
      </c>
      <c r="D2174" t="s">
        <v>16</v>
      </c>
      <c r="E2174" t="s">
        <v>7</v>
      </c>
      <c r="F2174" t="s">
        <v>2440</v>
      </c>
      <c r="G2174" t="s">
        <v>2440</v>
      </c>
      <c r="H2174" s="2">
        <v>45677</v>
      </c>
      <c r="I2174" s="2">
        <v>45707</v>
      </c>
      <c r="J2174" t="s">
        <v>20</v>
      </c>
      <c r="K2174" s="21">
        <v>286.23</v>
      </c>
      <c r="L2174" s="21">
        <v>286.23</v>
      </c>
      <c r="M2174">
        <v>0</v>
      </c>
      <c r="N2174" s="21">
        <v>286.23</v>
      </c>
    </row>
    <row r="2175" spans="1:14">
      <c r="A2175" t="str">
        <f>IFERROR(_xlfn.XLOOKUP(B2175,Cuentas!$C$1:$C$521,Cuentas!$A$1:$A$521),"")</f>
        <v>Yuldor</v>
      </c>
      <c r="B2175" t="s">
        <v>2152</v>
      </c>
      <c r="C2175" t="s">
        <v>2153</v>
      </c>
      <c r="D2175" t="s">
        <v>16</v>
      </c>
      <c r="E2175" t="s">
        <v>7</v>
      </c>
      <c r="F2175" t="s">
        <v>2441</v>
      </c>
      <c r="G2175" t="s">
        <v>2441</v>
      </c>
      <c r="H2175" s="2">
        <v>45677</v>
      </c>
      <c r="I2175" s="2">
        <v>45707</v>
      </c>
      <c r="J2175" t="s">
        <v>20</v>
      </c>
      <c r="K2175" s="21">
        <v>1149.5999999999999</v>
      </c>
      <c r="L2175" s="21">
        <v>1149.5999999999999</v>
      </c>
      <c r="M2175">
        <v>0</v>
      </c>
      <c r="N2175" s="21">
        <v>1149.5999999999999</v>
      </c>
    </row>
    <row r="2176" spans="1:14">
      <c r="A2176" t="str">
        <f>IFERROR(_xlfn.XLOOKUP(B2176,Cuentas!$C$1:$C$521,Cuentas!$A$1:$A$521),"")</f>
        <v>Yuldor</v>
      </c>
      <c r="B2176" t="s">
        <v>2152</v>
      </c>
      <c r="C2176" t="s">
        <v>2153</v>
      </c>
      <c r="D2176" t="s">
        <v>16</v>
      </c>
      <c r="E2176" t="s">
        <v>7</v>
      </c>
      <c r="F2176" t="s">
        <v>2442</v>
      </c>
      <c r="G2176" t="s">
        <v>2442</v>
      </c>
      <c r="H2176" s="2">
        <v>45677</v>
      </c>
      <c r="I2176" s="2">
        <v>45707</v>
      </c>
      <c r="J2176" t="s">
        <v>20</v>
      </c>
      <c r="K2176" s="21">
        <v>460.9</v>
      </c>
      <c r="L2176" s="21">
        <v>460.9</v>
      </c>
      <c r="M2176">
        <v>0</v>
      </c>
      <c r="N2176" s="21">
        <v>460.9</v>
      </c>
    </row>
    <row r="2177" spans="1:14">
      <c r="A2177" t="str">
        <f>IFERROR(_xlfn.XLOOKUP(B2177,Cuentas!$C$1:$C$521,Cuentas!$A$1:$A$521),"")</f>
        <v>Yuldor</v>
      </c>
      <c r="B2177" t="s">
        <v>2152</v>
      </c>
      <c r="C2177" t="s">
        <v>2153</v>
      </c>
      <c r="D2177" t="s">
        <v>16</v>
      </c>
      <c r="E2177" t="s">
        <v>7</v>
      </c>
      <c r="F2177" t="s">
        <v>2443</v>
      </c>
      <c r="G2177" t="s">
        <v>2443</v>
      </c>
      <c r="H2177" s="2">
        <v>45677</v>
      </c>
      <c r="I2177" s="2">
        <v>45707</v>
      </c>
      <c r="J2177" t="s">
        <v>20</v>
      </c>
      <c r="K2177" s="21">
        <v>1104.2</v>
      </c>
      <c r="L2177" s="21">
        <v>1104.2</v>
      </c>
      <c r="M2177">
        <v>0</v>
      </c>
      <c r="N2177" s="21">
        <v>1104.2</v>
      </c>
    </row>
    <row r="2178" spans="1:14">
      <c r="A2178" t="str">
        <f>IFERROR(_xlfn.XLOOKUP(B2178,Cuentas!$C$1:$C$521,Cuentas!$A$1:$A$521),"")</f>
        <v>Yuldor</v>
      </c>
      <c r="B2178" t="s">
        <v>2152</v>
      </c>
      <c r="C2178" t="s">
        <v>2153</v>
      </c>
      <c r="D2178" t="s">
        <v>16</v>
      </c>
      <c r="E2178" t="s">
        <v>7</v>
      </c>
      <c r="F2178" t="s">
        <v>2444</v>
      </c>
      <c r="G2178" t="s">
        <v>2444</v>
      </c>
      <c r="H2178" s="2">
        <v>45677</v>
      </c>
      <c r="I2178" s="2">
        <v>45707</v>
      </c>
      <c r="J2178" t="s">
        <v>20</v>
      </c>
      <c r="K2178" s="21">
        <v>114.6</v>
      </c>
      <c r="L2178" s="21">
        <v>114.6</v>
      </c>
      <c r="M2178">
        <v>0</v>
      </c>
      <c r="N2178" s="21">
        <v>114.6</v>
      </c>
    </row>
    <row r="2179" spans="1:14">
      <c r="A2179" t="str">
        <f>IFERROR(_xlfn.XLOOKUP(B2179,Cuentas!$C$1:$C$521,Cuentas!$A$1:$A$521),"")</f>
        <v>Yuldor</v>
      </c>
      <c r="B2179" t="s">
        <v>2152</v>
      </c>
      <c r="C2179" t="s">
        <v>2153</v>
      </c>
      <c r="D2179" t="s">
        <v>16</v>
      </c>
      <c r="E2179" t="s">
        <v>7</v>
      </c>
      <c r="F2179" t="s">
        <v>2445</v>
      </c>
      <c r="G2179" t="s">
        <v>2445</v>
      </c>
      <c r="H2179" s="2">
        <v>45677</v>
      </c>
      <c r="I2179" s="2">
        <v>45707</v>
      </c>
      <c r="J2179" t="s">
        <v>20</v>
      </c>
      <c r="K2179" s="21">
        <v>94</v>
      </c>
      <c r="L2179" s="21">
        <v>94</v>
      </c>
      <c r="M2179">
        <v>0</v>
      </c>
      <c r="N2179" s="21">
        <v>94</v>
      </c>
    </row>
    <row r="2180" spans="1:14">
      <c r="A2180" t="str">
        <f>IFERROR(_xlfn.XLOOKUP(B2180,Cuentas!$C$1:$C$521,Cuentas!$A$1:$A$521),"")</f>
        <v>Yuldor</v>
      </c>
      <c r="B2180" t="s">
        <v>2152</v>
      </c>
      <c r="C2180" t="s">
        <v>2153</v>
      </c>
      <c r="D2180" t="s">
        <v>16</v>
      </c>
      <c r="E2180" t="s">
        <v>7</v>
      </c>
      <c r="F2180" t="s">
        <v>2446</v>
      </c>
      <c r="G2180" t="s">
        <v>2446</v>
      </c>
      <c r="H2180" s="2">
        <v>45677</v>
      </c>
      <c r="I2180" s="2">
        <v>45707</v>
      </c>
      <c r="J2180" t="s">
        <v>20</v>
      </c>
      <c r="K2180" s="21">
        <v>101.4</v>
      </c>
      <c r="L2180" s="21">
        <v>101.4</v>
      </c>
      <c r="M2180">
        <v>0</v>
      </c>
      <c r="N2180" s="21">
        <v>101.4</v>
      </c>
    </row>
    <row r="2181" spans="1:14">
      <c r="A2181" t="str">
        <f>IFERROR(_xlfn.XLOOKUP(B2181,Cuentas!$C$1:$C$521,Cuentas!$A$1:$A$521),"")</f>
        <v>Yuldor</v>
      </c>
      <c r="B2181" t="s">
        <v>2152</v>
      </c>
      <c r="C2181" t="s">
        <v>2153</v>
      </c>
      <c r="D2181" t="s">
        <v>16</v>
      </c>
      <c r="E2181" t="s">
        <v>7</v>
      </c>
      <c r="F2181" t="s">
        <v>2447</v>
      </c>
      <c r="G2181" t="s">
        <v>2447</v>
      </c>
      <c r="H2181" s="2">
        <v>45677</v>
      </c>
      <c r="I2181" s="2">
        <v>45707</v>
      </c>
      <c r="J2181" t="s">
        <v>20</v>
      </c>
      <c r="K2181" s="21">
        <v>434.6</v>
      </c>
      <c r="L2181" s="21">
        <v>434.6</v>
      </c>
      <c r="M2181">
        <v>0</v>
      </c>
      <c r="N2181" s="21">
        <v>434.6</v>
      </c>
    </row>
    <row r="2182" spans="1:14">
      <c r="A2182" t="str">
        <f>IFERROR(_xlfn.XLOOKUP(B2182,Cuentas!$C$1:$C$521,Cuentas!$A$1:$A$521),"")</f>
        <v>Yuldor</v>
      </c>
      <c r="B2182" t="s">
        <v>2152</v>
      </c>
      <c r="C2182" t="s">
        <v>2153</v>
      </c>
      <c r="D2182" t="s">
        <v>16</v>
      </c>
      <c r="E2182" t="s">
        <v>7</v>
      </c>
      <c r="F2182" t="s">
        <v>2448</v>
      </c>
      <c r="G2182" t="s">
        <v>2448</v>
      </c>
      <c r="H2182" s="2">
        <v>45677</v>
      </c>
      <c r="I2182" s="2">
        <v>45707</v>
      </c>
      <c r="J2182" t="s">
        <v>20</v>
      </c>
      <c r="K2182" s="21">
        <v>155.5</v>
      </c>
      <c r="L2182" s="21">
        <v>155.5</v>
      </c>
      <c r="M2182">
        <v>0</v>
      </c>
      <c r="N2182" s="21">
        <v>155.5</v>
      </c>
    </row>
    <row r="2183" spans="1:14">
      <c r="A2183" t="str">
        <f>IFERROR(_xlfn.XLOOKUP(B2183,Cuentas!$C$1:$C$521,Cuentas!$A$1:$A$521),"")</f>
        <v>Yuldor</v>
      </c>
      <c r="B2183" t="s">
        <v>2152</v>
      </c>
      <c r="C2183" t="s">
        <v>2153</v>
      </c>
      <c r="D2183" t="s">
        <v>16</v>
      </c>
      <c r="E2183" t="s">
        <v>7</v>
      </c>
      <c r="F2183" t="s">
        <v>2449</v>
      </c>
      <c r="G2183" t="s">
        <v>2449</v>
      </c>
      <c r="H2183" s="2">
        <v>45678</v>
      </c>
      <c r="I2183" s="2">
        <v>45708</v>
      </c>
      <c r="J2183" t="s">
        <v>20</v>
      </c>
      <c r="K2183" s="21">
        <v>928</v>
      </c>
      <c r="L2183" s="21">
        <v>928</v>
      </c>
      <c r="M2183">
        <v>0</v>
      </c>
      <c r="N2183" s="21">
        <v>928</v>
      </c>
    </row>
    <row r="2184" spans="1:14">
      <c r="A2184" t="str">
        <f>IFERROR(_xlfn.XLOOKUP(B2184,Cuentas!$C$1:$C$521,Cuentas!$A$1:$A$521),"")</f>
        <v>Yuldor</v>
      </c>
      <c r="B2184" t="s">
        <v>2152</v>
      </c>
      <c r="C2184" t="s">
        <v>2153</v>
      </c>
      <c r="D2184" t="s">
        <v>16</v>
      </c>
      <c r="E2184" t="s">
        <v>7</v>
      </c>
      <c r="F2184" t="s">
        <v>2450</v>
      </c>
      <c r="G2184" t="s">
        <v>2450</v>
      </c>
      <c r="H2184" s="2">
        <v>45678</v>
      </c>
      <c r="I2184" s="2">
        <v>45708</v>
      </c>
      <c r="J2184" t="s">
        <v>20</v>
      </c>
      <c r="K2184" s="21">
        <v>1317.56</v>
      </c>
      <c r="L2184" s="21">
        <v>1317.56</v>
      </c>
      <c r="M2184">
        <v>0</v>
      </c>
      <c r="N2184" s="21">
        <v>1317.56</v>
      </c>
    </row>
    <row r="2185" spans="1:14">
      <c r="A2185" t="str">
        <f>IFERROR(_xlfn.XLOOKUP(B2185,Cuentas!$C$1:$C$521,Cuentas!$A$1:$A$521),"")</f>
        <v>Yuldor</v>
      </c>
      <c r="B2185" t="s">
        <v>2152</v>
      </c>
      <c r="C2185" t="s">
        <v>2153</v>
      </c>
      <c r="D2185" t="s">
        <v>16</v>
      </c>
      <c r="E2185" t="s">
        <v>7</v>
      </c>
      <c r="F2185" t="s">
        <v>2451</v>
      </c>
      <c r="G2185" t="s">
        <v>2451</v>
      </c>
      <c r="H2185" s="2">
        <v>45678</v>
      </c>
      <c r="I2185" s="2">
        <v>45708</v>
      </c>
      <c r="J2185" t="s">
        <v>20</v>
      </c>
      <c r="K2185" s="21">
        <v>1999.72</v>
      </c>
      <c r="L2185" s="21">
        <v>1999.72</v>
      </c>
      <c r="M2185">
        <v>0</v>
      </c>
      <c r="N2185" s="21">
        <v>1999.72</v>
      </c>
    </row>
    <row r="2186" spans="1:14">
      <c r="A2186" t="str">
        <f>IFERROR(_xlfn.XLOOKUP(B2186,Cuentas!$C$1:$C$521,Cuentas!$A$1:$A$521),"")</f>
        <v>Yuldor</v>
      </c>
      <c r="B2186" t="s">
        <v>2152</v>
      </c>
      <c r="C2186" t="s">
        <v>2153</v>
      </c>
      <c r="D2186" t="s">
        <v>16</v>
      </c>
      <c r="E2186" t="s">
        <v>7</v>
      </c>
      <c r="F2186" t="s">
        <v>2452</v>
      </c>
      <c r="G2186" t="s">
        <v>2452</v>
      </c>
      <c r="H2186" s="2">
        <v>45678</v>
      </c>
      <c r="I2186" s="2">
        <v>45708</v>
      </c>
      <c r="J2186" t="s">
        <v>20</v>
      </c>
      <c r="K2186" s="21">
        <v>348.23</v>
      </c>
      <c r="L2186" s="21">
        <v>348.23</v>
      </c>
      <c r="M2186">
        <v>0</v>
      </c>
      <c r="N2186" s="21">
        <v>348.23</v>
      </c>
    </row>
    <row r="2187" spans="1:14">
      <c r="A2187" t="str">
        <f>IFERROR(_xlfn.XLOOKUP(B2187,Cuentas!$C$1:$C$521,Cuentas!$A$1:$A$521),"")</f>
        <v>Yuldor</v>
      </c>
      <c r="B2187" t="s">
        <v>2152</v>
      </c>
      <c r="C2187" t="s">
        <v>2153</v>
      </c>
      <c r="D2187" t="s">
        <v>16</v>
      </c>
      <c r="E2187" t="s">
        <v>7</v>
      </c>
      <c r="F2187" t="s">
        <v>2453</v>
      </c>
      <c r="G2187" t="s">
        <v>2453</v>
      </c>
      <c r="H2187" s="2">
        <v>45678</v>
      </c>
      <c r="I2187" s="2">
        <v>45708</v>
      </c>
      <c r="J2187" t="s">
        <v>20</v>
      </c>
      <c r="K2187" s="21">
        <v>2173.5</v>
      </c>
      <c r="L2187" s="21">
        <v>2173.5</v>
      </c>
      <c r="M2187">
        <v>0</v>
      </c>
      <c r="N2187" s="21">
        <v>2173.5</v>
      </c>
    </row>
    <row r="2188" spans="1:14">
      <c r="A2188" t="str">
        <f>IFERROR(_xlfn.XLOOKUP(B2188,Cuentas!$C$1:$C$521,Cuentas!$A$1:$A$521),"")</f>
        <v>Yuldor</v>
      </c>
      <c r="B2188" t="s">
        <v>2152</v>
      </c>
      <c r="C2188" t="s">
        <v>2153</v>
      </c>
      <c r="D2188" t="s">
        <v>16</v>
      </c>
      <c r="E2188" t="s">
        <v>7</v>
      </c>
      <c r="F2188" t="s">
        <v>2454</v>
      </c>
      <c r="G2188" t="s">
        <v>2454</v>
      </c>
      <c r="H2188" s="2">
        <v>45678</v>
      </c>
      <c r="I2188" s="2">
        <v>45708</v>
      </c>
      <c r="J2188" t="s">
        <v>20</v>
      </c>
      <c r="K2188" s="21">
        <v>823.5</v>
      </c>
      <c r="L2188" s="21">
        <v>823.5</v>
      </c>
      <c r="M2188">
        <v>0</v>
      </c>
      <c r="N2188" s="21">
        <v>823.5</v>
      </c>
    </row>
    <row r="2189" spans="1:14">
      <c r="A2189" t="str">
        <f>IFERROR(_xlfn.XLOOKUP(B2189,Cuentas!$C$1:$C$521,Cuentas!$A$1:$A$521),"")</f>
        <v>Yuldor</v>
      </c>
      <c r="B2189" t="s">
        <v>2152</v>
      </c>
      <c r="C2189" t="s">
        <v>2153</v>
      </c>
      <c r="D2189" t="s">
        <v>16</v>
      </c>
      <c r="E2189" t="s">
        <v>7</v>
      </c>
      <c r="F2189" t="s">
        <v>2455</v>
      </c>
      <c r="G2189" t="s">
        <v>2455</v>
      </c>
      <c r="H2189" s="2">
        <v>45678</v>
      </c>
      <c r="I2189" s="2">
        <v>45708</v>
      </c>
      <c r="J2189" t="s">
        <v>20</v>
      </c>
      <c r="K2189" s="21">
        <v>443</v>
      </c>
      <c r="L2189" s="21">
        <v>443</v>
      </c>
      <c r="M2189">
        <v>0</v>
      </c>
      <c r="N2189" s="21">
        <v>443</v>
      </c>
    </row>
    <row r="2190" spans="1:14">
      <c r="A2190" t="str">
        <f>IFERROR(_xlfn.XLOOKUP(B2190,Cuentas!$C$1:$C$521,Cuentas!$A$1:$A$521),"")</f>
        <v>Yuldor</v>
      </c>
      <c r="B2190" t="s">
        <v>2152</v>
      </c>
      <c r="C2190" t="s">
        <v>2153</v>
      </c>
      <c r="D2190" t="s">
        <v>16</v>
      </c>
      <c r="E2190" t="s">
        <v>7</v>
      </c>
      <c r="F2190" t="s">
        <v>2456</v>
      </c>
      <c r="G2190" t="s">
        <v>2456</v>
      </c>
      <c r="H2190" s="2">
        <v>45678</v>
      </c>
      <c r="I2190" s="2">
        <v>45708</v>
      </c>
      <c r="J2190" t="s">
        <v>20</v>
      </c>
      <c r="K2190" s="21">
        <v>1071.9000000000001</v>
      </c>
      <c r="L2190" s="21">
        <v>1071.9000000000001</v>
      </c>
      <c r="M2190">
        <v>0</v>
      </c>
      <c r="N2190" s="21">
        <v>1071.9000000000001</v>
      </c>
    </row>
    <row r="2191" spans="1:14">
      <c r="A2191" t="str">
        <f>IFERROR(_xlfn.XLOOKUP(B2191,Cuentas!$C$1:$C$521,Cuentas!$A$1:$A$521),"")</f>
        <v>Yuldor</v>
      </c>
      <c r="B2191" t="s">
        <v>2152</v>
      </c>
      <c r="C2191" t="s">
        <v>2153</v>
      </c>
      <c r="D2191" t="s">
        <v>16</v>
      </c>
      <c r="E2191" t="s">
        <v>7</v>
      </c>
      <c r="F2191" t="s">
        <v>2457</v>
      </c>
      <c r="G2191" t="s">
        <v>2457</v>
      </c>
      <c r="H2191" s="2">
        <v>45678</v>
      </c>
      <c r="I2191" s="2">
        <v>45708</v>
      </c>
      <c r="J2191" t="s">
        <v>20</v>
      </c>
      <c r="K2191" s="21">
        <v>460</v>
      </c>
      <c r="L2191" s="21">
        <v>460</v>
      </c>
      <c r="M2191">
        <v>0</v>
      </c>
      <c r="N2191" s="21">
        <v>460</v>
      </c>
    </row>
    <row r="2192" spans="1:14">
      <c r="A2192" t="str">
        <f>IFERROR(_xlfn.XLOOKUP(B2192,Cuentas!$C$1:$C$521,Cuentas!$A$1:$A$521),"")</f>
        <v>Yuldor</v>
      </c>
      <c r="B2192" t="s">
        <v>2152</v>
      </c>
      <c r="C2192" t="s">
        <v>2153</v>
      </c>
      <c r="D2192" t="s">
        <v>16</v>
      </c>
      <c r="E2192" t="s">
        <v>7</v>
      </c>
      <c r="F2192" t="s">
        <v>2458</v>
      </c>
      <c r="G2192" t="s">
        <v>2458</v>
      </c>
      <c r="H2192" s="2">
        <v>45678</v>
      </c>
      <c r="I2192" s="2">
        <v>45708</v>
      </c>
      <c r="J2192" t="s">
        <v>20</v>
      </c>
      <c r="K2192" s="21">
        <v>150.9</v>
      </c>
      <c r="L2192" s="21">
        <v>150.9</v>
      </c>
      <c r="M2192">
        <v>0</v>
      </c>
      <c r="N2192" s="21">
        <v>150.9</v>
      </c>
    </row>
    <row r="2193" spans="1:14">
      <c r="A2193" t="str">
        <f>IFERROR(_xlfn.XLOOKUP(B2193,Cuentas!$C$1:$C$521,Cuentas!$A$1:$A$521),"")</f>
        <v>Yuldor</v>
      </c>
      <c r="B2193" t="s">
        <v>2152</v>
      </c>
      <c r="C2193" t="s">
        <v>2153</v>
      </c>
      <c r="D2193" t="s">
        <v>16</v>
      </c>
      <c r="E2193" t="s">
        <v>7</v>
      </c>
      <c r="F2193" t="s">
        <v>2459</v>
      </c>
      <c r="G2193" t="s">
        <v>2459</v>
      </c>
      <c r="H2193" s="2">
        <v>45678</v>
      </c>
      <c r="I2193" s="2">
        <v>45708</v>
      </c>
      <c r="J2193" t="s">
        <v>20</v>
      </c>
      <c r="K2193" s="21">
        <v>605.66</v>
      </c>
      <c r="L2193" s="21">
        <v>605.66</v>
      </c>
      <c r="M2193">
        <v>0</v>
      </c>
      <c r="N2193" s="21">
        <v>605.66</v>
      </c>
    </row>
    <row r="2194" spans="1:14">
      <c r="A2194" t="str">
        <f>IFERROR(_xlfn.XLOOKUP(B2194,Cuentas!$C$1:$C$521,Cuentas!$A$1:$A$521),"")</f>
        <v>Yuldor</v>
      </c>
      <c r="B2194" t="s">
        <v>2152</v>
      </c>
      <c r="C2194" t="s">
        <v>2153</v>
      </c>
      <c r="D2194" t="s">
        <v>16</v>
      </c>
      <c r="E2194" t="s">
        <v>7</v>
      </c>
      <c r="F2194" t="s">
        <v>2460</v>
      </c>
      <c r="G2194" t="s">
        <v>2460</v>
      </c>
      <c r="H2194" s="2">
        <v>45678</v>
      </c>
      <c r="I2194" s="2">
        <v>45708</v>
      </c>
      <c r="J2194" t="s">
        <v>20</v>
      </c>
      <c r="K2194" s="21">
        <v>1067.4000000000001</v>
      </c>
      <c r="L2194" s="21">
        <v>1067.4000000000001</v>
      </c>
      <c r="M2194">
        <v>0</v>
      </c>
      <c r="N2194" s="21">
        <v>1067.4000000000001</v>
      </c>
    </row>
    <row r="2195" spans="1:14">
      <c r="A2195" t="str">
        <f>IFERROR(_xlfn.XLOOKUP(B2195,Cuentas!$C$1:$C$521,Cuentas!$A$1:$A$521),"")</f>
        <v>Yuldor</v>
      </c>
      <c r="B2195" t="s">
        <v>2152</v>
      </c>
      <c r="C2195" t="s">
        <v>2153</v>
      </c>
      <c r="D2195" t="s">
        <v>16</v>
      </c>
      <c r="E2195" t="s">
        <v>7</v>
      </c>
      <c r="F2195" t="s">
        <v>2461</v>
      </c>
      <c r="G2195" t="s">
        <v>2461</v>
      </c>
      <c r="H2195" s="2">
        <v>45678</v>
      </c>
      <c r="I2195" s="2">
        <v>45708</v>
      </c>
      <c r="J2195" t="s">
        <v>20</v>
      </c>
      <c r="K2195" s="21">
        <v>222</v>
      </c>
      <c r="L2195" s="21">
        <v>222</v>
      </c>
      <c r="M2195">
        <v>0</v>
      </c>
      <c r="N2195" s="21">
        <v>222</v>
      </c>
    </row>
    <row r="2196" spans="1:14">
      <c r="A2196" t="str">
        <f>IFERROR(_xlfn.XLOOKUP(B2196,Cuentas!$C$1:$C$521,Cuentas!$A$1:$A$521),"")</f>
        <v>Yuldor</v>
      </c>
      <c r="B2196" t="s">
        <v>2152</v>
      </c>
      <c r="C2196" t="s">
        <v>2153</v>
      </c>
      <c r="D2196" t="s">
        <v>16</v>
      </c>
      <c r="E2196" t="s">
        <v>7</v>
      </c>
      <c r="F2196" t="s">
        <v>2462</v>
      </c>
      <c r="G2196" t="s">
        <v>2462</v>
      </c>
      <c r="H2196" s="2">
        <v>45678</v>
      </c>
      <c r="I2196" s="2">
        <v>45708</v>
      </c>
      <c r="J2196" t="s">
        <v>20</v>
      </c>
      <c r="K2196" s="21">
        <v>57.3</v>
      </c>
      <c r="L2196" s="21">
        <v>57.3</v>
      </c>
      <c r="M2196">
        <v>0</v>
      </c>
      <c r="N2196" s="21">
        <v>57.3</v>
      </c>
    </row>
    <row r="2197" spans="1:14">
      <c r="A2197" t="str">
        <f>IFERROR(_xlfn.XLOOKUP(B2197,Cuentas!$C$1:$C$521,Cuentas!$A$1:$A$521),"")</f>
        <v>Yuldor</v>
      </c>
      <c r="B2197" t="s">
        <v>2152</v>
      </c>
      <c r="C2197" t="s">
        <v>2153</v>
      </c>
      <c r="D2197" t="s">
        <v>16</v>
      </c>
      <c r="E2197" t="s">
        <v>7</v>
      </c>
      <c r="F2197" t="s">
        <v>2463</v>
      </c>
      <c r="G2197" t="s">
        <v>2463</v>
      </c>
      <c r="H2197" s="2">
        <v>45678</v>
      </c>
      <c r="I2197" s="2">
        <v>45708</v>
      </c>
      <c r="J2197" t="s">
        <v>20</v>
      </c>
      <c r="K2197" s="21">
        <v>310</v>
      </c>
      <c r="L2197" s="21">
        <v>310</v>
      </c>
      <c r="M2197">
        <v>0</v>
      </c>
      <c r="N2197" s="21">
        <v>310</v>
      </c>
    </row>
    <row r="2198" spans="1:14">
      <c r="A2198" t="str">
        <f>IFERROR(_xlfn.XLOOKUP(B2198,Cuentas!$C$1:$C$521,Cuentas!$A$1:$A$521),"")</f>
        <v>Yuldor</v>
      </c>
      <c r="B2198" t="s">
        <v>2152</v>
      </c>
      <c r="C2198" t="s">
        <v>2153</v>
      </c>
      <c r="D2198" t="s">
        <v>16</v>
      </c>
      <c r="E2198" t="s">
        <v>7</v>
      </c>
      <c r="F2198" t="s">
        <v>2464</v>
      </c>
      <c r="G2198" t="s">
        <v>2464</v>
      </c>
      <c r="H2198" s="2">
        <v>45678</v>
      </c>
      <c r="I2198" s="2">
        <v>45708</v>
      </c>
      <c r="J2198" t="s">
        <v>20</v>
      </c>
      <c r="K2198" s="21">
        <v>726.4</v>
      </c>
      <c r="L2198" s="21">
        <v>726.4</v>
      </c>
      <c r="M2198">
        <v>0</v>
      </c>
      <c r="N2198" s="21">
        <v>726.4</v>
      </c>
    </row>
    <row r="2199" spans="1:14">
      <c r="A2199" t="str">
        <f>IFERROR(_xlfn.XLOOKUP(B2199,Cuentas!$C$1:$C$521,Cuentas!$A$1:$A$521),"")</f>
        <v>Yuldor</v>
      </c>
      <c r="B2199" t="s">
        <v>2152</v>
      </c>
      <c r="C2199" t="s">
        <v>2153</v>
      </c>
      <c r="D2199" t="s">
        <v>16</v>
      </c>
      <c r="E2199" t="s">
        <v>7</v>
      </c>
      <c r="F2199" t="s">
        <v>2465</v>
      </c>
      <c r="G2199" t="s">
        <v>2465</v>
      </c>
      <c r="H2199" s="2">
        <v>45678</v>
      </c>
      <c r="I2199" s="2">
        <v>45708</v>
      </c>
      <c r="J2199" t="s">
        <v>20</v>
      </c>
      <c r="K2199" s="21">
        <v>1632.9</v>
      </c>
      <c r="L2199" s="21">
        <v>1632.9</v>
      </c>
      <c r="M2199">
        <v>0</v>
      </c>
      <c r="N2199" s="21">
        <v>1632.9</v>
      </c>
    </row>
    <row r="2200" spans="1:14">
      <c r="A2200" t="str">
        <f>IFERROR(_xlfn.XLOOKUP(B2200,Cuentas!$C$1:$C$521,Cuentas!$A$1:$A$521),"")</f>
        <v>Yuldor</v>
      </c>
      <c r="B2200" t="s">
        <v>2152</v>
      </c>
      <c r="C2200" t="s">
        <v>2153</v>
      </c>
      <c r="D2200" t="s">
        <v>16</v>
      </c>
      <c r="E2200" t="s">
        <v>7</v>
      </c>
      <c r="F2200" t="s">
        <v>2466</v>
      </c>
      <c r="G2200" t="s">
        <v>2466</v>
      </c>
      <c r="H2200" s="2">
        <v>45678</v>
      </c>
      <c r="I2200" s="2">
        <v>45708</v>
      </c>
      <c r="J2200" t="s">
        <v>20</v>
      </c>
      <c r="K2200" s="21">
        <v>619</v>
      </c>
      <c r="L2200" s="21">
        <v>619</v>
      </c>
      <c r="M2200">
        <v>0</v>
      </c>
      <c r="N2200" s="21">
        <v>619</v>
      </c>
    </row>
    <row r="2201" spans="1:14">
      <c r="A2201" t="str">
        <f>IFERROR(_xlfn.XLOOKUP(B2201,Cuentas!$C$1:$C$521,Cuentas!$A$1:$A$521),"")</f>
        <v>Yuldor</v>
      </c>
      <c r="B2201" t="s">
        <v>2152</v>
      </c>
      <c r="C2201" t="s">
        <v>2153</v>
      </c>
      <c r="D2201" t="s">
        <v>16</v>
      </c>
      <c r="E2201" t="s">
        <v>7</v>
      </c>
      <c r="F2201" t="s">
        <v>2467</v>
      </c>
      <c r="G2201" t="s">
        <v>2467</v>
      </c>
      <c r="H2201" s="2">
        <v>45678</v>
      </c>
      <c r="I2201" s="2">
        <v>45708</v>
      </c>
      <c r="J2201" t="s">
        <v>20</v>
      </c>
      <c r="K2201" s="21">
        <v>170.9</v>
      </c>
      <c r="L2201" s="21">
        <v>170.9</v>
      </c>
      <c r="M2201">
        <v>0</v>
      </c>
      <c r="N2201" s="21">
        <v>170.9</v>
      </c>
    </row>
    <row r="2202" spans="1:14">
      <c r="A2202" t="str">
        <f>IFERROR(_xlfn.XLOOKUP(B2202,Cuentas!$C$1:$C$521,Cuentas!$A$1:$A$521),"")</f>
        <v>Yuldor</v>
      </c>
      <c r="B2202" t="s">
        <v>2152</v>
      </c>
      <c r="C2202" t="s">
        <v>2153</v>
      </c>
      <c r="D2202" t="s">
        <v>16</v>
      </c>
      <c r="E2202" t="s">
        <v>7</v>
      </c>
      <c r="F2202" t="s">
        <v>2468</v>
      </c>
      <c r="G2202" t="s">
        <v>2468</v>
      </c>
      <c r="H2202" s="2">
        <v>45678</v>
      </c>
      <c r="I2202" s="2">
        <v>45708</v>
      </c>
      <c r="J2202" t="s">
        <v>20</v>
      </c>
      <c r="K2202" s="21">
        <v>384.06</v>
      </c>
      <c r="L2202" s="21">
        <v>384.06</v>
      </c>
      <c r="M2202">
        <v>0</v>
      </c>
      <c r="N2202" s="21">
        <v>384.06</v>
      </c>
    </row>
    <row r="2203" spans="1:14">
      <c r="A2203" t="str">
        <f>IFERROR(_xlfn.XLOOKUP(B2203,Cuentas!$C$1:$C$521,Cuentas!$A$1:$A$521),"")</f>
        <v>Yuldor</v>
      </c>
      <c r="B2203" t="s">
        <v>2152</v>
      </c>
      <c r="C2203" t="s">
        <v>2153</v>
      </c>
      <c r="D2203" t="s">
        <v>16</v>
      </c>
      <c r="E2203" t="s">
        <v>7</v>
      </c>
      <c r="F2203" t="s">
        <v>2469</v>
      </c>
      <c r="G2203" t="s">
        <v>2469</v>
      </c>
      <c r="H2203" s="2">
        <v>45678</v>
      </c>
      <c r="I2203" s="2">
        <v>45708</v>
      </c>
      <c r="J2203" t="s">
        <v>20</v>
      </c>
      <c r="K2203" s="21">
        <v>157.9</v>
      </c>
      <c r="L2203" s="21">
        <v>157.9</v>
      </c>
      <c r="M2203">
        <v>0</v>
      </c>
      <c r="N2203" s="21">
        <v>157.9</v>
      </c>
    </row>
    <row r="2204" spans="1:14">
      <c r="A2204" t="str">
        <f>IFERROR(_xlfn.XLOOKUP(B2204,Cuentas!$C$1:$C$521,Cuentas!$A$1:$A$521),"")</f>
        <v>Yuldor</v>
      </c>
      <c r="B2204" t="s">
        <v>2152</v>
      </c>
      <c r="C2204" t="s">
        <v>2153</v>
      </c>
      <c r="D2204" t="s">
        <v>16</v>
      </c>
      <c r="E2204" t="s">
        <v>7</v>
      </c>
      <c r="F2204" t="s">
        <v>2470</v>
      </c>
      <c r="G2204" t="s">
        <v>2470</v>
      </c>
      <c r="H2204" s="2">
        <v>45678</v>
      </c>
      <c r="I2204" s="2">
        <v>45708</v>
      </c>
      <c r="J2204" t="s">
        <v>20</v>
      </c>
      <c r="K2204" s="21">
        <v>294.8</v>
      </c>
      <c r="L2204" s="21">
        <v>294.8</v>
      </c>
      <c r="M2204">
        <v>0</v>
      </c>
      <c r="N2204" s="21">
        <v>294.8</v>
      </c>
    </row>
    <row r="2205" spans="1:14">
      <c r="A2205" t="str">
        <f>IFERROR(_xlfn.XLOOKUP(B2205,Cuentas!$C$1:$C$521,Cuentas!$A$1:$A$521),"")</f>
        <v>Yuldor</v>
      </c>
      <c r="B2205" t="s">
        <v>2152</v>
      </c>
      <c r="C2205" t="s">
        <v>2153</v>
      </c>
      <c r="D2205" t="s">
        <v>16</v>
      </c>
      <c r="E2205" t="s">
        <v>7</v>
      </c>
      <c r="F2205" t="s">
        <v>2471</v>
      </c>
      <c r="G2205" t="s">
        <v>2471</v>
      </c>
      <c r="H2205" s="2">
        <v>45679</v>
      </c>
      <c r="I2205" s="2">
        <v>45709</v>
      </c>
      <c r="J2205" t="s">
        <v>20</v>
      </c>
      <c r="K2205" s="21">
        <v>256.10000000000002</v>
      </c>
      <c r="L2205" s="21">
        <v>256.10000000000002</v>
      </c>
      <c r="M2205">
        <v>0</v>
      </c>
      <c r="N2205" s="21">
        <v>256.10000000000002</v>
      </c>
    </row>
    <row r="2206" spans="1:14">
      <c r="A2206" t="str">
        <f>IFERROR(_xlfn.XLOOKUP(B2206,Cuentas!$C$1:$C$521,Cuentas!$A$1:$A$521),"")</f>
        <v>Yuldor</v>
      </c>
      <c r="B2206" t="s">
        <v>2152</v>
      </c>
      <c r="C2206" t="s">
        <v>2153</v>
      </c>
      <c r="D2206" t="s">
        <v>16</v>
      </c>
      <c r="E2206" t="s">
        <v>7</v>
      </c>
      <c r="F2206" t="s">
        <v>2472</v>
      </c>
      <c r="G2206" t="s">
        <v>2472</v>
      </c>
      <c r="H2206" s="2">
        <v>45679</v>
      </c>
      <c r="I2206" s="2">
        <v>45709</v>
      </c>
      <c r="J2206" t="s">
        <v>20</v>
      </c>
      <c r="K2206" s="21">
        <v>92</v>
      </c>
      <c r="L2206" s="21">
        <v>92</v>
      </c>
      <c r="M2206">
        <v>0</v>
      </c>
      <c r="N2206" s="21">
        <v>92</v>
      </c>
    </row>
    <row r="2207" spans="1:14">
      <c r="A2207" t="str">
        <f>IFERROR(_xlfn.XLOOKUP(B2207,Cuentas!$C$1:$C$521,Cuentas!$A$1:$A$521),"")</f>
        <v>Yuldor</v>
      </c>
      <c r="B2207" t="s">
        <v>2152</v>
      </c>
      <c r="C2207" t="s">
        <v>2153</v>
      </c>
      <c r="D2207" t="s">
        <v>16</v>
      </c>
      <c r="E2207" t="s">
        <v>7</v>
      </c>
      <c r="F2207" t="s">
        <v>2473</v>
      </c>
      <c r="G2207" t="s">
        <v>2473</v>
      </c>
      <c r="H2207" s="2">
        <v>45679</v>
      </c>
      <c r="I2207" s="2">
        <v>45709</v>
      </c>
      <c r="J2207" t="s">
        <v>20</v>
      </c>
      <c r="K2207" s="21">
        <v>207.8</v>
      </c>
      <c r="L2207" s="21">
        <v>207.8</v>
      </c>
      <c r="M2207">
        <v>0</v>
      </c>
      <c r="N2207" s="21">
        <v>207.8</v>
      </c>
    </row>
    <row r="2208" spans="1:14">
      <c r="A2208" t="str">
        <f>IFERROR(_xlfn.XLOOKUP(B2208,Cuentas!$C$1:$C$521,Cuentas!$A$1:$A$521),"")</f>
        <v>Yuldor</v>
      </c>
      <c r="B2208" t="s">
        <v>2152</v>
      </c>
      <c r="C2208" t="s">
        <v>2153</v>
      </c>
      <c r="D2208" t="s">
        <v>16</v>
      </c>
      <c r="E2208" t="s">
        <v>7</v>
      </c>
      <c r="F2208" t="s">
        <v>2474</v>
      </c>
      <c r="G2208" t="s">
        <v>2474</v>
      </c>
      <c r="H2208" s="2">
        <v>45679</v>
      </c>
      <c r="I2208" s="2">
        <v>45709</v>
      </c>
      <c r="J2208" t="s">
        <v>20</v>
      </c>
      <c r="K2208" s="21">
        <v>228.2</v>
      </c>
      <c r="L2208" s="21">
        <v>228.2</v>
      </c>
      <c r="M2208">
        <v>0</v>
      </c>
      <c r="N2208" s="21">
        <v>228.2</v>
      </c>
    </row>
    <row r="2209" spans="1:14">
      <c r="A2209" t="str">
        <f>IFERROR(_xlfn.XLOOKUP(B2209,Cuentas!$C$1:$C$521,Cuentas!$A$1:$A$521),"")</f>
        <v>Yuldor</v>
      </c>
      <c r="B2209" t="s">
        <v>2152</v>
      </c>
      <c r="C2209" t="s">
        <v>2153</v>
      </c>
      <c r="D2209" t="s">
        <v>16</v>
      </c>
      <c r="E2209" t="s">
        <v>7</v>
      </c>
      <c r="F2209" t="s">
        <v>2475</v>
      </c>
      <c r="G2209" t="s">
        <v>2475</v>
      </c>
      <c r="H2209" s="2">
        <v>45679</v>
      </c>
      <c r="I2209" s="2">
        <v>45709</v>
      </c>
      <c r="J2209" t="s">
        <v>20</v>
      </c>
      <c r="K2209" s="21">
        <v>250.5</v>
      </c>
      <c r="L2209" s="21">
        <v>250.5</v>
      </c>
      <c r="M2209">
        <v>0</v>
      </c>
      <c r="N2209" s="21">
        <v>250.5</v>
      </c>
    </row>
    <row r="2210" spans="1:14">
      <c r="A2210" t="str">
        <f>IFERROR(_xlfn.XLOOKUP(B2210,Cuentas!$C$1:$C$521,Cuentas!$A$1:$A$521),"")</f>
        <v>Yuldor</v>
      </c>
      <c r="B2210" t="s">
        <v>2152</v>
      </c>
      <c r="C2210" t="s">
        <v>2153</v>
      </c>
      <c r="D2210" t="s">
        <v>16</v>
      </c>
      <c r="E2210" t="s">
        <v>7</v>
      </c>
      <c r="F2210" t="s">
        <v>2476</v>
      </c>
      <c r="G2210" t="s">
        <v>2476</v>
      </c>
      <c r="H2210" s="2">
        <v>45679</v>
      </c>
      <c r="I2210" s="2">
        <v>45709</v>
      </c>
      <c r="J2210" t="s">
        <v>20</v>
      </c>
      <c r="K2210" s="21">
        <v>274.10000000000002</v>
      </c>
      <c r="L2210" s="21">
        <v>274.10000000000002</v>
      </c>
      <c r="M2210">
        <v>0</v>
      </c>
      <c r="N2210" s="21">
        <v>274.10000000000002</v>
      </c>
    </row>
    <row r="2211" spans="1:14">
      <c r="A2211" t="str">
        <f>IFERROR(_xlfn.XLOOKUP(B2211,Cuentas!$C$1:$C$521,Cuentas!$A$1:$A$521),"")</f>
        <v>Yuldor</v>
      </c>
      <c r="B2211" t="s">
        <v>2152</v>
      </c>
      <c r="C2211" t="s">
        <v>2153</v>
      </c>
      <c r="D2211" t="s">
        <v>16</v>
      </c>
      <c r="E2211" t="s">
        <v>7</v>
      </c>
      <c r="F2211" t="s">
        <v>2477</v>
      </c>
      <c r="G2211" t="s">
        <v>2477</v>
      </c>
      <c r="H2211" s="2">
        <v>45679</v>
      </c>
      <c r="I2211" s="2">
        <v>45709</v>
      </c>
      <c r="J2211" t="s">
        <v>20</v>
      </c>
      <c r="K2211" s="21">
        <v>590.86</v>
      </c>
      <c r="L2211" s="21">
        <v>590.86</v>
      </c>
      <c r="M2211">
        <v>0</v>
      </c>
      <c r="N2211" s="21">
        <v>590.86</v>
      </c>
    </row>
    <row r="2212" spans="1:14">
      <c r="A2212" t="str">
        <f>IFERROR(_xlfn.XLOOKUP(B2212,Cuentas!$C$1:$C$521,Cuentas!$A$1:$A$521),"")</f>
        <v>Yuldor</v>
      </c>
      <c r="B2212" t="s">
        <v>2152</v>
      </c>
      <c r="C2212" t="s">
        <v>2153</v>
      </c>
      <c r="D2212" t="s">
        <v>16</v>
      </c>
      <c r="E2212" t="s">
        <v>7</v>
      </c>
      <c r="F2212" t="s">
        <v>2478</v>
      </c>
      <c r="G2212" t="s">
        <v>2478</v>
      </c>
      <c r="H2212" s="2">
        <v>45679</v>
      </c>
      <c r="I2212" s="2">
        <v>45709</v>
      </c>
      <c r="J2212" t="s">
        <v>20</v>
      </c>
      <c r="K2212" s="21">
        <v>210.2</v>
      </c>
      <c r="L2212" s="21">
        <v>210.2</v>
      </c>
      <c r="M2212">
        <v>0</v>
      </c>
      <c r="N2212" s="21">
        <v>210.2</v>
      </c>
    </row>
    <row r="2213" spans="1:14">
      <c r="A2213" t="str">
        <f>IFERROR(_xlfn.XLOOKUP(B2213,Cuentas!$C$1:$C$521,Cuentas!$A$1:$A$521),"")</f>
        <v>Yuldor</v>
      </c>
      <c r="B2213" t="s">
        <v>2152</v>
      </c>
      <c r="C2213" t="s">
        <v>2153</v>
      </c>
      <c r="D2213" t="s">
        <v>16</v>
      </c>
      <c r="E2213" t="s">
        <v>7</v>
      </c>
      <c r="F2213" t="s">
        <v>2479</v>
      </c>
      <c r="G2213" t="s">
        <v>2479</v>
      </c>
      <c r="H2213" s="2">
        <v>45679</v>
      </c>
      <c r="I2213" s="2">
        <v>45709</v>
      </c>
      <c r="J2213" t="s">
        <v>20</v>
      </c>
      <c r="K2213" s="21">
        <v>81.06</v>
      </c>
      <c r="L2213" s="21">
        <v>81.06</v>
      </c>
      <c r="M2213">
        <v>0</v>
      </c>
      <c r="N2213" s="21">
        <v>81.06</v>
      </c>
    </row>
    <row r="2214" spans="1:14">
      <c r="A2214" t="str">
        <f>IFERROR(_xlfn.XLOOKUP(B2214,Cuentas!$C$1:$C$521,Cuentas!$A$1:$A$521),"")</f>
        <v>Yuldor</v>
      </c>
      <c r="B2214" t="s">
        <v>2152</v>
      </c>
      <c r="C2214" t="s">
        <v>2153</v>
      </c>
      <c r="D2214" t="s">
        <v>16</v>
      </c>
      <c r="E2214" t="s">
        <v>7</v>
      </c>
      <c r="F2214" t="s">
        <v>2480</v>
      </c>
      <c r="G2214" t="s">
        <v>2480</v>
      </c>
      <c r="H2214" s="2">
        <v>45679</v>
      </c>
      <c r="I2214" s="2">
        <v>45709</v>
      </c>
      <c r="J2214" t="s">
        <v>20</v>
      </c>
      <c r="K2214" s="21">
        <v>53.3</v>
      </c>
      <c r="L2214" s="21">
        <v>53.3</v>
      </c>
      <c r="M2214">
        <v>0</v>
      </c>
      <c r="N2214" s="21">
        <v>53.3</v>
      </c>
    </row>
    <row r="2215" spans="1:14">
      <c r="A2215" t="str">
        <f>IFERROR(_xlfn.XLOOKUP(B2215,Cuentas!$C$1:$C$521,Cuentas!$A$1:$A$521),"")</f>
        <v>Yuldor</v>
      </c>
      <c r="B2215" t="s">
        <v>2152</v>
      </c>
      <c r="C2215" t="s">
        <v>2153</v>
      </c>
      <c r="D2215" t="s">
        <v>16</v>
      </c>
      <c r="E2215" t="s">
        <v>7</v>
      </c>
      <c r="F2215" t="s">
        <v>2481</v>
      </c>
      <c r="G2215" t="s">
        <v>2481</v>
      </c>
      <c r="H2215" s="2">
        <v>45679</v>
      </c>
      <c r="I2215" s="2">
        <v>45709</v>
      </c>
      <c r="J2215" t="s">
        <v>20</v>
      </c>
      <c r="K2215" s="21">
        <v>143.30000000000001</v>
      </c>
      <c r="L2215" s="21">
        <v>143.30000000000001</v>
      </c>
      <c r="M2215">
        <v>0</v>
      </c>
      <c r="N2215" s="21">
        <v>143.30000000000001</v>
      </c>
    </row>
    <row r="2216" spans="1:14">
      <c r="A2216" t="str">
        <f>IFERROR(_xlfn.XLOOKUP(B2216,Cuentas!$C$1:$C$521,Cuentas!$A$1:$A$521),"")</f>
        <v>Yuldor</v>
      </c>
      <c r="B2216" t="s">
        <v>2152</v>
      </c>
      <c r="C2216" t="s">
        <v>2153</v>
      </c>
      <c r="D2216" t="s">
        <v>16</v>
      </c>
      <c r="E2216" t="s">
        <v>7</v>
      </c>
      <c r="F2216" t="s">
        <v>2482</v>
      </c>
      <c r="G2216" t="s">
        <v>2482</v>
      </c>
      <c r="H2216" s="2">
        <v>45679</v>
      </c>
      <c r="I2216" s="2">
        <v>45709</v>
      </c>
      <c r="J2216" t="s">
        <v>20</v>
      </c>
      <c r="K2216" s="21">
        <v>621.4</v>
      </c>
      <c r="L2216" s="21">
        <v>621.4</v>
      </c>
      <c r="M2216">
        <v>0</v>
      </c>
      <c r="N2216" s="21">
        <v>621.4</v>
      </c>
    </row>
    <row r="2217" spans="1:14">
      <c r="A2217" t="str">
        <f>IFERROR(_xlfn.XLOOKUP(B2217,Cuentas!$C$1:$C$521,Cuentas!$A$1:$A$521),"")</f>
        <v>Yuldor</v>
      </c>
      <c r="B2217" t="s">
        <v>2152</v>
      </c>
      <c r="C2217" t="s">
        <v>2153</v>
      </c>
      <c r="D2217" t="s">
        <v>16</v>
      </c>
      <c r="E2217" t="s">
        <v>7</v>
      </c>
      <c r="F2217" t="s">
        <v>2483</v>
      </c>
      <c r="G2217" t="s">
        <v>2483</v>
      </c>
      <c r="H2217" s="2">
        <v>45679</v>
      </c>
      <c r="I2217" s="2">
        <v>45709</v>
      </c>
      <c r="J2217" t="s">
        <v>20</v>
      </c>
      <c r="K2217" s="21">
        <v>204.2</v>
      </c>
      <c r="L2217" s="21">
        <v>204.2</v>
      </c>
      <c r="M2217">
        <v>0</v>
      </c>
      <c r="N2217" s="21">
        <v>204.2</v>
      </c>
    </row>
    <row r="2218" spans="1:14">
      <c r="A2218" t="str">
        <f>IFERROR(_xlfn.XLOOKUP(B2218,Cuentas!$C$1:$C$521,Cuentas!$A$1:$A$521),"")</f>
        <v>Yuldor</v>
      </c>
      <c r="B2218" t="s">
        <v>2152</v>
      </c>
      <c r="C2218" t="s">
        <v>2153</v>
      </c>
      <c r="D2218" t="s">
        <v>16</v>
      </c>
      <c r="E2218" t="s">
        <v>7</v>
      </c>
      <c r="F2218" t="s">
        <v>2484</v>
      </c>
      <c r="G2218" t="s">
        <v>2484</v>
      </c>
      <c r="H2218" s="2">
        <v>45679</v>
      </c>
      <c r="I2218" s="2">
        <v>45709</v>
      </c>
      <c r="J2218" t="s">
        <v>20</v>
      </c>
      <c r="K2218" s="21">
        <v>1008.6</v>
      </c>
      <c r="L2218" s="21">
        <v>1008.6</v>
      </c>
      <c r="M2218">
        <v>0</v>
      </c>
      <c r="N2218" s="21">
        <v>1008.6</v>
      </c>
    </row>
    <row r="2219" spans="1:14">
      <c r="A2219" t="str">
        <f>IFERROR(_xlfn.XLOOKUP(B2219,Cuentas!$C$1:$C$521,Cuentas!$A$1:$A$521),"")</f>
        <v>Yuldor</v>
      </c>
      <c r="B2219" t="s">
        <v>2152</v>
      </c>
      <c r="C2219" t="s">
        <v>2153</v>
      </c>
      <c r="D2219" t="s">
        <v>16</v>
      </c>
      <c r="E2219" t="s">
        <v>7</v>
      </c>
      <c r="F2219" t="s">
        <v>2485</v>
      </c>
      <c r="G2219" t="s">
        <v>2485</v>
      </c>
      <c r="H2219" s="2">
        <v>45679</v>
      </c>
      <c r="I2219" s="2">
        <v>45709</v>
      </c>
      <c r="J2219" t="s">
        <v>20</v>
      </c>
      <c r="K2219" s="21">
        <v>170</v>
      </c>
      <c r="L2219" s="21">
        <v>170</v>
      </c>
      <c r="M2219">
        <v>0</v>
      </c>
      <c r="N2219" s="21">
        <v>170</v>
      </c>
    </row>
    <row r="2220" spans="1:14">
      <c r="A2220" t="str">
        <f>IFERROR(_xlfn.XLOOKUP(B2220,Cuentas!$C$1:$C$521,Cuentas!$A$1:$A$521),"")</f>
        <v>Yuldor</v>
      </c>
      <c r="B2220" t="s">
        <v>2152</v>
      </c>
      <c r="C2220" t="s">
        <v>2153</v>
      </c>
      <c r="D2220" t="s">
        <v>16</v>
      </c>
      <c r="E2220" t="s">
        <v>7</v>
      </c>
      <c r="F2220" t="s">
        <v>2486</v>
      </c>
      <c r="G2220" t="s">
        <v>2486</v>
      </c>
      <c r="H2220" s="2">
        <v>45679</v>
      </c>
      <c r="I2220" s="2">
        <v>45709</v>
      </c>
      <c r="J2220" t="s">
        <v>20</v>
      </c>
      <c r="K2220" s="21">
        <v>550</v>
      </c>
      <c r="L2220" s="21">
        <v>550</v>
      </c>
      <c r="M2220">
        <v>0</v>
      </c>
      <c r="N2220" s="21">
        <v>550</v>
      </c>
    </row>
    <row r="2221" spans="1:14">
      <c r="A2221" t="str">
        <f>IFERROR(_xlfn.XLOOKUP(B2221,Cuentas!$C$1:$C$521,Cuentas!$A$1:$A$521),"")</f>
        <v>Yuldor</v>
      </c>
      <c r="B2221" t="s">
        <v>2152</v>
      </c>
      <c r="C2221" t="s">
        <v>2153</v>
      </c>
      <c r="D2221" t="s">
        <v>16</v>
      </c>
      <c r="E2221" t="s">
        <v>7</v>
      </c>
      <c r="F2221" t="s">
        <v>2487</v>
      </c>
      <c r="G2221" t="s">
        <v>2487</v>
      </c>
      <c r="H2221" s="2">
        <v>45679</v>
      </c>
      <c r="I2221" s="2">
        <v>45709</v>
      </c>
      <c r="J2221" t="s">
        <v>20</v>
      </c>
      <c r="K2221" s="21">
        <v>461.5</v>
      </c>
      <c r="L2221" s="21">
        <v>461.5</v>
      </c>
      <c r="M2221">
        <v>0</v>
      </c>
      <c r="N2221" s="21">
        <v>461.5</v>
      </c>
    </row>
    <row r="2222" spans="1:14">
      <c r="A2222" t="str">
        <f>IFERROR(_xlfn.XLOOKUP(B2222,Cuentas!$C$1:$C$521,Cuentas!$A$1:$A$521),"")</f>
        <v>Yuldor</v>
      </c>
      <c r="B2222" t="s">
        <v>2152</v>
      </c>
      <c r="C2222" t="s">
        <v>2153</v>
      </c>
      <c r="D2222" t="s">
        <v>16</v>
      </c>
      <c r="E2222" t="s">
        <v>7</v>
      </c>
      <c r="F2222" t="s">
        <v>2488</v>
      </c>
      <c r="G2222" t="s">
        <v>2488</v>
      </c>
      <c r="H2222" s="2">
        <v>45679</v>
      </c>
      <c r="I2222" s="2">
        <v>45709</v>
      </c>
      <c r="J2222" t="s">
        <v>20</v>
      </c>
      <c r="K2222" s="21">
        <v>1839</v>
      </c>
      <c r="L2222" s="21">
        <v>1839</v>
      </c>
      <c r="M2222">
        <v>0</v>
      </c>
      <c r="N2222" s="21">
        <v>1839</v>
      </c>
    </row>
    <row r="2223" spans="1:14">
      <c r="A2223" t="str">
        <f>IFERROR(_xlfn.XLOOKUP(B2223,Cuentas!$C$1:$C$521,Cuentas!$A$1:$A$521),"")</f>
        <v>Yuldor</v>
      </c>
      <c r="B2223" t="s">
        <v>2152</v>
      </c>
      <c r="C2223" t="s">
        <v>2153</v>
      </c>
      <c r="D2223" t="s">
        <v>16</v>
      </c>
      <c r="E2223" t="s">
        <v>7</v>
      </c>
      <c r="F2223" t="s">
        <v>2489</v>
      </c>
      <c r="G2223" t="s">
        <v>2489</v>
      </c>
      <c r="H2223" s="2">
        <v>45679</v>
      </c>
      <c r="I2223" s="2">
        <v>45709</v>
      </c>
      <c r="J2223" t="s">
        <v>20</v>
      </c>
      <c r="K2223" s="21">
        <v>1168.5</v>
      </c>
      <c r="L2223" s="21">
        <v>1168.5</v>
      </c>
      <c r="M2223">
        <v>0</v>
      </c>
      <c r="N2223" s="21">
        <v>1168.5</v>
      </c>
    </row>
    <row r="2224" spans="1:14">
      <c r="A2224" t="str">
        <f>IFERROR(_xlfn.XLOOKUP(B2224,Cuentas!$C$1:$C$521,Cuentas!$A$1:$A$521),"")</f>
        <v>Yuldor</v>
      </c>
      <c r="B2224" t="s">
        <v>2152</v>
      </c>
      <c r="C2224" t="s">
        <v>2153</v>
      </c>
      <c r="D2224" t="s">
        <v>16</v>
      </c>
      <c r="E2224" t="s">
        <v>7</v>
      </c>
      <c r="F2224" t="s">
        <v>2490</v>
      </c>
      <c r="G2224" t="s">
        <v>2490</v>
      </c>
      <c r="H2224" s="2">
        <v>45679</v>
      </c>
      <c r="I2224" s="2">
        <v>45709</v>
      </c>
      <c r="J2224" t="s">
        <v>20</v>
      </c>
      <c r="K2224" s="21">
        <v>207.8</v>
      </c>
      <c r="L2224" s="21">
        <v>207.8</v>
      </c>
      <c r="M2224">
        <v>0</v>
      </c>
      <c r="N2224" s="21">
        <v>207.8</v>
      </c>
    </row>
    <row r="2225" spans="1:14">
      <c r="A2225" t="str">
        <f>IFERROR(_xlfn.XLOOKUP(B2225,Cuentas!$C$1:$C$521,Cuentas!$A$1:$A$521),"")</f>
        <v>Yuldor</v>
      </c>
      <c r="B2225" t="s">
        <v>2152</v>
      </c>
      <c r="C2225" t="s">
        <v>2153</v>
      </c>
      <c r="D2225" t="s">
        <v>16</v>
      </c>
      <c r="E2225" t="s">
        <v>7</v>
      </c>
      <c r="F2225" t="s">
        <v>2491</v>
      </c>
      <c r="G2225" t="s">
        <v>2491</v>
      </c>
      <c r="H2225" s="2">
        <v>45679</v>
      </c>
      <c r="I2225" s="2">
        <v>45709</v>
      </c>
      <c r="J2225" t="s">
        <v>20</v>
      </c>
      <c r="K2225" s="21">
        <v>302.2</v>
      </c>
      <c r="L2225" s="21">
        <v>302.2</v>
      </c>
      <c r="M2225">
        <v>0</v>
      </c>
      <c r="N2225" s="21">
        <v>302.2</v>
      </c>
    </row>
    <row r="2226" spans="1:14">
      <c r="A2226" t="str">
        <f>IFERROR(_xlfn.XLOOKUP(B2226,Cuentas!$C$1:$C$521,Cuentas!$A$1:$A$521),"")</f>
        <v>Yuldor</v>
      </c>
      <c r="B2226" t="s">
        <v>2152</v>
      </c>
      <c r="C2226" t="s">
        <v>2153</v>
      </c>
      <c r="D2226" t="s">
        <v>16</v>
      </c>
      <c r="E2226" t="s">
        <v>7</v>
      </c>
      <c r="F2226" t="s">
        <v>2492</v>
      </c>
      <c r="G2226" t="s">
        <v>2492</v>
      </c>
      <c r="H2226" s="2">
        <v>45679</v>
      </c>
      <c r="I2226" s="2">
        <v>45709</v>
      </c>
      <c r="J2226" t="s">
        <v>20</v>
      </c>
      <c r="K2226" s="21">
        <v>310</v>
      </c>
      <c r="L2226" s="21">
        <v>310</v>
      </c>
      <c r="M2226">
        <v>0</v>
      </c>
      <c r="N2226" s="21">
        <v>310</v>
      </c>
    </row>
    <row r="2227" spans="1:14">
      <c r="A2227" t="str">
        <f>IFERROR(_xlfn.XLOOKUP(B2227,Cuentas!$C$1:$C$521,Cuentas!$A$1:$A$521),"")</f>
        <v>Yuldor</v>
      </c>
      <c r="B2227" t="s">
        <v>2152</v>
      </c>
      <c r="C2227" t="s">
        <v>2153</v>
      </c>
      <c r="D2227" t="s">
        <v>16</v>
      </c>
      <c r="E2227" t="s">
        <v>7</v>
      </c>
      <c r="F2227" t="s">
        <v>2493</v>
      </c>
      <c r="G2227" t="s">
        <v>2493</v>
      </c>
      <c r="H2227" s="2">
        <v>45679</v>
      </c>
      <c r="I2227" s="2">
        <v>45709</v>
      </c>
      <c r="J2227" t="s">
        <v>20</v>
      </c>
      <c r="K2227" s="21">
        <v>91.13</v>
      </c>
      <c r="L2227" s="21">
        <v>91.13</v>
      </c>
      <c r="M2227">
        <v>0</v>
      </c>
      <c r="N2227" s="21">
        <v>91.13</v>
      </c>
    </row>
    <row r="2228" spans="1:14">
      <c r="A2228" t="str">
        <f>IFERROR(_xlfn.XLOOKUP(B2228,Cuentas!$C$1:$C$521,Cuentas!$A$1:$A$521),"")</f>
        <v>Yuldor</v>
      </c>
      <c r="B2228" t="s">
        <v>2152</v>
      </c>
      <c r="C2228" t="s">
        <v>2153</v>
      </c>
      <c r="D2228" t="s">
        <v>16</v>
      </c>
      <c r="E2228" t="s">
        <v>7</v>
      </c>
      <c r="F2228" t="s">
        <v>2494</v>
      </c>
      <c r="G2228" t="s">
        <v>2494</v>
      </c>
      <c r="H2228" s="2">
        <v>45679</v>
      </c>
      <c r="I2228" s="2">
        <v>45709</v>
      </c>
      <c r="J2228" t="s">
        <v>20</v>
      </c>
      <c r="K2228" s="21">
        <v>651.4</v>
      </c>
      <c r="L2228" s="21">
        <v>651.4</v>
      </c>
      <c r="M2228">
        <v>0</v>
      </c>
      <c r="N2228" s="21">
        <v>651.4</v>
      </c>
    </row>
    <row r="2229" spans="1:14">
      <c r="A2229" t="str">
        <f>IFERROR(_xlfn.XLOOKUP(B2229,Cuentas!$C$1:$C$521,Cuentas!$A$1:$A$521),"")</f>
        <v>Yuldor</v>
      </c>
      <c r="B2229" t="s">
        <v>2152</v>
      </c>
      <c r="C2229" t="s">
        <v>2153</v>
      </c>
      <c r="D2229" t="s">
        <v>16</v>
      </c>
      <c r="E2229" t="s">
        <v>7</v>
      </c>
      <c r="F2229" t="s">
        <v>2495</v>
      </c>
      <c r="G2229" t="s">
        <v>2495</v>
      </c>
      <c r="H2229" s="2">
        <v>45679</v>
      </c>
      <c r="I2229" s="2">
        <v>45709</v>
      </c>
      <c r="J2229" t="s">
        <v>20</v>
      </c>
      <c r="K2229" s="21">
        <v>207.8</v>
      </c>
      <c r="L2229" s="21">
        <v>207.8</v>
      </c>
      <c r="M2229">
        <v>0</v>
      </c>
      <c r="N2229" s="21">
        <v>207.8</v>
      </c>
    </row>
    <row r="2230" spans="1:14">
      <c r="A2230" t="str">
        <f>IFERROR(_xlfn.XLOOKUP(B2230,Cuentas!$C$1:$C$521,Cuentas!$A$1:$A$521),"")</f>
        <v>Yuldor</v>
      </c>
      <c r="B2230" t="s">
        <v>2152</v>
      </c>
      <c r="C2230" t="s">
        <v>2153</v>
      </c>
      <c r="D2230" t="s">
        <v>16</v>
      </c>
      <c r="E2230" t="s">
        <v>7</v>
      </c>
      <c r="F2230" t="s">
        <v>2496</v>
      </c>
      <c r="G2230" t="s">
        <v>2496</v>
      </c>
      <c r="H2230" s="2">
        <v>45679</v>
      </c>
      <c r="I2230" s="2">
        <v>45709</v>
      </c>
      <c r="J2230" t="s">
        <v>20</v>
      </c>
      <c r="K2230" s="21">
        <v>274.10000000000002</v>
      </c>
      <c r="L2230" s="21">
        <v>274.10000000000002</v>
      </c>
      <c r="M2230">
        <v>0</v>
      </c>
      <c r="N2230" s="21">
        <v>274.10000000000002</v>
      </c>
    </row>
    <row r="2231" spans="1:14">
      <c r="A2231" t="str">
        <f>IFERROR(_xlfn.XLOOKUP(B2231,Cuentas!$C$1:$C$521,Cuentas!$A$1:$A$521),"")</f>
        <v>Yuldor</v>
      </c>
      <c r="B2231" t="s">
        <v>2152</v>
      </c>
      <c r="C2231" t="s">
        <v>2153</v>
      </c>
      <c r="D2231" t="s">
        <v>16</v>
      </c>
      <c r="E2231" t="s">
        <v>7</v>
      </c>
      <c r="F2231" t="s">
        <v>2497</v>
      </c>
      <c r="G2231" t="s">
        <v>2497</v>
      </c>
      <c r="H2231" s="2">
        <v>45679</v>
      </c>
      <c r="I2231" s="2">
        <v>45709</v>
      </c>
      <c r="J2231" t="s">
        <v>20</v>
      </c>
      <c r="K2231" s="21">
        <v>414.6</v>
      </c>
      <c r="L2231" s="21">
        <v>414.6</v>
      </c>
      <c r="M2231">
        <v>0</v>
      </c>
      <c r="N2231" s="21">
        <v>414.6</v>
      </c>
    </row>
    <row r="2232" spans="1:14">
      <c r="A2232" t="str">
        <f>IFERROR(_xlfn.XLOOKUP(B2232,Cuentas!$C$1:$C$521,Cuentas!$A$1:$A$521),"")</f>
        <v>Yuldor</v>
      </c>
      <c r="B2232" t="s">
        <v>2152</v>
      </c>
      <c r="C2232" t="s">
        <v>2153</v>
      </c>
      <c r="D2232" t="s">
        <v>16</v>
      </c>
      <c r="E2232" t="s">
        <v>7</v>
      </c>
      <c r="F2232" t="s">
        <v>2498</v>
      </c>
      <c r="G2232" t="s">
        <v>2498</v>
      </c>
      <c r="H2232" s="2">
        <v>45679</v>
      </c>
      <c r="I2232" s="2">
        <v>45709</v>
      </c>
      <c r="J2232" t="s">
        <v>20</v>
      </c>
      <c r="K2232" s="21">
        <v>110.6</v>
      </c>
      <c r="L2232" s="21">
        <v>110.6</v>
      </c>
      <c r="M2232">
        <v>0</v>
      </c>
      <c r="N2232" s="21">
        <v>110.6</v>
      </c>
    </row>
    <row r="2233" spans="1:14">
      <c r="A2233" t="str">
        <f>IFERROR(_xlfn.XLOOKUP(B2233,Cuentas!$C$1:$C$521,Cuentas!$A$1:$A$521),"")</f>
        <v>Yuldor</v>
      </c>
      <c r="B2233" t="s">
        <v>2152</v>
      </c>
      <c r="C2233" t="s">
        <v>2153</v>
      </c>
      <c r="D2233" t="s">
        <v>16</v>
      </c>
      <c r="E2233" t="s">
        <v>7</v>
      </c>
      <c r="F2233" t="s">
        <v>2499</v>
      </c>
      <c r="G2233" t="s">
        <v>2499</v>
      </c>
      <c r="H2233" s="2">
        <v>45679</v>
      </c>
      <c r="I2233" s="2">
        <v>45709</v>
      </c>
      <c r="J2233" t="s">
        <v>20</v>
      </c>
      <c r="K2233" s="21">
        <v>53.3</v>
      </c>
      <c r="L2233" s="21">
        <v>53.3</v>
      </c>
      <c r="M2233">
        <v>0</v>
      </c>
      <c r="N2233" s="21">
        <v>53.3</v>
      </c>
    </row>
    <row r="2234" spans="1:14">
      <c r="A2234" t="str">
        <f>IFERROR(_xlfn.XLOOKUP(B2234,Cuentas!$C$1:$C$521,Cuentas!$A$1:$A$521),"")</f>
        <v>Yuldor</v>
      </c>
      <c r="B2234" t="s">
        <v>2152</v>
      </c>
      <c r="C2234" t="s">
        <v>2153</v>
      </c>
      <c r="D2234" t="s">
        <v>16</v>
      </c>
      <c r="E2234" t="s">
        <v>7</v>
      </c>
      <c r="F2234" t="s">
        <v>2500</v>
      </c>
      <c r="G2234" t="s">
        <v>2500</v>
      </c>
      <c r="H2234" s="2">
        <v>45679</v>
      </c>
      <c r="I2234" s="2">
        <v>45709</v>
      </c>
      <c r="J2234" t="s">
        <v>20</v>
      </c>
      <c r="K2234" s="21">
        <v>434.6</v>
      </c>
      <c r="L2234" s="21">
        <v>434.6</v>
      </c>
      <c r="M2234">
        <v>0</v>
      </c>
      <c r="N2234" s="21">
        <v>434.6</v>
      </c>
    </row>
    <row r="2235" spans="1:14">
      <c r="A2235" t="str">
        <f>IFERROR(_xlfn.XLOOKUP(B2235,Cuentas!$C$1:$C$521,Cuentas!$A$1:$A$521),"")</f>
        <v>Yuldor</v>
      </c>
      <c r="B2235" t="s">
        <v>2152</v>
      </c>
      <c r="C2235" t="s">
        <v>2153</v>
      </c>
      <c r="D2235" t="s">
        <v>16</v>
      </c>
      <c r="E2235" t="s">
        <v>7</v>
      </c>
      <c r="F2235" t="s">
        <v>2501</v>
      </c>
      <c r="G2235" t="s">
        <v>2501</v>
      </c>
      <c r="H2235" s="2">
        <v>45680</v>
      </c>
      <c r="I2235" s="2">
        <v>45710</v>
      </c>
      <c r="J2235" t="s">
        <v>20</v>
      </c>
      <c r="K2235" s="21">
        <v>1504.2</v>
      </c>
      <c r="L2235" s="21">
        <v>1504.2</v>
      </c>
      <c r="M2235">
        <v>0</v>
      </c>
      <c r="N2235" s="21">
        <v>1504.2</v>
      </c>
    </row>
    <row r="2236" spans="1:14">
      <c r="A2236" t="str">
        <f>IFERROR(_xlfn.XLOOKUP(B2236,Cuentas!$C$1:$C$521,Cuentas!$A$1:$A$521),"")</f>
        <v>Yuldor</v>
      </c>
      <c r="B2236" t="s">
        <v>2152</v>
      </c>
      <c r="C2236" t="s">
        <v>2153</v>
      </c>
      <c r="D2236" t="s">
        <v>16</v>
      </c>
      <c r="E2236" t="s">
        <v>7</v>
      </c>
      <c r="F2236" t="s">
        <v>2502</v>
      </c>
      <c r="G2236" t="s">
        <v>2502</v>
      </c>
      <c r="H2236" s="2">
        <v>45680</v>
      </c>
      <c r="I2236" s="2">
        <v>45710</v>
      </c>
      <c r="J2236" t="s">
        <v>20</v>
      </c>
      <c r="K2236" s="21">
        <v>1364</v>
      </c>
      <c r="L2236" s="21">
        <v>1364</v>
      </c>
      <c r="M2236">
        <v>0</v>
      </c>
      <c r="N2236" s="21">
        <v>1364</v>
      </c>
    </row>
    <row r="2237" spans="1:14">
      <c r="A2237" t="str">
        <f>IFERROR(_xlfn.XLOOKUP(B2237,Cuentas!$C$1:$C$521,Cuentas!$A$1:$A$521),"")</f>
        <v>Yuldor</v>
      </c>
      <c r="B2237" t="s">
        <v>2152</v>
      </c>
      <c r="C2237" t="s">
        <v>2153</v>
      </c>
      <c r="D2237" t="s">
        <v>16</v>
      </c>
      <c r="E2237" t="s">
        <v>7</v>
      </c>
      <c r="F2237" t="s">
        <v>2503</v>
      </c>
      <c r="G2237" t="s">
        <v>2503</v>
      </c>
      <c r="H2237" s="2">
        <v>45680</v>
      </c>
      <c r="I2237" s="2">
        <v>45710</v>
      </c>
      <c r="J2237" t="s">
        <v>20</v>
      </c>
      <c r="K2237" s="21">
        <v>289</v>
      </c>
      <c r="L2237" s="21">
        <v>289</v>
      </c>
      <c r="M2237">
        <v>0</v>
      </c>
      <c r="N2237" s="21">
        <v>289</v>
      </c>
    </row>
    <row r="2238" spans="1:14">
      <c r="A2238" t="str">
        <f>IFERROR(_xlfn.XLOOKUP(B2238,Cuentas!$C$1:$C$521,Cuentas!$A$1:$A$521),"")</f>
        <v>Yuldor</v>
      </c>
      <c r="B2238" t="s">
        <v>2152</v>
      </c>
      <c r="C2238" t="s">
        <v>2153</v>
      </c>
      <c r="D2238" t="s">
        <v>16</v>
      </c>
      <c r="E2238" t="s">
        <v>7</v>
      </c>
      <c r="F2238" t="s">
        <v>2504</v>
      </c>
      <c r="G2238" t="s">
        <v>2504</v>
      </c>
      <c r="H2238" s="2">
        <v>45680</v>
      </c>
      <c r="I2238" s="2">
        <v>45710</v>
      </c>
      <c r="J2238" t="s">
        <v>20</v>
      </c>
      <c r="K2238" s="21">
        <v>1104.3</v>
      </c>
      <c r="L2238" s="21">
        <v>1104.3</v>
      </c>
      <c r="M2238">
        <v>0</v>
      </c>
      <c r="N2238" s="21">
        <v>1104.3</v>
      </c>
    </row>
    <row r="2239" spans="1:14">
      <c r="A2239" t="str">
        <f>IFERROR(_xlfn.XLOOKUP(B2239,Cuentas!$C$1:$C$521,Cuentas!$A$1:$A$521),"")</f>
        <v>Yuldor</v>
      </c>
      <c r="B2239" t="s">
        <v>2152</v>
      </c>
      <c r="C2239" t="s">
        <v>2153</v>
      </c>
      <c r="D2239" t="s">
        <v>16</v>
      </c>
      <c r="E2239" t="s">
        <v>7</v>
      </c>
      <c r="F2239" t="s">
        <v>2505</v>
      </c>
      <c r="G2239" t="s">
        <v>2505</v>
      </c>
      <c r="H2239" s="2">
        <v>45680</v>
      </c>
      <c r="I2239" s="2">
        <v>45710</v>
      </c>
      <c r="J2239" t="s">
        <v>20</v>
      </c>
      <c r="K2239" s="21">
        <v>254</v>
      </c>
      <c r="L2239" s="21">
        <v>254</v>
      </c>
      <c r="M2239">
        <v>0</v>
      </c>
      <c r="N2239" s="21">
        <v>254</v>
      </c>
    </row>
    <row r="2240" spans="1:14">
      <c r="A2240" t="str">
        <f>IFERROR(_xlfn.XLOOKUP(B2240,Cuentas!$C$1:$C$521,Cuentas!$A$1:$A$521),"")</f>
        <v>Yuldor</v>
      </c>
      <c r="B2240" t="s">
        <v>2152</v>
      </c>
      <c r="C2240" t="s">
        <v>2153</v>
      </c>
      <c r="D2240" t="s">
        <v>16</v>
      </c>
      <c r="E2240" t="s">
        <v>7</v>
      </c>
      <c r="F2240" t="s">
        <v>2506</v>
      </c>
      <c r="G2240" t="s">
        <v>2506</v>
      </c>
      <c r="H2240" s="2">
        <v>45680</v>
      </c>
      <c r="I2240" s="2">
        <v>45710</v>
      </c>
      <c r="J2240" t="s">
        <v>20</v>
      </c>
      <c r="K2240" s="21">
        <v>162</v>
      </c>
      <c r="L2240" s="21">
        <v>162</v>
      </c>
      <c r="M2240">
        <v>0</v>
      </c>
      <c r="N2240" s="21">
        <v>162</v>
      </c>
    </row>
    <row r="2241" spans="1:14">
      <c r="A2241" t="str">
        <f>IFERROR(_xlfn.XLOOKUP(B2241,Cuentas!$C$1:$C$521,Cuentas!$A$1:$A$521),"")</f>
        <v>Yuldor</v>
      </c>
      <c r="B2241" t="s">
        <v>2152</v>
      </c>
      <c r="C2241" t="s">
        <v>2153</v>
      </c>
      <c r="D2241" t="s">
        <v>16</v>
      </c>
      <c r="E2241" t="s">
        <v>7</v>
      </c>
      <c r="F2241" t="s">
        <v>2507</v>
      </c>
      <c r="G2241" t="s">
        <v>2507</v>
      </c>
      <c r="H2241" s="2">
        <v>45680</v>
      </c>
      <c r="I2241" s="2">
        <v>45710</v>
      </c>
      <c r="J2241" t="s">
        <v>20</v>
      </c>
      <c r="K2241" s="21">
        <v>545</v>
      </c>
      <c r="L2241" s="21">
        <v>545</v>
      </c>
      <c r="M2241">
        <v>0</v>
      </c>
      <c r="N2241" s="21">
        <v>545</v>
      </c>
    </row>
    <row r="2242" spans="1:14">
      <c r="A2242" t="str">
        <f>IFERROR(_xlfn.XLOOKUP(B2242,Cuentas!$C$1:$C$521,Cuentas!$A$1:$A$521),"")</f>
        <v>Yuldor</v>
      </c>
      <c r="B2242" t="s">
        <v>2152</v>
      </c>
      <c r="C2242" t="s">
        <v>2153</v>
      </c>
      <c r="D2242" t="s">
        <v>16</v>
      </c>
      <c r="E2242" t="s">
        <v>7</v>
      </c>
      <c r="F2242" t="s">
        <v>2508</v>
      </c>
      <c r="G2242" t="s">
        <v>2508</v>
      </c>
      <c r="H2242" s="2">
        <v>45680</v>
      </c>
      <c r="I2242" s="2">
        <v>45710</v>
      </c>
      <c r="J2242" t="s">
        <v>20</v>
      </c>
      <c r="K2242" s="21">
        <v>1322</v>
      </c>
      <c r="L2242" s="21">
        <v>1322</v>
      </c>
      <c r="M2242">
        <v>0</v>
      </c>
      <c r="N2242" s="21">
        <v>1322</v>
      </c>
    </row>
    <row r="2243" spans="1:14">
      <c r="A2243" t="str">
        <f>IFERROR(_xlfn.XLOOKUP(B2243,Cuentas!$C$1:$C$521,Cuentas!$A$1:$A$521),"")</f>
        <v>Yuldor</v>
      </c>
      <c r="B2243" t="s">
        <v>2152</v>
      </c>
      <c r="C2243" t="s">
        <v>2153</v>
      </c>
      <c r="D2243" t="s">
        <v>16</v>
      </c>
      <c r="E2243" t="s">
        <v>7</v>
      </c>
      <c r="F2243" t="s">
        <v>2509</v>
      </c>
      <c r="G2243" t="s">
        <v>2509</v>
      </c>
      <c r="H2243" s="2">
        <v>45680</v>
      </c>
      <c r="I2243" s="2">
        <v>45710</v>
      </c>
      <c r="J2243" t="s">
        <v>20</v>
      </c>
      <c r="K2243" s="21">
        <v>1677.89</v>
      </c>
      <c r="L2243" s="21">
        <v>1677.89</v>
      </c>
      <c r="M2243">
        <v>0</v>
      </c>
      <c r="N2243" s="21">
        <v>1677.89</v>
      </c>
    </row>
    <row r="2244" spans="1:14">
      <c r="A2244" t="str">
        <f>IFERROR(_xlfn.XLOOKUP(B2244,Cuentas!$C$1:$C$521,Cuentas!$A$1:$A$521),"")</f>
        <v>Yuldor</v>
      </c>
      <c r="B2244" t="s">
        <v>2152</v>
      </c>
      <c r="C2244" t="s">
        <v>2153</v>
      </c>
      <c r="D2244" t="s">
        <v>16</v>
      </c>
      <c r="E2244" t="s">
        <v>7</v>
      </c>
      <c r="F2244" t="s">
        <v>2510</v>
      </c>
      <c r="G2244" t="s">
        <v>2510</v>
      </c>
      <c r="H2244" s="2">
        <v>45680</v>
      </c>
      <c r="I2244" s="2">
        <v>45710</v>
      </c>
      <c r="J2244" t="s">
        <v>20</v>
      </c>
      <c r="K2244" s="21">
        <v>273</v>
      </c>
      <c r="L2244" s="21">
        <v>273</v>
      </c>
      <c r="M2244">
        <v>0</v>
      </c>
      <c r="N2244" s="21">
        <v>273</v>
      </c>
    </row>
    <row r="2245" spans="1:14">
      <c r="A2245" t="str">
        <f>IFERROR(_xlfn.XLOOKUP(B2245,Cuentas!$C$1:$C$521,Cuentas!$A$1:$A$521),"")</f>
        <v>Yuldor</v>
      </c>
      <c r="B2245" t="s">
        <v>2152</v>
      </c>
      <c r="C2245" t="s">
        <v>2153</v>
      </c>
      <c r="D2245" t="s">
        <v>16</v>
      </c>
      <c r="E2245" t="s">
        <v>7</v>
      </c>
      <c r="F2245" t="s">
        <v>2511</v>
      </c>
      <c r="G2245" t="s">
        <v>2511</v>
      </c>
      <c r="H2245" s="2">
        <v>45680</v>
      </c>
      <c r="I2245" s="2">
        <v>45710</v>
      </c>
      <c r="J2245" t="s">
        <v>20</v>
      </c>
      <c r="K2245" s="21">
        <v>427.02</v>
      </c>
      <c r="L2245" s="21">
        <v>427.02</v>
      </c>
      <c r="M2245">
        <v>0</v>
      </c>
      <c r="N2245" s="21">
        <v>427.02</v>
      </c>
    </row>
    <row r="2246" spans="1:14">
      <c r="A2246" t="str">
        <f>IFERROR(_xlfn.XLOOKUP(B2246,Cuentas!$C$1:$C$521,Cuentas!$A$1:$A$521),"")</f>
        <v>Yuldor</v>
      </c>
      <c r="B2246" t="s">
        <v>2152</v>
      </c>
      <c r="C2246" t="s">
        <v>2153</v>
      </c>
      <c r="D2246" t="s">
        <v>16</v>
      </c>
      <c r="E2246" t="s">
        <v>7</v>
      </c>
      <c r="F2246" t="s">
        <v>2512</v>
      </c>
      <c r="G2246" t="s">
        <v>2512</v>
      </c>
      <c r="H2246" s="2">
        <v>45680</v>
      </c>
      <c r="I2246" s="2">
        <v>45710</v>
      </c>
      <c r="J2246" t="s">
        <v>20</v>
      </c>
      <c r="K2246" s="21">
        <v>428.1</v>
      </c>
      <c r="L2246" s="21">
        <v>428.1</v>
      </c>
      <c r="M2246">
        <v>0</v>
      </c>
      <c r="N2246" s="21">
        <v>428.1</v>
      </c>
    </row>
    <row r="2247" spans="1:14">
      <c r="A2247" t="str">
        <f>IFERROR(_xlfn.XLOOKUP(B2247,Cuentas!$C$1:$C$521,Cuentas!$A$1:$A$521),"")</f>
        <v>Yuldor</v>
      </c>
      <c r="B2247" t="s">
        <v>2152</v>
      </c>
      <c r="C2247" t="s">
        <v>2153</v>
      </c>
      <c r="D2247" t="s">
        <v>16</v>
      </c>
      <c r="E2247" t="s">
        <v>7</v>
      </c>
      <c r="F2247" t="s">
        <v>2513</v>
      </c>
      <c r="G2247" t="s">
        <v>2513</v>
      </c>
      <c r="H2247" s="2">
        <v>45680</v>
      </c>
      <c r="I2247" s="2">
        <v>45710</v>
      </c>
      <c r="J2247" t="s">
        <v>20</v>
      </c>
      <c r="K2247" s="21">
        <v>180</v>
      </c>
      <c r="L2247" s="21">
        <v>180</v>
      </c>
      <c r="M2247">
        <v>0</v>
      </c>
      <c r="N2247" s="21">
        <v>180</v>
      </c>
    </row>
    <row r="2248" spans="1:14">
      <c r="A2248" t="str">
        <f>IFERROR(_xlfn.XLOOKUP(B2248,Cuentas!$C$1:$C$521,Cuentas!$A$1:$A$521),"")</f>
        <v>Yuldor</v>
      </c>
      <c r="B2248" t="s">
        <v>2152</v>
      </c>
      <c r="C2248" t="s">
        <v>2153</v>
      </c>
      <c r="D2248" t="s">
        <v>16</v>
      </c>
      <c r="E2248" t="s">
        <v>7</v>
      </c>
      <c r="F2248" t="s">
        <v>2514</v>
      </c>
      <c r="G2248" t="s">
        <v>2514</v>
      </c>
      <c r="H2248" s="2">
        <v>45680</v>
      </c>
      <c r="I2248" s="2">
        <v>45710</v>
      </c>
      <c r="J2248" t="s">
        <v>20</v>
      </c>
      <c r="K2248" s="21">
        <v>963</v>
      </c>
      <c r="L2248" s="21">
        <v>963</v>
      </c>
      <c r="M2248">
        <v>0</v>
      </c>
      <c r="N2248" s="21">
        <v>963</v>
      </c>
    </row>
    <row r="2249" spans="1:14">
      <c r="A2249" t="str">
        <f>IFERROR(_xlfn.XLOOKUP(B2249,Cuentas!$C$1:$C$521,Cuentas!$A$1:$A$521),"")</f>
        <v>Yuldor</v>
      </c>
      <c r="B2249" t="s">
        <v>2152</v>
      </c>
      <c r="C2249" t="s">
        <v>2153</v>
      </c>
      <c r="D2249" t="s">
        <v>16</v>
      </c>
      <c r="E2249" t="s">
        <v>7</v>
      </c>
      <c r="F2249" t="s">
        <v>2515</v>
      </c>
      <c r="G2249" t="s">
        <v>2515</v>
      </c>
      <c r="H2249" s="2">
        <v>45680</v>
      </c>
      <c r="I2249" s="2">
        <v>45710</v>
      </c>
      <c r="J2249" t="s">
        <v>20</v>
      </c>
      <c r="K2249" s="21">
        <v>818.53</v>
      </c>
      <c r="L2249" s="21">
        <v>818.53</v>
      </c>
      <c r="M2249">
        <v>0</v>
      </c>
      <c r="N2249" s="21">
        <v>818.53</v>
      </c>
    </row>
    <row r="2250" spans="1:14">
      <c r="A2250" t="str">
        <f>IFERROR(_xlfn.XLOOKUP(B2250,Cuentas!$C$1:$C$521,Cuentas!$A$1:$A$521),"")</f>
        <v>Yuldor</v>
      </c>
      <c r="B2250" t="s">
        <v>2152</v>
      </c>
      <c r="C2250" t="s">
        <v>2153</v>
      </c>
      <c r="D2250" t="s">
        <v>16</v>
      </c>
      <c r="E2250" t="s">
        <v>7</v>
      </c>
      <c r="F2250" t="s">
        <v>2516</v>
      </c>
      <c r="G2250" t="s">
        <v>2516</v>
      </c>
      <c r="H2250" s="2">
        <v>45680</v>
      </c>
      <c r="I2250" s="2">
        <v>45710</v>
      </c>
      <c r="J2250" t="s">
        <v>20</v>
      </c>
      <c r="K2250" s="21">
        <v>234</v>
      </c>
      <c r="L2250" s="21">
        <v>234</v>
      </c>
      <c r="M2250">
        <v>0</v>
      </c>
      <c r="N2250" s="21">
        <v>234</v>
      </c>
    </row>
    <row r="2251" spans="1:14">
      <c r="A2251" t="str">
        <f>IFERROR(_xlfn.XLOOKUP(B2251,Cuentas!$C$1:$C$521,Cuentas!$A$1:$A$521),"")</f>
        <v>Yuldor</v>
      </c>
      <c r="B2251" t="s">
        <v>2152</v>
      </c>
      <c r="C2251" t="s">
        <v>2153</v>
      </c>
      <c r="D2251" t="s">
        <v>16</v>
      </c>
      <c r="E2251" t="s">
        <v>7</v>
      </c>
      <c r="F2251" t="s">
        <v>2517</v>
      </c>
      <c r="G2251" t="s">
        <v>2517</v>
      </c>
      <c r="H2251" s="2">
        <v>45680</v>
      </c>
      <c r="I2251" s="2">
        <v>45710</v>
      </c>
      <c r="J2251" t="s">
        <v>20</v>
      </c>
      <c r="K2251" s="21">
        <v>877</v>
      </c>
      <c r="L2251" s="21">
        <v>877</v>
      </c>
      <c r="M2251">
        <v>0</v>
      </c>
      <c r="N2251" s="21">
        <v>877</v>
      </c>
    </row>
    <row r="2252" spans="1:14">
      <c r="A2252" t="str">
        <f>IFERROR(_xlfn.XLOOKUP(B2252,Cuentas!$C$1:$C$521,Cuentas!$A$1:$A$521),"")</f>
        <v>Yuldor</v>
      </c>
      <c r="B2252" t="s">
        <v>2152</v>
      </c>
      <c r="C2252" t="s">
        <v>2153</v>
      </c>
      <c r="D2252" t="s">
        <v>16</v>
      </c>
      <c r="E2252" t="s">
        <v>7</v>
      </c>
      <c r="F2252" t="s">
        <v>2518</v>
      </c>
      <c r="G2252" t="s">
        <v>2518</v>
      </c>
      <c r="H2252" s="2">
        <v>45680</v>
      </c>
      <c r="I2252" s="2">
        <v>45710</v>
      </c>
      <c r="J2252" t="s">
        <v>20</v>
      </c>
      <c r="K2252" s="21">
        <v>167</v>
      </c>
      <c r="L2252" s="21">
        <v>167</v>
      </c>
      <c r="M2252">
        <v>0</v>
      </c>
      <c r="N2252" s="21">
        <v>167</v>
      </c>
    </row>
    <row r="2253" spans="1:14">
      <c r="A2253" t="str">
        <f>IFERROR(_xlfn.XLOOKUP(B2253,Cuentas!$C$1:$C$521,Cuentas!$A$1:$A$521),"")</f>
        <v>Yuldor</v>
      </c>
      <c r="B2253" t="s">
        <v>2152</v>
      </c>
      <c r="C2253" t="s">
        <v>2153</v>
      </c>
      <c r="D2253" t="s">
        <v>16</v>
      </c>
      <c r="E2253" t="s">
        <v>7</v>
      </c>
      <c r="F2253" t="s">
        <v>2519</v>
      </c>
      <c r="G2253" t="s">
        <v>2519</v>
      </c>
      <c r="H2253" s="2">
        <v>45680</v>
      </c>
      <c r="I2253" s="2">
        <v>45710</v>
      </c>
      <c r="J2253" t="s">
        <v>20</v>
      </c>
      <c r="K2253" s="21">
        <v>535</v>
      </c>
      <c r="L2253" s="21">
        <v>535</v>
      </c>
      <c r="M2253">
        <v>0</v>
      </c>
      <c r="N2253" s="21">
        <v>535</v>
      </c>
    </row>
    <row r="2254" spans="1:14">
      <c r="A2254" t="str">
        <f>IFERROR(_xlfn.XLOOKUP(B2254,Cuentas!$C$1:$C$521,Cuentas!$A$1:$A$521),"")</f>
        <v>Yuldor</v>
      </c>
      <c r="B2254" t="s">
        <v>2152</v>
      </c>
      <c r="C2254" t="s">
        <v>2153</v>
      </c>
      <c r="D2254" t="s">
        <v>16</v>
      </c>
      <c r="E2254" t="s">
        <v>7</v>
      </c>
      <c r="F2254" t="s">
        <v>2520</v>
      </c>
      <c r="G2254" t="s">
        <v>2520</v>
      </c>
      <c r="H2254" s="2">
        <v>45680</v>
      </c>
      <c r="I2254" s="2">
        <v>45710</v>
      </c>
      <c r="J2254" t="s">
        <v>20</v>
      </c>
      <c r="K2254" s="21">
        <v>404.6</v>
      </c>
      <c r="L2254" s="21">
        <v>404.6</v>
      </c>
      <c r="M2254">
        <v>0</v>
      </c>
      <c r="N2254" s="21">
        <v>404.6</v>
      </c>
    </row>
    <row r="2255" spans="1:14">
      <c r="A2255" t="str">
        <f>IFERROR(_xlfn.XLOOKUP(B2255,Cuentas!$C$1:$C$521,Cuentas!$A$1:$A$521),"")</f>
        <v>Yuldor</v>
      </c>
      <c r="B2255" t="s">
        <v>2152</v>
      </c>
      <c r="C2255" t="s">
        <v>2153</v>
      </c>
      <c r="D2255" t="s">
        <v>16</v>
      </c>
      <c r="E2255" t="s">
        <v>7</v>
      </c>
      <c r="F2255" t="s">
        <v>2521</v>
      </c>
      <c r="G2255" t="s">
        <v>2521</v>
      </c>
      <c r="H2255" s="2">
        <v>45680</v>
      </c>
      <c r="I2255" s="2">
        <v>45710</v>
      </c>
      <c r="J2255" t="s">
        <v>20</v>
      </c>
      <c r="K2255" s="21">
        <v>375.8</v>
      </c>
      <c r="L2255" s="21">
        <v>375.8</v>
      </c>
      <c r="M2255">
        <v>0</v>
      </c>
      <c r="N2255" s="21">
        <v>375.8</v>
      </c>
    </row>
    <row r="2256" spans="1:14">
      <c r="A2256" t="str">
        <f>IFERROR(_xlfn.XLOOKUP(B2256,Cuentas!$C$1:$C$521,Cuentas!$A$1:$A$521),"")</f>
        <v>Yuldor</v>
      </c>
      <c r="B2256" t="s">
        <v>2152</v>
      </c>
      <c r="C2256" t="s">
        <v>2153</v>
      </c>
      <c r="D2256" t="s">
        <v>16</v>
      </c>
      <c r="E2256" t="s">
        <v>7</v>
      </c>
      <c r="F2256" t="s">
        <v>2522</v>
      </c>
      <c r="G2256" t="s">
        <v>2522</v>
      </c>
      <c r="H2256" s="2">
        <v>45680</v>
      </c>
      <c r="I2256" s="2">
        <v>45710</v>
      </c>
      <c r="J2256" t="s">
        <v>20</v>
      </c>
      <c r="K2256" s="21">
        <v>464.9</v>
      </c>
      <c r="L2256" s="21">
        <v>464.9</v>
      </c>
      <c r="M2256">
        <v>0</v>
      </c>
      <c r="N2256" s="21">
        <v>464.9</v>
      </c>
    </row>
    <row r="2257" spans="1:14">
      <c r="A2257" t="str">
        <f>IFERROR(_xlfn.XLOOKUP(B2257,Cuentas!$C$1:$C$521,Cuentas!$A$1:$A$521),"")</f>
        <v>Yuldor</v>
      </c>
      <c r="B2257" t="s">
        <v>2152</v>
      </c>
      <c r="C2257" t="s">
        <v>2153</v>
      </c>
      <c r="D2257" t="s">
        <v>16</v>
      </c>
      <c r="E2257" t="s">
        <v>7</v>
      </c>
      <c r="F2257" t="s">
        <v>2523</v>
      </c>
      <c r="G2257" t="s">
        <v>2523</v>
      </c>
      <c r="H2257" s="2">
        <v>45680</v>
      </c>
      <c r="I2257" s="2">
        <v>45710</v>
      </c>
      <c r="J2257" t="s">
        <v>20</v>
      </c>
      <c r="K2257" s="21">
        <v>1017.5</v>
      </c>
      <c r="L2257" s="21">
        <v>1017.5</v>
      </c>
      <c r="M2257">
        <v>0</v>
      </c>
      <c r="N2257" s="21">
        <v>1017.5</v>
      </c>
    </row>
    <row r="2258" spans="1:14">
      <c r="A2258" t="str">
        <f>IFERROR(_xlfn.XLOOKUP(B2258,Cuentas!$C$1:$C$521,Cuentas!$A$1:$A$521),"")</f>
        <v>Yuldor</v>
      </c>
      <c r="B2258" t="s">
        <v>2152</v>
      </c>
      <c r="C2258" t="s">
        <v>2153</v>
      </c>
      <c r="D2258" t="s">
        <v>16</v>
      </c>
      <c r="E2258" t="s">
        <v>7</v>
      </c>
      <c r="F2258" t="s">
        <v>2524</v>
      </c>
      <c r="G2258" t="s">
        <v>2524</v>
      </c>
      <c r="H2258" s="2">
        <v>45680</v>
      </c>
      <c r="I2258" s="2">
        <v>45710</v>
      </c>
      <c r="J2258" t="s">
        <v>20</v>
      </c>
      <c r="K2258" s="21">
        <v>561.42999999999995</v>
      </c>
      <c r="L2258" s="21">
        <v>561.42999999999995</v>
      </c>
      <c r="M2258">
        <v>0</v>
      </c>
      <c r="N2258" s="21">
        <v>561.42999999999995</v>
      </c>
    </row>
    <row r="2259" spans="1:14">
      <c r="A2259" t="str">
        <f>IFERROR(_xlfn.XLOOKUP(B2259,Cuentas!$C$1:$C$521,Cuentas!$A$1:$A$521),"")</f>
        <v>Yuldor</v>
      </c>
      <c r="B2259" t="s">
        <v>2152</v>
      </c>
      <c r="C2259" t="s">
        <v>2153</v>
      </c>
      <c r="D2259" t="s">
        <v>16</v>
      </c>
      <c r="E2259" t="s">
        <v>7</v>
      </c>
      <c r="F2259" t="s">
        <v>2525</v>
      </c>
      <c r="G2259" t="s">
        <v>2525</v>
      </c>
      <c r="H2259" s="2">
        <v>45680</v>
      </c>
      <c r="I2259" s="2">
        <v>45710</v>
      </c>
      <c r="J2259" t="s">
        <v>20</v>
      </c>
      <c r="K2259" s="21">
        <v>273.10000000000002</v>
      </c>
      <c r="L2259" s="21">
        <v>273.10000000000002</v>
      </c>
      <c r="M2259">
        <v>0</v>
      </c>
      <c r="N2259" s="21">
        <v>273.10000000000002</v>
      </c>
    </row>
    <row r="2260" spans="1:14">
      <c r="A2260" t="str">
        <f>IFERROR(_xlfn.XLOOKUP(B2260,Cuentas!$C$1:$C$521,Cuentas!$A$1:$A$521),"")</f>
        <v>Yuldor</v>
      </c>
      <c r="B2260" t="s">
        <v>2152</v>
      </c>
      <c r="C2260" t="s">
        <v>2153</v>
      </c>
      <c r="D2260" t="s">
        <v>16</v>
      </c>
      <c r="E2260" t="s">
        <v>7</v>
      </c>
      <c r="F2260" t="s">
        <v>2526</v>
      </c>
      <c r="G2260" t="s">
        <v>2526</v>
      </c>
      <c r="H2260" s="2">
        <v>45680</v>
      </c>
      <c r="I2260" s="2">
        <v>45710</v>
      </c>
      <c r="J2260" t="s">
        <v>20</v>
      </c>
      <c r="K2260" s="21">
        <v>161.12</v>
      </c>
      <c r="L2260" s="21">
        <v>161.12</v>
      </c>
      <c r="M2260">
        <v>0</v>
      </c>
      <c r="N2260" s="21">
        <v>161.12</v>
      </c>
    </row>
    <row r="2261" spans="1:14">
      <c r="A2261" t="str">
        <f>IFERROR(_xlfn.XLOOKUP(B2261,Cuentas!$C$1:$C$521,Cuentas!$A$1:$A$521),"")</f>
        <v>Yuldor</v>
      </c>
      <c r="B2261" t="s">
        <v>2152</v>
      </c>
      <c r="C2261" t="s">
        <v>2153</v>
      </c>
      <c r="D2261" t="s">
        <v>16</v>
      </c>
      <c r="E2261" t="s">
        <v>7</v>
      </c>
      <c r="F2261" t="s">
        <v>2527</v>
      </c>
      <c r="G2261" t="s">
        <v>2527</v>
      </c>
      <c r="H2261" s="2">
        <v>45680</v>
      </c>
      <c r="I2261" s="2">
        <v>45710</v>
      </c>
      <c r="J2261" t="s">
        <v>20</v>
      </c>
      <c r="K2261" s="21">
        <v>159.5</v>
      </c>
      <c r="L2261" s="21">
        <v>159.5</v>
      </c>
      <c r="M2261">
        <v>0</v>
      </c>
      <c r="N2261" s="21">
        <v>159.5</v>
      </c>
    </row>
    <row r="2262" spans="1:14">
      <c r="A2262" t="str">
        <f>IFERROR(_xlfn.XLOOKUP(B2262,Cuentas!$C$1:$C$521,Cuentas!$A$1:$A$521),"")</f>
        <v>Yuldor</v>
      </c>
      <c r="B2262" t="s">
        <v>2152</v>
      </c>
      <c r="C2262" t="s">
        <v>2153</v>
      </c>
      <c r="D2262" t="s">
        <v>16</v>
      </c>
      <c r="E2262" t="s">
        <v>7</v>
      </c>
      <c r="F2262" t="s">
        <v>2528</v>
      </c>
      <c r="G2262" t="s">
        <v>2528</v>
      </c>
      <c r="H2262" s="2">
        <v>45680</v>
      </c>
      <c r="I2262" s="2">
        <v>45710</v>
      </c>
      <c r="J2262" t="s">
        <v>20</v>
      </c>
      <c r="K2262" s="21">
        <v>52.3</v>
      </c>
      <c r="L2262" s="21">
        <v>52.3</v>
      </c>
      <c r="M2262">
        <v>0</v>
      </c>
      <c r="N2262" s="21">
        <v>52.3</v>
      </c>
    </row>
    <row r="2263" spans="1:14">
      <c r="A2263" t="str">
        <f>IFERROR(_xlfn.XLOOKUP(B2263,Cuentas!$C$1:$C$521,Cuentas!$A$1:$A$521),"")</f>
        <v>Yuldor</v>
      </c>
      <c r="B2263" t="s">
        <v>2152</v>
      </c>
      <c r="C2263" t="s">
        <v>2153</v>
      </c>
      <c r="D2263" t="s">
        <v>16</v>
      </c>
      <c r="E2263" t="s">
        <v>7</v>
      </c>
      <c r="F2263" t="s">
        <v>2529</v>
      </c>
      <c r="G2263" t="s">
        <v>2529</v>
      </c>
      <c r="H2263" s="2">
        <v>45680</v>
      </c>
      <c r="I2263" s="2">
        <v>45710</v>
      </c>
      <c r="J2263" t="s">
        <v>20</v>
      </c>
      <c r="K2263" s="21">
        <v>154.5</v>
      </c>
      <c r="L2263" s="21">
        <v>154.5</v>
      </c>
      <c r="M2263">
        <v>0</v>
      </c>
      <c r="N2263" s="21">
        <v>154.5</v>
      </c>
    </row>
    <row r="2264" spans="1:14">
      <c r="A2264" t="str">
        <f>IFERROR(_xlfn.XLOOKUP(B2264,Cuentas!$C$1:$C$521,Cuentas!$A$1:$A$521),"")</f>
        <v>Yuldor</v>
      </c>
      <c r="B2264" t="s">
        <v>2152</v>
      </c>
      <c r="C2264" t="s">
        <v>2153</v>
      </c>
      <c r="D2264" t="s">
        <v>16</v>
      </c>
      <c r="E2264" t="s">
        <v>7</v>
      </c>
      <c r="F2264" t="s">
        <v>2530</v>
      </c>
      <c r="G2264" t="s">
        <v>2530</v>
      </c>
      <c r="H2264" s="2">
        <v>45680</v>
      </c>
      <c r="I2264" s="2">
        <v>45710</v>
      </c>
      <c r="J2264" t="s">
        <v>20</v>
      </c>
      <c r="K2264" s="21">
        <v>100.4</v>
      </c>
      <c r="L2264" s="21">
        <v>100.4</v>
      </c>
      <c r="M2264">
        <v>0</v>
      </c>
      <c r="N2264" s="21">
        <v>100.4</v>
      </c>
    </row>
    <row r="2265" spans="1:14">
      <c r="A2265" t="str">
        <f>IFERROR(_xlfn.XLOOKUP(B2265,Cuentas!$C$1:$C$521,Cuentas!$A$1:$A$521),"")</f>
        <v>Yuldor</v>
      </c>
      <c r="B2265" t="s">
        <v>2152</v>
      </c>
      <c r="C2265" t="s">
        <v>2153</v>
      </c>
      <c r="D2265" t="s">
        <v>16</v>
      </c>
      <c r="E2265" t="s">
        <v>7</v>
      </c>
      <c r="F2265" t="s">
        <v>2531</v>
      </c>
      <c r="G2265" t="s">
        <v>2531</v>
      </c>
      <c r="H2265" s="2">
        <v>45680</v>
      </c>
      <c r="I2265" s="2">
        <v>45710</v>
      </c>
      <c r="J2265" t="s">
        <v>20</v>
      </c>
      <c r="K2265" s="21">
        <v>412.6</v>
      </c>
      <c r="L2265" s="21">
        <v>412.6</v>
      </c>
      <c r="M2265">
        <v>0</v>
      </c>
      <c r="N2265" s="21">
        <v>412.6</v>
      </c>
    </row>
    <row r="2266" spans="1:14">
      <c r="A2266" t="str">
        <f>IFERROR(_xlfn.XLOOKUP(B2266,Cuentas!$C$1:$C$521,Cuentas!$A$1:$A$521),"")</f>
        <v>Yuldor</v>
      </c>
      <c r="B2266" t="s">
        <v>2152</v>
      </c>
      <c r="C2266" t="s">
        <v>2153</v>
      </c>
      <c r="D2266" t="s">
        <v>16</v>
      </c>
      <c r="E2266" t="s">
        <v>7</v>
      </c>
      <c r="F2266" t="s">
        <v>2532</v>
      </c>
      <c r="G2266" t="s">
        <v>2532</v>
      </c>
      <c r="H2266" s="2">
        <v>45680</v>
      </c>
      <c r="I2266" s="2">
        <v>45710</v>
      </c>
      <c r="J2266" t="s">
        <v>20</v>
      </c>
      <c r="K2266" s="21">
        <v>480.26</v>
      </c>
      <c r="L2266" s="21">
        <v>480.26</v>
      </c>
      <c r="M2266">
        <v>0</v>
      </c>
      <c r="N2266" s="21">
        <v>480.26</v>
      </c>
    </row>
    <row r="2267" spans="1:14">
      <c r="A2267" t="str">
        <f>IFERROR(_xlfn.XLOOKUP(B2267,Cuentas!$C$1:$C$521,Cuentas!$A$1:$A$521),"")</f>
        <v>Yuldor</v>
      </c>
      <c r="B2267" t="s">
        <v>2152</v>
      </c>
      <c r="C2267" t="s">
        <v>2153</v>
      </c>
      <c r="D2267" t="s">
        <v>16</v>
      </c>
      <c r="E2267" t="s">
        <v>7</v>
      </c>
      <c r="F2267" t="s">
        <v>2533</v>
      </c>
      <c r="G2267" t="s">
        <v>2533</v>
      </c>
      <c r="H2267" s="2">
        <v>45680</v>
      </c>
      <c r="I2267" s="2">
        <v>45710</v>
      </c>
      <c r="J2267" t="s">
        <v>20</v>
      </c>
      <c r="K2267" s="21">
        <v>96.2</v>
      </c>
      <c r="L2267" s="21">
        <v>96.2</v>
      </c>
      <c r="M2267">
        <v>0</v>
      </c>
      <c r="N2267" s="21">
        <v>96.2</v>
      </c>
    </row>
    <row r="2268" spans="1:14">
      <c r="A2268" t="str">
        <f>IFERROR(_xlfn.XLOOKUP(B2268,Cuentas!$C$1:$C$521,Cuentas!$A$1:$A$521),"")</f>
        <v>Yuldor</v>
      </c>
      <c r="B2268" t="s">
        <v>2152</v>
      </c>
      <c r="C2268" t="s">
        <v>2153</v>
      </c>
      <c r="D2268" t="s">
        <v>16</v>
      </c>
      <c r="E2268" t="s">
        <v>7</v>
      </c>
      <c r="F2268" t="s">
        <v>2534</v>
      </c>
      <c r="G2268" t="s">
        <v>2534</v>
      </c>
      <c r="H2268" s="2">
        <v>45680</v>
      </c>
      <c r="I2268" s="2">
        <v>45710</v>
      </c>
      <c r="J2268" t="s">
        <v>20</v>
      </c>
      <c r="K2268" s="21">
        <v>104.6</v>
      </c>
      <c r="L2268" s="21">
        <v>104.6</v>
      </c>
      <c r="M2268">
        <v>0</v>
      </c>
      <c r="N2268" s="21">
        <v>104.6</v>
      </c>
    </row>
    <row r="2269" spans="1:14">
      <c r="A2269" t="str">
        <f>IFERROR(_xlfn.XLOOKUP(B2269,Cuentas!$C$1:$C$521,Cuentas!$A$1:$A$521),"")</f>
        <v>Yuldor</v>
      </c>
      <c r="B2269" t="s">
        <v>2152</v>
      </c>
      <c r="C2269" t="s">
        <v>2153</v>
      </c>
      <c r="D2269" t="s">
        <v>16</v>
      </c>
      <c r="E2269" t="s">
        <v>7</v>
      </c>
      <c r="F2269" t="s">
        <v>2535</v>
      </c>
      <c r="G2269" t="s">
        <v>2535</v>
      </c>
      <c r="H2269" s="2">
        <v>45680</v>
      </c>
      <c r="I2269" s="2">
        <v>45710</v>
      </c>
      <c r="J2269" t="s">
        <v>20</v>
      </c>
      <c r="K2269" s="21">
        <v>569.52</v>
      </c>
      <c r="L2269" s="21">
        <v>569.52</v>
      </c>
      <c r="M2269">
        <v>0</v>
      </c>
      <c r="N2269" s="21">
        <v>569.52</v>
      </c>
    </row>
    <row r="2270" spans="1:14">
      <c r="A2270" t="str">
        <f>IFERROR(_xlfn.XLOOKUP(B2270,Cuentas!$C$1:$C$521,Cuentas!$A$1:$A$521),"")</f>
        <v>Yuldor</v>
      </c>
      <c r="B2270" t="s">
        <v>2152</v>
      </c>
      <c r="C2270" t="s">
        <v>2153</v>
      </c>
      <c r="D2270" t="s">
        <v>16</v>
      </c>
      <c r="E2270" t="s">
        <v>7</v>
      </c>
      <c r="F2270" t="s">
        <v>2536</v>
      </c>
      <c r="G2270" t="s">
        <v>2536</v>
      </c>
      <c r="H2270" s="2">
        <v>45680</v>
      </c>
      <c r="I2270" s="2">
        <v>45710</v>
      </c>
      <c r="J2270" t="s">
        <v>20</v>
      </c>
      <c r="K2270" s="21">
        <v>592.1</v>
      </c>
      <c r="L2270" s="21">
        <v>592.1</v>
      </c>
      <c r="M2270">
        <v>0</v>
      </c>
      <c r="N2270" s="21">
        <v>592.1</v>
      </c>
    </row>
    <row r="2271" spans="1:14">
      <c r="A2271" t="str">
        <f>IFERROR(_xlfn.XLOOKUP(B2271,Cuentas!$C$1:$C$521,Cuentas!$A$1:$A$521),"")</f>
        <v>Yuldor</v>
      </c>
      <c r="B2271" t="s">
        <v>2152</v>
      </c>
      <c r="C2271" t="s">
        <v>2153</v>
      </c>
      <c r="D2271" t="s">
        <v>16</v>
      </c>
      <c r="E2271" t="s">
        <v>7</v>
      </c>
      <c r="F2271" t="s">
        <v>2537</v>
      </c>
      <c r="G2271" t="s">
        <v>2537</v>
      </c>
      <c r="H2271" s="2">
        <v>45681</v>
      </c>
      <c r="I2271" s="2">
        <v>45711</v>
      </c>
      <c r="J2271" t="s">
        <v>20</v>
      </c>
      <c r="K2271" s="21">
        <v>226.2</v>
      </c>
      <c r="L2271" s="21">
        <v>226.2</v>
      </c>
      <c r="M2271">
        <v>0</v>
      </c>
      <c r="N2271" s="21">
        <v>226.2</v>
      </c>
    </row>
    <row r="2272" spans="1:14">
      <c r="A2272" t="str">
        <f>IFERROR(_xlfn.XLOOKUP(B2272,Cuentas!$C$1:$C$521,Cuentas!$A$1:$A$521),"")</f>
        <v>Yuldor</v>
      </c>
      <c r="B2272" t="s">
        <v>2152</v>
      </c>
      <c r="C2272" t="s">
        <v>2153</v>
      </c>
      <c r="D2272" t="s">
        <v>16</v>
      </c>
      <c r="E2272" t="s">
        <v>7</v>
      </c>
      <c r="F2272" t="s">
        <v>2538</v>
      </c>
      <c r="G2272" t="s">
        <v>2538</v>
      </c>
      <c r="H2272" s="2">
        <v>45681</v>
      </c>
      <c r="I2272" s="2">
        <v>45711</v>
      </c>
      <c r="J2272" t="s">
        <v>20</v>
      </c>
      <c r="K2272" s="21">
        <v>203.8</v>
      </c>
      <c r="L2272" s="21">
        <v>203.8</v>
      </c>
      <c r="M2272">
        <v>0</v>
      </c>
      <c r="N2272" s="21">
        <v>203.8</v>
      </c>
    </row>
    <row r="2273" spans="1:14">
      <c r="A2273" t="str">
        <f>IFERROR(_xlfn.XLOOKUP(B2273,Cuentas!$C$1:$C$521,Cuentas!$A$1:$A$521),"")</f>
        <v>Yuldor</v>
      </c>
      <c r="B2273" t="s">
        <v>2152</v>
      </c>
      <c r="C2273" t="s">
        <v>2153</v>
      </c>
      <c r="D2273" t="s">
        <v>16</v>
      </c>
      <c r="E2273" t="s">
        <v>7</v>
      </c>
      <c r="F2273" t="s">
        <v>2539</v>
      </c>
      <c r="G2273" t="s">
        <v>2539</v>
      </c>
      <c r="H2273" s="2">
        <v>45681</v>
      </c>
      <c r="I2273" s="2">
        <v>45711</v>
      </c>
      <c r="J2273" t="s">
        <v>20</v>
      </c>
      <c r="K2273" s="21">
        <v>309</v>
      </c>
      <c r="L2273" s="21">
        <v>309</v>
      </c>
      <c r="M2273">
        <v>0</v>
      </c>
      <c r="N2273" s="21">
        <v>309</v>
      </c>
    </row>
    <row r="2274" spans="1:14">
      <c r="A2274" t="str">
        <f>IFERROR(_xlfn.XLOOKUP(B2274,Cuentas!$C$1:$C$521,Cuentas!$A$1:$A$521),"")</f>
        <v>Yuldor</v>
      </c>
      <c r="B2274" t="s">
        <v>2152</v>
      </c>
      <c r="C2274" t="s">
        <v>2153</v>
      </c>
      <c r="D2274" t="s">
        <v>16</v>
      </c>
      <c r="E2274" t="s">
        <v>7</v>
      </c>
      <c r="F2274" t="s">
        <v>2540</v>
      </c>
      <c r="G2274" t="s">
        <v>2540</v>
      </c>
      <c r="H2274" s="2">
        <v>45681</v>
      </c>
      <c r="I2274" s="2">
        <v>45711</v>
      </c>
      <c r="J2274" t="s">
        <v>20</v>
      </c>
      <c r="K2274" s="21">
        <v>156.9</v>
      </c>
      <c r="L2274" s="21">
        <v>156.9</v>
      </c>
      <c r="M2274">
        <v>0</v>
      </c>
      <c r="N2274" s="21">
        <v>156.9</v>
      </c>
    </row>
    <row r="2275" spans="1:14">
      <c r="A2275" t="str">
        <f>IFERROR(_xlfn.XLOOKUP(B2275,Cuentas!$C$1:$C$521,Cuentas!$A$1:$A$521),"")</f>
        <v>Yuldor</v>
      </c>
      <c r="B2275" t="s">
        <v>2152</v>
      </c>
      <c r="C2275" t="s">
        <v>2153</v>
      </c>
      <c r="D2275" t="s">
        <v>16</v>
      </c>
      <c r="E2275" t="s">
        <v>7</v>
      </c>
      <c r="F2275" t="s">
        <v>2541</v>
      </c>
      <c r="G2275" t="s">
        <v>2541</v>
      </c>
      <c r="H2275" s="2">
        <v>45681</v>
      </c>
      <c r="I2275" s="2">
        <v>45711</v>
      </c>
      <c r="J2275" t="s">
        <v>20</v>
      </c>
      <c r="K2275" s="21">
        <v>206.8</v>
      </c>
      <c r="L2275" s="21">
        <v>206.8</v>
      </c>
      <c r="M2275">
        <v>0</v>
      </c>
      <c r="N2275" s="21">
        <v>206.8</v>
      </c>
    </row>
    <row r="2276" spans="1:14">
      <c r="A2276" t="str">
        <f>IFERROR(_xlfn.XLOOKUP(B2276,Cuentas!$C$1:$C$521,Cuentas!$A$1:$A$521),"")</f>
        <v>Yuldor</v>
      </c>
      <c r="B2276" t="s">
        <v>2152</v>
      </c>
      <c r="C2276" t="s">
        <v>2153</v>
      </c>
      <c r="D2276" t="s">
        <v>16</v>
      </c>
      <c r="E2276" t="s">
        <v>7</v>
      </c>
      <c r="F2276" t="s">
        <v>2542</v>
      </c>
      <c r="G2276" t="s">
        <v>2542</v>
      </c>
      <c r="H2276" s="2">
        <v>45681</v>
      </c>
      <c r="I2276" s="2">
        <v>45711</v>
      </c>
      <c r="J2276" t="s">
        <v>20</v>
      </c>
      <c r="K2276" s="21">
        <v>206.8</v>
      </c>
      <c r="L2276" s="21">
        <v>206.8</v>
      </c>
      <c r="M2276">
        <v>0</v>
      </c>
      <c r="N2276" s="21">
        <v>206.8</v>
      </c>
    </row>
    <row r="2277" spans="1:14">
      <c r="A2277" t="str">
        <f>IFERROR(_xlfn.XLOOKUP(B2277,Cuentas!$C$1:$C$521,Cuentas!$A$1:$A$521),"")</f>
        <v>Yuldor</v>
      </c>
      <c r="B2277" t="s">
        <v>2152</v>
      </c>
      <c r="C2277" t="s">
        <v>2153</v>
      </c>
      <c r="D2277" t="s">
        <v>16</v>
      </c>
      <c r="E2277" t="s">
        <v>7</v>
      </c>
      <c r="F2277" t="s">
        <v>2543</v>
      </c>
      <c r="G2277" t="s">
        <v>2543</v>
      </c>
      <c r="H2277" s="2">
        <v>45681</v>
      </c>
      <c r="I2277" s="2">
        <v>45711</v>
      </c>
      <c r="J2277" t="s">
        <v>20</v>
      </c>
      <c r="K2277" s="21">
        <v>273.60000000000002</v>
      </c>
      <c r="L2277" s="21">
        <v>273.60000000000002</v>
      </c>
      <c r="M2277">
        <v>0</v>
      </c>
      <c r="N2277" s="21">
        <v>273.60000000000002</v>
      </c>
    </row>
    <row r="2278" spans="1:14">
      <c r="A2278" t="str">
        <f>IFERROR(_xlfn.XLOOKUP(B2278,Cuentas!$C$1:$C$521,Cuentas!$A$1:$A$521),"")</f>
        <v>Yuldor</v>
      </c>
      <c r="B2278" t="s">
        <v>2152</v>
      </c>
      <c r="C2278" t="s">
        <v>2153</v>
      </c>
      <c r="D2278" t="s">
        <v>16</v>
      </c>
      <c r="E2278" t="s">
        <v>7</v>
      </c>
      <c r="F2278" t="s">
        <v>2544</v>
      </c>
      <c r="G2278" t="s">
        <v>2544</v>
      </c>
      <c r="H2278" s="2">
        <v>45681</v>
      </c>
      <c r="I2278" s="2">
        <v>45711</v>
      </c>
      <c r="J2278" t="s">
        <v>20</v>
      </c>
      <c r="K2278" s="21">
        <v>206.8</v>
      </c>
      <c r="L2278" s="21">
        <v>206.8</v>
      </c>
      <c r="M2278">
        <v>0</v>
      </c>
      <c r="N2278" s="21">
        <v>206.8</v>
      </c>
    </row>
    <row r="2279" spans="1:14">
      <c r="A2279" t="str">
        <f>IFERROR(_xlfn.XLOOKUP(B2279,Cuentas!$C$1:$C$521,Cuentas!$A$1:$A$521),"")</f>
        <v>Yuldor</v>
      </c>
      <c r="B2279" t="s">
        <v>2152</v>
      </c>
      <c r="C2279" t="s">
        <v>2153</v>
      </c>
      <c r="D2279" t="s">
        <v>16</v>
      </c>
      <c r="E2279" t="s">
        <v>7</v>
      </c>
      <c r="F2279" t="s">
        <v>2545</v>
      </c>
      <c r="G2279" t="s">
        <v>2545</v>
      </c>
      <c r="H2279" s="2">
        <v>45681</v>
      </c>
      <c r="I2279" s="2">
        <v>45711</v>
      </c>
      <c r="J2279" t="s">
        <v>20</v>
      </c>
      <c r="K2279" s="21">
        <v>875.26</v>
      </c>
      <c r="L2279" s="21">
        <v>875.26</v>
      </c>
      <c r="M2279">
        <v>0</v>
      </c>
      <c r="N2279" s="21">
        <v>875.26</v>
      </c>
    </row>
    <row r="2280" spans="1:14">
      <c r="A2280" t="str">
        <f>IFERROR(_xlfn.XLOOKUP(B2280,Cuentas!$C$1:$C$521,Cuentas!$A$1:$A$521),"")</f>
        <v>Yuldor</v>
      </c>
      <c r="B2280" t="s">
        <v>2152</v>
      </c>
      <c r="C2280" t="s">
        <v>2153</v>
      </c>
      <c r="D2280" t="s">
        <v>16</v>
      </c>
      <c r="E2280" t="s">
        <v>7</v>
      </c>
      <c r="F2280" t="s">
        <v>2546</v>
      </c>
      <c r="G2280" t="s">
        <v>2546</v>
      </c>
      <c r="H2280" s="2">
        <v>45684</v>
      </c>
      <c r="I2280" s="2">
        <v>45714</v>
      </c>
      <c r="J2280" t="s">
        <v>20</v>
      </c>
      <c r="K2280" s="21">
        <v>309.8</v>
      </c>
      <c r="L2280" s="21">
        <v>309.8</v>
      </c>
      <c r="M2280">
        <v>0</v>
      </c>
      <c r="N2280" s="21">
        <v>309.8</v>
      </c>
    </row>
    <row r="2281" spans="1:14">
      <c r="A2281" t="str">
        <f>IFERROR(_xlfn.XLOOKUP(B2281,Cuentas!$C$1:$C$521,Cuentas!$A$1:$A$521),"")</f>
        <v>Yuldor</v>
      </c>
      <c r="B2281" t="s">
        <v>2152</v>
      </c>
      <c r="C2281" t="s">
        <v>2153</v>
      </c>
      <c r="D2281" t="s">
        <v>16</v>
      </c>
      <c r="E2281" t="s">
        <v>7</v>
      </c>
      <c r="F2281" t="s">
        <v>2547</v>
      </c>
      <c r="G2281" t="s">
        <v>2547</v>
      </c>
      <c r="H2281" s="2">
        <v>45684</v>
      </c>
      <c r="I2281" s="2">
        <v>45714</v>
      </c>
      <c r="J2281" t="s">
        <v>20</v>
      </c>
      <c r="K2281" s="21">
        <v>183.13</v>
      </c>
      <c r="L2281" s="21">
        <v>183.13</v>
      </c>
      <c r="M2281">
        <v>0</v>
      </c>
      <c r="N2281" s="21">
        <v>183.13</v>
      </c>
    </row>
    <row r="2282" spans="1:14">
      <c r="A2282" t="str">
        <f>IFERROR(_xlfn.XLOOKUP(B2282,Cuentas!$C$1:$C$521,Cuentas!$A$1:$A$521),"")</f>
        <v>Yuldor</v>
      </c>
      <c r="B2282" t="s">
        <v>2152</v>
      </c>
      <c r="C2282" t="s">
        <v>2153</v>
      </c>
      <c r="D2282" t="s">
        <v>16</v>
      </c>
      <c r="E2282" t="s">
        <v>7</v>
      </c>
      <c r="F2282" t="s">
        <v>2548</v>
      </c>
      <c r="G2282" t="s">
        <v>2548</v>
      </c>
      <c r="H2282" s="2">
        <v>45684</v>
      </c>
      <c r="I2282" s="2">
        <v>45714</v>
      </c>
      <c r="J2282" t="s">
        <v>20</v>
      </c>
      <c r="K2282" s="21">
        <v>748</v>
      </c>
      <c r="L2282" s="21">
        <v>748</v>
      </c>
      <c r="M2282">
        <v>0</v>
      </c>
      <c r="N2282" s="21">
        <v>748</v>
      </c>
    </row>
    <row r="2283" spans="1:14">
      <c r="A2283" t="str">
        <f>IFERROR(_xlfn.XLOOKUP(B2283,Cuentas!$C$1:$C$521,Cuentas!$A$1:$A$521),"")</f>
        <v>Yuldor</v>
      </c>
      <c r="B2283" t="s">
        <v>2152</v>
      </c>
      <c r="C2283" t="s">
        <v>2153</v>
      </c>
      <c r="D2283" t="s">
        <v>16</v>
      </c>
      <c r="E2283" t="s">
        <v>7</v>
      </c>
      <c r="F2283" t="s">
        <v>2549</v>
      </c>
      <c r="G2283" t="s">
        <v>2549</v>
      </c>
      <c r="H2283" s="2">
        <v>45684</v>
      </c>
      <c r="I2283" s="2">
        <v>45714</v>
      </c>
      <c r="J2283" t="s">
        <v>20</v>
      </c>
      <c r="K2283" s="21">
        <v>268.10000000000002</v>
      </c>
      <c r="L2283" s="21">
        <v>268.10000000000002</v>
      </c>
      <c r="M2283">
        <v>0</v>
      </c>
      <c r="N2283" s="21">
        <v>268.10000000000002</v>
      </c>
    </row>
    <row r="2284" spans="1:14">
      <c r="A2284" t="str">
        <f>IFERROR(_xlfn.XLOOKUP(B2284,Cuentas!$C$1:$C$521,Cuentas!$A$1:$A$521),"")</f>
        <v>Yuldor</v>
      </c>
      <c r="B2284" t="s">
        <v>2152</v>
      </c>
      <c r="C2284" t="s">
        <v>2153</v>
      </c>
      <c r="D2284" t="s">
        <v>16</v>
      </c>
      <c r="E2284" t="s">
        <v>7</v>
      </c>
      <c r="F2284" t="s">
        <v>2550</v>
      </c>
      <c r="G2284" t="s">
        <v>2550</v>
      </c>
      <c r="H2284" s="2">
        <v>45684</v>
      </c>
      <c r="I2284" s="2">
        <v>45714</v>
      </c>
      <c r="J2284" t="s">
        <v>20</v>
      </c>
      <c r="K2284" s="21">
        <v>355.7</v>
      </c>
      <c r="L2284" s="21">
        <v>355.7</v>
      </c>
      <c r="M2284">
        <v>0</v>
      </c>
      <c r="N2284" s="21">
        <v>355.7</v>
      </c>
    </row>
    <row r="2285" spans="1:14">
      <c r="A2285" t="str">
        <f>IFERROR(_xlfn.XLOOKUP(B2285,Cuentas!$C$1:$C$521,Cuentas!$A$1:$A$521),"")</f>
        <v>Yuldor</v>
      </c>
      <c r="B2285" t="s">
        <v>2152</v>
      </c>
      <c r="C2285" t="s">
        <v>2153</v>
      </c>
      <c r="D2285" t="s">
        <v>16</v>
      </c>
      <c r="E2285" t="s">
        <v>7</v>
      </c>
      <c r="F2285" t="s">
        <v>2551</v>
      </c>
      <c r="G2285" t="s">
        <v>2551</v>
      </c>
      <c r="H2285" s="2">
        <v>45684</v>
      </c>
      <c r="I2285" s="2">
        <v>45714</v>
      </c>
      <c r="J2285" t="s">
        <v>20</v>
      </c>
      <c r="K2285" s="21">
        <v>412.6</v>
      </c>
      <c r="L2285" s="21">
        <v>347.35</v>
      </c>
      <c r="M2285">
        <v>0</v>
      </c>
      <c r="N2285" s="21">
        <v>347.35</v>
      </c>
    </row>
    <row r="2286" spans="1:14">
      <c r="A2286" t="str">
        <f>IFERROR(_xlfn.XLOOKUP(B2286,Cuentas!$C$1:$C$521,Cuentas!$A$1:$A$521),"")</f>
        <v>Yuldor</v>
      </c>
      <c r="B2286" t="s">
        <v>2152</v>
      </c>
      <c r="C2286" t="s">
        <v>2153</v>
      </c>
      <c r="D2286" t="s">
        <v>16</v>
      </c>
      <c r="E2286" t="s">
        <v>5502</v>
      </c>
      <c r="F2286" t="s">
        <v>2552</v>
      </c>
      <c r="G2286" t="s">
        <v>2551</v>
      </c>
      <c r="I2286" s="2">
        <v>45720</v>
      </c>
      <c r="J2286" t="s">
        <v>20</v>
      </c>
      <c r="K2286" s="21">
        <v>-65.25</v>
      </c>
      <c r="L2286" s="21" t="s">
        <v>86</v>
      </c>
      <c r="M2286">
        <v>10</v>
      </c>
      <c r="N2286" s="21" t="s">
        <v>86</v>
      </c>
    </row>
    <row r="2287" spans="1:14">
      <c r="A2287" t="str">
        <f>IFERROR(_xlfn.XLOOKUP(B2287,Cuentas!$C$1:$C$521,Cuentas!$A$1:$A$521),"")</f>
        <v>Yuldor</v>
      </c>
      <c r="B2287" t="s">
        <v>2152</v>
      </c>
      <c r="C2287" t="s">
        <v>2153</v>
      </c>
      <c r="D2287" t="s">
        <v>16</v>
      </c>
      <c r="E2287" t="s">
        <v>7</v>
      </c>
      <c r="F2287" t="s">
        <v>2553</v>
      </c>
      <c r="G2287" t="s">
        <v>2553</v>
      </c>
      <c r="H2287" s="2">
        <v>45684</v>
      </c>
      <c r="I2287" s="2">
        <v>45714</v>
      </c>
      <c r="J2287" t="s">
        <v>20</v>
      </c>
      <c r="K2287" s="21">
        <v>376.3</v>
      </c>
      <c r="L2287" s="21">
        <v>376.3</v>
      </c>
      <c r="M2287">
        <v>0</v>
      </c>
      <c r="N2287" s="21">
        <v>376.3</v>
      </c>
    </row>
    <row r="2288" spans="1:14">
      <c r="A2288" t="str">
        <f>IFERROR(_xlfn.XLOOKUP(B2288,Cuentas!$C$1:$C$521,Cuentas!$A$1:$A$521),"")</f>
        <v>Yuldor</v>
      </c>
      <c r="B2288" t="s">
        <v>2152</v>
      </c>
      <c r="C2288" t="s">
        <v>2153</v>
      </c>
      <c r="D2288" t="s">
        <v>16</v>
      </c>
      <c r="E2288" t="s">
        <v>7</v>
      </c>
      <c r="F2288" t="s">
        <v>2554</v>
      </c>
      <c r="G2288" t="s">
        <v>2554</v>
      </c>
      <c r="H2288" s="2">
        <v>45684</v>
      </c>
      <c r="I2288" s="2">
        <v>45714</v>
      </c>
      <c r="J2288" t="s">
        <v>20</v>
      </c>
      <c r="K2288" s="21">
        <v>52.3</v>
      </c>
      <c r="L2288" s="21">
        <v>52.3</v>
      </c>
      <c r="M2288">
        <v>0</v>
      </c>
      <c r="N2288" s="21">
        <v>52.3</v>
      </c>
    </row>
    <row r="2289" spans="1:14">
      <c r="A2289" t="str">
        <f>IFERROR(_xlfn.XLOOKUP(B2289,Cuentas!$C$1:$C$521,Cuentas!$A$1:$A$521),"")</f>
        <v>Yuldor</v>
      </c>
      <c r="B2289" t="s">
        <v>2152</v>
      </c>
      <c r="C2289" t="s">
        <v>2153</v>
      </c>
      <c r="D2289" t="s">
        <v>16</v>
      </c>
      <c r="E2289" t="s">
        <v>7</v>
      </c>
      <c r="F2289" t="s">
        <v>2555</v>
      </c>
      <c r="G2289" t="s">
        <v>2555</v>
      </c>
      <c r="H2289" s="2">
        <v>45685</v>
      </c>
      <c r="I2289" s="2">
        <v>45715</v>
      </c>
      <c r="J2289" t="s">
        <v>20</v>
      </c>
      <c r="K2289" s="21">
        <v>99.2</v>
      </c>
      <c r="L2289" s="21">
        <v>99.2</v>
      </c>
      <c r="M2289">
        <v>0</v>
      </c>
      <c r="N2289" s="21">
        <v>99.2</v>
      </c>
    </row>
    <row r="2290" spans="1:14">
      <c r="A2290" t="str">
        <f>IFERROR(_xlfn.XLOOKUP(B2290,Cuentas!$C$1:$C$521,Cuentas!$A$1:$A$521),"")</f>
        <v>Yuldor</v>
      </c>
      <c r="B2290" t="s">
        <v>2152</v>
      </c>
      <c r="C2290" t="s">
        <v>2153</v>
      </c>
      <c r="D2290" t="s">
        <v>16</v>
      </c>
      <c r="E2290" t="s">
        <v>7</v>
      </c>
      <c r="F2290" t="s">
        <v>2556</v>
      </c>
      <c r="G2290" t="s">
        <v>2556</v>
      </c>
      <c r="H2290" s="2">
        <v>45685</v>
      </c>
      <c r="I2290" s="2">
        <v>45715</v>
      </c>
      <c r="J2290" t="s">
        <v>20</v>
      </c>
      <c r="K2290" s="21">
        <v>569.79999999999995</v>
      </c>
      <c r="L2290" s="21">
        <v>569.79999999999995</v>
      </c>
      <c r="M2290">
        <v>0</v>
      </c>
      <c r="N2290" s="21">
        <v>569.79999999999995</v>
      </c>
    </row>
    <row r="2291" spans="1:14">
      <c r="A2291" t="str">
        <f>IFERROR(_xlfn.XLOOKUP(B2291,Cuentas!$C$1:$C$521,Cuentas!$A$1:$A$521),"")</f>
        <v>Yuldor</v>
      </c>
      <c r="B2291" t="s">
        <v>2152</v>
      </c>
      <c r="C2291" t="s">
        <v>2153</v>
      </c>
      <c r="D2291" t="s">
        <v>16</v>
      </c>
      <c r="E2291" t="s">
        <v>7</v>
      </c>
      <c r="F2291" t="s">
        <v>2557</v>
      </c>
      <c r="G2291" t="s">
        <v>2557</v>
      </c>
      <c r="H2291" s="2">
        <v>45685</v>
      </c>
      <c r="I2291" s="2">
        <v>45715</v>
      </c>
      <c r="J2291" t="s">
        <v>20</v>
      </c>
      <c r="K2291" s="21">
        <v>593.4</v>
      </c>
      <c r="L2291" s="21">
        <v>593.4</v>
      </c>
      <c r="M2291">
        <v>0</v>
      </c>
      <c r="N2291" s="21">
        <v>593.4</v>
      </c>
    </row>
    <row r="2292" spans="1:14">
      <c r="A2292" t="str">
        <f>IFERROR(_xlfn.XLOOKUP(B2292,Cuentas!$C$1:$C$521,Cuentas!$A$1:$A$521),"")</f>
        <v>Yuldor</v>
      </c>
      <c r="B2292" t="s">
        <v>2152</v>
      </c>
      <c r="C2292" t="s">
        <v>2153</v>
      </c>
      <c r="D2292" t="s">
        <v>16</v>
      </c>
      <c r="E2292" t="s">
        <v>7</v>
      </c>
      <c r="F2292" t="s">
        <v>2558</v>
      </c>
      <c r="G2292" t="s">
        <v>2558</v>
      </c>
      <c r="H2292" s="2">
        <v>45685</v>
      </c>
      <c r="I2292" s="2">
        <v>45715</v>
      </c>
      <c r="J2292" t="s">
        <v>20</v>
      </c>
      <c r="K2292" s="21">
        <v>1390.2</v>
      </c>
      <c r="L2292" s="21">
        <v>1390.2</v>
      </c>
      <c r="M2292">
        <v>0</v>
      </c>
      <c r="N2292" s="21">
        <v>1390.2</v>
      </c>
    </row>
    <row r="2293" spans="1:14">
      <c r="A2293" t="str">
        <f>IFERROR(_xlfn.XLOOKUP(B2293,Cuentas!$C$1:$C$521,Cuentas!$A$1:$A$521),"")</f>
        <v>Yuldor</v>
      </c>
      <c r="B2293" t="s">
        <v>2152</v>
      </c>
      <c r="C2293" t="s">
        <v>2153</v>
      </c>
      <c r="D2293" t="s">
        <v>16</v>
      </c>
      <c r="E2293" t="s">
        <v>7</v>
      </c>
      <c r="F2293" t="s">
        <v>2559</v>
      </c>
      <c r="G2293" t="s">
        <v>2559</v>
      </c>
      <c r="H2293" s="2">
        <v>45688</v>
      </c>
      <c r="I2293" s="2">
        <v>45718</v>
      </c>
      <c r="J2293" t="s">
        <v>20</v>
      </c>
      <c r="K2293" s="21">
        <v>419.89</v>
      </c>
      <c r="L2293" s="21">
        <v>419.89</v>
      </c>
      <c r="M2293">
        <v>10</v>
      </c>
      <c r="N2293" s="21">
        <v>419.89</v>
      </c>
    </row>
    <row r="2294" spans="1:14">
      <c r="A2294" t="str">
        <f>IFERROR(_xlfn.XLOOKUP(B2294,Cuentas!$C$1:$C$521,Cuentas!$A$1:$A$521),"")</f>
        <v>Yuldor</v>
      </c>
      <c r="B2294" t="s">
        <v>2152</v>
      </c>
      <c r="C2294" t="s">
        <v>2153</v>
      </c>
      <c r="D2294" t="s">
        <v>16</v>
      </c>
      <c r="E2294" t="s">
        <v>7</v>
      </c>
      <c r="F2294" t="s">
        <v>2560</v>
      </c>
      <c r="G2294" t="s">
        <v>2560</v>
      </c>
      <c r="H2294" s="2">
        <v>45688</v>
      </c>
      <c r="I2294" s="2">
        <v>45718</v>
      </c>
      <c r="J2294" t="s">
        <v>20</v>
      </c>
      <c r="K2294" s="21">
        <v>1069</v>
      </c>
      <c r="L2294" s="21">
        <v>1069</v>
      </c>
      <c r="M2294">
        <v>10</v>
      </c>
      <c r="N2294" s="21">
        <v>1069</v>
      </c>
    </row>
    <row r="2295" spans="1:14">
      <c r="A2295" t="str">
        <f>IFERROR(_xlfn.XLOOKUP(B2295,Cuentas!$C$1:$C$521,Cuentas!$A$1:$A$521),"")</f>
        <v>Yuldor</v>
      </c>
      <c r="B2295" t="s">
        <v>2152</v>
      </c>
      <c r="C2295" t="s">
        <v>2153</v>
      </c>
      <c r="D2295" t="s">
        <v>16</v>
      </c>
      <c r="E2295" t="s">
        <v>7</v>
      </c>
      <c r="F2295" t="s">
        <v>2561</v>
      </c>
      <c r="G2295" t="s">
        <v>2561</v>
      </c>
      <c r="H2295" s="2">
        <v>45688</v>
      </c>
      <c r="I2295" s="2">
        <v>45718</v>
      </c>
      <c r="J2295" t="s">
        <v>20</v>
      </c>
      <c r="K2295" s="21">
        <v>385.7</v>
      </c>
      <c r="L2295" s="21">
        <v>385.7</v>
      </c>
      <c r="M2295">
        <v>10</v>
      </c>
      <c r="N2295" s="21">
        <v>385.7</v>
      </c>
    </row>
    <row r="2296" spans="1:14">
      <c r="A2296" t="str">
        <f>IFERROR(_xlfn.XLOOKUP(B2296,Cuentas!$C$1:$C$521,Cuentas!$A$1:$A$521),"")</f>
        <v>Yuldor</v>
      </c>
      <c r="B2296" t="s">
        <v>2152</v>
      </c>
      <c r="C2296" t="s">
        <v>2153</v>
      </c>
      <c r="D2296" t="s">
        <v>16</v>
      </c>
      <c r="E2296" t="s">
        <v>7</v>
      </c>
      <c r="F2296" t="s">
        <v>2562</v>
      </c>
      <c r="G2296" t="s">
        <v>2562</v>
      </c>
      <c r="H2296" s="2">
        <v>45688</v>
      </c>
      <c r="I2296" s="2">
        <v>45718</v>
      </c>
      <c r="J2296" t="s">
        <v>20</v>
      </c>
      <c r="K2296" s="21">
        <v>255.1</v>
      </c>
      <c r="L2296" s="21">
        <v>255.1</v>
      </c>
      <c r="M2296">
        <v>10</v>
      </c>
      <c r="N2296" s="21">
        <v>255.1</v>
      </c>
    </row>
    <row r="2297" spans="1:14">
      <c r="A2297" t="str">
        <f>IFERROR(_xlfn.XLOOKUP(B2297,Cuentas!$C$1:$C$521,Cuentas!$A$1:$A$521),"")</f>
        <v>Yuldor</v>
      </c>
      <c r="B2297" t="s">
        <v>2152</v>
      </c>
      <c r="C2297" t="s">
        <v>2153</v>
      </c>
      <c r="D2297" t="s">
        <v>16</v>
      </c>
      <c r="E2297" t="s">
        <v>7</v>
      </c>
      <c r="F2297" t="s">
        <v>2563</v>
      </c>
      <c r="G2297" t="s">
        <v>2563</v>
      </c>
      <c r="H2297" s="2">
        <v>45688</v>
      </c>
      <c r="I2297" s="2">
        <v>45718</v>
      </c>
      <c r="J2297" t="s">
        <v>20</v>
      </c>
      <c r="K2297" s="21">
        <v>1128.1600000000001</v>
      </c>
      <c r="L2297" s="21">
        <v>1128.1600000000001</v>
      </c>
      <c r="M2297">
        <v>10</v>
      </c>
      <c r="N2297" s="21">
        <v>1128.1600000000001</v>
      </c>
    </row>
    <row r="2298" spans="1:14">
      <c r="A2298" t="str">
        <f>IFERROR(_xlfn.XLOOKUP(B2298,Cuentas!$C$1:$C$521,Cuentas!$A$1:$A$521),"")</f>
        <v>Yuldor</v>
      </c>
      <c r="B2298" t="s">
        <v>2152</v>
      </c>
      <c r="C2298" t="s">
        <v>2153</v>
      </c>
      <c r="D2298" t="s">
        <v>16</v>
      </c>
      <c r="E2298" t="s">
        <v>7</v>
      </c>
      <c r="F2298" t="s">
        <v>2564</v>
      </c>
      <c r="G2298" t="s">
        <v>2564</v>
      </c>
      <c r="H2298" s="2">
        <v>45688</v>
      </c>
      <c r="I2298" s="2">
        <v>45718</v>
      </c>
      <c r="J2298" t="s">
        <v>20</v>
      </c>
      <c r="K2298" s="21">
        <v>155.5</v>
      </c>
      <c r="L2298" s="21">
        <v>155.5</v>
      </c>
      <c r="M2298">
        <v>10</v>
      </c>
      <c r="N2298" s="21">
        <v>155.5</v>
      </c>
    </row>
    <row r="2299" spans="1:14">
      <c r="A2299" t="str">
        <f>IFERROR(_xlfn.XLOOKUP(B2299,Cuentas!$C$1:$C$521,Cuentas!$A$1:$A$521),"")</f>
        <v>Yuldor</v>
      </c>
      <c r="B2299" t="s">
        <v>2152</v>
      </c>
      <c r="C2299" t="s">
        <v>2153</v>
      </c>
      <c r="D2299" t="s">
        <v>16</v>
      </c>
      <c r="E2299" t="s">
        <v>7</v>
      </c>
      <c r="F2299" t="s">
        <v>2565</v>
      </c>
      <c r="G2299" t="s">
        <v>2565</v>
      </c>
      <c r="H2299" s="2">
        <v>45688</v>
      </c>
      <c r="I2299" s="2">
        <v>45718</v>
      </c>
      <c r="J2299" t="s">
        <v>20</v>
      </c>
      <c r="K2299" s="21">
        <v>1133.0999999999999</v>
      </c>
      <c r="L2299" s="21">
        <v>1133.0999999999999</v>
      </c>
      <c r="M2299">
        <v>10</v>
      </c>
      <c r="N2299" s="21">
        <v>1133.0999999999999</v>
      </c>
    </row>
    <row r="2300" spans="1:14">
      <c r="A2300" t="str">
        <f>IFERROR(_xlfn.XLOOKUP(B2300,Cuentas!$C$1:$C$521,Cuentas!$A$1:$A$521),"")</f>
        <v>Yuldor</v>
      </c>
      <c r="B2300" t="s">
        <v>2152</v>
      </c>
      <c r="C2300" t="s">
        <v>2153</v>
      </c>
      <c r="D2300" t="s">
        <v>16</v>
      </c>
      <c r="E2300" t="s">
        <v>7</v>
      </c>
      <c r="F2300" t="s">
        <v>2566</v>
      </c>
      <c r="G2300" t="s">
        <v>2566</v>
      </c>
      <c r="H2300" s="2">
        <v>45688</v>
      </c>
      <c r="I2300" s="2">
        <v>45718</v>
      </c>
      <c r="J2300" t="s">
        <v>20</v>
      </c>
      <c r="K2300" s="21">
        <v>457</v>
      </c>
      <c r="L2300" s="21">
        <v>457</v>
      </c>
      <c r="M2300">
        <v>10</v>
      </c>
      <c r="N2300" s="21">
        <v>457</v>
      </c>
    </row>
    <row r="2301" spans="1:14">
      <c r="A2301" t="str">
        <f>IFERROR(_xlfn.XLOOKUP(B2301,Cuentas!$C$1:$C$521,Cuentas!$A$1:$A$521),"")</f>
        <v>Yuldor</v>
      </c>
      <c r="B2301" t="s">
        <v>2152</v>
      </c>
      <c r="C2301" t="s">
        <v>2153</v>
      </c>
      <c r="D2301" t="s">
        <v>16</v>
      </c>
      <c r="E2301" t="s">
        <v>7</v>
      </c>
      <c r="F2301" t="s">
        <v>2567</v>
      </c>
      <c r="G2301" t="s">
        <v>2567</v>
      </c>
      <c r="H2301" s="2">
        <v>45688</v>
      </c>
      <c r="I2301" s="2">
        <v>45718</v>
      </c>
      <c r="J2301" t="s">
        <v>20</v>
      </c>
      <c r="K2301" s="21">
        <v>448.26</v>
      </c>
      <c r="L2301" s="21">
        <v>448.26</v>
      </c>
      <c r="M2301">
        <v>10</v>
      </c>
      <c r="N2301" s="21">
        <v>448.26</v>
      </c>
    </row>
    <row r="2302" spans="1:14">
      <c r="A2302" t="str">
        <f>IFERROR(_xlfn.XLOOKUP(B2302,Cuentas!$C$1:$C$521,Cuentas!$A$1:$A$521),"")</f>
        <v>Yuldor</v>
      </c>
      <c r="B2302" t="s">
        <v>2152</v>
      </c>
      <c r="C2302" t="s">
        <v>2153</v>
      </c>
      <c r="D2302" t="s">
        <v>16</v>
      </c>
      <c r="E2302" t="s">
        <v>7</v>
      </c>
      <c r="F2302" t="s">
        <v>2568</v>
      </c>
      <c r="G2302" t="s">
        <v>2568</v>
      </c>
      <c r="H2302" s="2">
        <v>45688</v>
      </c>
      <c r="I2302" s="2">
        <v>45718</v>
      </c>
      <c r="J2302" t="s">
        <v>20</v>
      </c>
      <c r="K2302" s="21">
        <v>509.2</v>
      </c>
      <c r="L2302" s="21">
        <v>509.2</v>
      </c>
      <c r="M2302">
        <v>10</v>
      </c>
      <c r="N2302" s="21">
        <v>509.2</v>
      </c>
    </row>
    <row r="2303" spans="1:14">
      <c r="A2303" t="str">
        <f>IFERROR(_xlfn.XLOOKUP(B2303,Cuentas!$C$1:$C$521,Cuentas!$A$1:$A$521),"")</f>
        <v>Yuldor</v>
      </c>
      <c r="B2303" t="s">
        <v>2152</v>
      </c>
      <c r="C2303" t="s">
        <v>2153</v>
      </c>
      <c r="D2303" t="s">
        <v>16</v>
      </c>
      <c r="E2303" t="s">
        <v>7</v>
      </c>
      <c r="F2303" t="s">
        <v>2569</v>
      </c>
      <c r="G2303" t="s">
        <v>2569</v>
      </c>
      <c r="H2303" s="2">
        <v>45688</v>
      </c>
      <c r="I2303" s="2">
        <v>45718</v>
      </c>
      <c r="J2303" t="s">
        <v>20</v>
      </c>
      <c r="K2303" s="21">
        <v>216.8</v>
      </c>
      <c r="L2303" s="21">
        <v>216.8</v>
      </c>
      <c r="M2303">
        <v>10</v>
      </c>
      <c r="N2303" s="21">
        <v>216.8</v>
      </c>
    </row>
    <row r="2304" spans="1:14">
      <c r="A2304" t="str">
        <f>IFERROR(_xlfn.XLOOKUP(B2304,Cuentas!$C$1:$C$521,Cuentas!$A$1:$A$521),"")</f>
        <v>Yuldor</v>
      </c>
      <c r="B2304" t="s">
        <v>2152</v>
      </c>
      <c r="C2304" t="s">
        <v>2153</v>
      </c>
      <c r="D2304" t="s">
        <v>16</v>
      </c>
      <c r="E2304" t="s">
        <v>7</v>
      </c>
      <c r="F2304" t="s">
        <v>2570</v>
      </c>
      <c r="G2304" t="s">
        <v>2570</v>
      </c>
      <c r="H2304" s="2">
        <v>45688</v>
      </c>
      <c r="I2304" s="2">
        <v>45718</v>
      </c>
      <c r="J2304" t="s">
        <v>20</v>
      </c>
      <c r="K2304" s="21">
        <v>261.5</v>
      </c>
      <c r="L2304" s="21">
        <v>261.5</v>
      </c>
      <c r="M2304">
        <v>10</v>
      </c>
      <c r="N2304" s="21">
        <v>261.5</v>
      </c>
    </row>
    <row r="2305" spans="1:14">
      <c r="A2305" t="str">
        <f>IFERROR(_xlfn.XLOOKUP(B2305,Cuentas!$C$1:$C$521,Cuentas!$A$1:$A$521),"")</f>
        <v>Yuldor</v>
      </c>
      <c r="B2305" t="s">
        <v>2152</v>
      </c>
      <c r="C2305" t="s">
        <v>2153</v>
      </c>
      <c r="D2305" t="s">
        <v>16</v>
      </c>
      <c r="E2305" t="s">
        <v>7</v>
      </c>
      <c r="F2305" t="s">
        <v>2571</v>
      </c>
      <c r="G2305" t="s">
        <v>2571</v>
      </c>
      <c r="H2305" s="2">
        <v>45688</v>
      </c>
      <c r="I2305" s="2">
        <v>45718</v>
      </c>
      <c r="J2305" t="s">
        <v>20</v>
      </c>
      <c r="K2305" s="21">
        <v>365</v>
      </c>
      <c r="L2305" s="21">
        <v>365</v>
      </c>
      <c r="M2305">
        <v>10</v>
      </c>
      <c r="N2305" s="21">
        <v>365</v>
      </c>
    </row>
    <row r="2306" spans="1:14">
      <c r="A2306" t="str">
        <f>IFERROR(_xlfn.XLOOKUP(B2306,Cuentas!$C$1:$C$521,Cuentas!$A$1:$A$521),"")</f>
        <v>Yuldor</v>
      </c>
      <c r="B2306" t="s">
        <v>2152</v>
      </c>
      <c r="C2306" t="s">
        <v>2153</v>
      </c>
      <c r="D2306" t="s">
        <v>16</v>
      </c>
      <c r="E2306" t="s">
        <v>7</v>
      </c>
      <c r="F2306" t="s">
        <v>2572</v>
      </c>
      <c r="G2306" t="s">
        <v>2572</v>
      </c>
      <c r="H2306" s="2">
        <v>45688</v>
      </c>
      <c r="I2306" s="2">
        <v>45718</v>
      </c>
      <c r="J2306" t="s">
        <v>20</v>
      </c>
      <c r="K2306" s="21">
        <v>376.3</v>
      </c>
      <c r="L2306" s="21">
        <v>376.3</v>
      </c>
      <c r="M2306">
        <v>10</v>
      </c>
      <c r="N2306" s="21">
        <v>376.3</v>
      </c>
    </row>
    <row r="2307" spans="1:14">
      <c r="A2307" t="str">
        <f>IFERROR(_xlfn.XLOOKUP(B2307,Cuentas!$C$1:$C$521,Cuentas!$A$1:$A$521),"")</f>
        <v>Yuldor</v>
      </c>
      <c r="B2307" t="s">
        <v>2152</v>
      </c>
      <c r="C2307" t="s">
        <v>2153</v>
      </c>
      <c r="D2307" t="s">
        <v>16</v>
      </c>
      <c r="E2307" t="s">
        <v>7</v>
      </c>
      <c r="F2307" t="s">
        <v>2573</v>
      </c>
      <c r="G2307" t="s">
        <v>2573</v>
      </c>
      <c r="H2307" s="2">
        <v>45688</v>
      </c>
      <c r="I2307" s="2">
        <v>45718</v>
      </c>
      <c r="J2307" t="s">
        <v>20</v>
      </c>
      <c r="K2307" s="21">
        <v>847.2</v>
      </c>
      <c r="L2307" s="21">
        <v>847.2</v>
      </c>
      <c r="M2307">
        <v>10</v>
      </c>
      <c r="N2307" s="21">
        <v>847.2</v>
      </c>
    </row>
    <row r="2308" spans="1:14">
      <c r="A2308" t="str">
        <f>IFERROR(_xlfn.XLOOKUP(B2308,Cuentas!$C$1:$C$521,Cuentas!$A$1:$A$521),"")</f>
        <v>Yuldor</v>
      </c>
      <c r="B2308" t="s">
        <v>2152</v>
      </c>
      <c r="C2308" t="s">
        <v>2153</v>
      </c>
      <c r="D2308" t="s">
        <v>16</v>
      </c>
      <c r="E2308" t="s">
        <v>7</v>
      </c>
      <c r="F2308" t="s">
        <v>2574</v>
      </c>
      <c r="G2308" t="s">
        <v>2574</v>
      </c>
      <c r="H2308" s="2">
        <v>45688</v>
      </c>
      <c r="I2308" s="2">
        <v>45718</v>
      </c>
      <c r="J2308" t="s">
        <v>20</v>
      </c>
      <c r="K2308" s="21">
        <v>286</v>
      </c>
      <c r="L2308" s="21">
        <v>286</v>
      </c>
      <c r="M2308">
        <v>10</v>
      </c>
      <c r="N2308" s="21">
        <v>286</v>
      </c>
    </row>
    <row r="2309" spans="1:14">
      <c r="A2309" t="str">
        <f>IFERROR(_xlfn.XLOOKUP(B2309,Cuentas!$C$1:$C$521,Cuentas!$A$1:$A$521),"")</f>
        <v>Yuldor</v>
      </c>
      <c r="B2309" t="s">
        <v>2152</v>
      </c>
      <c r="C2309" t="s">
        <v>2153</v>
      </c>
      <c r="D2309" t="s">
        <v>16</v>
      </c>
      <c r="E2309" t="s">
        <v>7</v>
      </c>
      <c r="F2309" t="s">
        <v>2575</v>
      </c>
      <c r="G2309" t="s">
        <v>2575</v>
      </c>
      <c r="H2309" s="2">
        <v>45688</v>
      </c>
      <c r="I2309" s="2">
        <v>45718</v>
      </c>
      <c r="J2309" t="s">
        <v>20</v>
      </c>
      <c r="K2309" s="21">
        <v>1129</v>
      </c>
      <c r="L2309" s="21">
        <v>1129</v>
      </c>
      <c r="M2309">
        <v>10</v>
      </c>
      <c r="N2309" s="21">
        <v>1129</v>
      </c>
    </row>
    <row r="2310" spans="1:14">
      <c r="A2310" t="str">
        <f>IFERROR(_xlfn.XLOOKUP(B2310,Cuentas!$C$1:$C$521,Cuentas!$A$1:$A$521),"")</f>
        <v>Yuldor</v>
      </c>
      <c r="B2310" t="s">
        <v>2152</v>
      </c>
      <c r="C2310" t="s">
        <v>2153</v>
      </c>
      <c r="D2310" t="s">
        <v>16</v>
      </c>
      <c r="E2310" t="s">
        <v>7</v>
      </c>
      <c r="F2310" t="s">
        <v>2576</v>
      </c>
      <c r="G2310" t="s">
        <v>2576</v>
      </c>
      <c r="H2310" s="2">
        <v>45688</v>
      </c>
      <c r="I2310" s="2">
        <v>45718</v>
      </c>
      <c r="J2310" t="s">
        <v>20</v>
      </c>
      <c r="K2310" s="21">
        <v>1358.2</v>
      </c>
      <c r="L2310" s="21">
        <v>1358.2</v>
      </c>
      <c r="M2310">
        <v>10</v>
      </c>
      <c r="N2310" s="21">
        <v>1358.2</v>
      </c>
    </row>
    <row r="2311" spans="1:14">
      <c r="A2311" t="str">
        <f>IFERROR(_xlfn.XLOOKUP(B2311,Cuentas!$C$1:$C$521,Cuentas!$A$1:$A$521),"")</f>
        <v>Yuldor</v>
      </c>
      <c r="B2311" t="s">
        <v>2152</v>
      </c>
      <c r="C2311" t="s">
        <v>2153</v>
      </c>
      <c r="D2311" t="s">
        <v>16</v>
      </c>
      <c r="E2311" t="s">
        <v>7</v>
      </c>
      <c r="F2311" t="s">
        <v>2577</v>
      </c>
      <c r="G2311" t="s">
        <v>2577</v>
      </c>
      <c r="H2311" s="2">
        <v>45688</v>
      </c>
      <c r="I2311" s="2">
        <v>45718</v>
      </c>
      <c r="J2311" t="s">
        <v>20</v>
      </c>
      <c r="K2311" s="21">
        <v>754.42</v>
      </c>
      <c r="L2311" s="21">
        <v>754.42</v>
      </c>
      <c r="M2311">
        <v>10</v>
      </c>
      <c r="N2311" s="21">
        <v>754.42</v>
      </c>
    </row>
    <row r="2312" spans="1:14">
      <c r="A2312" t="str">
        <f>IFERROR(_xlfn.XLOOKUP(B2312,Cuentas!$C$1:$C$521,Cuentas!$A$1:$A$521),"")</f>
        <v>Yuldor</v>
      </c>
      <c r="B2312" t="s">
        <v>2152</v>
      </c>
      <c r="C2312" t="s">
        <v>2153</v>
      </c>
      <c r="D2312" t="s">
        <v>16</v>
      </c>
      <c r="E2312" t="s">
        <v>7</v>
      </c>
      <c r="F2312" t="s">
        <v>2578</v>
      </c>
      <c r="G2312" t="s">
        <v>2578</v>
      </c>
      <c r="H2312" s="2">
        <v>45688</v>
      </c>
      <c r="I2312" s="2">
        <v>45718</v>
      </c>
      <c r="J2312" t="s">
        <v>20</v>
      </c>
      <c r="K2312" s="21">
        <v>642.29999999999995</v>
      </c>
      <c r="L2312" s="21">
        <v>642.29999999999995</v>
      </c>
      <c r="M2312">
        <v>10</v>
      </c>
      <c r="N2312" s="21">
        <v>642.29999999999995</v>
      </c>
    </row>
    <row r="2313" spans="1:14">
      <c r="A2313" t="str">
        <f>IFERROR(_xlfn.XLOOKUP(B2313,Cuentas!$C$1:$C$521,Cuentas!$A$1:$A$521),"")</f>
        <v>Yuldor</v>
      </c>
      <c r="B2313" t="s">
        <v>2152</v>
      </c>
      <c r="C2313" t="s">
        <v>2153</v>
      </c>
      <c r="D2313" t="s">
        <v>16</v>
      </c>
      <c r="E2313" t="s">
        <v>7</v>
      </c>
      <c r="F2313" t="s">
        <v>2579</v>
      </c>
      <c r="G2313" t="s">
        <v>2579</v>
      </c>
      <c r="H2313" s="2">
        <v>45688</v>
      </c>
      <c r="I2313" s="2">
        <v>45718</v>
      </c>
      <c r="J2313" t="s">
        <v>20</v>
      </c>
      <c r="K2313" s="21">
        <v>612.89</v>
      </c>
      <c r="L2313" s="21">
        <v>612.89</v>
      </c>
      <c r="M2313">
        <v>10</v>
      </c>
      <c r="N2313" s="21">
        <v>612.89</v>
      </c>
    </row>
    <row r="2314" spans="1:14">
      <c r="A2314" t="str">
        <f>IFERROR(_xlfn.XLOOKUP(B2314,Cuentas!$C$1:$C$521,Cuentas!$A$1:$A$521),"")</f>
        <v>Yuldor</v>
      </c>
      <c r="B2314" t="s">
        <v>2152</v>
      </c>
      <c r="C2314" t="s">
        <v>2153</v>
      </c>
      <c r="D2314" t="s">
        <v>16</v>
      </c>
      <c r="E2314" t="s">
        <v>7</v>
      </c>
      <c r="F2314" t="s">
        <v>2580</v>
      </c>
      <c r="G2314" t="s">
        <v>2580</v>
      </c>
      <c r="H2314" s="2">
        <v>45688</v>
      </c>
      <c r="I2314" s="2">
        <v>45718</v>
      </c>
      <c r="J2314" t="s">
        <v>20</v>
      </c>
      <c r="K2314" s="21">
        <v>603.05999999999995</v>
      </c>
      <c r="L2314" s="21">
        <v>603.05999999999995</v>
      </c>
      <c r="M2314">
        <v>10</v>
      </c>
      <c r="N2314" s="21">
        <v>603.05999999999995</v>
      </c>
    </row>
    <row r="2315" spans="1:14">
      <c r="A2315" t="str">
        <f>IFERROR(_xlfn.XLOOKUP(B2315,Cuentas!$C$1:$C$521,Cuentas!$A$1:$A$521),"")</f>
        <v>Yuldor</v>
      </c>
      <c r="B2315" t="s">
        <v>2152</v>
      </c>
      <c r="C2315" t="s">
        <v>2153</v>
      </c>
      <c r="D2315" t="s">
        <v>16</v>
      </c>
      <c r="E2315" t="s">
        <v>7</v>
      </c>
      <c r="F2315" t="s">
        <v>2581</v>
      </c>
      <c r="G2315" t="s">
        <v>2581</v>
      </c>
      <c r="H2315" s="2">
        <v>45688</v>
      </c>
      <c r="I2315" s="2">
        <v>45718</v>
      </c>
      <c r="J2315" t="s">
        <v>20</v>
      </c>
      <c r="K2315" s="21">
        <v>888</v>
      </c>
      <c r="L2315" s="21">
        <v>888</v>
      </c>
      <c r="M2315">
        <v>10</v>
      </c>
      <c r="N2315" s="21">
        <v>888</v>
      </c>
    </row>
    <row r="2316" spans="1:14">
      <c r="A2316" t="str">
        <f>IFERROR(_xlfn.XLOOKUP(B2316,Cuentas!$C$1:$C$521,Cuentas!$A$1:$A$521),"")</f>
        <v>Yuldor</v>
      </c>
      <c r="B2316" t="s">
        <v>2152</v>
      </c>
      <c r="C2316" t="s">
        <v>2153</v>
      </c>
      <c r="D2316" t="s">
        <v>16</v>
      </c>
      <c r="E2316" t="s">
        <v>7</v>
      </c>
      <c r="F2316" t="s">
        <v>2582</v>
      </c>
      <c r="G2316" t="s">
        <v>2582</v>
      </c>
      <c r="H2316" s="2">
        <v>45688</v>
      </c>
      <c r="I2316" s="2">
        <v>45718</v>
      </c>
      <c r="J2316" t="s">
        <v>20</v>
      </c>
      <c r="K2316" s="21">
        <v>57.3</v>
      </c>
      <c r="L2316" s="21">
        <v>57.3</v>
      </c>
      <c r="M2316">
        <v>10</v>
      </c>
      <c r="N2316" s="21">
        <v>57.3</v>
      </c>
    </row>
    <row r="2317" spans="1:14">
      <c r="A2317" t="str">
        <f>IFERROR(_xlfn.XLOOKUP(B2317,Cuentas!$C$1:$C$521,Cuentas!$A$1:$A$521),"")</f>
        <v>Yuldor</v>
      </c>
      <c r="B2317" t="s">
        <v>2152</v>
      </c>
      <c r="C2317" t="s">
        <v>2153</v>
      </c>
      <c r="D2317" t="s">
        <v>16</v>
      </c>
      <c r="E2317" t="s">
        <v>7</v>
      </c>
      <c r="F2317" t="s">
        <v>2583</v>
      </c>
      <c r="G2317" t="s">
        <v>2583</v>
      </c>
      <c r="H2317" s="2">
        <v>45688</v>
      </c>
      <c r="I2317" s="2">
        <v>45718</v>
      </c>
      <c r="J2317" t="s">
        <v>20</v>
      </c>
      <c r="K2317" s="21">
        <v>178</v>
      </c>
      <c r="L2317" s="21">
        <v>178</v>
      </c>
      <c r="M2317">
        <v>10</v>
      </c>
      <c r="N2317" s="21">
        <v>178</v>
      </c>
    </row>
    <row r="2318" spans="1:14">
      <c r="A2318" t="str">
        <f>IFERROR(_xlfn.XLOOKUP(B2318,Cuentas!$C$1:$C$521,Cuentas!$A$1:$A$521),"")</f>
        <v>Yuldor</v>
      </c>
      <c r="B2318" t="s">
        <v>2152</v>
      </c>
      <c r="C2318" t="s">
        <v>2153</v>
      </c>
      <c r="D2318" t="s">
        <v>16</v>
      </c>
      <c r="E2318" t="s">
        <v>7</v>
      </c>
      <c r="F2318" t="s">
        <v>2584</v>
      </c>
      <c r="G2318" t="s">
        <v>2584</v>
      </c>
      <c r="H2318" s="2">
        <v>45688</v>
      </c>
      <c r="I2318" s="2">
        <v>45718</v>
      </c>
      <c r="J2318" t="s">
        <v>20</v>
      </c>
      <c r="K2318" s="21">
        <v>459</v>
      </c>
      <c r="L2318" s="21">
        <v>459</v>
      </c>
      <c r="M2318">
        <v>10</v>
      </c>
      <c r="N2318" s="21">
        <v>459</v>
      </c>
    </row>
    <row r="2319" spans="1:14">
      <c r="A2319" t="str">
        <f>IFERROR(_xlfn.XLOOKUP(B2319,Cuentas!$C$1:$C$521,Cuentas!$A$1:$A$521),"")</f>
        <v>Yuldor</v>
      </c>
      <c r="B2319" t="s">
        <v>2152</v>
      </c>
      <c r="C2319" t="s">
        <v>2153</v>
      </c>
      <c r="D2319" t="s">
        <v>16</v>
      </c>
      <c r="E2319" t="s">
        <v>7</v>
      </c>
      <c r="F2319" t="s">
        <v>2585</v>
      </c>
      <c r="G2319" t="s">
        <v>2585</v>
      </c>
      <c r="H2319" s="2">
        <v>45688</v>
      </c>
      <c r="I2319" s="2">
        <v>45718</v>
      </c>
      <c r="J2319" t="s">
        <v>20</v>
      </c>
      <c r="K2319" s="21">
        <v>590.6</v>
      </c>
      <c r="L2319" s="21">
        <v>590.6</v>
      </c>
      <c r="M2319">
        <v>10</v>
      </c>
      <c r="N2319" s="21">
        <v>590.6</v>
      </c>
    </row>
    <row r="2320" spans="1:14">
      <c r="A2320" t="str">
        <f>IFERROR(_xlfn.XLOOKUP(B2320,Cuentas!$C$1:$C$521,Cuentas!$A$1:$A$521),"")</f>
        <v>Yuldor</v>
      </c>
      <c r="B2320" t="s">
        <v>2152</v>
      </c>
      <c r="C2320" t="s">
        <v>2153</v>
      </c>
      <c r="D2320" t="s">
        <v>16</v>
      </c>
      <c r="E2320" t="s">
        <v>7</v>
      </c>
      <c r="F2320" t="s">
        <v>2586</v>
      </c>
      <c r="G2320" t="s">
        <v>2586</v>
      </c>
      <c r="H2320" s="2">
        <v>45688</v>
      </c>
      <c r="I2320" s="2">
        <v>45718</v>
      </c>
      <c r="J2320" t="s">
        <v>20</v>
      </c>
      <c r="K2320" s="21">
        <v>267</v>
      </c>
      <c r="L2320" s="21">
        <v>267</v>
      </c>
      <c r="M2320">
        <v>10</v>
      </c>
      <c r="N2320" s="21">
        <v>267</v>
      </c>
    </row>
    <row r="2321" spans="1:14">
      <c r="A2321" t="str">
        <f>IFERROR(_xlfn.XLOOKUP(B2321,Cuentas!$C$1:$C$521,Cuentas!$A$1:$A$521),"")</f>
        <v>Yuldor</v>
      </c>
      <c r="B2321" t="s">
        <v>2152</v>
      </c>
      <c r="C2321" t="s">
        <v>2153</v>
      </c>
      <c r="D2321" t="s">
        <v>16</v>
      </c>
      <c r="E2321" t="s">
        <v>7</v>
      </c>
      <c r="F2321" t="s">
        <v>2587</v>
      </c>
      <c r="G2321" t="s">
        <v>2587</v>
      </c>
      <c r="H2321" s="2">
        <v>45688</v>
      </c>
      <c r="I2321" s="2">
        <v>45718</v>
      </c>
      <c r="J2321" t="s">
        <v>20</v>
      </c>
      <c r="K2321" s="21">
        <v>1014.6</v>
      </c>
      <c r="L2321" s="21">
        <v>1014.6</v>
      </c>
      <c r="M2321">
        <v>10</v>
      </c>
      <c r="N2321" s="21">
        <v>1014.6</v>
      </c>
    </row>
    <row r="2322" spans="1:14">
      <c r="A2322" t="str">
        <f>IFERROR(_xlfn.XLOOKUP(B2322,Cuentas!$C$1:$C$521,Cuentas!$A$1:$A$521),"")</f>
        <v>Yuldor</v>
      </c>
      <c r="B2322" t="s">
        <v>2152</v>
      </c>
      <c r="C2322" t="s">
        <v>2153</v>
      </c>
      <c r="D2322" t="s">
        <v>16</v>
      </c>
      <c r="E2322" t="s">
        <v>7</v>
      </c>
      <c r="F2322" t="s">
        <v>2588</v>
      </c>
      <c r="G2322" t="s">
        <v>2588</v>
      </c>
      <c r="H2322" s="2">
        <v>45688</v>
      </c>
      <c r="I2322" s="2">
        <v>45718</v>
      </c>
      <c r="J2322" t="s">
        <v>20</v>
      </c>
      <c r="K2322" s="21">
        <v>365</v>
      </c>
      <c r="L2322" s="21">
        <v>365</v>
      </c>
      <c r="M2322">
        <v>10</v>
      </c>
      <c r="N2322" s="21">
        <v>365</v>
      </c>
    </row>
    <row r="2323" spans="1:14">
      <c r="A2323" t="str">
        <f>IFERROR(_xlfn.XLOOKUP(B2323,Cuentas!$C$1:$C$521,Cuentas!$A$1:$A$521),"")</f>
        <v>Yuldor</v>
      </c>
      <c r="B2323" t="s">
        <v>2152</v>
      </c>
      <c r="C2323" t="s">
        <v>2153</v>
      </c>
      <c r="D2323" t="s">
        <v>16</v>
      </c>
      <c r="E2323" t="s">
        <v>7</v>
      </c>
      <c r="F2323" t="s">
        <v>2589</v>
      </c>
      <c r="G2323" t="s">
        <v>2589</v>
      </c>
      <c r="H2323" s="2">
        <v>45688</v>
      </c>
      <c r="I2323" s="2">
        <v>45718</v>
      </c>
      <c r="J2323" t="s">
        <v>20</v>
      </c>
      <c r="K2323" s="21">
        <v>1014.6</v>
      </c>
      <c r="L2323" s="21">
        <v>1014.6</v>
      </c>
      <c r="M2323">
        <v>10</v>
      </c>
      <c r="N2323" s="21">
        <v>1014.6</v>
      </c>
    </row>
    <row r="2324" spans="1:14">
      <c r="A2324" t="str">
        <f>IFERROR(_xlfn.XLOOKUP(B2324,Cuentas!$C$1:$C$521,Cuentas!$A$1:$A$521),"")</f>
        <v>Yuldor</v>
      </c>
      <c r="B2324" t="s">
        <v>2152</v>
      </c>
      <c r="C2324" t="s">
        <v>2153</v>
      </c>
      <c r="D2324" t="s">
        <v>16</v>
      </c>
      <c r="E2324" t="s">
        <v>7</v>
      </c>
      <c r="F2324" t="s">
        <v>2590</v>
      </c>
      <c r="G2324" t="s">
        <v>2590</v>
      </c>
      <c r="H2324" s="2">
        <v>45688</v>
      </c>
      <c r="I2324" s="2">
        <v>45718</v>
      </c>
      <c r="J2324" t="s">
        <v>20</v>
      </c>
      <c r="K2324" s="21">
        <v>1673</v>
      </c>
      <c r="L2324" s="21">
        <v>1673</v>
      </c>
      <c r="M2324">
        <v>10</v>
      </c>
      <c r="N2324" s="21">
        <v>1673</v>
      </c>
    </row>
    <row r="2325" spans="1:14">
      <c r="A2325" t="str">
        <f>IFERROR(_xlfn.XLOOKUP(B2325,Cuentas!$C$1:$C$521,Cuentas!$A$1:$A$521),"")</f>
        <v>Yuldor</v>
      </c>
      <c r="B2325" t="s">
        <v>2152</v>
      </c>
      <c r="C2325" t="s">
        <v>2153</v>
      </c>
      <c r="D2325" t="s">
        <v>16</v>
      </c>
      <c r="E2325" t="s">
        <v>7</v>
      </c>
      <c r="F2325" t="s">
        <v>2591</v>
      </c>
      <c r="G2325" t="s">
        <v>2591</v>
      </c>
      <c r="H2325" s="2">
        <v>45688</v>
      </c>
      <c r="I2325" s="2">
        <v>45718</v>
      </c>
      <c r="J2325" t="s">
        <v>20</v>
      </c>
      <c r="K2325" s="21">
        <v>673.6</v>
      </c>
      <c r="L2325" s="21">
        <v>673.6</v>
      </c>
      <c r="M2325">
        <v>10</v>
      </c>
      <c r="N2325" s="21">
        <v>673.6</v>
      </c>
    </row>
    <row r="2326" spans="1:14">
      <c r="A2326" t="str">
        <f>IFERROR(_xlfn.XLOOKUP(B2326,Cuentas!$C$1:$C$521,Cuentas!$A$1:$A$521),"")</f>
        <v>Yuldor</v>
      </c>
      <c r="B2326" t="s">
        <v>2152</v>
      </c>
      <c r="C2326" t="s">
        <v>2153</v>
      </c>
      <c r="D2326" t="s">
        <v>16</v>
      </c>
      <c r="E2326" t="s">
        <v>7</v>
      </c>
      <c r="F2326" t="s">
        <v>2592</v>
      </c>
      <c r="G2326" t="s">
        <v>2592</v>
      </c>
      <c r="H2326" s="2">
        <v>45688</v>
      </c>
      <c r="I2326" s="2">
        <v>45718</v>
      </c>
      <c r="J2326" t="s">
        <v>20</v>
      </c>
      <c r="K2326" s="21">
        <v>857.09</v>
      </c>
      <c r="L2326" s="21">
        <v>857.09</v>
      </c>
      <c r="M2326">
        <v>10</v>
      </c>
      <c r="N2326" s="21">
        <v>857.09</v>
      </c>
    </row>
    <row r="2327" spans="1:14">
      <c r="A2327" t="str">
        <f>IFERROR(_xlfn.XLOOKUP(B2327,Cuentas!$C$1:$C$521,Cuentas!$A$1:$A$521),"")</f>
        <v>Yuldor</v>
      </c>
      <c r="B2327" t="s">
        <v>2152</v>
      </c>
      <c r="C2327" t="s">
        <v>2153</v>
      </c>
      <c r="D2327" t="s">
        <v>16</v>
      </c>
      <c r="E2327" t="s">
        <v>7</v>
      </c>
      <c r="F2327" t="s">
        <v>2593</v>
      </c>
      <c r="G2327" t="s">
        <v>2593</v>
      </c>
      <c r="H2327" s="2">
        <v>45688</v>
      </c>
      <c r="I2327" s="2">
        <v>45718</v>
      </c>
      <c r="J2327" t="s">
        <v>20</v>
      </c>
      <c r="K2327" s="21">
        <v>1037.9000000000001</v>
      </c>
      <c r="L2327" s="21">
        <v>1037.9000000000001</v>
      </c>
      <c r="M2327">
        <v>10</v>
      </c>
      <c r="N2327" s="21">
        <v>1037.9000000000001</v>
      </c>
    </row>
    <row r="2328" spans="1:14">
      <c r="A2328" t="str">
        <f>IFERROR(_xlfn.XLOOKUP(B2328,Cuentas!$C$1:$C$521,Cuentas!$A$1:$A$521),"")</f>
        <v>Yuldor</v>
      </c>
      <c r="B2328" t="s">
        <v>2152</v>
      </c>
      <c r="C2328" t="s">
        <v>2153</v>
      </c>
      <c r="D2328" t="s">
        <v>16</v>
      </c>
      <c r="E2328" t="s">
        <v>7</v>
      </c>
      <c r="F2328" t="s">
        <v>2594</v>
      </c>
      <c r="G2328" t="s">
        <v>2594</v>
      </c>
      <c r="H2328" s="2">
        <v>45688</v>
      </c>
      <c r="I2328" s="2">
        <v>45718</v>
      </c>
      <c r="J2328" t="s">
        <v>20</v>
      </c>
      <c r="K2328" s="21">
        <v>734</v>
      </c>
      <c r="L2328" s="21">
        <v>734</v>
      </c>
      <c r="M2328">
        <v>10</v>
      </c>
      <c r="N2328" s="21">
        <v>734</v>
      </c>
    </row>
    <row r="2329" spans="1:14">
      <c r="A2329" t="str">
        <f>IFERROR(_xlfn.XLOOKUP(B2329,Cuentas!$C$1:$C$521,Cuentas!$A$1:$A$521),"")</f>
        <v>Yuldor</v>
      </c>
      <c r="B2329" t="s">
        <v>2152</v>
      </c>
      <c r="C2329" t="s">
        <v>2153</v>
      </c>
      <c r="D2329" t="s">
        <v>16</v>
      </c>
      <c r="E2329" t="s">
        <v>7</v>
      </c>
      <c r="F2329" t="s">
        <v>2595</v>
      </c>
      <c r="G2329" t="s">
        <v>2595</v>
      </c>
      <c r="H2329" s="2">
        <v>45688</v>
      </c>
      <c r="I2329" s="2">
        <v>45718</v>
      </c>
      <c r="J2329" t="s">
        <v>20</v>
      </c>
      <c r="K2329" s="21">
        <v>585.6</v>
      </c>
      <c r="L2329" s="21">
        <v>585.6</v>
      </c>
      <c r="M2329">
        <v>10</v>
      </c>
      <c r="N2329" s="21">
        <v>585.6</v>
      </c>
    </row>
    <row r="2330" spans="1:14">
      <c r="A2330" t="str">
        <f>IFERROR(_xlfn.XLOOKUP(B2330,Cuentas!$C$1:$C$521,Cuentas!$A$1:$A$521),"")</f>
        <v>Yuldor</v>
      </c>
      <c r="B2330" t="s">
        <v>2152</v>
      </c>
      <c r="C2330" t="s">
        <v>2153</v>
      </c>
      <c r="D2330" t="s">
        <v>16</v>
      </c>
      <c r="E2330" t="s">
        <v>7</v>
      </c>
      <c r="F2330" t="s">
        <v>2596</v>
      </c>
      <c r="G2330" t="s">
        <v>2596</v>
      </c>
      <c r="H2330" s="2">
        <v>45688</v>
      </c>
      <c r="I2330" s="2">
        <v>45718</v>
      </c>
      <c r="J2330" t="s">
        <v>20</v>
      </c>
      <c r="K2330" s="21">
        <v>534</v>
      </c>
      <c r="L2330" s="21">
        <v>534</v>
      </c>
      <c r="M2330">
        <v>10</v>
      </c>
      <c r="N2330" s="21">
        <v>534</v>
      </c>
    </row>
    <row r="2331" spans="1:14">
      <c r="A2331" t="str">
        <f>IFERROR(_xlfn.XLOOKUP(B2331,Cuentas!$C$1:$C$521,Cuentas!$A$1:$A$521),"")</f>
        <v>Yuldor</v>
      </c>
      <c r="B2331" t="s">
        <v>2152</v>
      </c>
      <c r="C2331" t="s">
        <v>2153</v>
      </c>
      <c r="D2331" t="s">
        <v>16</v>
      </c>
      <c r="E2331" t="s">
        <v>7</v>
      </c>
      <c r="F2331" t="s">
        <v>2597</v>
      </c>
      <c r="G2331" t="s">
        <v>2597</v>
      </c>
      <c r="H2331" s="2">
        <v>45688</v>
      </c>
      <c r="I2331" s="2">
        <v>45718</v>
      </c>
      <c r="J2331" t="s">
        <v>20</v>
      </c>
      <c r="K2331" s="21">
        <v>718</v>
      </c>
      <c r="L2331" s="21">
        <v>718</v>
      </c>
      <c r="M2331">
        <v>10</v>
      </c>
      <c r="N2331" s="21">
        <v>718</v>
      </c>
    </row>
    <row r="2332" spans="1:14">
      <c r="A2332" t="str">
        <f>IFERROR(_xlfn.XLOOKUP(B2332,Cuentas!$C$1:$C$521,Cuentas!$A$1:$A$521),"")</f>
        <v>Yuldor</v>
      </c>
      <c r="B2332" t="s">
        <v>2152</v>
      </c>
      <c r="C2332" t="s">
        <v>2153</v>
      </c>
      <c r="D2332" t="s">
        <v>16</v>
      </c>
      <c r="E2332" t="s">
        <v>7</v>
      </c>
      <c r="F2332" t="s">
        <v>2598</v>
      </c>
      <c r="G2332" t="s">
        <v>2598</v>
      </c>
      <c r="H2332" s="2">
        <v>45688</v>
      </c>
      <c r="I2332" s="2">
        <v>45718</v>
      </c>
      <c r="J2332" t="s">
        <v>20</v>
      </c>
      <c r="K2332" s="21">
        <v>412.5</v>
      </c>
      <c r="L2332" s="21">
        <v>412.5</v>
      </c>
      <c r="M2332">
        <v>10</v>
      </c>
      <c r="N2332" s="21">
        <v>412.5</v>
      </c>
    </row>
    <row r="2333" spans="1:14">
      <c r="A2333" t="str">
        <f>IFERROR(_xlfn.XLOOKUP(B2333,Cuentas!$C$1:$C$521,Cuentas!$A$1:$A$521),"")</f>
        <v>Yuldor</v>
      </c>
      <c r="B2333" t="s">
        <v>2152</v>
      </c>
      <c r="C2333" t="s">
        <v>2153</v>
      </c>
      <c r="D2333" t="s">
        <v>16</v>
      </c>
      <c r="E2333" t="s">
        <v>7</v>
      </c>
      <c r="F2333" t="s">
        <v>2599</v>
      </c>
      <c r="G2333" t="s">
        <v>2599</v>
      </c>
      <c r="H2333" s="2">
        <v>45692</v>
      </c>
      <c r="I2333" s="2">
        <v>45722</v>
      </c>
      <c r="J2333" t="s">
        <v>20</v>
      </c>
      <c r="K2333" s="21">
        <v>51.3</v>
      </c>
      <c r="L2333" s="21">
        <v>51.3</v>
      </c>
      <c r="M2333">
        <v>10</v>
      </c>
      <c r="N2333" s="21">
        <v>51.3</v>
      </c>
    </row>
    <row r="2334" spans="1:14">
      <c r="A2334" t="str">
        <f>IFERROR(_xlfn.XLOOKUP(B2334,Cuentas!$C$1:$C$521,Cuentas!$A$1:$A$521),"")</f>
        <v>Yuldor</v>
      </c>
      <c r="B2334" t="s">
        <v>2152</v>
      </c>
      <c r="C2334" t="s">
        <v>2153</v>
      </c>
      <c r="D2334" t="s">
        <v>16</v>
      </c>
      <c r="E2334" t="s">
        <v>7</v>
      </c>
      <c r="F2334" t="s">
        <v>2600</v>
      </c>
      <c r="G2334" t="s">
        <v>2600</v>
      </c>
      <c r="H2334" s="2">
        <v>45692</v>
      </c>
      <c r="I2334" s="2">
        <v>45722</v>
      </c>
      <c r="J2334" t="s">
        <v>20</v>
      </c>
      <c r="K2334" s="21">
        <v>746.6</v>
      </c>
      <c r="L2334" s="21">
        <v>746.6</v>
      </c>
      <c r="M2334">
        <v>10</v>
      </c>
      <c r="N2334" s="21">
        <v>746.6</v>
      </c>
    </row>
    <row r="2335" spans="1:14">
      <c r="A2335" t="str">
        <f>IFERROR(_xlfn.XLOOKUP(B2335,Cuentas!$C$1:$C$521,Cuentas!$A$1:$A$521),"")</f>
        <v>Yuldor</v>
      </c>
      <c r="B2335" t="s">
        <v>2152</v>
      </c>
      <c r="C2335" t="s">
        <v>2153</v>
      </c>
      <c r="D2335" t="s">
        <v>16</v>
      </c>
      <c r="E2335" t="s">
        <v>7</v>
      </c>
      <c r="F2335" t="s">
        <v>2601</v>
      </c>
      <c r="G2335" t="s">
        <v>2601</v>
      </c>
      <c r="H2335" s="2">
        <v>45692</v>
      </c>
      <c r="I2335" s="2">
        <v>45722</v>
      </c>
      <c r="J2335" t="s">
        <v>20</v>
      </c>
      <c r="K2335" s="21">
        <v>91</v>
      </c>
      <c r="L2335" s="21">
        <v>91</v>
      </c>
      <c r="M2335">
        <v>10</v>
      </c>
      <c r="N2335" s="21">
        <v>91</v>
      </c>
    </row>
    <row r="2336" spans="1:14">
      <c r="A2336" t="str">
        <f>IFERROR(_xlfn.XLOOKUP(B2336,Cuentas!$C$1:$C$521,Cuentas!$A$1:$A$521),"")</f>
        <v>Yuldor</v>
      </c>
      <c r="B2336" t="s">
        <v>2152</v>
      </c>
      <c r="C2336" t="s">
        <v>2153</v>
      </c>
      <c r="D2336" t="s">
        <v>16</v>
      </c>
      <c r="E2336" t="s">
        <v>7</v>
      </c>
      <c r="F2336" t="s">
        <v>2602</v>
      </c>
      <c r="G2336" t="s">
        <v>2602</v>
      </c>
      <c r="H2336" s="2">
        <v>45695</v>
      </c>
      <c r="I2336" s="2">
        <v>45725</v>
      </c>
      <c r="J2336" t="s">
        <v>20</v>
      </c>
      <c r="K2336" s="21">
        <v>792.8</v>
      </c>
      <c r="L2336" s="21">
        <v>792.8</v>
      </c>
      <c r="M2336">
        <v>11</v>
      </c>
      <c r="N2336" s="21">
        <v>792.8</v>
      </c>
    </row>
    <row r="2337" spans="1:14">
      <c r="A2337" t="str">
        <f>IFERROR(_xlfn.XLOOKUP(B2337,Cuentas!$C$1:$C$521,Cuentas!$A$1:$A$521),"")</f>
        <v>Yuldor</v>
      </c>
      <c r="B2337" t="s">
        <v>2152</v>
      </c>
      <c r="C2337" t="s">
        <v>2153</v>
      </c>
      <c r="D2337" t="s">
        <v>16</v>
      </c>
      <c r="E2337" t="s">
        <v>7</v>
      </c>
      <c r="F2337" t="s">
        <v>2603</v>
      </c>
      <c r="G2337" t="s">
        <v>2603</v>
      </c>
      <c r="H2337" s="2">
        <v>45695</v>
      </c>
      <c r="I2337" s="2">
        <v>45725</v>
      </c>
      <c r="J2337" t="s">
        <v>20</v>
      </c>
      <c r="K2337" s="21">
        <v>224.2</v>
      </c>
      <c r="L2337" s="21">
        <v>224.2</v>
      </c>
      <c r="M2337">
        <v>11</v>
      </c>
      <c r="N2337" s="21">
        <v>224.2</v>
      </c>
    </row>
    <row r="2338" spans="1:14">
      <c r="A2338" t="str">
        <f>IFERROR(_xlfn.XLOOKUP(B2338,Cuentas!$C$1:$C$521,Cuentas!$A$1:$A$521),"")</f>
        <v>Yuldor</v>
      </c>
      <c r="B2338" t="s">
        <v>2152</v>
      </c>
      <c r="C2338" t="s">
        <v>2153</v>
      </c>
      <c r="D2338" t="s">
        <v>16</v>
      </c>
      <c r="E2338" t="s">
        <v>7</v>
      </c>
      <c r="F2338" t="s">
        <v>2604</v>
      </c>
      <c r="G2338" t="s">
        <v>2604</v>
      </c>
      <c r="H2338" s="2">
        <v>45695</v>
      </c>
      <c r="I2338" s="2">
        <v>45725</v>
      </c>
      <c r="J2338" t="s">
        <v>20</v>
      </c>
      <c r="K2338" s="21">
        <v>715.6</v>
      </c>
      <c r="L2338" s="21">
        <v>715.6</v>
      </c>
      <c r="M2338">
        <v>11</v>
      </c>
      <c r="N2338" s="21">
        <v>715.6</v>
      </c>
    </row>
    <row r="2339" spans="1:14">
      <c r="A2339" t="str">
        <f>IFERROR(_xlfn.XLOOKUP(B2339,Cuentas!$C$1:$C$521,Cuentas!$A$1:$A$521),"")</f>
        <v>Yuldor</v>
      </c>
      <c r="B2339" t="s">
        <v>2152</v>
      </c>
      <c r="C2339" t="s">
        <v>2153</v>
      </c>
      <c r="D2339" t="s">
        <v>16</v>
      </c>
      <c r="E2339" t="s">
        <v>7</v>
      </c>
      <c r="F2339" t="s">
        <v>2605</v>
      </c>
      <c r="G2339" t="s">
        <v>2605</v>
      </c>
      <c r="H2339" s="2">
        <v>45695</v>
      </c>
      <c r="I2339" s="2">
        <v>45725</v>
      </c>
      <c r="J2339" t="s">
        <v>20</v>
      </c>
      <c r="K2339" s="21">
        <v>104.6</v>
      </c>
      <c r="L2339" s="21">
        <v>104.6</v>
      </c>
      <c r="M2339">
        <v>11</v>
      </c>
      <c r="N2339" s="21">
        <v>104.6</v>
      </c>
    </row>
    <row r="2340" spans="1:14">
      <c r="A2340" t="str">
        <f>IFERROR(_xlfn.XLOOKUP(B2340,Cuentas!$C$1:$C$521,Cuentas!$A$1:$A$521),"")</f>
        <v>Yuldor</v>
      </c>
      <c r="B2340" t="s">
        <v>2152</v>
      </c>
      <c r="C2340" t="s">
        <v>2153</v>
      </c>
      <c r="D2340" t="s">
        <v>16</v>
      </c>
      <c r="E2340" t="s">
        <v>7</v>
      </c>
      <c r="F2340" t="s">
        <v>2606</v>
      </c>
      <c r="G2340" t="s">
        <v>2606</v>
      </c>
      <c r="H2340" s="2">
        <v>45695</v>
      </c>
      <c r="I2340" s="2">
        <v>45725</v>
      </c>
      <c r="J2340" t="s">
        <v>20</v>
      </c>
      <c r="K2340" s="21">
        <v>492.8</v>
      </c>
      <c r="L2340" s="21">
        <v>492.8</v>
      </c>
      <c r="M2340">
        <v>11</v>
      </c>
      <c r="N2340" s="21">
        <v>492.8</v>
      </c>
    </row>
    <row r="2341" spans="1:14">
      <c r="A2341" t="str">
        <f>IFERROR(_xlfn.XLOOKUP(B2341,Cuentas!$C$1:$C$521,Cuentas!$A$1:$A$521),"")</f>
        <v>Yuldor</v>
      </c>
      <c r="B2341" t="s">
        <v>2152</v>
      </c>
      <c r="C2341" t="s">
        <v>2153</v>
      </c>
      <c r="D2341" t="s">
        <v>16</v>
      </c>
      <c r="E2341" t="s">
        <v>7</v>
      </c>
      <c r="F2341" t="s">
        <v>2607</v>
      </c>
      <c r="G2341" t="s">
        <v>2607</v>
      </c>
      <c r="H2341" s="2">
        <v>45695</v>
      </c>
      <c r="I2341" s="2">
        <v>45725</v>
      </c>
      <c r="J2341" t="s">
        <v>20</v>
      </c>
      <c r="K2341" s="21">
        <v>1490</v>
      </c>
      <c r="L2341" s="21">
        <v>1490</v>
      </c>
      <c r="M2341">
        <v>11</v>
      </c>
      <c r="N2341" s="21">
        <v>1490</v>
      </c>
    </row>
    <row r="2342" spans="1:14">
      <c r="A2342" t="str">
        <f>IFERROR(_xlfn.XLOOKUP(B2342,Cuentas!$C$1:$C$521,Cuentas!$A$1:$A$521),"")</f>
        <v>Yuldor</v>
      </c>
      <c r="B2342" t="s">
        <v>2152</v>
      </c>
      <c r="C2342" t="s">
        <v>2153</v>
      </c>
      <c r="D2342" t="s">
        <v>16</v>
      </c>
      <c r="E2342" t="s">
        <v>7</v>
      </c>
      <c r="F2342" t="s">
        <v>2608</v>
      </c>
      <c r="G2342" t="s">
        <v>2608</v>
      </c>
      <c r="H2342" s="2">
        <v>45695</v>
      </c>
      <c r="I2342" s="2">
        <v>45725</v>
      </c>
      <c r="J2342" t="s">
        <v>20</v>
      </c>
      <c r="K2342" s="21">
        <v>216.8</v>
      </c>
      <c r="L2342" s="21">
        <v>216.8</v>
      </c>
      <c r="M2342">
        <v>11</v>
      </c>
      <c r="N2342" s="21">
        <v>216.8</v>
      </c>
    </row>
    <row r="2343" spans="1:14">
      <c r="A2343" t="str">
        <f>IFERROR(_xlfn.XLOOKUP(B2343,Cuentas!$C$1:$C$521,Cuentas!$A$1:$A$521),"")</f>
        <v>Yuldor</v>
      </c>
      <c r="B2343" t="s">
        <v>2152</v>
      </c>
      <c r="C2343" t="s">
        <v>2153</v>
      </c>
      <c r="D2343" t="s">
        <v>16</v>
      </c>
      <c r="E2343" t="s">
        <v>7</v>
      </c>
      <c r="F2343" t="s">
        <v>2609</v>
      </c>
      <c r="G2343" t="s">
        <v>2609</v>
      </c>
      <c r="H2343" s="2">
        <v>45695</v>
      </c>
      <c r="I2343" s="2">
        <v>45725</v>
      </c>
      <c r="J2343" t="s">
        <v>20</v>
      </c>
      <c r="K2343" s="21">
        <v>104.6</v>
      </c>
      <c r="L2343" s="21">
        <v>104.6</v>
      </c>
      <c r="M2343">
        <v>11</v>
      </c>
      <c r="N2343" s="21">
        <v>104.6</v>
      </c>
    </row>
    <row r="2344" spans="1:14">
      <c r="A2344" t="str">
        <f>IFERROR(_xlfn.XLOOKUP(B2344,Cuentas!$C$1:$C$521,Cuentas!$A$1:$A$521),"")</f>
        <v>Yuldor</v>
      </c>
      <c r="B2344" t="s">
        <v>2152</v>
      </c>
      <c r="C2344" t="s">
        <v>2153</v>
      </c>
      <c r="D2344" t="s">
        <v>16</v>
      </c>
      <c r="E2344" t="s">
        <v>7</v>
      </c>
      <c r="F2344" t="s">
        <v>2610</v>
      </c>
      <c r="G2344" t="s">
        <v>2610</v>
      </c>
      <c r="H2344" s="2">
        <v>45695</v>
      </c>
      <c r="I2344" s="2">
        <v>45725</v>
      </c>
      <c r="J2344" t="s">
        <v>20</v>
      </c>
      <c r="K2344" s="21">
        <v>100.4</v>
      </c>
      <c r="L2344" s="21">
        <v>100.4</v>
      </c>
      <c r="M2344">
        <v>11</v>
      </c>
      <c r="N2344" s="21">
        <v>100.4</v>
      </c>
    </row>
    <row r="2345" spans="1:14">
      <c r="A2345" t="str">
        <f>IFERROR(_xlfn.XLOOKUP(B2345,Cuentas!$C$1:$C$521,Cuentas!$A$1:$A$521),"")</f>
        <v>Yuldor</v>
      </c>
      <c r="B2345" t="s">
        <v>2152</v>
      </c>
      <c r="C2345" t="s">
        <v>2153</v>
      </c>
      <c r="D2345" t="s">
        <v>16</v>
      </c>
      <c r="E2345" t="s">
        <v>7</v>
      </c>
      <c r="F2345" t="s">
        <v>2611</v>
      </c>
      <c r="G2345" t="s">
        <v>2611</v>
      </c>
      <c r="H2345" s="2">
        <v>45695</v>
      </c>
      <c r="I2345" s="2">
        <v>45725</v>
      </c>
      <c r="J2345" t="s">
        <v>20</v>
      </c>
      <c r="K2345" s="21">
        <v>1006</v>
      </c>
      <c r="L2345" s="21">
        <v>1006</v>
      </c>
      <c r="M2345">
        <v>11</v>
      </c>
      <c r="N2345" s="21">
        <v>1006</v>
      </c>
    </row>
    <row r="2346" spans="1:14">
      <c r="A2346" t="str">
        <f>IFERROR(_xlfn.XLOOKUP(B2346,Cuentas!$C$1:$C$521,Cuentas!$A$1:$A$521),"")</f>
        <v>Yuldor</v>
      </c>
      <c r="B2346" t="s">
        <v>2152</v>
      </c>
      <c r="C2346" t="s">
        <v>2153</v>
      </c>
      <c r="D2346" t="s">
        <v>16</v>
      </c>
      <c r="E2346" t="s">
        <v>7</v>
      </c>
      <c r="F2346" t="s">
        <v>2612</v>
      </c>
      <c r="G2346" t="s">
        <v>2612</v>
      </c>
      <c r="H2346" s="2">
        <v>45695</v>
      </c>
      <c r="I2346" s="2">
        <v>45725</v>
      </c>
      <c r="J2346" t="s">
        <v>20</v>
      </c>
      <c r="K2346" s="21">
        <v>432.6</v>
      </c>
      <c r="L2346" s="21">
        <v>432.6</v>
      </c>
      <c r="M2346">
        <v>11</v>
      </c>
      <c r="N2346" s="21">
        <v>432.6</v>
      </c>
    </row>
    <row r="2347" spans="1:14">
      <c r="A2347" t="str">
        <f>IFERROR(_xlfn.XLOOKUP(B2347,Cuentas!$C$1:$C$521,Cuentas!$A$1:$A$521),"")</f>
        <v>Yuldor</v>
      </c>
      <c r="B2347" t="s">
        <v>2152</v>
      </c>
      <c r="C2347" t="s">
        <v>2153</v>
      </c>
      <c r="D2347" t="s">
        <v>16</v>
      </c>
      <c r="E2347" t="s">
        <v>7</v>
      </c>
      <c r="F2347" t="s">
        <v>2613</v>
      </c>
      <c r="G2347" t="s">
        <v>2613</v>
      </c>
      <c r="H2347" s="2">
        <v>45695</v>
      </c>
      <c r="I2347" s="2">
        <v>45725</v>
      </c>
      <c r="J2347" t="s">
        <v>20</v>
      </c>
      <c r="K2347" s="21">
        <v>432.6</v>
      </c>
      <c r="L2347" s="21">
        <v>432.6</v>
      </c>
      <c r="M2347">
        <v>11</v>
      </c>
      <c r="N2347" s="21">
        <v>432.6</v>
      </c>
    </row>
    <row r="2348" spans="1:14">
      <c r="A2348" t="str">
        <f>IFERROR(_xlfn.XLOOKUP(B2348,Cuentas!$C$1:$C$521,Cuentas!$A$1:$A$521),"")</f>
        <v>Yuldor</v>
      </c>
      <c r="B2348" t="s">
        <v>2152</v>
      </c>
      <c r="C2348" t="s">
        <v>2153</v>
      </c>
      <c r="D2348" t="s">
        <v>16</v>
      </c>
      <c r="E2348" t="s">
        <v>7</v>
      </c>
      <c r="F2348" t="s">
        <v>2614</v>
      </c>
      <c r="G2348" t="s">
        <v>2614</v>
      </c>
      <c r="H2348" s="2">
        <v>45695</v>
      </c>
      <c r="I2348" s="2">
        <v>45725</v>
      </c>
      <c r="J2348" t="s">
        <v>20</v>
      </c>
      <c r="K2348" s="21">
        <v>1153.7</v>
      </c>
      <c r="L2348" s="21">
        <v>1153.7</v>
      </c>
      <c r="M2348">
        <v>11</v>
      </c>
      <c r="N2348" s="21">
        <v>1153.7</v>
      </c>
    </row>
    <row r="2349" spans="1:14">
      <c r="A2349" t="str">
        <f>IFERROR(_xlfn.XLOOKUP(B2349,Cuentas!$C$1:$C$521,Cuentas!$A$1:$A$521),"")</f>
        <v>Yuldor</v>
      </c>
      <c r="B2349" t="s">
        <v>2152</v>
      </c>
      <c r="C2349" t="s">
        <v>2153</v>
      </c>
      <c r="D2349" t="s">
        <v>16</v>
      </c>
      <c r="E2349" t="s">
        <v>7</v>
      </c>
      <c r="F2349" t="s">
        <v>2615</v>
      </c>
      <c r="G2349" t="s">
        <v>2615</v>
      </c>
      <c r="H2349" s="2">
        <v>45695</v>
      </c>
      <c r="I2349" s="2">
        <v>45725</v>
      </c>
      <c r="J2349" t="s">
        <v>20</v>
      </c>
      <c r="K2349" s="21">
        <v>306</v>
      </c>
      <c r="L2349" s="21">
        <v>306</v>
      </c>
      <c r="M2349">
        <v>11</v>
      </c>
      <c r="N2349" s="21">
        <v>306</v>
      </c>
    </row>
    <row r="2350" spans="1:14">
      <c r="A2350" t="str">
        <f>IFERROR(_xlfn.XLOOKUP(B2350,Cuentas!$C$1:$C$521,Cuentas!$A$1:$A$521),"")</f>
        <v>Yuldor</v>
      </c>
      <c r="B2350" t="s">
        <v>2152</v>
      </c>
      <c r="C2350" t="s">
        <v>2153</v>
      </c>
      <c r="D2350" t="s">
        <v>16</v>
      </c>
      <c r="E2350" t="s">
        <v>7</v>
      </c>
      <c r="F2350" t="s">
        <v>2616</v>
      </c>
      <c r="G2350" t="s">
        <v>2616</v>
      </c>
      <c r="H2350" s="2">
        <v>45695</v>
      </c>
      <c r="I2350" s="2">
        <v>45725</v>
      </c>
      <c r="J2350" t="s">
        <v>20</v>
      </c>
      <c r="K2350" s="21">
        <v>412.6</v>
      </c>
      <c r="L2350" s="21">
        <v>412.6</v>
      </c>
      <c r="M2350">
        <v>11</v>
      </c>
      <c r="N2350" s="21">
        <v>412.6</v>
      </c>
    </row>
    <row r="2351" spans="1:14">
      <c r="A2351" t="str">
        <f>IFERROR(_xlfn.XLOOKUP(B2351,Cuentas!$C$1:$C$521,Cuentas!$A$1:$A$521),"")</f>
        <v>Yuldor</v>
      </c>
      <c r="B2351" t="s">
        <v>2152</v>
      </c>
      <c r="C2351" t="s">
        <v>2153</v>
      </c>
      <c r="D2351" t="s">
        <v>16</v>
      </c>
      <c r="E2351" t="s">
        <v>7</v>
      </c>
      <c r="F2351" t="s">
        <v>2617</v>
      </c>
      <c r="G2351" t="s">
        <v>2617</v>
      </c>
      <c r="H2351" s="2">
        <v>45695</v>
      </c>
      <c r="I2351" s="2">
        <v>45725</v>
      </c>
      <c r="J2351" t="s">
        <v>20</v>
      </c>
      <c r="K2351" s="21">
        <v>963</v>
      </c>
      <c r="L2351" s="21">
        <v>963</v>
      </c>
      <c r="M2351">
        <v>11</v>
      </c>
      <c r="N2351" s="21">
        <v>963</v>
      </c>
    </row>
    <row r="2352" spans="1:14">
      <c r="A2352" t="str">
        <f>IFERROR(_xlfn.XLOOKUP(B2352,Cuentas!$C$1:$C$521,Cuentas!$A$1:$A$521),"")</f>
        <v>Yuldor</v>
      </c>
      <c r="B2352" t="s">
        <v>2152</v>
      </c>
      <c r="C2352" t="s">
        <v>2153</v>
      </c>
      <c r="D2352" t="s">
        <v>16</v>
      </c>
      <c r="E2352" t="s">
        <v>7</v>
      </c>
      <c r="F2352" t="s">
        <v>2618</v>
      </c>
      <c r="G2352" t="s">
        <v>2618</v>
      </c>
      <c r="H2352" s="2">
        <v>45695</v>
      </c>
      <c r="I2352" s="2">
        <v>45725</v>
      </c>
      <c r="J2352" t="s">
        <v>20</v>
      </c>
      <c r="K2352" s="21">
        <v>594.42999999999995</v>
      </c>
      <c r="L2352" s="21">
        <v>594.42999999999995</v>
      </c>
      <c r="M2352">
        <v>11</v>
      </c>
      <c r="N2352" s="21">
        <v>594.42999999999995</v>
      </c>
    </row>
    <row r="2353" spans="1:14">
      <c r="A2353" t="str">
        <f>IFERROR(_xlfn.XLOOKUP(B2353,Cuentas!$C$1:$C$521,Cuentas!$A$1:$A$521),"")</f>
        <v>Yuldor</v>
      </c>
      <c r="B2353" t="s">
        <v>2152</v>
      </c>
      <c r="C2353" t="s">
        <v>2153</v>
      </c>
      <c r="D2353" t="s">
        <v>16</v>
      </c>
      <c r="E2353" t="s">
        <v>7</v>
      </c>
      <c r="F2353" t="s">
        <v>2619</v>
      </c>
      <c r="G2353" t="s">
        <v>2619</v>
      </c>
      <c r="H2353" s="2">
        <v>45695</v>
      </c>
      <c r="I2353" s="2">
        <v>45725</v>
      </c>
      <c r="J2353" t="s">
        <v>20</v>
      </c>
      <c r="K2353" s="21">
        <v>57.3</v>
      </c>
      <c r="L2353" s="21">
        <v>57.3</v>
      </c>
      <c r="M2353">
        <v>11</v>
      </c>
      <c r="N2353" s="21">
        <v>57.3</v>
      </c>
    </row>
    <row r="2354" spans="1:14">
      <c r="A2354" t="str">
        <f>IFERROR(_xlfn.XLOOKUP(B2354,Cuentas!$C$1:$C$521,Cuentas!$A$1:$A$521),"")</f>
        <v>Yuldor</v>
      </c>
      <c r="B2354" t="s">
        <v>2152</v>
      </c>
      <c r="C2354" t="s">
        <v>2153</v>
      </c>
      <c r="D2354" t="s">
        <v>16</v>
      </c>
      <c r="E2354" t="s">
        <v>7</v>
      </c>
      <c r="F2354" t="s">
        <v>2620</v>
      </c>
      <c r="G2354" t="s">
        <v>2620</v>
      </c>
      <c r="H2354" s="2">
        <v>45699</v>
      </c>
      <c r="I2354" s="2">
        <v>45729</v>
      </c>
      <c r="J2354" t="s">
        <v>20</v>
      </c>
      <c r="K2354" s="21">
        <v>412.6</v>
      </c>
      <c r="L2354" s="21">
        <v>412.6</v>
      </c>
      <c r="M2354">
        <v>11</v>
      </c>
      <c r="N2354" s="21">
        <v>412.6</v>
      </c>
    </row>
    <row r="2355" spans="1:14">
      <c r="A2355" t="str">
        <f>IFERROR(_xlfn.XLOOKUP(B2355,Cuentas!$C$1:$C$521,Cuentas!$A$1:$A$521),"")</f>
        <v>Yuldor</v>
      </c>
      <c r="B2355" t="s">
        <v>2152</v>
      </c>
      <c r="C2355" t="s">
        <v>2153</v>
      </c>
      <c r="D2355" t="s">
        <v>16</v>
      </c>
      <c r="E2355" t="s">
        <v>7</v>
      </c>
      <c r="F2355" t="s">
        <v>2621</v>
      </c>
      <c r="G2355" t="s">
        <v>2621</v>
      </c>
      <c r="H2355" s="2">
        <v>45699</v>
      </c>
      <c r="I2355" s="2">
        <v>45729</v>
      </c>
      <c r="J2355" t="s">
        <v>20</v>
      </c>
      <c r="K2355" s="21">
        <v>157.5</v>
      </c>
      <c r="L2355" s="21">
        <v>157.5</v>
      </c>
      <c r="M2355">
        <v>11</v>
      </c>
      <c r="N2355" s="21">
        <v>157.5</v>
      </c>
    </row>
    <row r="2356" spans="1:14">
      <c r="A2356" t="str">
        <f>IFERROR(_xlfn.XLOOKUP(B2356,Cuentas!$C$1:$C$521,Cuentas!$A$1:$A$521),"")</f>
        <v>Yuldor</v>
      </c>
      <c r="B2356" t="s">
        <v>2152</v>
      </c>
      <c r="C2356" t="s">
        <v>2153</v>
      </c>
      <c r="D2356" t="s">
        <v>16</v>
      </c>
      <c r="E2356" t="s">
        <v>7</v>
      </c>
      <c r="F2356" t="s">
        <v>2622</v>
      </c>
      <c r="G2356" t="s">
        <v>2622</v>
      </c>
      <c r="H2356" s="2">
        <v>45699</v>
      </c>
      <c r="I2356" s="2">
        <v>45729</v>
      </c>
      <c r="J2356" t="s">
        <v>20</v>
      </c>
      <c r="K2356" s="21">
        <v>225</v>
      </c>
      <c r="L2356" s="21">
        <v>225</v>
      </c>
      <c r="M2356">
        <v>11</v>
      </c>
      <c r="N2356" s="21">
        <v>225</v>
      </c>
    </row>
    <row r="2357" spans="1:14">
      <c r="A2357" t="str">
        <f>IFERROR(_xlfn.XLOOKUP(B2357,Cuentas!$C$1:$C$521,Cuentas!$A$1:$A$521),"")</f>
        <v>Yuldor</v>
      </c>
      <c r="B2357" t="s">
        <v>2152</v>
      </c>
      <c r="C2357" t="s">
        <v>2153</v>
      </c>
      <c r="D2357" t="s">
        <v>16</v>
      </c>
      <c r="E2357" t="s">
        <v>7</v>
      </c>
      <c r="F2357" t="s">
        <v>2623</v>
      </c>
      <c r="G2357" t="s">
        <v>2623</v>
      </c>
      <c r="H2357" s="2">
        <v>45699</v>
      </c>
      <c r="I2357" s="2">
        <v>45729</v>
      </c>
      <c r="J2357" t="s">
        <v>20</v>
      </c>
      <c r="K2357" s="21">
        <v>272</v>
      </c>
      <c r="L2357" s="21">
        <v>272</v>
      </c>
      <c r="M2357">
        <v>11</v>
      </c>
      <c r="N2357" s="21">
        <v>272</v>
      </c>
    </row>
    <row r="2358" spans="1:14">
      <c r="A2358" t="str">
        <f>IFERROR(_xlfn.XLOOKUP(B2358,Cuentas!$C$1:$C$521,Cuentas!$A$1:$A$521),"")</f>
        <v>Yuldor</v>
      </c>
      <c r="B2358" t="s">
        <v>2152</v>
      </c>
      <c r="C2358" t="s">
        <v>2153</v>
      </c>
      <c r="D2358" t="s">
        <v>16</v>
      </c>
      <c r="E2358" t="s">
        <v>7</v>
      </c>
      <c r="F2358" t="s">
        <v>2624</v>
      </c>
      <c r="G2358" t="s">
        <v>2624</v>
      </c>
      <c r="H2358" s="2">
        <v>45699</v>
      </c>
      <c r="I2358" s="2">
        <v>45729</v>
      </c>
      <c r="J2358" t="s">
        <v>20</v>
      </c>
      <c r="K2358" s="21">
        <v>144.30000000000001</v>
      </c>
      <c r="L2358" s="21">
        <v>144.30000000000001</v>
      </c>
      <c r="M2358">
        <v>11</v>
      </c>
      <c r="N2358" s="21">
        <v>144.30000000000001</v>
      </c>
    </row>
    <row r="2359" spans="1:14">
      <c r="A2359" t="str">
        <f>IFERROR(_xlfn.XLOOKUP(B2359,Cuentas!$C$1:$C$521,Cuentas!$A$1:$A$521),"")</f>
        <v>Yuldor</v>
      </c>
      <c r="B2359" t="s">
        <v>2152</v>
      </c>
      <c r="C2359" t="s">
        <v>2153</v>
      </c>
      <c r="D2359" t="s">
        <v>16</v>
      </c>
      <c r="E2359" t="s">
        <v>7</v>
      </c>
      <c r="F2359" t="s">
        <v>2625</v>
      </c>
      <c r="G2359" t="s">
        <v>2625</v>
      </c>
      <c r="H2359" s="2">
        <v>45699</v>
      </c>
      <c r="I2359" s="2">
        <v>45729</v>
      </c>
      <c r="J2359" t="s">
        <v>20</v>
      </c>
      <c r="K2359" s="21">
        <v>1178.8</v>
      </c>
      <c r="L2359" s="21">
        <v>1178.8</v>
      </c>
      <c r="M2359">
        <v>11</v>
      </c>
      <c r="N2359" s="21">
        <v>1178.8</v>
      </c>
    </row>
    <row r="2360" spans="1:14">
      <c r="A2360" t="str">
        <f>IFERROR(_xlfn.XLOOKUP(B2360,Cuentas!$C$1:$C$521,Cuentas!$A$1:$A$521),"")</f>
        <v>Yuldor</v>
      </c>
      <c r="B2360" t="s">
        <v>2152</v>
      </c>
      <c r="C2360" t="s">
        <v>2153</v>
      </c>
      <c r="D2360" t="s">
        <v>16</v>
      </c>
      <c r="E2360" t="s">
        <v>7</v>
      </c>
      <c r="F2360" t="s">
        <v>2626</v>
      </c>
      <c r="G2360" t="s">
        <v>2626</v>
      </c>
      <c r="H2360" s="2">
        <v>45699</v>
      </c>
      <c r="I2360" s="2">
        <v>45729</v>
      </c>
      <c r="J2360" t="s">
        <v>20</v>
      </c>
      <c r="K2360" s="21">
        <v>113.6</v>
      </c>
      <c r="L2360" s="21">
        <v>113.6</v>
      </c>
      <c r="M2360">
        <v>11</v>
      </c>
      <c r="N2360" s="21">
        <v>113.6</v>
      </c>
    </row>
    <row r="2361" spans="1:14">
      <c r="A2361" t="str">
        <f>IFERROR(_xlfn.XLOOKUP(B2361,Cuentas!$C$1:$C$521,Cuentas!$A$1:$A$521),"")</f>
        <v>Yuldor</v>
      </c>
      <c r="B2361" t="s">
        <v>2152</v>
      </c>
      <c r="C2361" t="s">
        <v>2153</v>
      </c>
      <c r="D2361" t="s">
        <v>16</v>
      </c>
      <c r="E2361" t="s">
        <v>7</v>
      </c>
      <c r="F2361" t="s">
        <v>2627</v>
      </c>
      <c r="G2361" t="s">
        <v>2627</v>
      </c>
      <c r="H2361" s="2">
        <v>45699</v>
      </c>
      <c r="I2361" s="2">
        <v>45729</v>
      </c>
      <c r="J2361" t="s">
        <v>20</v>
      </c>
      <c r="K2361" s="21">
        <v>101.6</v>
      </c>
      <c r="L2361" s="21">
        <v>101.6</v>
      </c>
      <c r="M2361">
        <v>11</v>
      </c>
      <c r="N2361" s="21">
        <v>101.6</v>
      </c>
    </row>
    <row r="2362" spans="1:14">
      <c r="A2362" t="str">
        <f>IFERROR(_xlfn.XLOOKUP(B2362,Cuentas!$C$1:$C$521,Cuentas!$A$1:$A$521),"")</f>
        <v>Yuldor</v>
      </c>
      <c r="B2362" t="s">
        <v>2152</v>
      </c>
      <c r="C2362" t="s">
        <v>2153</v>
      </c>
      <c r="D2362" t="s">
        <v>16</v>
      </c>
      <c r="E2362" t="s">
        <v>7</v>
      </c>
      <c r="F2362" t="s">
        <v>2628</v>
      </c>
      <c r="G2362" t="s">
        <v>2628</v>
      </c>
      <c r="H2362" s="2">
        <v>45699</v>
      </c>
      <c r="I2362" s="2">
        <v>45729</v>
      </c>
      <c r="J2362" t="s">
        <v>20</v>
      </c>
      <c r="K2362" s="21">
        <v>154.5</v>
      </c>
      <c r="L2362" s="21">
        <v>154.5</v>
      </c>
      <c r="M2362">
        <v>11</v>
      </c>
      <c r="N2362" s="21">
        <v>154.5</v>
      </c>
    </row>
    <row r="2363" spans="1:14">
      <c r="A2363" t="str">
        <f>IFERROR(_xlfn.XLOOKUP(B2363,Cuentas!$C$1:$C$521,Cuentas!$A$1:$A$521),"")</f>
        <v>Yuldor</v>
      </c>
      <c r="B2363" t="s">
        <v>2152</v>
      </c>
      <c r="C2363" t="s">
        <v>2153</v>
      </c>
      <c r="D2363" t="s">
        <v>16</v>
      </c>
      <c r="E2363" t="s">
        <v>7</v>
      </c>
      <c r="F2363" t="s">
        <v>2629</v>
      </c>
      <c r="G2363" t="s">
        <v>2629</v>
      </c>
      <c r="H2363" s="2">
        <v>45699</v>
      </c>
      <c r="I2363" s="2">
        <v>45729</v>
      </c>
      <c r="J2363" t="s">
        <v>20</v>
      </c>
      <c r="K2363" s="21">
        <v>49.3</v>
      </c>
      <c r="L2363" s="21">
        <v>49.3</v>
      </c>
      <c r="M2363">
        <v>11</v>
      </c>
      <c r="N2363" s="21">
        <v>49.3</v>
      </c>
    </row>
    <row r="2364" spans="1:14">
      <c r="A2364" t="str">
        <f>IFERROR(_xlfn.XLOOKUP(B2364,Cuentas!$C$1:$C$521,Cuentas!$A$1:$A$521),"")</f>
        <v>Yuldor</v>
      </c>
      <c r="B2364" t="s">
        <v>2152</v>
      </c>
      <c r="C2364" t="s">
        <v>2153</v>
      </c>
      <c r="D2364" t="s">
        <v>16</v>
      </c>
      <c r="E2364" t="s">
        <v>7</v>
      </c>
      <c r="F2364" t="s">
        <v>2630</v>
      </c>
      <c r="G2364" t="s">
        <v>2630</v>
      </c>
      <c r="H2364" s="2">
        <v>45699</v>
      </c>
      <c r="I2364" s="2">
        <v>45729</v>
      </c>
      <c r="J2364" t="s">
        <v>20</v>
      </c>
      <c r="K2364" s="21">
        <v>1063.42</v>
      </c>
      <c r="L2364" s="21">
        <v>1063.42</v>
      </c>
      <c r="M2364">
        <v>11</v>
      </c>
      <c r="N2364" s="21">
        <v>1063.42</v>
      </c>
    </row>
    <row r="2365" spans="1:14">
      <c r="A2365" t="str">
        <f>IFERROR(_xlfn.XLOOKUP(B2365,Cuentas!$C$1:$C$521,Cuentas!$A$1:$A$521),"")</f>
        <v>Yuldor</v>
      </c>
      <c r="B2365" t="s">
        <v>2152</v>
      </c>
      <c r="C2365" t="s">
        <v>2153</v>
      </c>
      <c r="D2365" t="s">
        <v>16</v>
      </c>
      <c r="E2365" t="s">
        <v>7</v>
      </c>
      <c r="F2365" t="s">
        <v>2631</v>
      </c>
      <c r="G2365" t="s">
        <v>2631</v>
      </c>
      <c r="H2365" s="2">
        <v>45699</v>
      </c>
      <c r="I2365" s="2">
        <v>45729</v>
      </c>
      <c r="J2365" t="s">
        <v>20</v>
      </c>
      <c r="K2365" s="21">
        <v>148</v>
      </c>
      <c r="L2365" s="21">
        <v>148</v>
      </c>
      <c r="M2365">
        <v>11</v>
      </c>
      <c r="N2365" s="21">
        <v>148</v>
      </c>
    </row>
    <row r="2366" spans="1:14">
      <c r="A2366" t="str">
        <f>IFERROR(_xlfn.XLOOKUP(B2366,Cuentas!$C$1:$C$521,Cuentas!$A$1:$A$521),"")</f>
        <v>Yuldor</v>
      </c>
      <c r="B2366" t="s">
        <v>2152</v>
      </c>
      <c r="C2366" t="s">
        <v>2153</v>
      </c>
      <c r="D2366" t="s">
        <v>16</v>
      </c>
      <c r="E2366" t="s">
        <v>7</v>
      </c>
      <c r="F2366" t="s">
        <v>2632</v>
      </c>
      <c r="G2366" t="s">
        <v>2632</v>
      </c>
      <c r="H2366" s="2">
        <v>45699</v>
      </c>
      <c r="I2366" s="2">
        <v>45729</v>
      </c>
      <c r="J2366" t="s">
        <v>20</v>
      </c>
      <c r="K2366" s="21">
        <v>917</v>
      </c>
      <c r="L2366" s="21">
        <v>917</v>
      </c>
      <c r="M2366">
        <v>11</v>
      </c>
      <c r="N2366" s="21">
        <v>917</v>
      </c>
    </row>
    <row r="2367" spans="1:14">
      <c r="A2367" t="str">
        <f>IFERROR(_xlfn.XLOOKUP(B2367,Cuentas!$C$1:$C$521,Cuentas!$A$1:$A$521),"")</f>
        <v>Yuldor</v>
      </c>
      <c r="B2367" t="s">
        <v>2152</v>
      </c>
      <c r="C2367" t="s">
        <v>2153</v>
      </c>
      <c r="D2367" t="s">
        <v>16</v>
      </c>
      <c r="E2367" t="s">
        <v>7</v>
      </c>
      <c r="F2367" t="s">
        <v>2633</v>
      </c>
      <c r="G2367" t="s">
        <v>2633</v>
      </c>
      <c r="H2367" s="2">
        <v>45699</v>
      </c>
      <c r="I2367" s="2">
        <v>45729</v>
      </c>
      <c r="J2367" t="s">
        <v>20</v>
      </c>
      <c r="K2367" s="21">
        <v>275</v>
      </c>
      <c r="L2367" s="21">
        <v>275</v>
      </c>
      <c r="M2367">
        <v>11</v>
      </c>
      <c r="N2367" s="21">
        <v>275</v>
      </c>
    </row>
    <row r="2368" spans="1:14">
      <c r="A2368" t="str">
        <f>IFERROR(_xlfn.XLOOKUP(B2368,Cuentas!$C$1:$C$521,Cuentas!$A$1:$A$521),"")</f>
        <v>Yuldor</v>
      </c>
      <c r="B2368" t="s">
        <v>2152</v>
      </c>
      <c r="C2368" t="s">
        <v>2153</v>
      </c>
      <c r="D2368" t="s">
        <v>16</v>
      </c>
      <c r="E2368" t="s">
        <v>7</v>
      </c>
      <c r="F2368" t="s">
        <v>2634</v>
      </c>
      <c r="G2368" t="s">
        <v>2634</v>
      </c>
      <c r="H2368" s="2">
        <v>45699</v>
      </c>
      <c r="I2368" s="2">
        <v>45729</v>
      </c>
      <c r="J2368" t="s">
        <v>20</v>
      </c>
      <c r="K2368" s="21">
        <v>154.5</v>
      </c>
      <c r="L2368" s="21">
        <v>154.5</v>
      </c>
      <c r="M2368">
        <v>11</v>
      </c>
      <c r="N2368" s="21">
        <v>154.5</v>
      </c>
    </row>
    <row r="2369" spans="1:14">
      <c r="A2369" t="str">
        <f>IFERROR(_xlfn.XLOOKUP(B2369,Cuentas!$C$1:$C$521,Cuentas!$A$1:$A$521),"")</f>
        <v>Yuldor</v>
      </c>
      <c r="B2369" t="s">
        <v>2152</v>
      </c>
      <c r="C2369" t="s">
        <v>2153</v>
      </c>
      <c r="D2369" t="s">
        <v>16</v>
      </c>
      <c r="E2369" t="s">
        <v>7</v>
      </c>
      <c r="F2369" t="s">
        <v>2635</v>
      </c>
      <c r="G2369" t="s">
        <v>2635</v>
      </c>
      <c r="H2369" s="2">
        <v>45699</v>
      </c>
      <c r="I2369" s="2">
        <v>45729</v>
      </c>
      <c r="J2369" t="s">
        <v>20</v>
      </c>
      <c r="K2369" s="21">
        <v>589</v>
      </c>
      <c r="L2369" s="21">
        <v>589</v>
      </c>
      <c r="M2369">
        <v>11</v>
      </c>
      <c r="N2369" s="21">
        <v>589</v>
      </c>
    </row>
    <row r="2370" spans="1:14">
      <c r="A2370" t="str">
        <f>IFERROR(_xlfn.XLOOKUP(B2370,Cuentas!$C$1:$C$521,Cuentas!$A$1:$A$521),"")</f>
        <v>Yuldor</v>
      </c>
      <c r="B2370" t="s">
        <v>2152</v>
      </c>
      <c r="C2370" t="s">
        <v>2153</v>
      </c>
      <c r="D2370" t="s">
        <v>16</v>
      </c>
      <c r="E2370" t="s">
        <v>7</v>
      </c>
      <c r="F2370" t="s">
        <v>2636</v>
      </c>
      <c r="G2370" t="s">
        <v>2636</v>
      </c>
      <c r="H2370" s="2">
        <v>45699</v>
      </c>
      <c r="I2370" s="2">
        <v>45729</v>
      </c>
      <c r="J2370" t="s">
        <v>20</v>
      </c>
      <c r="K2370" s="21">
        <v>444</v>
      </c>
      <c r="L2370" s="21">
        <v>444</v>
      </c>
      <c r="M2370">
        <v>11</v>
      </c>
      <c r="N2370" s="21">
        <v>444</v>
      </c>
    </row>
    <row r="2371" spans="1:14">
      <c r="A2371" t="str">
        <f>IFERROR(_xlfn.XLOOKUP(B2371,Cuentas!$C$1:$C$521,Cuentas!$A$1:$A$521),"")</f>
        <v>Yuldor</v>
      </c>
      <c r="B2371" t="s">
        <v>2152</v>
      </c>
      <c r="C2371" t="s">
        <v>2153</v>
      </c>
      <c r="D2371" t="s">
        <v>16</v>
      </c>
      <c r="E2371" t="s">
        <v>7</v>
      </c>
      <c r="F2371" t="s">
        <v>2637</v>
      </c>
      <c r="G2371" t="s">
        <v>2637</v>
      </c>
      <c r="H2371" s="2">
        <v>45699</v>
      </c>
      <c r="I2371" s="2">
        <v>45729</v>
      </c>
      <c r="J2371" t="s">
        <v>20</v>
      </c>
      <c r="K2371" s="21">
        <v>176.26</v>
      </c>
      <c r="L2371" s="21">
        <v>176.26</v>
      </c>
      <c r="M2371">
        <v>11</v>
      </c>
      <c r="N2371" s="21">
        <v>176.26</v>
      </c>
    </row>
    <row r="2372" spans="1:14">
      <c r="A2372" t="str">
        <f>IFERROR(_xlfn.XLOOKUP(B2372,Cuentas!$C$1:$C$521,Cuentas!$A$1:$A$521),"")</f>
        <v>Yuldor</v>
      </c>
      <c r="B2372" t="s">
        <v>2152</v>
      </c>
      <c r="C2372" t="s">
        <v>2153</v>
      </c>
      <c r="D2372" t="s">
        <v>16</v>
      </c>
      <c r="E2372" t="s">
        <v>7</v>
      </c>
      <c r="F2372" t="s">
        <v>2638</v>
      </c>
      <c r="G2372" t="s">
        <v>2638</v>
      </c>
      <c r="H2372" s="2">
        <v>45699</v>
      </c>
      <c r="I2372" s="2">
        <v>45729</v>
      </c>
      <c r="J2372" t="s">
        <v>20</v>
      </c>
      <c r="K2372" s="21">
        <v>156.9</v>
      </c>
      <c r="L2372" s="21">
        <v>156.9</v>
      </c>
      <c r="M2372">
        <v>11</v>
      </c>
      <c r="N2372" s="21">
        <v>156.9</v>
      </c>
    </row>
    <row r="2373" spans="1:14">
      <c r="A2373" t="str">
        <f>IFERROR(_xlfn.XLOOKUP(B2373,Cuentas!$C$1:$C$521,Cuentas!$A$1:$A$521),"")</f>
        <v>Yuldor</v>
      </c>
      <c r="B2373" t="s">
        <v>2152</v>
      </c>
      <c r="C2373" t="s">
        <v>2153</v>
      </c>
      <c r="D2373" t="s">
        <v>16</v>
      </c>
      <c r="E2373" t="s">
        <v>7</v>
      </c>
      <c r="F2373" t="s">
        <v>2639</v>
      </c>
      <c r="G2373" t="s">
        <v>2639</v>
      </c>
      <c r="H2373" s="2">
        <v>45699</v>
      </c>
      <c r="I2373" s="2">
        <v>45729</v>
      </c>
      <c r="J2373" t="s">
        <v>20</v>
      </c>
      <c r="K2373" s="21">
        <v>259.10000000000002</v>
      </c>
      <c r="L2373" s="21">
        <v>259.10000000000002</v>
      </c>
      <c r="M2373">
        <v>11</v>
      </c>
      <c r="N2373" s="21">
        <v>259.10000000000002</v>
      </c>
    </row>
    <row r="2374" spans="1:14">
      <c r="A2374" t="str">
        <f>IFERROR(_xlfn.XLOOKUP(B2374,Cuentas!$C$1:$C$521,Cuentas!$A$1:$A$521),"")</f>
        <v>Yuldor</v>
      </c>
      <c r="B2374" t="s">
        <v>2152</v>
      </c>
      <c r="C2374" t="s">
        <v>2153</v>
      </c>
      <c r="D2374" t="s">
        <v>16</v>
      </c>
      <c r="E2374" t="s">
        <v>7</v>
      </c>
      <c r="F2374" t="s">
        <v>2640</v>
      </c>
      <c r="G2374" t="s">
        <v>2640</v>
      </c>
      <c r="H2374" s="2">
        <v>45699</v>
      </c>
      <c r="I2374" s="2">
        <v>45729</v>
      </c>
      <c r="J2374" t="s">
        <v>20</v>
      </c>
      <c r="K2374" s="21">
        <v>355.7</v>
      </c>
      <c r="L2374" s="21">
        <v>355.7</v>
      </c>
      <c r="M2374">
        <v>11</v>
      </c>
      <c r="N2374" s="21">
        <v>355.7</v>
      </c>
    </row>
    <row r="2375" spans="1:14">
      <c r="A2375" t="str">
        <f>IFERROR(_xlfn.XLOOKUP(B2375,Cuentas!$C$1:$C$521,Cuentas!$A$1:$A$521),"")</f>
        <v>Yuldor</v>
      </c>
      <c r="B2375" t="s">
        <v>2152</v>
      </c>
      <c r="C2375" t="s">
        <v>2153</v>
      </c>
      <c r="D2375" t="s">
        <v>16</v>
      </c>
      <c r="E2375" t="s">
        <v>7</v>
      </c>
      <c r="F2375" t="s">
        <v>2641</v>
      </c>
      <c r="G2375" t="s">
        <v>2641</v>
      </c>
      <c r="H2375" s="2">
        <v>45699</v>
      </c>
      <c r="I2375" s="2">
        <v>45729</v>
      </c>
      <c r="J2375" t="s">
        <v>20</v>
      </c>
      <c r="K2375" s="21">
        <v>104.6</v>
      </c>
      <c r="L2375" s="21">
        <v>104.6</v>
      </c>
      <c r="M2375">
        <v>11</v>
      </c>
      <c r="N2375" s="21">
        <v>104.6</v>
      </c>
    </row>
    <row r="2376" spans="1:14">
      <c r="A2376" t="str">
        <f>IFERROR(_xlfn.XLOOKUP(B2376,Cuentas!$C$1:$C$521,Cuentas!$A$1:$A$521),"")</f>
        <v>Yuldor</v>
      </c>
      <c r="B2376" t="s">
        <v>2152</v>
      </c>
      <c r="C2376" t="s">
        <v>2153</v>
      </c>
      <c r="D2376" t="s">
        <v>16</v>
      </c>
      <c r="E2376" t="s">
        <v>7</v>
      </c>
      <c r="F2376" t="s">
        <v>2642</v>
      </c>
      <c r="G2376" t="s">
        <v>2642</v>
      </c>
      <c r="H2376" s="2">
        <v>45699</v>
      </c>
      <c r="I2376" s="2">
        <v>45729</v>
      </c>
      <c r="J2376" t="s">
        <v>20</v>
      </c>
      <c r="K2376" s="21">
        <v>206.8</v>
      </c>
      <c r="L2376" s="21">
        <v>206.8</v>
      </c>
      <c r="M2376">
        <v>11</v>
      </c>
      <c r="N2376" s="21">
        <v>206.8</v>
      </c>
    </row>
    <row r="2377" spans="1:14">
      <c r="A2377" t="str">
        <f>IFERROR(_xlfn.XLOOKUP(B2377,Cuentas!$C$1:$C$521,Cuentas!$A$1:$A$521),"")</f>
        <v>Yuldor</v>
      </c>
      <c r="B2377" t="s">
        <v>2152</v>
      </c>
      <c r="C2377" t="s">
        <v>2153</v>
      </c>
      <c r="D2377" t="s">
        <v>16</v>
      </c>
      <c r="E2377" t="s">
        <v>7</v>
      </c>
      <c r="F2377" t="s">
        <v>2643</v>
      </c>
      <c r="G2377" t="s">
        <v>2643</v>
      </c>
      <c r="H2377" s="2">
        <v>45699</v>
      </c>
      <c r="I2377" s="2">
        <v>45729</v>
      </c>
      <c r="J2377" t="s">
        <v>20</v>
      </c>
      <c r="K2377" s="21">
        <v>169.9</v>
      </c>
      <c r="L2377" s="21">
        <v>169.9</v>
      </c>
      <c r="M2377">
        <v>11</v>
      </c>
      <c r="N2377" s="21">
        <v>169.9</v>
      </c>
    </row>
    <row r="2378" spans="1:14">
      <c r="A2378" t="str">
        <f>IFERROR(_xlfn.XLOOKUP(B2378,Cuentas!$C$1:$C$521,Cuentas!$A$1:$A$521),"")</f>
        <v>Yuldor</v>
      </c>
      <c r="B2378" t="s">
        <v>2152</v>
      </c>
      <c r="C2378" t="s">
        <v>2153</v>
      </c>
      <c r="D2378" t="s">
        <v>16</v>
      </c>
      <c r="E2378" t="s">
        <v>7</v>
      </c>
      <c r="F2378" t="s">
        <v>2644</v>
      </c>
      <c r="G2378" t="s">
        <v>2644</v>
      </c>
      <c r="H2378" s="2">
        <v>45699</v>
      </c>
      <c r="I2378" s="2">
        <v>45729</v>
      </c>
      <c r="J2378" t="s">
        <v>20</v>
      </c>
      <c r="K2378" s="21">
        <v>198</v>
      </c>
      <c r="L2378" s="21">
        <v>198</v>
      </c>
      <c r="M2378">
        <v>11</v>
      </c>
      <c r="N2378" s="21">
        <v>198</v>
      </c>
    </row>
    <row r="2379" spans="1:14">
      <c r="A2379" t="str">
        <f>IFERROR(_xlfn.XLOOKUP(B2379,Cuentas!$C$1:$C$521,Cuentas!$A$1:$A$521),"")</f>
        <v>Yuldor</v>
      </c>
      <c r="B2379" t="s">
        <v>2152</v>
      </c>
      <c r="C2379" t="s">
        <v>2153</v>
      </c>
      <c r="D2379" t="s">
        <v>16</v>
      </c>
      <c r="E2379" t="s">
        <v>7</v>
      </c>
      <c r="F2379" t="s">
        <v>2645</v>
      </c>
      <c r="G2379" t="s">
        <v>2645</v>
      </c>
      <c r="H2379" s="2">
        <v>45699</v>
      </c>
      <c r="I2379" s="2">
        <v>45729</v>
      </c>
      <c r="J2379" t="s">
        <v>20</v>
      </c>
      <c r="K2379" s="21">
        <v>267.10000000000002</v>
      </c>
      <c r="L2379" s="21">
        <v>267.10000000000002</v>
      </c>
      <c r="M2379">
        <v>11</v>
      </c>
      <c r="N2379" s="21">
        <v>267.10000000000002</v>
      </c>
    </row>
    <row r="2380" spans="1:14">
      <c r="A2380" t="str">
        <f>IFERROR(_xlfn.XLOOKUP(B2380,Cuentas!$C$1:$C$521,Cuentas!$A$1:$A$521),"")</f>
        <v>Yuldor</v>
      </c>
      <c r="B2380" t="s">
        <v>2152</v>
      </c>
      <c r="C2380" t="s">
        <v>2153</v>
      </c>
      <c r="D2380" t="s">
        <v>16</v>
      </c>
      <c r="E2380" t="s">
        <v>7</v>
      </c>
      <c r="F2380" t="s">
        <v>2646</v>
      </c>
      <c r="G2380" t="s">
        <v>2646</v>
      </c>
      <c r="H2380" s="2">
        <v>45699</v>
      </c>
      <c r="I2380" s="2">
        <v>45729</v>
      </c>
      <c r="J2380" t="s">
        <v>20</v>
      </c>
      <c r="K2380" s="21">
        <v>154.5</v>
      </c>
      <c r="L2380" s="21">
        <v>154.5</v>
      </c>
      <c r="M2380">
        <v>11</v>
      </c>
      <c r="N2380" s="21">
        <v>154.5</v>
      </c>
    </row>
    <row r="2381" spans="1:14">
      <c r="A2381" t="str">
        <f>IFERROR(_xlfn.XLOOKUP(B2381,Cuentas!$C$1:$C$521,Cuentas!$A$1:$A$521),"")</f>
        <v>Yuldor</v>
      </c>
      <c r="B2381" t="s">
        <v>2152</v>
      </c>
      <c r="C2381" t="s">
        <v>2153</v>
      </c>
      <c r="D2381" t="s">
        <v>16</v>
      </c>
      <c r="E2381" t="s">
        <v>7</v>
      </c>
      <c r="F2381" t="s">
        <v>2647</v>
      </c>
      <c r="G2381" t="s">
        <v>2647</v>
      </c>
      <c r="H2381" s="2">
        <v>45699</v>
      </c>
      <c r="I2381" s="2">
        <v>45729</v>
      </c>
      <c r="J2381" t="s">
        <v>20</v>
      </c>
      <c r="K2381" s="21">
        <v>198.8</v>
      </c>
      <c r="L2381" s="21">
        <v>198.8</v>
      </c>
      <c r="M2381">
        <v>11</v>
      </c>
      <c r="N2381" s="21">
        <v>198.8</v>
      </c>
    </row>
    <row r="2382" spans="1:14">
      <c r="A2382" t="str">
        <f>IFERROR(_xlfn.XLOOKUP(B2382,Cuentas!$C$1:$C$521,Cuentas!$A$1:$A$521),"")</f>
        <v>Yuldor</v>
      </c>
      <c r="B2382" t="s">
        <v>2152</v>
      </c>
      <c r="C2382" t="s">
        <v>2153</v>
      </c>
      <c r="D2382" t="s">
        <v>16</v>
      </c>
      <c r="E2382" t="s">
        <v>7</v>
      </c>
      <c r="F2382" t="s">
        <v>2648</v>
      </c>
      <c r="G2382" t="s">
        <v>2648</v>
      </c>
      <c r="H2382" s="2">
        <v>45700</v>
      </c>
      <c r="I2382" s="2">
        <v>45730</v>
      </c>
      <c r="J2382" t="s">
        <v>20</v>
      </c>
      <c r="K2382" s="21">
        <v>2228.6</v>
      </c>
      <c r="L2382" s="21">
        <v>2228.6</v>
      </c>
      <c r="M2382">
        <v>11</v>
      </c>
      <c r="N2382" s="21">
        <v>2228.6</v>
      </c>
    </row>
    <row r="2383" spans="1:14">
      <c r="A2383" t="str">
        <f>IFERROR(_xlfn.XLOOKUP(B2383,Cuentas!$C$1:$C$521,Cuentas!$A$1:$A$521),"")</f>
        <v>Yuldor</v>
      </c>
      <c r="B2383" t="s">
        <v>2152</v>
      </c>
      <c r="C2383" t="s">
        <v>2153</v>
      </c>
      <c r="D2383" t="s">
        <v>16</v>
      </c>
      <c r="E2383" t="s">
        <v>7</v>
      </c>
      <c r="F2383" t="s">
        <v>2649</v>
      </c>
      <c r="G2383" t="s">
        <v>2649</v>
      </c>
      <c r="H2383" s="2">
        <v>45700</v>
      </c>
      <c r="I2383" s="2">
        <v>45730</v>
      </c>
      <c r="J2383" t="s">
        <v>20</v>
      </c>
      <c r="K2383" s="21">
        <v>239.5</v>
      </c>
      <c r="L2383" s="21">
        <v>239.5</v>
      </c>
      <c r="M2383">
        <v>11</v>
      </c>
      <c r="N2383" s="21">
        <v>239.5</v>
      </c>
    </row>
    <row r="2384" spans="1:14">
      <c r="A2384" t="str">
        <f>IFERROR(_xlfn.XLOOKUP(B2384,Cuentas!$C$1:$C$521,Cuentas!$A$1:$A$521),"")</f>
        <v>Yuldor</v>
      </c>
      <c r="B2384" t="s">
        <v>2152</v>
      </c>
      <c r="C2384" t="s">
        <v>2153</v>
      </c>
      <c r="D2384" t="s">
        <v>16</v>
      </c>
      <c r="E2384" t="s">
        <v>7</v>
      </c>
      <c r="F2384" t="s">
        <v>2650</v>
      </c>
      <c r="G2384" t="s">
        <v>2650</v>
      </c>
      <c r="H2384" s="2">
        <v>45701</v>
      </c>
      <c r="I2384" s="2">
        <v>45731</v>
      </c>
      <c r="J2384" t="s">
        <v>20</v>
      </c>
      <c r="K2384" s="21">
        <v>274</v>
      </c>
      <c r="L2384" s="21">
        <v>274</v>
      </c>
      <c r="M2384">
        <v>11</v>
      </c>
      <c r="N2384" s="21">
        <v>274</v>
      </c>
    </row>
    <row r="2385" spans="1:14">
      <c r="A2385" t="str">
        <f>IFERROR(_xlfn.XLOOKUP(B2385,Cuentas!$C$1:$C$521,Cuentas!$A$1:$A$521),"")</f>
        <v>Yuldor</v>
      </c>
      <c r="B2385" t="s">
        <v>2152</v>
      </c>
      <c r="C2385" t="s">
        <v>2153</v>
      </c>
      <c r="D2385" t="s">
        <v>16</v>
      </c>
      <c r="E2385" t="s">
        <v>7</v>
      </c>
      <c r="F2385" t="s">
        <v>2651</v>
      </c>
      <c r="G2385" t="s">
        <v>2651</v>
      </c>
      <c r="H2385" s="2">
        <v>45701</v>
      </c>
      <c r="I2385" s="2">
        <v>45731</v>
      </c>
      <c r="J2385" t="s">
        <v>20</v>
      </c>
      <c r="K2385" s="21">
        <v>440</v>
      </c>
      <c r="L2385" s="21">
        <v>440</v>
      </c>
      <c r="M2385">
        <v>11</v>
      </c>
      <c r="N2385" s="21">
        <v>440</v>
      </c>
    </row>
    <row r="2386" spans="1:14">
      <c r="A2386" t="str">
        <f>IFERROR(_xlfn.XLOOKUP(B2386,Cuentas!$C$1:$C$521,Cuentas!$A$1:$A$521),"")</f>
        <v>Yuldor</v>
      </c>
      <c r="B2386" t="s">
        <v>2152</v>
      </c>
      <c r="C2386" t="s">
        <v>2153</v>
      </c>
      <c r="D2386" t="s">
        <v>16</v>
      </c>
      <c r="E2386" t="s">
        <v>7</v>
      </c>
      <c r="F2386" t="s">
        <v>2652</v>
      </c>
      <c r="G2386" t="s">
        <v>2652</v>
      </c>
      <c r="H2386" s="2">
        <v>45701</v>
      </c>
      <c r="I2386" s="2">
        <v>45731</v>
      </c>
      <c r="J2386" t="s">
        <v>20</v>
      </c>
      <c r="K2386" s="21">
        <v>582.6</v>
      </c>
      <c r="L2386" s="21">
        <v>582.6</v>
      </c>
      <c r="M2386">
        <v>11</v>
      </c>
      <c r="N2386" s="21">
        <v>582.6</v>
      </c>
    </row>
    <row r="2387" spans="1:14">
      <c r="A2387" t="str">
        <f>IFERROR(_xlfn.XLOOKUP(B2387,Cuentas!$C$1:$C$521,Cuentas!$A$1:$A$521),"")</f>
        <v>Yuldor</v>
      </c>
      <c r="B2387" t="s">
        <v>2152</v>
      </c>
      <c r="C2387" t="s">
        <v>2153</v>
      </c>
      <c r="D2387" t="s">
        <v>16</v>
      </c>
      <c r="E2387" t="s">
        <v>7</v>
      </c>
      <c r="F2387" t="s">
        <v>2653</v>
      </c>
      <c r="G2387" t="s">
        <v>2653</v>
      </c>
      <c r="H2387" s="2">
        <v>45701</v>
      </c>
      <c r="I2387" s="2">
        <v>45731</v>
      </c>
      <c r="J2387" t="s">
        <v>20</v>
      </c>
      <c r="K2387" s="21">
        <v>868</v>
      </c>
      <c r="L2387" s="21">
        <v>868</v>
      </c>
      <c r="M2387">
        <v>11</v>
      </c>
      <c r="N2387" s="21">
        <v>868</v>
      </c>
    </row>
    <row r="2388" spans="1:14">
      <c r="A2388" t="str">
        <f>IFERROR(_xlfn.XLOOKUP(B2388,Cuentas!$C$1:$C$521,Cuentas!$A$1:$A$521),"")</f>
        <v>Yuldor</v>
      </c>
      <c r="B2388" t="s">
        <v>2152</v>
      </c>
      <c r="C2388" t="s">
        <v>2153</v>
      </c>
      <c r="D2388" t="s">
        <v>16</v>
      </c>
      <c r="E2388" t="s">
        <v>7</v>
      </c>
      <c r="F2388" t="s">
        <v>2654</v>
      </c>
      <c r="G2388" t="s">
        <v>2654</v>
      </c>
      <c r="H2388" s="2">
        <v>45701</v>
      </c>
      <c r="I2388" s="2">
        <v>45731</v>
      </c>
      <c r="J2388" t="s">
        <v>20</v>
      </c>
      <c r="K2388" s="21">
        <v>267</v>
      </c>
      <c r="L2388" s="21">
        <v>267</v>
      </c>
      <c r="M2388">
        <v>11</v>
      </c>
      <c r="N2388" s="21">
        <v>267</v>
      </c>
    </row>
    <row r="2389" spans="1:14">
      <c r="A2389" t="str">
        <f>IFERROR(_xlfn.XLOOKUP(B2389,Cuentas!$C$1:$C$521,Cuentas!$A$1:$A$521),"")</f>
        <v>Yuldor</v>
      </c>
      <c r="B2389" t="s">
        <v>2152</v>
      </c>
      <c r="C2389" t="s">
        <v>2153</v>
      </c>
      <c r="D2389" t="s">
        <v>16</v>
      </c>
      <c r="E2389" t="s">
        <v>7</v>
      </c>
      <c r="F2389" t="s">
        <v>2655</v>
      </c>
      <c r="G2389" t="s">
        <v>2655</v>
      </c>
      <c r="H2389" s="2">
        <v>45701</v>
      </c>
      <c r="I2389" s="2">
        <v>45731</v>
      </c>
      <c r="J2389" t="s">
        <v>20</v>
      </c>
      <c r="K2389" s="21">
        <v>1885.3</v>
      </c>
      <c r="L2389" s="21">
        <v>1885.3</v>
      </c>
      <c r="M2389">
        <v>11</v>
      </c>
      <c r="N2389" s="21">
        <v>1885.3</v>
      </c>
    </row>
    <row r="2390" spans="1:14">
      <c r="A2390" t="str">
        <f>IFERROR(_xlfn.XLOOKUP(B2390,Cuentas!$C$1:$C$521,Cuentas!$A$1:$A$521),"")</f>
        <v>Yuldor</v>
      </c>
      <c r="B2390" t="s">
        <v>2152</v>
      </c>
      <c r="C2390" t="s">
        <v>2153</v>
      </c>
      <c r="D2390" t="s">
        <v>16</v>
      </c>
      <c r="E2390" t="s">
        <v>7</v>
      </c>
      <c r="F2390" t="s">
        <v>2656</v>
      </c>
      <c r="G2390" t="s">
        <v>2656</v>
      </c>
      <c r="H2390" s="2">
        <v>45701</v>
      </c>
      <c r="I2390" s="2">
        <v>45731</v>
      </c>
      <c r="J2390" t="s">
        <v>20</v>
      </c>
      <c r="K2390" s="21">
        <v>144.43</v>
      </c>
      <c r="L2390" s="21">
        <v>144.43</v>
      </c>
      <c r="M2390">
        <v>11</v>
      </c>
      <c r="N2390" s="21">
        <v>144.43</v>
      </c>
    </row>
    <row r="2391" spans="1:14">
      <c r="A2391" t="str">
        <f>IFERROR(_xlfn.XLOOKUP(B2391,Cuentas!$C$1:$C$521,Cuentas!$A$1:$A$521),"")</f>
        <v>Yuldor</v>
      </c>
      <c r="B2391" t="s">
        <v>2152</v>
      </c>
      <c r="C2391" t="s">
        <v>2153</v>
      </c>
      <c r="D2391" t="s">
        <v>16</v>
      </c>
      <c r="E2391" t="s">
        <v>7</v>
      </c>
      <c r="F2391" t="s">
        <v>2657</v>
      </c>
      <c r="G2391" t="s">
        <v>2657</v>
      </c>
      <c r="H2391" s="2">
        <v>45701</v>
      </c>
      <c r="I2391" s="2">
        <v>45731</v>
      </c>
      <c r="J2391" t="s">
        <v>20</v>
      </c>
      <c r="K2391" s="21">
        <v>57.3</v>
      </c>
      <c r="L2391" s="21">
        <v>57.3</v>
      </c>
      <c r="M2391">
        <v>11</v>
      </c>
      <c r="N2391" s="21">
        <v>57.3</v>
      </c>
    </row>
    <row r="2392" spans="1:14">
      <c r="A2392" t="str">
        <f>IFERROR(_xlfn.XLOOKUP(B2392,Cuentas!$C$1:$C$521,Cuentas!$A$1:$A$521),"")</f>
        <v>Yuldor</v>
      </c>
      <c r="B2392" t="s">
        <v>2152</v>
      </c>
      <c r="C2392" t="s">
        <v>2153</v>
      </c>
      <c r="D2392" t="s">
        <v>16</v>
      </c>
      <c r="E2392" t="s">
        <v>7</v>
      </c>
      <c r="F2392" t="s">
        <v>2658</v>
      </c>
      <c r="G2392" t="s">
        <v>2658</v>
      </c>
      <c r="H2392" s="2">
        <v>45702</v>
      </c>
      <c r="I2392" s="2">
        <v>45732</v>
      </c>
      <c r="J2392" t="s">
        <v>20</v>
      </c>
      <c r="K2392" s="21">
        <v>415.1</v>
      </c>
      <c r="L2392" s="21">
        <v>415.1</v>
      </c>
      <c r="M2392">
        <v>12</v>
      </c>
      <c r="N2392" s="21">
        <v>415.1</v>
      </c>
    </row>
    <row r="2393" spans="1:14">
      <c r="A2393" t="str">
        <f>IFERROR(_xlfn.XLOOKUP(B2393,Cuentas!$C$1:$C$521,Cuentas!$A$1:$A$521),"")</f>
        <v>Yuldor</v>
      </c>
      <c r="B2393" t="s">
        <v>2152</v>
      </c>
      <c r="C2393" t="s">
        <v>2153</v>
      </c>
      <c r="D2393" t="s">
        <v>16</v>
      </c>
      <c r="E2393" t="s">
        <v>7</v>
      </c>
      <c r="F2393" t="s">
        <v>2659</v>
      </c>
      <c r="G2393" t="s">
        <v>2659</v>
      </c>
      <c r="H2393" s="2">
        <v>45702</v>
      </c>
      <c r="I2393" s="2">
        <v>45732</v>
      </c>
      <c r="J2393" t="s">
        <v>20</v>
      </c>
      <c r="K2393" s="21">
        <v>322</v>
      </c>
      <c r="L2393" s="21">
        <v>322</v>
      </c>
      <c r="M2393">
        <v>12</v>
      </c>
      <c r="N2393" s="21">
        <v>322</v>
      </c>
    </row>
    <row r="2394" spans="1:14">
      <c r="A2394" t="str">
        <f>IFERROR(_xlfn.XLOOKUP(B2394,Cuentas!$C$1:$C$521,Cuentas!$A$1:$A$521),"")</f>
        <v>Yuldor</v>
      </c>
      <c r="B2394" t="s">
        <v>2152</v>
      </c>
      <c r="C2394" t="s">
        <v>2153</v>
      </c>
      <c r="D2394" t="s">
        <v>16</v>
      </c>
      <c r="E2394" t="s">
        <v>7</v>
      </c>
      <c r="F2394" t="s">
        <v>2660</v>
      </c>
      <c r="G2394" t="s">
        <v>2660</v>
      </c>
      <c r="H2394" s="2">
        <v>45702</v>
      </c>
      <c r="I2394" s="2">
        <v>45732</v>
      </c>
      <c r="J2394" t="s">
        <v>20</v>
      </c>
      <c r="K2394" s="21">
        <v>154.5</v>
      </c>
      <c r="L2394" s="21">
        <v>154.5</v>
      </c>
      <c r="M2394">
        <v>12</v>
      </c>
      <c r="N2394" s="21">
        <v>154.5</v>
      </c>
    </row>
    <row r="2395" spans="1:14">
      <c r="A2395" t="str">
        <f>IFERROR(_xlfn.XLOOKUP(B2395,Cuentas!$C$1:$C$521,Cuentas!$A$1:$A$521),"")</f>
        <v>Yuldor</v>
      </c>
      <c r="B2395" t="s">
        <v>2152</v>
      </c>
      <c r="C2395" t="s">
        <v>2153</v>
      </c>
      <c r="D2395" t="s">
        <v>16</v>
      </c>
      <c r="E2395" t="s">
        <v>7</v>
      </c>
      <c r="F2395" t="s">
        <v>2661</v>
      </c>
      <c r="G2395" t="s">
        <v>2661</v>
      </c>
      <c r="H2395" s="2">
        <v>45702</v>
      </c>
      <c r="I2395" s="2">
        <v>45732</v>
      </c>
      <c r="J2395" t="s">
        <v>20</v>
      </c>
      <c r="K2395" s="21">
        <v>533</v>
      </c>
      <c r="L2395" s="21">
        <v>533</v>
      </c>
      <c r="M2395">
        <v>12</v>
      </c>
      <c r="N2395" s="21">
        <v>533</v>
      </c>
    </row>
    <row r="2396" spans="1:14">
      <c r="A2396" t="str">
        <f>IFERROR(_xlfn.XLOOKUP(B2396,Cuentas!$C$1:$C$521,Cuentas!$A$1:$A$521),"")</f>
        <v>Yuldor</v>
      </c>
      <c r="B2396" t="s">
        <v>2152</v>
      </c>
      <c r="C2396" t="s">
        <v>2153</v>
      </c>
      <c r="D2396" t="s">
        <v>16</v>
      </c>
      <c r="E2396" t="s">
        <v>7</v>
      </c>
      <c r="F2396" t="s">
        <v>2662</v>
      </c>
      <c r="G2396" t="s">
        <v>2662</v>
      </c>
      <c r="H2396" s="2">
        <v>45702</v>
      </c>
      <c r="I2396" s="2">
        <v>45732</v>
      </c>
      <c r="J2396" t="s">
        <v>20</v>
      </c>
      <c r="K2396" s="21">
        <v>187</v>
      </c>
      <c r="L2396" s="21">
        <v>187</v>
      </c>
      <c r="M2396">
        <v>12</v>
      </c>
      <c r="N2396" s="21">
        <v>187</v>
      </c>
    </row>
    <row r="2397" spans="1:14">
      <c r="A2397" t="str">
        <f>IFERROR(_xlfn.XLOOKUP(B2397,Cuentas!$C$1:$C$521,Cuentas!$A$1:$A$521),"")</f>
        <v>Yuldor</v>
      </c>
      <c r="B2397" t="s">
        <v>2152</v>
      </c>
      <c r="C2397" t="s">
        <v>2153</v>
      </c>
      <c r="D2397" t="s">
        <v>16</v>
      </c>
      <c r="E2397" t="s">
        <v>7</v>
      </c>
      <c r="F2397" t="s">
        <v>2663</v>
      </c>
      <c r="G2397" t="s">
        <v>2663</v>
      </c>
      <c r="H2397" s="2">
        <v>45702</v>
      </c>
      <c r="I2397" s="2">
        <v>45732</v>
      </c>
      <c r="J2397" t="s">
        <v>20</v>
      </c>
      <c r="K2397" s="21">
        <v>913</v>
      </c>
      <c r="L2397" s="21">
        <v>913</v>
      </c>
      <c r="M2397">
        <v>12</v>
      </c>
      <c r="N2397" s="21">
        <v>913</v>
      </c>
    </row>
    <row r="2398" spans="1:14">
      <c r="A2398" t="str">
        <f>IFERROR(_xlfn.XLOOKUP(B2398,Cuentas!$C$1:$C$521,Cuentas!$A$1:$A$521),"")</f>
        <v>Yuldor</v>
      </c>
      <c r="B2398" t="s">
        <v>2152</v>
      </c>
      <c r="C2398" t="s">
        <v>2153</v>
      </c>
      <c r="D2398" t="s">
        <v>16</v>
      </c>
      <c r="E2398" t="s">
        <v>7</v>
      </c>
      <c r="F2398" t="s">
        <v>2664</v>
      </c>
      <c r="G2398" t="s">
        <v>2664</v>
      </c>
      <c r="H2398" s="2">
        <v>45702</v>
      </c>
      <c r="I2398" s="2">
        <v>45732</v>
      </c>
      <c r="J2398" t="s">
        <v>20</v>
      </c>
      <c r="K2398" s="21">
        <v>154.5</v>
      </c>
      <c r="L2398" s="21">
        <v>154.5</v>
      </c>
      <c r="M2398">
        <v>12</v>
      </c>
      <c r="N2398" s="21">
        <v>154.5</v>
      </c>
    </row>
    <row r="2399" spans="1:14">
      <c r="A2399" t="str">
        <f>IFERROR(_xlfn.XLOOKUP(B2399,Cuentas!$C$1:$C$521,Cuentas!$A$1:$A$521),"")</f>
        <v>Yuldor</v>
      </c>
      <c r="B2399" t="s">
        <v>2152</v>
      </c>
      <c r="C2399" t="s">
        <v>2153</v>
      </c>
      <c r="D2399" t="s">
        <v>16</v>
      </c>
      <c r="E2399" t="s">
        <v>7</v>
      </c>
      <c r="F2399" t="s">
        <v>2665</v>
      </c>
      <c r="G2399" t="s">
        <v>2665</v>
      </c>
      <c r="H2399" s="2">
        <v>45702</v>
      </c>
      <c r="I2399" s="2">
        <v>45732</v>
      </c>
      <c r="J2399" t="s">
        <v>20</v>
      </c>
      <c r="K2399" s="21">
        <v>457</v>
      </c>
      <c r="L2399" s="21">
        <v>457</v>
      </c>
      <c r="M2399">
        <v>12</v>
      </c>
      <c r="N2399" s="21">
        <v>457</v>
      </c>
    </row>
    <row r="2400" spans="1:14">
      <c r="A2400" t="str">
        <f>IFERROR(_xlfn.XLOOKUP(B2400,Cuentas!$C$1:$C$521,Cuentas!$A$1:$A$521),"")</f>
        <v>Yuldor</v>
      </c>
      <c r="B2400" t="s">
        <v>2152</v>
      </c>
      <c r="C2400" t="s">
        <v>2153</v>
      </c>
      <c r="D2400" t="s">
        <v>16</v>
      </c>
      <c r="E2400" t="s">
        <v>7</v>
      </c>
      <c r="F2400" t="s">
        <v>2666</v>
      </c>
      <c r="G2400" t="s">
        <v>2666</v>
      </c>
      <c r="H2400" s="2">
        <v>45702</v>
      </c>
      <c r="I2400" s="2">
        <v>45732</v>
      </c>
      <c r="J2400" t="s">
        <v>20</v>
      </c>
      <c r="K2400" s="21">
        <v>578.59</v>
      </c>
      <c r="L2400" s="21">
        <v>578.59</v>
      </c>
      <c r="M2400">
        <v>12</v>
      </c>
      <c r="N2400" s="21">
        <v>578.59</v>
      </c>
    </row>
    <row r="2401" spans="1:14">
      <c r="A2401" t="str">
        <f>IFERROR(_xlfn.XLOOKUP(B2401,Cuentas!$C$1:$C$521,Cuentas!$A$1:$A$521),"")</f>
        <v>Yuldor</v>
      </c>
      <c r="B2401" t="s">
        <v>2152</v>
      </c>
      <c r="C2401" t="s">
        <v>2153</v>
      </c>
      <c r="D2401" t="s">
        <v>16</v>
      </c>
      <c r="E2401" t="s">
        <v>7</v>
      </c>
      <c r="F2401" t="s">
        <v>2667</v>
      </c>
      <c r="G2401" t="s">
        <v>2667</v>
      </c>
      <c r="H2401" s="2">
        <v>45702</v>
      </c>
      <c r="I2401" s="2">
        <v>45732</v>
      </c>
      <c r="J2401" t="s">
        <v>20</v>
      </c>
      <c r="K2401" s="21">
        <v>309</v>
      </c>
      <c r="L2401" s="21">
        <v>309</v>
      </c>
      <c r="M2401">
        <v>12</v>
      </c>
      <c r="N2401" s="21">
        <v>309</v>
      </c>
    </row>
    <row r="2402" spans="1:14">
      <c r="A2402" t="str">
        <f>IFERROR(_xlfn.XLOOKUP(B2402,Cuentas!$C$1:$C$521,Cuentas!$A$1:$A$521),"")</f>
        <v>Yuldor</v>
      </c>
      <c r="B2402" t="s">
        <v>2152</v>
      </c>
      <c r="C2402" t="s">
        <v>2153</v>
      </c>
      <c r="D2402" t="s">
        <v>16</v>
      </c>
      <c r="E2402" t="s">
        <v>7</v>
      </c>
      <c r="F2402" t="s">
        <v>2668</v>
      </c>
      <c r="G2402" t="s">
        <v>2668</v>
      </c>
      <c r="H2402" s="2">
        <v>45702</v>
      </c>
      <c r="I2402" s="2">
        <v>45732</v>
      </c>
      <c r="J2402" t="s">
        <v>20</v>
      </c>
      <c r="K2402" s="21">
        <v>480.69</v>
      </c>
      <c r="L2402" s="21">
        <v>480.69</v>
      </c>
      <c r="M2402">
        <v>12</v>
      </c>
      <c r="N2402" s="21">
        <v>480.69</v>
      </c>
    </row>
    <row r="2403" spans="1:14">
      <c r="A2403" t="str">
        <f>IFERROR(_xlfn.XLOOKUP(B2403,Cuentas!$C$1:$C$521,Cuentas!$A$1:$A$521),"")</f>
        <v>Yuldor</v>
      </c>
      <c r="B2403" t="s">
        <v>2152</v>
      </c>
      <c r="C2403" t="s">
        <v>2153</v>
      </c>
      <c r="D2403" t="s">
        <v>16</v>
      </c>
      <c r="E2403" t="s">
        <v>7</v>
      </c>
      <c r="F2403" t="s">
        <v>2669</v>
      </c>
      <c r="G2403" t="s">
        <v>2669</v>
      </c>
      <c r="H2403" s="2">
        <v>45702</v>
      </c>
      <c r="I2403" s="2">
        <v>45732</v>
      </c>
      <c r="J2403" t="s">
        <v>20</v>
      </c>
      <c r="K2403" s="21">
        <v>267.10000000000002</v>
      </c>
      <c r="L2403" s="21">
        <v>267.10000000000002</v>
      </c>
      <c r="M2403">
        <v>12</v>
      </c>
      <c r="N2403" s="21">
        <v>267.10000000000002</v>
      </c>
    </row>
    <row r="2404" spans="1:14">
      <c r="A2404" t="str">
        <f>IFERROR(_xlfn.XLOOKUP(B2404,Cuentas!$C$1:$C$521,Cuentas!$A$1:$A$521),"")</f>
        <v>Yuldor</v>
      </c>
      <c r="B2404" t="s">
        <v>2152</v>
      </c>
      <c r="C2404" t="s">
        <v>2153</v>
      </c>
      <c r="D2404" t="s">
        <v>16</v>
      </c>
      <c r="E2404" t="s">
        <v>7</v>
      </c>
      <c r="F2404" t="s">
        <v>2670</v>
      </c>
      <c r="G2404" t="s">
        <v>2670</v>
      </c>
      <c r="H2404" s="2">
        <v>45702</v>
      </c>
      <c r="I2404" s="2">
        <v>45732</v>
      </c>
      <c r="J2404" t="s">
        <v>20</v>
      </c>
      <c r="K2404" s="21">
        <v>434.96</v>
      </c>
      <c r="L2404" s="21">
        <v>434.96</v>
      </c>
      <c r="M2404">
        <v>12</v>
      </c>
      <c r="N2404" s="21">
        <v>434.96</v>
      </c>
    </row>
    <row r="2405" spans="1:14">
      <c r="A2405" t="str">
        <f>IFERROR(_xlfn.XLOOKUP(B2405,Cuentas!$C$1:$C$521,Cuentas!$A$1:$A$521),"")</f>
        <v>Yuldor</v>
      </c>
      <c r="B2405" t="s">
        <v>2152</v>
      </c>
      <c r="C2405" t="s">
        <v>2153</v>
      </c>
      <c r="D2405" t="s">
        <v>16</v>
      </c>
      <c r="E2405" t="s">
        <v>7</v>
      </c>
      <c r="F2405" t="s">
        <v>2671</v>
      </c>
      <c r="G2405" t="s">
        <v>2671</v>
      </c>
      <c r="H2405" s="2">
        <v>45702</v>
      </c>
      <c r="I2405" s="2">
        <v>45732</v>
      </c>
      <c r="J2405" t="s">
        <v>20</v>
      </c>
      <c r="K2405" s="21">
        <v>184</v>
      </c>
      <c r="L2405" s="21">
        <v>184</v>
      </c>
      <c r="M2405">
        <v>12</v>
      </c>
      <c r="N2405" s="21">
        <v>184</v>
      </c>
    </row>
    <row r="2406" spans="1:14">
      <c r="A2406" t="str">
        <f>IFERROR(_xlfn.XLOOKUP(B2406,Cuentas!$C$1:$C$521,Cuentas!$A$1:$A$521),"")</f>
        <v>Yuldor</v>
      </c>
      <c r="B2406" t="s">
        <v>2152</v>
      </c>
      <c r="C2406" t="s">
        <v>2153</v>
      </c>
      <c r="D2406" t="s">
        <v>16</v>
      </c>
      <c r="E2406" t="s">
        <v>7</v>
      </c>
      <c r="F2406" t="s">
        <v>2672</v>
      </c>
      <c r="G2406" t="s">
        <v>2672</v>
      </c>
      <c r="H2406" s="2">
        <v>45706</v>
      </c>
      <c r="I2406" s="2">
        <v>45736</v>
      </c>
      <c r="J2406" t="s">
        <v>20</v>
      </c>
      <c r="K2406" s="21">
        <v>139.1</v>
      </c>
      <c r="L2406" s="21">
        <v>139.1</v>
      </c>
      <c r="M2406">
        <v>12</v>
      </c>
      <c r="N2406" s="21">
        <v>139.1</v>
      </c>
    </row>
    <row r="2407" spans="1:14">
      <c r="A2407" t="str">
        <f>IFERROR(_xlfn.XLOOKUP(B2407,Cuentas!$C$1:$C$521,Cuentas!$A$1:$A$521),"")</f>
        <v>Yuldor</v>
      </c>
      <c r="B2407" t="s">
        <v>2152</v>
      </c>
      <c r="C2407" t="s">
        <v>2153</v>
      </c>
      <c r="D2407" t="s">
        <v>16</v>
      </c>
      <c r="E2407" t="s">
        <v>7</v>
      </c>
      <c r="F2407" t="s">
        <v>2673</v>
      </c>
      <c r="G2407" t="s">
        <v>2673</v>
      </c>
      <c r="H2407" s="2">
        <v>45707</v>
      </c>
      <c r="I2407" s="2">
        <v>45737</v>
      </c>
      <c r="J2407" t="s">
        <v>20</v>
      </c>
      <c r="K2407" s="21">
        <v>368</v>
      </c>
      <c r="L2407" s="21">
        <v>368</v>
      </c>
      <c r="M2407">
        <v>12</v>
      </c>
      <c r="N2407" s="21">
        <v>368</v>
      </c>
    </row>
    <row r="2408" spans="1:14">
      <c r="A2408" t="str">
        <f>IFERROR(_xlfn.XLOOKUP(B2408,Cuentas!$C$1:$C$521,Cuentas!$A$1:$A$521),"")</f>
        <v>Yuldor</v>
      </c>
      <c r="B2408" t="s">
        <v>2152</v>
      </c>
      <c r="C2408" t="s">
        <v>2153</v>
      </c>
      <c r="D2408" t="s">
        <v>16</v>
      </c>
      <c r="E2408" t="s">
        <v>7</v>
      </c>
      <c r="F2408" t="s">
        <v>2674</v>
      </c>
      <c r="G2408" t="s">
        <v>2674</v>
      </c>
      <c r="H2408" s="2">
        <v>45707</v>
      </c>
      <c r="I2408" s="2">
        <v>45737</v>
      </c>
      <c r="J2408" t="s">
        <v>20</v>
      </c>
      <c r="K2408" s="21">
        <v>622</v>
      </c>
      <c r="L2408" s="21">
        <v>622</v>
      </c>
      <c r="M2408">
        <v>12</v>
      </c>
      <c r="N2408" s="21">
        <v>622</v>
      </c>
    </row>
    <row r="2409" spans="1:14">
      <c r="A2409" t="str">
        <f>IFERROR(_xlfn.XLOOKUP(B2409,Cuentas!$C$1:$C$521,Cuentas!$A$1:$A$521),"")</f>
        <v>Yuldor</v>
      </c>
      <c r="B2409" t="s">
        <v>2152</v>
      </c>
      <c r="C2409" t="s">
        <v>2153</v>
      </c>
      <c r="D2409" t="s">
        <v>16</v>
      </c>
      <c r="E2409" t="s">
        <v>7</v>
      </c>
      <c r="F2409" t="s">
        <v>2675</v>
      </c>
      <c r="G2409" t="s">
        <v>2675</v>
      </c>
      <c r="H2409" s="2">
        <v>45707</v>
      </c>
      <c r="I2409" s="2">
        <v>45737</v>
      </c>
      <c r="J2409" t="s">
        <v>20</v>
      </c>
      <c r="K2409" s="21">
        <v>148</v>
      </c>
      <c r="L2409" s="21">
        <v>148</v>
      </c>
      <c r="M2409">
        <v>12</v>
      </c>
      <c r="N2409" s="21">
        <v>148</v>
      </c>
    </row>
    <row r="2410" spans="1:14">
      <c r="A2410" t="str">
        <f>IFERROR(_xlfn.XLOOKUP(B2410,Cuentas!$C$1:$C$521,Cuentas!$A$1:$A$521),"")</f>
        <v>Yuldor</v>
      </c>
      <c r="B2410" t="s">
        <v>2152</v>
      </c>
      <c r="C2410" t="s">
        <v>2153</v>
      </c>
      <c r="D2410" t="s">
        <v>16</v>
      </c>
      <c r="E2410" t="s">
        <v>7</v>
      </c>
      <c r="F2410" t="s">
        <v>2676</v>
      </c>
      <c r="G2410" t="s">
        <v>2676</v>
      </c>
      <c r="H2410" s="2">
        <v>45707</v>
      </c>
      <c r="I2410" s="2">
        <v>45737</v>
      </c>
      <c r="J2410" t="s">
        <v>20</v>
      </c>
      <c r="K2410" s="21">
        <v>148</v>
      </c>
      <c r="L2410" s="21">
        <v>148</v>
      </c>
      <c r="M2410">
        <v>12</v>
      </c>
      <c r="N2410" s="21">
        <v>148</v>
      </c>
    </row>
    <row r="2411" spans="1:14">
      <c r="A2411" t="str">
        <f>IFERROR(_xlfn.XLOOKUP(B2411,Cuentas!$C$1:$C$521,Cuentas!$A$1:$A$521),"")</f>
        <v>Yuldor</v>
      </c>
      <c r="B2411" t="s">
        <v>2152</v>
      </c>
      <c r="C2411" t="s">
        <v>2153</v>
      </c>
      <c r="D2411" t="s">
        <v>16</v>
      </c>
      <c r="E2411" t="s">
        <v>7</v>
      </c>
      <c r="F2411" t="s">
        <v>2677</v>
      </c>
      <c r="G2411" t="s">
        <v>2677</v>
      </c>
      <c r="H2411" s="2">
        <v>45707</v>
      </c>
      <c r="I2411" s="2">
        <v>45737</v>
      </c>
      <c r="J2411" t="s">
        <v>20</v>
      </c>
      <c r="K2411" s="21">
        <v>1332</v>
      </c>
      <c r="L2411" s="21">
        <v>1332</v>
      </c>
      <c r="M2411">
        <v>12</v>
      </c>
      <c r="N2411" s="21">
        <v>1332</v>
      </c>
    </row>
    <row r="2412" spans="1:14">
      <c r="A2412" t="str">
        <f>IFERROR(_xlfn.XLOOKUP(B2412,Cuentas!$C$1:$C$521,Cuentas!$A$1:$A$521),"")</f>
        <v>Yuldor</v>
      </c>
      <c r="B2412" t="s">
        <v>2152</v>
      </c>
      <c r="C2412" t="s">
        <v>2153</v>
      </c>
      <c r="D2412" t="s">
        <v>16</v>
      </c>
      <c r="E2412" t="s">
        <v>7</v>
      </c>
      <c r="F2412" t="s">
        <v>2678</v>
      </c>
      <c r="G2412" t="s">
        <v>2678</v>
      </c>
      <c r="H2412" s="2">
        <v>45707</v>
      </c>
      <c r="I2412" s="2">
        <v>45737</v>
      </c>
      <c r="J2412" t="s">
        <v>20</v>
      </c>
      <c r="K2412" s="21">
        <v>548</v>
      </c>
      <c r="L2412" s="21">
        <v>548</v>
      </c>
      <c r="M2412">
        <v>12</v>
      </c>
      <c r="N2412" s="21">
        <v>548</v>
      </c>
    </row>
    <row r="2413" spans="1:14">
      <c r="A2413" t="str">
        <f>IFERROR(_xlfn.XLOOKUP(B2413,Cuentas!$C$1:$C$521,Cuentas!$A$1:$A$521),"")</f>
        <v>Yuldor</v>
      </c>
      <c r="B2413" t="s">
        <v>2152</v>
      </c>
      <c r="C2413" t="s">
        <v>2153</v>
      </c>
      <c r="D2413" t="s">
        <v>16</v>
      </c>
      <c r="E2413" t="s">
        <v>7</v>
      </c>
      <c r="F2413" t="s">
        <v>2679</v>
      </c>
      <c r="G2413" t="s">
        <v>2679</v>
      </c>
      <c r="H2413" s="2">
        <v>45707</v>
      </c>
      <c r="I2413" s="2">
        <v>45737</v>
      </c>
      <c r="J2413" t="s">
        <v>20</v>
      </c>
      <c r="K2413" s="21">
        <v>282</v>
      </c>
      <c r="L2413" s="21">
        <v>282</v>
      </c>
      <c r="M2413">
        <v>12</v>
      </c>
      <c r="N2413" s="21">
        <v>282</v>
      </c>
    </row>
    <row r="2414" spans="1:14">
      <c r="A2414" t="str">
        <f>IFERROR(_xlfn.XLOOKUP(B2414,Cuentas!$C$1:$C$521,Cuentas!$A$1:$A$521),"")</f>
        <v>Yuldor</v>
      </c>
      <c r="B2414" t="s">
        <v>2152</v>
      </c>
      <c r="C2414" t="s">
        <v>2153</v>
      </c>
      <c r="D2414" t="s">
        <v>16</v>
      </c>
      <c r="E2414" t="s">
        <v>7</v>
      </c>
      <c r="F2414" t="s">
        <v>2680</v>
      </c>
      <c r="G2414" t="s">
        <v>2680</v>
      </c>
      <c r="H2414" s="2">
        <v>45707</v>
      </c>
      <c r="I2414" s="2">
        <v>45737</v>
      </c>
      <c r="J2414" t="s">
        <v>20</v>
      </c>
      <c r="K2414" s="21">
        <v>1066</v>
      </c>
      <c r="L2414" s="21">
        <v>1066</v>
      </c>
      <c r="M2414">
        <v>12</v>
      </c>
      <c r="N2414" s="21">
        <v>1066</v>
      </c>
    </row>
    <row r="2415" spans="1:14">
      <c r="A2415" t="str">
        <f>IFERROR(_xlfn.XLOOKUP(B2415,Cuentas!$C$1:$C$521,Cuentas!$A$1:$A$521),"")</f>
        <v>Yuldor</v>
      </c>
      <c r="B2415" t="s">
        <v>2152</v>
      </c>
      <c r="C2415" t="s">
        <v>2153</v>
      </c>
      <c r="D2415" t="s">
        <v>16</v>
      </c>
      <c r="E2415" t="s">
        <v>7</v>
      </c>
      <c r="F2415" t="s">
        <v>2681</v>
      </c>
      <c r="G2415" t="s">
        <v>2681</v>
      </c>
      <c r="H2415" s="2">
        <v>45707</v>
      </c>
      <c r="I2415" s="2">
        <v>45737</v>
      </c>
      <c r="J2415" t="s">
        <v>20</v>
      </c>
      <c r="K2415" s="21">
        <v>153</v>
      </c>
      <c r="L2415" s="21">
        <v>153</v>
      </c>
      <c r="M2415">
        <v>12</v>
      </c>
      <c r="N2415" s="21">
        <v>153</v>
      </c>
    </row>
    <row r="2416" spans="1:14">
      <c r="A2416" t="str">
        <f>IFERROR(_xlfn.XLOOKUP(B2416,Cuentas!$C$1:$C$521,Cuentas!$A$1:$A$521),"")</f>
        <v>Yuldor</v>
      </c>
      <c r="B2416" t="s">
        <v>2152</v>
      </c>
      <c r="C2416" t="s">
        <v>2153</v>
      </c>
      <c r="D2416" t="s">
        <v>16</v>
      </c>
      <c r="E2416" t="s">
        <v>7</v>
      </c>
      <c r="F2416" t="s">
        <v>2682</v>
      </c>
      <c r="G2416" t="s">
        <v>2682</v>
      </c>
      <c r="H2416" s="2">
        <v>45708</v>
      </c>
      <c r="I2416" s="2">
        <v>45738</v>
      </c>
      <c r="J2416" t="s">
        <v>20</v>
      </c>
      <c r="K2416" s="21">
        <v>62</v>
      </c>
      <c r="L2416" s="21">
        <v>62</v>
      </c>
      <c r="M2416">
        <v>12</v>
      </c>
      <c r="N2416" s="21">
        <v>62</v>
      </c>
    </row>
    <row r="2417" spans="1:14">
      <c r="A2417" t="str">
        <f>IFERROR(_xlfn.XLOOKUP(B2417,Cuentas!$C$1:$C$521,Cuentas!$A$1:$A$521),"")</f>
        <v>Yuldor</v>
      </c>
      <c r="B2417" t="s">
        <v>2152</v>
      </c>
      <c r="C2417" t="s">
        <v>2153</v>
      </c>
      <c r="D2417" t="s">
        <v>16</v>
      </c>
      <c r="E2417" t="s">
        <v>7</v>
      </c>
      <c r="F2417" t="s">
        <v>2683</v>
      </c>
      <c r="G2417" t="s">
        <v>2683</v>
      </c>
      <c r="H2417" s="2">
        <v>45708</v>
      </c>
      <c r="I2417" s="2">
        <v>45738</v>
      </c>
      <c r="J2417" t="s">
        <v>20</v>
      </c>
      <c r="K2417" s="21">
        <v>716</v>
      </c>
      <c r="L2417" s="21">
        <v>716</v>
      </c>
      <c r="M2417">
        <v>12</v>
      </c>
      <c r="N2417" s="21">
        <v>716</v>
      </c>
    </row>
    <row r="2418" spans="1:14">
      <c r="A2418" t="str">
        <f>IFERROR(_xlfn.XLOOKUP(B2418,Cuentas!$C$1:$C$521,Cuentas!$A$1:$A$521),"")</f>
        <v>Yuldor</v>
      </c>
      <c r="B2418" t="s">
        <v>2152</v>
      </c>
      <c r="C2418" t="s">
        <v>2153</v>
      </c>
      <c r="D2418" t="s">
        <v>16</v>
      </c>
      <c r="E2418" t="s">
        <v>7</v>
      </c>
      <c r="F2418" t="s">
        <v>2684</v>
      </c>
      <c r="G2418" t="s">
        <v>2684</v>
      </c>
      <c r="H2418" s="2">
        <v>45708</v>
      </c>
      <c r="I2418" s="2">
        <v>45738</v>
      </c>
      <c r="J2418" t="s">
        <v>20</v>
      </c>
      <c r="K2418" s="21">
        <v>159.5</v>
      </c>
      <c r="L2418" s="21">
        <v>159.5</v>
      </c>
      <c r="M2418">
        <v>12</v>
      </c>
      <c r="N2418" s="21">
        <v>159.5</v>
      </c>
    </row>
    <row r="2419" spans="1:14">
      <c r="A2419" t="str">
        <f>IFERROR(_xlfn.XLOOKUP(B2419,Cuentas!$C$1:$C$521,Cuentas!$A$1:$A$521),"")</f>
        <v>Yuldor</v>
      </c>
      <c r="B2419" t="s">
        <v>2152</v>
      </c>
      <c r="C2419" t="s">
        <v>2153</v>
      </c>
      <c r="D2419" t="s">
        <v>16</v>
      </c>
      <c r="E2419" t="s">
        <v>7</v>
      </c>
      <c r="F2419" t="s">
        <v>2685</v>
      </c>
      <c r="G2419" t="s">
        <v>2685</v>
      </c>
      <c r="H2419" s="2">
        <v>45712</v>
      </c>
      <c r="I2419" s="2">
        <v>45742</v>
      </c>
      <c r="J2419" t="s">
        <v>20</v>
      </c>
      <c r="K2419" s="21">
        <v>543</v>
      </c>
      <c r="L2419" s="21">
        <v>543</v>
      </c>
      <c r="M2419">
        <v>13</v>
      </c>
      <c r="N2419" s="21">
        <v>543</v>
      </c>
    </row>
    <row r="2420" spans="1:14">
      <c r="A2420" t="str">
        <f>IFERROR(_xlfn.XLOOKUP(B2420,Cuentas!$C$1:$C$521,Cuentas!$A$1:$A$521),"")</f>
        <v>Yuldor</v>
      </c>
      <c r="B2420" t="s">
        <v>2152</v>
      </c>
      <c r="C2420" t="s">
        <v>2153</v>
      </c>
      <c r="D2420" t="s">
        <v>16</v>
      </c>
      <c r="E2420" t="s">
        <v>7</v>
      </c>
      <c r="F2420" t="s">
        <v>2686</v>
      </c>
      <c r="G2420" t="s">
        <v>2686</v>
      </c>
      <c r="H2420" s="2">
        <v>45713</v>
      </c>
      <c r="I2420" s="2">
        <v>45743</v>
      </c>
      <c r="J2420" t="s">
        <v>20</v>
      </c>
      <c r="K2420" s="21">
        <v>275</v>
      </c>
      <c r="L2420" s="21">
        <v>275</v>
      </c>
      <c r="M2420">
        <v>13</v>
      </c>
      <c r="N2420" s="21">
        <v>275</v>
      </c>
    </row>
    <row r="2421" spans="1:14">
      <c r="A2421" t="str">
        <f>IFERROR(_xlfn.XLOOKUP(B2421,Cuentas!$C$1:$C$521,Cuentas!$A$1:$A$521),"")</f>
        <v>Yuldor</v>
      </c>
      <c r="B2421" t="s">
        <v>2152</v>
      </c>
      <c r="C2421" t="s">
        <v>2153</v>
      </c>
      <c r="D2421" t="s">
        <v>16</v>
      </c>
      <c r="E2421" t="s">
        <v>7</v>
      </c>
      <c r="F2421" t="s">
        <v>2687</v>
      </c>
      <c r="G2421" t="s">
        <v>2687</v>
      </c>
      <c r="H2421" s="2">
        <v>45713</v>
      </c>
      <c r="I2421" s="2">
        <v>45743</v>
      </c>
      <c r="J2421" t="s">
        <v>20</v>
      </c>
      <c r="K2421" s="21">
        <v>148</v>
      </c>
      <c r="L2421" s="21">
        <v>148</v>
      </c>
      <c r="M2421">
        <v>13</v>
      </c>
      <c r="N2421" s="21">
        <v>148</v>
      </c>
    </row>
    <row r="2422" spans="1:14">
      <c r="A2422" t="str">
        <f>IFERROR(_xlfn.XLOOKUP(B2422,Cuentas!$C$1:$C$521,Cuentas!$A$1:$A$521),"")</f>
        <v>Yuldor</v>
      </c>
      <c r="B2422" t="s">
        <v>2152</v>
      </c>
      <c r="C2422" t="s">
        <v>2153</v>
      </c>
      <c r="D2422" t="s">
        <v>16</v>
      </c>
      <c r="E2422" t="s">
        <v>7</v>
      </c>
      <c r="F2422" t="s">
        <v>2688</v>
      </c>
      <c r="G2422" t="s">
        <v>2688</v>
      </c>
      <c r="H2422" s="2">
        <v>45713</v>
      </c>
      <c r="I2422" s="2">
        <v>45743</v>
      </c>
      <c r="J2422" t="s">
        <v>20</v>
      </c>
      <c r="K2422" s="21">
        <v>536</v>
      </c>
      <c r="L2422" s="21">
        <v>536</v>
      </c>
      <c r="M2422">
        <v>13</v>
      </c>
      <c r="N2422" s="21">
        <v>536</v>
      </c>
    </row>
    <row r="2423" spans="1:14">
      <c r="A2423" t="str">
        <f>IFERROR(_xlfn.XLOOKUP(B2423,Cuentas!$C$1:$C$521,Cuentas!$A$1:$A$521),"")</f>
        <v>Yuldor</v>
      </c>
      <c r="B2423" t="s">
        <v>2152</v>
      </c>
      <c r="C2423" t="s">
        <v>2153</v>
      </c>
      <c r="D2423" t="s">
        <v>16</v>
      </c>
      <c r="E2423" t="s">
        <v>7</v>
      </c>
      <c r="F2423" t="s">
        <v>2689</v>
      </c>
      <c r="G2423" t="s">
        <v>2689</v>
      </c>
      <c r="H2423" s="2">
        <v>45713</v>
      </c>
      <c r="I2423" s="2">
        <v>45743</v>
      </c>
      <c r="J2423" t="s">
        <v>20</v>
      </c>
      <c r="K2423" s="21">
        <v>154.5</v>
      </c>
      <c r="L2423" s="21">
        <v>154.5</v>
      </c>
      <c r="M2423">
        <v>13</v>
      </c>
      <c r="N2423" s="21">
        <v>154.5</v>
      </c>
    </row>
    <row r="2424" spans="1:14">
      <c r="A2424" t="str">
        <f>IFERROR(_xlfn.XLOOKUP(B2424,Cuentas!$C$1:$C$521,Cuentas!$A$1:$A$521),"")</f>
        <v>Yuldor</v>
      </c>
      <c r="B2424" t="s">
        <v>2152</v>
      </c>
      <c r="C2424" t="s">
        <v>2153</v>
      </c>
      <c r="D2424" t="s">
        <v>16</v>
      </c>
      <c r="E2424" t="s">
        <v>7</v>
      </c>
      <c r="F2424" t="s">
        <v>2690</v>
      </c>
      <c r="G2424" t="s">
        <v>2690</v>
      </c>
      <c r="H2424" s="2">
        <v>45713</v>
      </c>
      <c r="I2424" s="2">
        <v>45743</v>
      </c>
      <c r="J2424" t="s">
        <v>20</v>
      </c>
      <c r="K2424" s="21">
        <v>367</v>
      </c>
      <c r="L2424" s="21">
        <v>367</v>
      </c>
      <c r="M2424">
        <v>13</v>
      </c>
      <c r="N2424" s="21">
        <v>367</v>
      </c>
    </row>
    <row r="2425" spans="1:14">
      <c r="A2425" t="str">
        <f>IFERROR(_xlfn.XLOOKUP(B2425,Cuentas!$C$1:$C$521,Cuentas!$A$1:$A$521),"")</f>
        <v>Yuldor</v>
      </c>
      <c r="B2425" t="s">
        <v>2152</v>
      </c>
      <c r="C2425" t="s">
        <v>2153</v>
      </c>
      <c r="D2425" t="s">
        <v>16</v>
      </c>
      <c r="E2425" t="s">
        <v>7</v>
      </c>
      <c r="F2425" t="s">
        <v>2691</v>
      </c>
      <c r="G2425" t="s">
        <v>2691</v>
      </c>
      <c r="H2425" s="2">
        <v>45714</v>
      </c>
      <c r="I2425" s="2">
        <v>45744</v>
      </c>
      <c r="J2425" t="s">
        <v>20</v>
      </c>
      <c r="K2425" s="21">
        <v>206.8</v>
      </c>
      <c r="L2425" s="21">
        <v>206.8</v>
      </c>
      <c r="M2425">
        <v>13</v>
      </c>
      <c r="N2425" s="21">
        <v>206.8</v>
      </c>
    </row>
    <row r="2426" spans="1:14">
      <c r="A2426" t="str">
        <f>IFERROR(_xlfn.XLOOKUP(B2426,Cuentas!$C$1:$C$521,Cuentas!$A$1:$A$521),"")</f>
        <v>Yuldor</v>
      </c>
      <c r="B2426" t="s">
        <v>2152</v>
      </c>
      <c r="C2426" t="s">
        <v>2153</v>
      </c>
      <c r="D2426" t="s">
        <v>16</v>
      </c>
      <c r="E2426" t="s">
        <v>7</v>
      </c>
      <c r="F2426" t="s">
        <v>2692</v>
      </c>
      <c r="G2426" t="s">
        <v>2692</v>
      </c>
      <c r="H2426" s="2">
        <v>45714</v>
      </c>
      <c r="I2426" s="2">
        <v>45744</v>
      </c>
      <c r="J2426" t="s">
        <v>20</v>
      </c>
      <c r="K2426" s="21">
        <v>315.3</v>
      </c>
      <c r="L2426" s="21">
        <v>315.3</v>
      </c>
      <c r="M2426">
        <v>13</v>
      </c>
      <c r="N2426" s="21">
        <v>315.3</v>
      </c>
    </row>
    <row r="2427" spans="1:14">
      <c r="A2427" t="str">
        <f>IFERROR(_xlfn.XLOOKUP(B2427,Cuentas!$C$1:$C$521,Cuentas!$A$1:$A$521),"")</f>
        <v>Yuldor</v>
      </c>
      <c r="B2427" t="s">
        <v>2152</v>
      </c>
      <c r="C2427" t="s">
        <v>2153</v>
      </c>
      <c r="D2427" t="s">
        <v>16</v>
      </c>
      <c r="E2427" t="s">
        <v>7</v>
      </c>
      <c r="F2427" t="s">
        <v>2693</v>
      </c>
      <c r="G2427" t="s">
        <v>2693</v>
      </c>
      <c r="H2427" s="2">
        <v>45714</v>
      </c>
      <c r="I2427" s="2">
        <v>45744</v>
      </c>
      <c r="J2427" t="s">
        <v>20</v>
      </c>
      <c r="K2427" s="21">
        <v>113.6</v>
      </c>
      <c r="L2427" s="21">
        <v>113.6</v>
      </c>
      <c r="M2427">
        <v>13</v>
      </c>
      <c r="N2427" s="21">
        <v>113.6</v>
      </c>
    </row>
    <row r="2428" spans="1:14">
      <c r="A2428" t="str">
        <f>IFERROR(_xlfn.XLOOKUP(B2428,Cuentas!$C$1:$C$521,Cuentas!$A$1:$A$521),"")</f>
        <v>Yuldor</v>
      </c>
      <c r="B2428" t="s">
        <v>2152</v>
      </c>
      <c r="C2428" t="s">
        <v>2153</v>
      </c>
      <c r="D2428" t="s">
        <v>16</v>
      </c>
      <c r="E2428" t="s">
        <v>7</v>
      </c>
      <c r="F2428" t="s">
        <v>2694</v>
      </c>
      <c r="G2428" t="s">
        <v>2694</v>
      </c>
      <c r="H2428" s="2">
        <v>45714</v>
      </c>
      <c r="I2428" s="2">
        <v>45744</v>
      </c>
      <c r="J2428" t="s">
        <v>20</v>
      </c>
      <c r="K2428" s="21">
        <v>198.8</v>
      </c>
      <c r="L2428" s="21">
        <v>198.8</v>
      </c>
      <c r="M2428">
        <v>13</v>
      </c>
      <c r="N2428" s="21">
        <v>198.8</v>
      </c>
    </row>
    <row r="2429" spans="1:14">
      <c r="A2429" t="str">
        <f>IFERROR(_xlfn.XLOOKUP(B2429,Cuentas!$C$1:$C$521,Cuentas!$A$1:$A$521),"")</f>
        <v>Yuldor</v>
      </c>
      <c r="B2429" t="s">
        <v>2152</v>
      </c>
      <c r="C2429" t="s">
        <v>2153</v>
      </c>
      <c r="D2429" t="s">
        <v>16</v>
      </c>
      <c r="E2429" t="s">
        <v>7</v>
      </c>
      <c r="F2429" t="s">
        <v>2695</v>
      </c>
      <c r="G2429" t="s">
        <v>2695</v>
      </c>
      <c r="H2429" s="2">
        <v>45714</v>
      </c>
      <c r="I2429" s="2">
        <v>45744</v>
      </c>
      <c r="J2429" t="s">
        <v>20</v>
      </c>
      <c r="K2429" s="21">
        <v>590.6</v>
      </c>
      <c r="L2429" s="21">
        <v>590.6</v>
      </c>
      <c r="M2429">
        <v>13</v>
      </c>
      <c r="N2429" s="21">
        <v>590.6</v>
      </c>
    </row>
    <row r="2430" spans="1:14">
      <c r="A2430" t="str">
        <f>IFERROR(_xlfn.XLOOKUP(B2430,Cuentas!$C$1:$C$521,Cuentas!$A$1:$A$521),"")</f>
        <v>Yuldor</v>
      </c>
      <c r="B2430" t="s">
        <v>2152</v>
      </c>
      <c r="C2430" t="s">
        <v>2153</v>
      </c>
      <c r="D2430" t="s">
        <v>16</v>
      </c>
      <c r="E2430" t="s">
        <v>7</v>
      </c>
      <c r="F2430" t="s">
        <v>2696</v>
      </c>
      <c r="G2430" t="s">
        <v>2696</v>
      </c>
      <c r="H2430" s="2">
        <v>45714</v>
      </c>
      <c r="I2430" s="2">
        <v>45744</v>
      </c>
      <c r="J2430" t="s">
        <v>20</v>
      </c>
      <c r="K2430" s="21">
        <v>842.1</v>
      </c>
      <c r="L2430" s="21">
        <v>842.1</v>
      </c>
      <c r="M2430">
        <v>13</v>
      </c>
      <c r="N2430" s="21">
        <v>842.1</v>
      </c>
    </row>
    <row r="2431" spans="1:14">
      <c r="A2431" t="str">
        <f>IFERROR(_xlfn.XLOOKUP(B2431,Cuentas!$C$1:$C$521,Cuentas!$A$1:$A$521),"")</f>
        <v>Yuldor</v>
      </c>
      <c r="B2431" t="s">
        <v>2152</v>
      </c>
      <c r="C2431" t="s">
        <v>2153</v>
      </c>
      <c r="D2431" t="s">
        <v>16</v>
      </c>
      <c r="E2431" t="s">
        <v>7</v>
      </c>
      <c r="F2431" t="s">
        <v>2697</v>
      </c>
      <c r="G2431" t="s">
        <v>2697</v>
      </c>
      <c r="H2431" s="2">
        <v>45714</v>
      </c>
      <c r="I2431" s="2">
        <v>45744</v>
      </c>
      <c r="J2431" t="s">
        <v>20</v>
      </c>
      <c r="K2431" s="21">
        <v>345.3</v>
      </c>
      <c r="L2431" s="21">
        <v>345.3</v>
      </c>
      <c r="M2431">
        <v>13</v>
      </c>
      <c r="N2431" s="21">
        <v>345.3</v>
      </c>
    </row>
    <row r="2432" spans="1:14">
      <c r="A2432" t="str">
        <f>IFERROR(_xlfn.XLOOKUP(B2432,Cuentas!$C$1:$C$521,Cuentas!$A$1:$A$521),"")</f>
        <v>Yuldor</v>
      </c>
      <c r="B2432" t="s">
        <v>2152</v>
      </c>
      <c r="C2432" t="s">
        <v>2153</v>
      </c>
      <c r="D2432" t="s">
        <v>16</v>
      </c>
      <c r="E2432" t="s">
        <v>7</v>
      </c>
      <c r="F2432" t="s">
        <v>2698</v>
      </c>
      <c r="G2432" t="s">
        <v>2698</v>
      </c>
      <c r="H2432" s="2">
        <v>45714</v>
      </c>
      <c r="I2432" s="2">
        <v>45744</v>
      </c>
      <c r="J2432" t="s">
        <v>20</v>
      </c>
      <c r="K2432" s="21">
        <v>216.8</v>
      </c>
      <c r="L2432" s="21">
        <v>216.8</v>
      </c>
      <c r="M2432">
        <v>13</v>
      </c>
      <c r="N2432" s="21">
        <v>216.8</v>
      </c>
    </row>
    <row r="2433" spans="1:14">
      <c r="A2433" t="str">
        <f>IFERROR(_xlfn.XLOOKUP(B2433,Cuentas!$C$1:$C$521,Cuentas!$A$1:$A$521),"")</f>
        <v>Yuldor</v>
      </c>
      <c r="B2433" t="s">
        <v>2152</v>
      </c>
      <c r="C2433" t="s">
        <v>2153</v>
      </c>
      <c r="D2433" t="s">
        <v>16</v>
      </c>
      <c r="E2433" t="s">
        <v>7</v>
      </c>
      <c r="F2433" t="s">
        <v>2699</v>
      </c>
      <c r="G2433" t="s">
        <v>2699</v>
      </c>
      <c r="H2433" s="2">
        <v>45714</v>
      </c>
      <c r="I2433" s="2">
        <v>45744</v>
      </c>
      <c r="J2433" t="s">
        <v>20</v>
      </c>
      <c r="K2433" s="21">
        <v>209.2</v>
      </c>
      <c r="L2433" s="21">
        <v>209.2</v>
      </c>
      <c r="M2433">
        <v>13</v>
      </c>
      <c r="N2433" s="21">
        <v>209.2</v>
      </c>
    </row>
    <row r="2434" spans="1:14">
      <c r="A2434" t="str">
        <f>IFERROR(_xlfn.XLOOKUP(B2434,Cuentas!$C$1:$C$521,Cuentas!$A$1:$A$521),"")</f>
        <v>Yuldor</v>
      </c>
      <c r="B2434" t="s">
        <v>2152</v>
      </c>
      <c r="C2434" t="s">
        <v>2153</v>
      </c>
      <c r="D2434" t="s">
        <v>16</v>
      </c>
      <c r="E2434" t="s">
        <v>7</v>
      </c>
      <c r="F2434" t="s">
        <v>2700</v>
      </c>
      <c r="G2434" t="s">
        <v>2700</v>
      </c>
      <c r="H2434" s="2">
        <v>45714</v>
      </c>
      <c r="I2434" s="2">
        <v>45744</v>
      </c>
      <c r="J2434" t="s">
        <v>20</v>
      </c>
      <c r="K2434" s="21">
        <v>203.8</v>
      </c>
      <c r="L2434" s="21">
        <v>203.8</v>
      </c>
      <c r="M2434">
        <v>13</v>
      </c>
      <c r="N2434" s="21">
        <v>203.8</v>
      </c>
    </row>
    <row r="2435" spans="1:14">
      <c r="A2435" t="str">
        <f>IFERROR(_xlfn.XLOOKUP(B2435,Cuentas!$C$1:$C$521,Cuentas!$A$1:$A$521),"")</f>
        <v>Yuldor</v>
      </c>
      <c r="B2435" t="s">
        <v>2152</v>
      </c>
      <c r="C2435" t="s">
        <v>2153</v>
      </c>
      <c r="D2435" t="s">
        <v>16</v>
      </c>
      <c r="E2435" t="s">
        <v>7</v>
      </c>
      <c r="F2435" t="s">
        <v>2701</v>
      </c>
      <c r="G2435" t="s">
        <v>2701</v>
      </c>
      <c r="H2435" s="2">
        <v>45714</v>
      </c>
      <c r="I2435" s="2">
        <v>45744</v>
      </c>
      <c r="J2435" t="s">
        <v>20</v>
      </c>
      <c r="K2435" s="21">
        <v>57.3</v>
      </c>
      <c r="L2435" s="21">
        <v>57.3</v>
      </c>
      <c r="M2435">
        <v>13</v>
      </c>
      <c r="N2435" s="21">
        <v>57.3</v>
      </c>
    </row>
    <row r="2436" spans="1:14">
      <c r="A2436" t="str">
        <f>IFERROR(_xlfn.XLOOKUP(B2436,Cuentas!$C$1:$C$521,Cuentas!$A$1:$A$521),"")</f>
        <v>Yuldor</v>
      </c>
      <c r="B2436" t="s">
        <v>2152</v>
      </c>
      <c r="C2436" t="s">
        <v>2153</v>
      </c>
      <c r="D2436" t="s">
        <v>16</v>
      </c>
      <c r="E2436" t="s">
        <v>7</v>
      </c>
      <c r="F2436" t="s">
        <v>2702</v>
      </c>
      <c r="G2436" t="s">
        <v>2702</v>
      </c>
      <c r="H2436" s="2">
        <v>45714</v>
      </c>
      <c r="I2436" s="2">
        <v>45744</v>
      </c>
      <c r="J2436" t="s">
        <v>20</v>
      </c>
      <c r="K2436" s="21">
        <v>1032</v>
      </c>
      <c r="L2436" s="21">
        <v>1032</v>
      </c>
      <c r="M2436">
        <v>13</v>
      </c>
      <c r="N2436" s="21">
        <v>1032</v>
      </c>
    </row>
    <row r="2437" spans="1:14">
      <c r="A2437" t="str">
        <f>IFERROR(_xlfn.XLOOKUP(B2437,Cuentas!$C$1:$C$521,Cuentas!$A$1:$A$521),"")</f>
        <v>Yuldor</v>
      </c>
      <c r="B2437" t="s">
        <v>2152</v>
      </c>
      <c r="C2437" t="s">
        <v>2153</v>
      </c>
      <c r="D2437" t="s">
        <v>16</v>
      </c>
      <c r="E2437" t="s">
        <v>7</v>
      </c>
      <c r="F2437" t="s">
        <v>2703</v>
      </c>
      <c r="G2437" t="s">
        <v>2703</v>
      </c>
      <c r="H2437" s="2">
        <v>45714</v>
      </c>
      <c r="I2437" s="2">
        <v>45744</v>
      </c>
      <c r="J2437" t="s">
        <v>20</v>
      </c>
      <c r="K2437" s="21">
        <v>206.8</v>
      </c>
      <c r="L2437" s="21">
        <v>206.8</v>
      </c>
      <c r="M2437">
        <v>13</v>
      </c>
      <c r="N2437" s="21">
        <v>206.8</v>
      </c>
    </row>
    <row r="2438" spans="1:14">
      <c r="A2438" t="str">
        <f>IFERROR(_xlfn.XLOOKUP(B2438,Cuentas!$C$1:$C$521,Cuentas!$A$1:$A$521),"")</f>
        <v>Yuldor</v>
      </c>
      <c r="B2438" t="s">
        <v>2152</v>
      </c>
      <c r="C2438" t="s">
        <v>2153</v>
      </c>
      <c r="D2438" t="s">
        <v>16</v>
      </c>
      <c r="E2438" t="s">
        <v>7</v>
      </c>
      <c r="F2438" t="s">
        <v>2704</v>
      </c>
      <c r="G2438" t="s">
        <v>2704</v>
      </c>
      <c r="H2438" s="2">
        <v>45714</v>
      </c>
      <c r="I2438" s="2">
        <v>45744</v>
      </c>
      <c r="J2438" t="s">
        <v>20</v>
      </c>
      <c r="K2438" s="21">
        <v>273.10000000000002</v>
      </c>
      <c r="L2438" s="21">
        <v>273.10000000000002</v>
      </c>
      <c r="M2438">
        <v>13</v>
      </c>
      <c r="N2438" s="21">
        <v>273.10000000000002</v>
      </c>
    </row>
    <row r="2439" spans="1:14">
      <c r="A2439" t="str">
        <f>IFERROR(_xlfn.XLOOKUP(B2439,Cuentas!$C$1:$C$521,Cuentas!$A$1:$A$521),"")</f>
        <v>Yuldor</v>
      </c>
      <c r="B2439" t="s">
        <v>2152</v>
      </c>
      <c r="C2439" t="s">
        <v>2153</v>
      </c>
      <c r="D2439" t="s">
        <v>16</v>
      </c>
      <c r="E2439" t="s">
        <v>7</v>
      </c>
      <c r="F2439" t="s">
        <v>2705</v>
      </c>
      <c r="G2439" t="s">
        <v>2705</v>
      </c>
      <c r="H2439" s="2">
        <v>45714</v>
      </c>
      <c r="I2439" s="2">
        <v>45744</v>
      </c>
      <c r="J2439" t="s">
        <v>20</v>
      </c>
      <c r="K2439" s="21">
        <v>198.8</v>
      </c>
      <c r="L2439" s="21">
        <v>198.8</v>
      </c>
      <c r="M2439">
        <v>13</v>
      </c>
      <c r="N2439" s="21">
        <v>198.8</v>
      </c>
    </row>
    <row r="2440" spans="1:14">
      <c r="A2440" t="str">
        <f>IFERROR(_xlfn.XLOOKUP(B2440,Cuentas!$C$1:$C$521,Cuentas!$A$1:$A$521),"")</f>
        <v>Yuldor</v>
      </c>
      <c r="B2440" t="s">
        <v>2152</v>
      </c>
      <c r="C2440" t="s">
        <v>2153</v>
      </c>
      <c r="D2440" t="s">
        <v>16</v>
      </c>
      <c r="E2440" t="s">
        <v>7</v>
      </c>
      <c r="F2440" t="s">
        <v>2706</v>
      </c>
      <c r="G2440" t="s">
        <v>2706</v>
      </c>
      <c r="H2440" s="2">
        <v>45714</v>
      </c>
      <c r="I2440" s="2">
        <v>45744</v>
      </c>
      <c r="J2440" t="s">
        <v>20</v>
      </c>
      <c r="K2440" s="21">
        <v>864.2</v>
      </c>
      <c r="L2440" s="21">
        <v>864.2</v>
      </c>
      <c r="M2440">
        <v>13</v>
      </c>
      <c r="N2440" s="21">
        <v>864.2</v>
      </c>
    </row>
    <row r="2441" spans="1:14">
      <c r="A2441" t="str">
        <f>IFERROR(_xlfn.XLOOKUP(B2441,Cuentas!$C$1:$C$521,Cuentas!$A$1:$A$521),"")</f>
        <v>Yuldor</v>
      </c>
      <c r="B2441" t="s">
        <v>2152</v>
      </c>
      <c r="C2441" t="s">
        <v>2153</v>
      </c>
      <c r="D2441" t="s">
        <v>16</v>
      </c>
      <c r="E2441" t="s">
        <v>7</v>
      </c>
      <c r="F2441" t="s">
        <v>2707</v>
      </c>
      <c r="G2441" t="s">
        <v>2707</v>
      </c>
      <c r="H2441" s="2">
        <v>45714</v>
      </c>
      <c r="I2441" s="2">
        <v>45744</v>
      </c>
      <c r="J2441" t="s">
        <v>20</v>
      </c>
      <c r="K2441" s="21">
        <v>388.2</v>
      </c>
      <c r="L2441" s="21">
        <v>388.2</v>
      </c>
      <c r="M2441">
        <v>13</v>
      </c>
      <c r="N2441" s="21">
        <v>388.2</v>
      </c>
    </row>
    <row r="2442" spans="1:14">
      <c r="A2442" t="str">
        <f>IFERROR(_xlfn.XLOOKUP(B2442,Cuentas!$C$1:$C$521,Cuentas!$A$1:$A$521),"")</f>
        <v>Yuldor</v>
      </c>
      <c r="B2442" t="s">
        <v>2152</v>
      </c>
      <c r="C2442" t="s">
        <v>2153</v>
      </c>
      <c r="D2442" t="s">
        <v>16</v>
      </c>
      <c r="E2442" t="s">
        <v>7</v>
      </c>
      <c r="F2442" t="s">
        <v>2708</v>
      </c>
      <c r="G2442" t="s">
        <v>2708</v>
      </c>
      <c r="H2442" s="2">
        <v>45714</v>
      </c>
      <c r="I2442" s="2">
        <v>45744</v>
      </c>
      <c r="J2442" t="s">
        <v>20</v>
      </c>
      <c r="K2442" s="21">
        <v>201.8</v>
      </c>
      <c r="L2442" s="21">
        <v>201.8</v>
      </c>
      <c r="M2442">
        <v>13</v>
      </c>
      <c r="N2442" s="21">
        <v>201.8</v>
      </c>
    </row>
    <row r="2443" spans="1:14">
      <c r="A2443" t="str">
        <f>IFERROR(_xlfn.XLOOKUP(B2443,Cuentas!$C$1:$C$521,Cuentas!$A$1:$A$521),"")</f>
        <v>Yuldor</v>
      </c>
      <c r="B2443" t="s">
        <v>2152</v>
      </c>
      <c r="C2443" t="s">
        <v>2153</v>
      </c>
      <c r="D2443" t="s">
        <v>16</v>
      </c>
      <c r="E2443" t="s">
        <v>7</v>
      </c>
      <c r="F2443" t="s">
        <v>2709</v>
      </c>
      <c r="G2443" t="s">
        <v>2709</v>
      </c>
      <c r="H2443" s="2">
        <v>45716</v>
      </c>
      <c r="I2443" s="2">
        <v>45746</v>
      </c>
      <c r="J2443" t="s">
        <v>20</v>
      </c>
      <c r="K2443" s="21">
        <v>1375</v>
      </c>
      <c r="L2443" s="21">
        <v>1375</v>
      </c>
      <c r="M2443">
        <v>13</v>
      </c>
      <c r="N2443" s="21">
        <v>1375</v>
      </c>
    </row>
    <row r="2444" spans="1:14">
      <c r="A2444" t="str">
        <f>IFERROR(_xlfn.XLOOKUP(B2444,Cuentas!$C$1:$C$521,Cuentas!$A$1:$A$521),"")</f>
        <v>Yuldor</v>
      </c>
      <c r="B2444" t="s">
        <v>2152</v>
      </c>
      <c r="C2444" t="s">
        <v>2153</v>
      </c>
      <c r="D2444" t="s">
        <v>16</v>
      </c>
      <c r="E2444" t="s">
        <v>7</v>
      </c>
      <c r="F2444" t="s">
        <v>2710</v>
      </c>
      <c r="G2444" t="s">
        <v>2710</v>
      </c>
      <c r="H2444" s="2">
        <v>45716</v>
      </c>
      <c r="I2444" s="2">
        <v>45746</v>
      </c>
      <c r="J2444" t="s">
        <v>20</v>
      </c>
      <c r="K2444" s="21">
        <v>92</v>
      </c>
      <c r="L2444" s="21">
        <v>92</v>
      </c>
      <c r="M2444">
        <v>13</v>
      </c>
      <c r="N2444" s="21">
        <v>92</v>
      </c>
    </row>
    <row r="2445" spans="1:14">
      <c r="A2445" t="str">
        <f>IFERROR(_xlfn.XLOOKUP(B2445,Cuentas!$C$1:$C$521,Cuentas!$A$1:$A$521),"")</f>
        <v>Yuldor</v>
      </c>
      <c r="B2445" t="s">
        <v>2152</v>
      </c>
      <c r="C2445" t="s">
        <v>2153</v>
      </c>
      <c r="D2445" t="s">
        <v>16</v>
      </c>
      <c r="E2445" t="s">
        <v>7</v>
      </c>
      <c r="F2445" t="s">
        <v>2711</v>
      </c>
      <c r="G2445" t="s">
        <v>2711</v>
      </c>
      <c r="H2445" s="2">
        <v>45716</v>
      </c>
      <c r="I2445" s="2">
        <v>45746</v>
      </c>
      <c r="J2445" t="s">
        <v>20</v>
      </c>
      <c r="K2445" s="21">
        <v>309</v>
      </c>
      <c r="L2445" s="21">
        <v>309</v>
      </c>
      <c r="M2445">
        <v>13</v>
      </c>
      <c r="N2445" s="21">
        <v>309</v>
      </c>
    </row>
    <row r="2446" spans="1:14">
      <c r="A2446" t="str">
        <f>IFERROR(_xlfn.XLOOKUP(B2446,Cuentas!$C$1:$C$521,Cuentas!$A$1:$A$521),"")</f>
        <v>Yuldor</v>
      </c>
      <c r="B2446" t="s">
        <v>2152</v>
      </c>
      <c r="C2446" t="s">
        <v>2153</v>
      </c>
      <c r="D2446" t="s">
        <v>16</v>
      </c>
      <c r="E2446" t="s">
        <v>7</v>
      </c>
      <c r="F2446" t="s">
        <v>2712</v>
      </c>
      <c r="G2446" t="s">
        <v>2712</v>
      </c>
      <c r="H2446" s="2">
        <v>45716</v>
      </c>
      <c r="I2446" s="2">
        <v>45746</v>
      </c>
      <c r="J2446" t="s">
        <v>20</v>
      </c>
      <c r="K2446" s="21">
        <v>537</v>
      </c>
      <c r="L2446" s="21">
        <v>537</v>
      </c>
      <c r="M2446">
        <v>13</v>
      </c>
      <c r="N2446" s="21">
        <v>537</v>
      </c>
    </row>
    <row r="2447" spans="1:14">
      <c r="A2447" t="str">
        <f>IFERROR(_xlfn.XLOOKUP(B2447,Cuentas!$C$1:$C$521,Cuentas!$A$1:$A$521),"")</f>
        <v>Yuldor</v>
      </c>
      <c r="B2447" t="s">
        <v>2152</v>
      </c>
      <c r="C2447" t="s">
        <v>2153</v>
      </c>
      <c r="D2447" t="s">
        <v>16</v>
      </c>
      <c r="E2447" t="s">
        <v>7</v>
      </c>
      <c r="F2447" t="s">
        <v>2713</v>
      </c>
      <c r="G2447" t="s">
        <v>2713</v>
      </c>
      <c r="H2447" s="2">
        <v>45716</v>
      </c>
      <c r="I2447" s="2">
        <v>45746</v>
      </c>
      <c r="J2447" t="s">
        <v>20</v>
      </c>
      <c r="K2447" s="21">
        <v>356</v>
      </c>
      <c r="L2447" s="21">
        <v>356</v>
      </c>
      <c r="M2447">
        <v>13</v>
      </c>
      <c r="N2447" s="21">
        <v>356</v>
      </c>
    </row>
    <row r="2448" spans="1:14">
      <c r="A2448" t="str">
        <f>IFERROR(_xlfn.XLOOKUP(B2448,Cuentas!$C$1:$C$521,Cuentas!$A$1:$A$521),"")</f>
        <v>Yuldor</v>
      </c>
      <c r="B2448" t="s">
        <v>2152</v>
      </c>
      <c r="C2448" t="s">
        <v>2153</v>
      </c>
      <c r="D2448" t="s">
        <v>16</v>
      </c>
      <c r="E2448" t="s">
        <v>7</v>
      </c>
      <c r="F2448" t="s">
        <v>2714</v>
      </c>
      <c r="G2448" t="s">
        <v>2714</v>
      </c>
      <c r="H2448" s="2">
        <v>45716</v>
      </c>
      <c r="I2448" s="2">
        <v>45746</v>
      </c>
      <c r="J2448" t="s">
        <v>20</v>
      </c>
      <c r="K2448" s="21">
        <v>81.06</v>
      </c>
      <c r="L2448" s="21">
        <v>81.06</v>
      </c>
      <c r="M2448">
        <v>13</v>
      </c>
      <c r="N2448" s="21">
        <v>81.06</v>
      </c>
    </row>
    <row r="2449" spans="1:14">
      <c r="A2449" t="str">
        <f>IFERROR(_xlfn.XLOOKUP(B2449,Cuentas!$C$1:$C$521,Cuentas!$A$1:$A$521),"")</f>
        <v>Yuldor</v>
      </c>
      <c r="B2449" t="s">
        <v>2152</v>
      </c>
      <c r="C2449" t="s">
        <v>2153</v>
      </c>
      <c r="D2449" t="s">
        <v>16</v>
      </c>
      <c r="E2449" t="s">
        <v>7</v>
      </c>
      <c r="F2449" t="s">
        <v>2715</v>
      </c>
      <c r="G2449" t="s">
        <v>2715</v>
      </c>
      <c r="H2449" s="2">
        <v>45716</v>
      </c>
      <c r="I2449" s="2">
        <v>45746</v>
      </c>
      <c r="J2449" t="s">
        <v>20</v>
      </c>
      <c r="K2449" s="21">
        <v>159.5</v>
      </c>
      <c r="L2449" s="21">
        <v>159.5</v>
      </c>
      <c r="M2449">
        <v>13</v>
      </c>
      <c r="N2449" s="21">
        <v>159.5</v>
      </c>
    </row>
    <row r="2450" spans="1:14">
      <c r="A2450" t="str">
        <f>IFERROR(_xlfn.XLOOKUP(B2450,Cuentas!$C$1:$C$521,Cuentas!$A$1:$A$521),"")</f>
        <v>Yuldor</v>
      </c>
      <c r="B2450" t="s">
        <v>2152</v>
      </c>
      <c r="C2450" t="s">
        <v>2153</v>
      </c>
      <c r="D2450" t="s">
        <v>16</v>
      </c>
      <c r="E2450" t="s">
        <v>7</v>
      </c>
      <c r="F2450" t="s">
        <v>2716</v>
      </c>
      <c r="G2450" t="s">
        <v>2716</v>
      </c>
      <c r="H2450" s="2">
        <v>45716</v>
      </c>
      <c r="I2450" s="2">
        <v>45746</v>
      </c>
      <c r="J2450" t="s">
        <v>20</v>
      </c>
      <c r="K2450" s="21">
        <v>309</v>
      </c>
      <c r="L2450" s="21">
        <v>309</v>
      </c>
      <c r="M2450">
        <v>13</v>
      </c>
      <c r="N2450" s="21">
        <v>309</v>
      </c>
    </row>
    <row r="2451" spans="1:14">
      <c r="A2451" t="str">
        <f>IFERROR(_xlfn.XLOOKUP(B2451,Cuentas!$C$1:$C$521,Cuentas!$A$1:$A$521),"")</f>
        <v>Yuldor</v>
      </c>
      <c r="B2451" t="s">
        <v>2152</v>
      </c>
      <c r="C2451" t="s">
        <v>2153</v>
      </c>
      <c r="D2451" t="s">
        <v>16</v>
      </c>
      <c r="E2451" t="s">
        <v>7</v>
      </c>
      <c r="F2451" t="s">
        <v>2717</v>
      </c>
      <c r="G2451" t="s">
        <v>2717</v>
      </c>
      <c r="H2451" s="2">
        <v>45716</v>
      </c>
      <c r="I2451" s="2">
        <v>45746</v>
      </c>
      <c r="J2451" t="s">
        <v>20</v>
      </c>
      <c r="K2451" s="21">
        <v>154.5</v>
      </c>
      <c r="L2451" s="21">
        <v>154.5</v>
      </c>
      <c r="M2451">
        <v>13</v>
      </c>
      <c r="N2451" s="21">
        <v>154.5</v>
      </c>
    </row>
    <row r="2452" spans="1:14">
      <c r="A2452" t="str">
        <f>IFERROR(_xlfn.XLOOKUP(B2452,Cuentas!$C$1:$C$521,Cuentas!$A$1:$A$521),"")</f>
        <v>Yuldor</v>
      </c>
      <c r="B2452" t="s">
        <v>2152</v>
      </c>
      <c r="C2452" t="s">
        <v>2153</v>
      </c>
      <c r="D2452" t="s">
        <v>16</v>
      </c>
      <c r="E2452" t="s">
        <v>7</v>
      </c>
      <c r="F2452" t="s">
        <v>2718</v>
      </c>
      <c r="G2452" t="s">
        <v>2718</v>
      </c>
      <c r="H2452" s="2">
        <v>45716</v>
      </c>
      <c r="I2452" s="2">
        <v>45746</v>
      </c>
      <c r="J2452" t="s">
        <v>20</v>
      </c>
      <c r="K2452" s="21">
        <v>259.10000000000002</v>
      </c>
      <c r="L2452" s="21">
        <v>259.10000000000002</v>
      </c>
      <c r="M2452">
        <v>13</v>
      </c>
      <c r="N2452" s="21">
        <v>259.10000000000002</v>
      </c>
    </row>
    <row r="2453" spans="1:14">
      <c r="A2453" t="str">
        <f>IFERROR(_xlfn.XLOOKUP(B2453,Cuentas!$C$1:$C$521,Cuentas!$A$1:$A$521),"")</f>
        <v>Yuldor</v>
      </c>
      <c r="B2453" t="s">
        <v>2152</v>
      </c>
      <c r="C2453" t="s">
        <v>2153</v>
      </c>
      <c r="D2453" t="s">
        <v>16</v>
      </c>
      <c r="E2453" t="s">
        <v>7</v>
      </c>
      <c r="F2453" t="s">
        <v>2719</v>
      </c>
      <c r="G2453" t="s">
        <v>2719</v>
      </c>
      <c r="H2453" s="2">
        <v>45716</v>
      </c>
      <c r="I2453" s="2">
        <v>45746</v>
      </c>
      <c r="J2453" t="s">
        <v>20</v>
      </c>
      <c r="K2453" s="21">
        <v>365</v>
      </c>
      <c r="L2453" s="21">
        <v>365</v>
      </c>
      <c r="M2453">
        <v>13</v>
      </c>
      <c r="N2453" s="21">
        <v>365</v>
      </c>
    </row>
    <row r="2454" spans="1:14">
      <c r="A2454" t="str">
        <f>IFERROR(_xlfn.XLOOKUP(B2454,Cuentas!$C$1:$C$521,Cuentas!$A$1:$A$521),"")</f>
        <v>Yuldor</v>
      </c>
      <c r="B2454" t="s">
        <v>2152</v>
      </c>
      <c r="C2454" t="s">
        <v>2153</v>
      </c>
      <c r="D2454" t="s">
        <v>16</v>
      </c>
      <c r="E2454" t="s">
        <v>7</v>
      </c>
      <c r="F2454" t="s">
        <v>2720</v>
      </c>
      <c r="G2454" t="s">
        <v>2720</v>
      </c>
      <c r="H2454" s="2">
        <v>45716</v>
      </c>
      <c r="I2454" s="2">
        <v>45746</v>
      </c>
      <c r="J2454" t="s">
        <v>20</v>
      </c>
      <c r="K2454" s="21">
        <v>226.2</v>
      </c>
      <c r="L2454" s="21">
        <v>226.2</v>
      </c>
      <c r="M2454">
        <v>13</v>
      </c>
      <c r="N2454" s="21">
        <v>226.2</v>
      </c>
    </row>
    <row r="2455" spans="1:14">
      <c r="A2455" t="str">
        <f>IFERROR(_xlfn.XLOOKUP(B2455,Cuentas!$C$1:$C$521,Cuentas!$A$1:$A$521),"")</f>
        <v>Yuldor</v>
      </c>
      <c r="B2455" t="s">
        <v>2152</v>
      </c>
      <c r="C2455" t="s">
        <v>2153</v>
      </c>
      <c r="D2455" t="s">
        <v>16</v>
      </c>
      <c r="E2455" t="s">
        <v>7</v>
      </c>
      <c r="F2455" t="s">
        <v>2721</v>
      </c>
      <c r="G2455" t="s">
        <v>2721</v>
      </c>
      <c r="H2455" s="2">
        <v>45716</v>
      </c>
      <c r="I2455" s="2">
        <v>45746</v>
      </c>
      <c r="J2455" t="s">
        <v>20</v>
      </c>
      <c r="K2455" s="21">
        <v>739.19</v>
      </c>
      <c r="L2455" s="21">
        <v>739.19</v>
      </c>
      <c r="M2455">
        <v>13</v>
      </c>
      <c r="N2455" s="21">
        <v>739.19</v>
      </c>
    </row>
    <row r="2456" spans="1:14">
      <c r="A2456" t="str">
        <f>IFERROR(_xlfn.XLOOKUP(B2456,Cuentas!$C$1:$C$521,Cuentas!$A$1:$A$521),"")</f>
        <v>Yuldor</v>
      </c>
      <c r="B2456" t="s">
        <v>2152</v>
      </c>
      <c r="C2456" t="s">
        <v>2153</v>
      </c>
      <c r="D2456" t="s">
        <v>16</v>
      </c>
      <c r="E2456" t="s">
        <v>7</v>
      </c>
      <c r="F2456" t="s">
        <v>2722</v>
      </c>
      <c r="G2456" t="s">
        <v>2722</v>
      </c>
      <c r="H2456" s="2">
        <v>45716</v>
      </c>
      <c r="I2456" s="2">
        <v>45746</v>
      </c>
      <c r="J2456" t="s">
        <v>20</v>
      </c>
      <c r="K2456" s="21">
        <v>147.43</v>
      </c>
      <c r="L2456" s="21">
        <v>147.43</v>
      </c>
      <c r="M2456">
        <v>13</v>
      </c>
      <c r="N2456" s="21">
        <v>147.43</v>
      </c>
    </row>
    <row r="2457" spans="1:14">
      <c r="A2457" t="str">
        <f>IFERROR(_xlfn.XLOOKUP(B2457,Cuentas!$C$1:$C$521,Cuentas!$A$1:$A$521),"")</f>
        <v>Yuldor</v>
      </c>
      <c r="B2457" t="s">
        <v>2152</v>
      </c>
      <c r="C2457" t="s">
        <v>2153</v>
      </c>
      <c r="D2457" t="s">
        <v>16</v>
      </c>
      <c r="E2457" t="s">
        <v>7</v>
      </c>
      <c r="F2457" t="s">
        <v>2723</v>
      </c>
      <c r="G2457" t="s">
        <v>2723</v>
      </c>
      <c r="H2457" s="2">
        <v>45716</v>
      </c>
      <c r="I2457" s="2">
        <v>45746</v>
      </c>
      <c r="J2457" t="s">
        <v>20</v>
      </c>
      <c r="K2457" s="21">
        <v>463.4</v>
      </c>
      <c r="L2457" s="21">
        <v>463.4</v>
      </c>
      <c r="M2457">
        <v>13</v>
      </c>
      <c r="N2457" s="21">
        <v>463.4</v>
      </c>
    </row>
    <row r="2458" spans="1:14">
      <c r="A2458" t="str">
        <f>IFERROR(_xlfn.XLOOKUP(B2458,Cuentas!$C$1:$C$521,Cuentas!$A$1:$A$521),"")</f>
        <v>Yuldor</v>
      </c>
      <c r="B2458" t="s">
        <v>2152</v>
      </c>
      <c r="C2458" t="s">
        <v>2153</v>
      </c>
      <c r="D2458" t="s">
        <v>16</v>
      </c>
      <c r="E2458" t="s">
        <v>7</v>
      </c>
      <c r="F2458" t="s">
        <v>2724</v>
      </c>
      <c r="G2458" t="s">
        <v>2724</v>
      </c>
      <c r="H2458" s="2">
        <v>45716</v>
      </c>
      <c r="I2458" s="2">
        <v>45746</v>
      </c>
      <c r="J2458" t="s">
        <v>20</v>
      </c>
      <c r="K2458" s="21">
        <v>888</v>
      </c>
      <c r="L2458" s="21">
        <v>888</v>
      </c>
      <c r="M2458">
        <v>13</v>
      </c>
      <c r="N2458" s="21">
        <v>888</v>
      </c>
    </row>
    <row r="2459" spans="1:14">
      <c r="A2459" t="str">
        <f>IFERROR(_xlfn.XLOOKUP(B2459,Cuentas!$C$1:$C$521,Cuentas!$A$1:$A$521),"")</f>
        <v>Yuldor</v>
      </c>
      <c r="B2459" t="s">
        <v>2152</v>
      </c>
      <c r="C2459" t="s">
        <v>2153</v>
      </c>
      <c r="D2459" t="s">
        <v>16</v>
      </c>
      <c r="E2459" t="s">
        <v>7</v>
      </c>
      <c r="F2459" t="s">
        <v>2725</v>
      </c>
      <c r="G2459" t="s">
        <v>2725</v>
      </c>
      <c r="H2459" s="2">
        <v>45716</v>
      </c>
      <c r="I2459" s="2">
        <v>45746</v>
      </c>
      <c r="J2459" t="s">
        <v>20</v>
      </c>
      <c r="K2459" s="21">
        <v>815.83</v>
      </c>
      <c r="L2459" s="21">
        <v>815.83</v>
      </c>
      <c r="M2459">
        <v>13</v>
      </c>
      <c r="N2459" s="21">
        <v>815.83</v>
      </c>
    </row>
    <row r="2460" spans="1:14">
      <c r="A2460" t="str">
        <f>IFERROR(_xlfn.XLOOKUP(B2460,Cuentas!$C$1:$C$521,Cuentas!$A$1:$A$521),"")</f>
        <v>Yuldor</v>
      </c>
      <c r="B2460" t="s">
        <v>2152</v>
      </c>
      <c r="C2460" t="s">
        <v>2153</v>
      </c>
      <c r="D2460" t="s">
        <v>16</v>
      </c>
      <c r="E2460" t="s">
        <v>7</v>
      </c>
      <c r="F2460" t="s">
        <v>2726</v>
      </c>
      <c r="G2460" t="s">
        <v>2726</v>
      </c>
      <c r="H2460" s="2">
        <v>45716</v>
      </c>
      <c r="I2460" s="2">
        <v>45746</v>
      </c>
      <c r="J2460" t="s">
        <v>20</v>
      </c>
      <c r="K2460" s="21">
        <v>871.6</v>
      </c>
      <c r="L2460" s="21">
        <v>871.6</v>
      </c>
      <c r="M2460">
        <v>13</v>
      </c>
      <c r="N2460" s="21">
        <v>871.6</v>
      </c>
    </row>
    <row r="2461" spans="1:14">
      <c r="A2461" t="str">
        <f>IFERROR(_xlfn.XLOOKUP(B2461,Cuentas!$C$1:$C$521,Cuentas!$A$1:$A$521),"")</f>
        <v>Yuldor</v>
      </c>
      <c r="B2461" t="s">
        <v>2152</v>
      </c>
      <c r="C2461" t="s">
        <v>2153</v>
      </c>
      <c r="D2461" t="s">
        <v>16</v>
      </c>
      <c r="E2461" t="s">
        <v>7</v>
      </c>
      <c r="F2461" t="s">
        <v>2727</v>
      </c>
      <c r="G2461" t="s">
        <v>2727</v>
      </c>
      <c r="H2461" s="2">
        <v>45716</v>
      </c>
      <c r="I2461" s="2">
        <v>45746</v>
      </c>
      <c r="J2461" t="s">
        <v>20</v>
      </c>
      <c r="K2461" s="21">
        <v>432.4</v>
      </c>
      <c r="L2461" s="21">
        <v>432.4</v>
      </c>
      <c r="M2461">
        <v>13</v>
      </c>
      <c r="N2461" s="21">
        <v>432.4</v>
      </c>
    </row>
    <row r="2462" spans="1:14">
      <c r="A2462" t="str">
        <f>IFERROR(_xlfn.XLOOKUP(B2462,Cuentas!$C$1:$C$521,Cuentas!$A$1:$A$521),"")</f>
        <v>Yuldor</v>
      </c>
      <c r="B2462" t="s">
        <v>2152</v>
      </c>
      <c r="C2462" t="s">
        <v>2153</v>
      </c>
      <c r="D2462" t="s">
        <v>16</v>
      </c>
      <c r="E2462" t="s">
        <v>7</v>
      </c>
      <c r="F2462" t="s">
        <v>2728</v>
      </c>
      <c r="G2462" t="s">
        <v>2728</v>
      </c>
      <c r="H2462" s="2">
        <v>45716</v>
      </c>
      <c r="I2462" s="2">
        <v>45746</v>
      </c>
      <c r="J2462" t="s">
        <v>20</v>
      </c>
      <c r="K2462" s="21">
        <v>206.7</v>
      </c>
      <c r="L2462" s="21">
        <v>206.7</v>
      </c>
      <c r="M2462">
        <v>13</v>
      </c>
      <c r="N2462" s="21">
        <v>206.7</v>
      </c>
    </row>
    <row r="2463" spans="1:14">
      <c r="A2463" t="str">
        <f>IFERROR(_xlfn.XLOOKUP(B2463,Cuentas!$C$1:$C$521,Cuentas!$A$1:$A$521),"")</f>
        <v>Yuldor</v>
      </c>
      <c r="B2463" t="s">
        <v>2152</v>
      </c>
      <c r="C2463" t="s">
        <v>2153</v>
      </c>
      <c r="D2463" t="s">
        <v>16</v>
      </c>
      <c r="E2463" t="s">
        <v>7</v>
      </c>
      <c r="F2463" t="s">
        <v>2729</v>
      </c>
      <c r="G2463" t="s">
        <v>2729</v>
      </c>
      <c r="H2463" s="2">
        <v>45716</v>
      </c>
      <c r="I2463" s="2">
        <v>45746</v>
      </c>
      <c r="J2463" t="s">
        <v>20</v>
      </c>
      <c r="K2463" s="21">
        <v>57.3</v>
      </c>
      <c r="L2463" s="21">
        <v>57.3</v>
      </c>
      <c r="M2463">
        <v>13</v>
      </c>
      <c r="N2463" s="21">
        <v>57.3</v>
      </c>
    </row>
    <row r="2464" spans="1:14">
      <c r="A2464" t="str">
        <f>IFERROR(_xlfn.XLOOKUP(B2464,Cuentas!$C$1:$C$521,Cuentas!$A$1:$A$521),"")</f>
        <v>Yuldor</v>
      </c>
      <c r="B2464" t="s">
        <v>2152</v>
      </c>
      <c r="C2464" t="s">
        <v>2153</v>
      </c>
      <c r="D2464" t="s">
        <v>16</v>
      </c>
      <c r="E2464" t="s">
        <v>7</v>
      </c>
      <c r="F2464" t="s">
        <v>2730</v>
      </c>
      <c r="G2464" t="s">
        <v>2730</v>
      </c>
      <c r="H2464" s="2">
        <v>45716</v>
      </c>
      <c r="I2464" s="2">
        <v>45746</v>
      </c>
      <c r="J2464" t="s">
        <v>20</v>
      </c>
      <c r="K2464" s="21">
        <v>295.8</v>
      </c>
      <c r="L2464" s="21">
        <v>295.8</v>
      </c>
      <c r="M2464">
        <v>13</v>
      </c>
      <c r="N2464" s="21">
        <v>295.8</v>
      </c>
    </row>
    <row r="2465" spans="1:14">
      <c r="A2465" t="str">
        <f>IFERROR(_xlfn.XLOOKUP(B2465,Cuentas!$C$1:$C$521,Cuentas!$A$1:$A$521),"")</f>
        <v>Yuldor</v>
      </c>
      <c r="B2465" t="s">
        <v>2152</v>
      </c>
      <c r="C2465" t="s">
        <v>2153</v>
      </c>
      <c r="D2465" t="s">
        <v>16</v>
      </c>
      <c r="E2465" t="s">
        <v>7</v>
      </c>
      <c r="F2465" t="s">
        <v>2731</v>
      </c>
      <c r="G2465" t="s">
        <v>2731</v>
      </c>
      <c r="H2465" s="2">
        <v>45716</v>
      </c>
      <c r="I2465" s="2">
        <v>45746</v>
      </c>
      <c r="J2465" t="s">
        <v>20</v>
      </c>
      <c r="K2465" s="21">
        <v>457</v>
      </c>
      <c r="L2465" s="21">
        <v>457</v>
      </c>
      <c r="M2465">
        <v>13</v>
      </c>
      <c r="N2465" s="21">
        <v>457</v>
      </c>
    </row>
    <row r="2466" spans="1:14">
      <c r="A2466" t="str">
        <f>IFERROR(_xlfn.XLOOKUP(B2466,Cuentas!$C$1:$C$521,Cuentas!$A$1:$A$521),"")</f>
        <v>Yuldor</v>
      </c>
      <c r="B2466" t="s">
        <v>2152</v>
      </c>
      <c r="C2466" t="s">
        <v>2153</v>
      </c>
      <c r="D2466" t="s">
        <v>16</v>
      </c>
      <c r="E2466" t="s">
        <v>7</v>
      </c>
      <c r="F2466" t="s">
        <v>2732</v>
      </c>
      <c r="G2466" t="s">
        <v>2732</v>
      </c>
      <c r="H2466" s="2">
        <v>45716</v>
      </c>
      <c r="I2466" s="2">
        <v>45746</v>
      </c>
      <c r="J2466" t="s">
        <v>20</v>
      </c>
      <c r="K2466" s="21">
        <v>52.3</v>
      </c>
      <c r="L2466" s="21">
        <v>52.3</v>
      </c>
      <c r="M2466">
        <v>13</v>
      </c>
      <c r="N2466" s="21">
        <v>52.3</v>
      </c>
    </row>
    <row r="2467" spans="1:14">
      <c r="A2467" t="str">
        <f>IFERROR(_xlfn.XLOOKUP(B2467,Cuentas!$C$1:$C$521,Cuentas!$A$1:$A$521),"")</f>
        <v>Yuldor</v>
      </c>
      <c r="B2467" t="s">
        <v>2152</v>
      </c>
      <c r="C2467" t="s">
        <v>2153</v>
      </c>
      <c r="D2467" t="s">
        <v>16</v>
      </c>
      <c r="E2467" t="s">
        <v>7</v>
      </c>
      <c r="F2467" t="s">
        <v>2733</v>
      </c>
      <c r="G2467" t="s">
        <v>2733</v>
      </c>
      <c r="H2467" s="2">
        <v>45716</v>
      </c>
      <c r="I2467" s="2">
        <v>45746</v>
      </c>
      <c r="J2467" t="s">
        <v>20</v>
      </c>
      <c r="K2467" s="21">
        <v>309</v>
      </c>
      <c r="L2467" s="21">
        <v>309</v>
      </c>
      <c r="M2467">
        <v>13</v>
      </c>
      <c r="N2467" s="21">
        <v>309</v>
      </c>
    </row>
    <row r="2468" spans="1:14">
      <c r="A2468" t="str">
        <f>IFERROR(_xlfn.XLOOKUP(B2468,Cuentas!$C$1:$C$521,Cuentas!$A$1:$A$521),"")</f>
        <v>Yuldor</v>
      </c>
      <c r="B2468" t="s">
        <v>2152</v>
      </c>
      <c r="C2468" t="s">
        <v>2153</v>
      </c>
      <c r="D2468" t="s">
        <v>16</v>
      </c>
      <c r="E2468" t="s">
        <v>7</v>
      </c>
      <c r="F2468" t="s">
        <v>2734</v>
      </c>
      <c r="G2468" t="s">
        <v>2734</v>
      </c>
      <c r="H2468" s="2">
        <v>45716</v>
      </c>
      <c r="I2468" s="2">
        <v>45746</v>
      </c>
      <c r="J2468" t="s">
        <v>20</v>
      </c>
      <c r="K2468" s="21">
        <v>563</v>
      </c>
      <c r="L2468" s="21">
        <v>563</v>
      </c>
      <c r="M2468">
        <v>13</v>
      </c>
      <c r="N2468" s="21">
        <v>563</v>
      </c>
    </row>
    <row r="2469" spans="1:14">
      <c r="A2469" t="str">
        <f>IFERROR(_xlfn.XLOOKUP(B2469,Cuentas!$C$1:$C$521,Cuentas!$A$1:$A$521),"")</f>
        <v>Yuldor</v>
      </c>
      <c r="B2469" t="s">
        <v>2152</v>
      </c>
      <c r="C2469" t="s">
        <v>2153</v>
      </c>
      <c r="D2469" t="s">
        <v>16</v>
      </c>
      <c r="E2469" t="s">
        <v>7</v>
      </c>
      <c r="F2469" t="s">
        <v>2735</v>
      </c>
      <c r="G2469" t="s">
        <v>2735</v>
      </c>
      <c r="H2469" s="2">
        <v>45716</v>
      </c>
      <c r="I2469" s="2">
        <v>45746</v>
      </c>
      <c r="J2469" t="s">
        <v>20</v>
      </c>
      <c r="K2469" s="21">
        <v>319</v>
      </c>
      <c r="L2469" s="21">
        <v>319</v>
      </c>
      <c r="M2469">
        <v>13</v>
      </c>
      <c r="N2469" s="21">
        <v>319</v>
      </c>
    </row>
    <row r="2470" spans="1:14">
      <c r="A2470" t="str">
        <f>IFERROR(_xlfn.XLOOKUP(B2470,Cuentas!$C$1:$C$521,Cuentas!$A$1:$A$521),"")</f>
        <v>Yuldor</v>
      </c>
      <c r="B2470" t="s">
        <v>2152</v>
      </c>
      <c r="C2470" t="s">
        <v>2153</v>
      </c>
      <c r="D2470" t="s">
        <v>16</v>
      </c>
      <c r="E2470" t="s">
        <v>7</v>
      </c>
      <c r="F2470" t="s">
        <v>2736</v>
      </c>
      <c r="G2470" t="s">
        <v>2736</v>
      </c>
      <c r="H2470" s="2">
        <v>45716</v>
      </c>
      <c r="I2470" s="2">
        <v>45746</v>
      </c>
      <c r="J2470" t="s">
        <v>20</v>
      </c>
      <c r="K2470" s="21">
        <v>786.2</v>
      </c>
      <c r="L2470" s="21">
        <v>786.2</v>
      </c>
      <c r="M2470">
        <v>13</v>
      </c>
      <c r="N2470" s="21">
        <v>786.2</v>
      </c>
    </row>
    <row r="2471" spans="1:14">
      <c r="A2471" t="str">
        <f>IFERROR(_xlfn.XLOOKUP(B2471,Cuentas!$C$1:$C$521,Cuentas!$A$1:$A$521),"")</f>
        <v>Yuldor</v>
      </c>
      <c r="B2471" t="s">
        <v>2152</v>
      </c>
      <c r="C2471" t="s">
        <v>2153</v>
      </c>
      <c r="D2471" t="s">
        <v>16</v>
      </c>
      <c r="E2471" t="s">
        <v>7</v>
      </c>
      <c r="F2471" t="s">
        <v>2737</v>
      </c>
      <c r="G2471" t="s">
        <v>2737</v>
      </c>
      <c r="H2471" s="2">
        <v>45716</v>
      </c>
      <c r="I2471" s="2">
        <v>45746</v>
      </c>
      <c r="J2471" t="s">
        <v>20</v>
      </c>
      <c r="K2471" s="21">
        <v>412.6</v>
      </c>
      <c r="L2471" s="21">
        <v>412.6</v>
      </c>
      <c r="M2471">
        <v>13</v>
      </c>
      <c r="N2471" s="21">
        <v>412.6</v>
      </c>
    </row>
    <row r="2472" spans="1:14">
      <c r="A2472" t="str">
        <f>IFERROR(_xlfn.XLOOKUP(B2472,Cuentas!$C$1:$C$521,Cuentas!$A$1:$A$521),"")</f>
        <v>Yuldor</v>
      </c>
      <c r="B2472" t="s">
        <v>2152</v>
      </c>
      <c r="C2472" t="s">
        <v>2153</v>
      </c>
      <c r="D2472" t="s">
        <v>16</v>
      </c>
      <c r="E2472" t="s">
        <v>7</v>
      </c>
      <c r="F2472" t="s">
        <v>2738</v>
      </c>
      <c r="G2472" t="s">
        <v>2738</v>
      </c>
      <c r="H2472" s="2">
        <v>45716</v>
      </c>
      <c r="I2472" s="2">
        <v>45746</v>
      </c>
      <c r="J2472" t="s">
        <v>20</v>
      </c>
      <c r="K2472" s="21">
        <v>259.10000000000002</v>
      </c>
      <c r="L2472" s="21">
        <v>259.10000000000002</v>
      </c>
      <c r="M2472">
        <v>13</v>
      </c>
      <c r="N2472" s="21">
        <v>259.10000000000002</v>
      </c>
    </row>
    <row r="2473" spans="1:14">
      <c r="A2473" t="str">
        <f>IFERROR(_xlfn.XLOOKUP(B2473,Cuentas!$C$1:$C$521,Cuentas!$A$1:$A$521),"")</f>
        <v>Yuldor</v>
      </c>
      <c r="B2473" t="s">
        <v>2152</v>
      </c>
      <c r="C2473" t="s">
        <v>2153</v>
      </c>
      <c r="D2473" t="s">
        <v>16</v>
      </c>
      <c r="E2473" t="s">
        <v>7</v>
      </c>
      <c r="F2473" t="s">
        <v>2739</v>
      </c>
      <c r="G2473" t="s">
        <v>2739</v>
      </c>
      <c r="H2473" s="2">
        <v>45716</v>
      </c>
      <c r="I2473" s="2">
        <v>45746</v>
      </c>
      <c r="J2473" t="s">
        <v>20</v>
      </c>
      <c r="K2473" s="21">
        <v>412.6</v>
      </c>
      <c r="L2473" s="21">
        <v>412.6</v>
      </c>
      <c r="M2473">
        <v>13</v>
      </c>
      <c r="N2473" s="21">
        <v>412.6</v>
      </c>
    </row>
    <row r="2474" spans="1:14">
      <c r="A2474" t="str">
        <f>IFERROR(_xlfn.XLOOKUP(B2474,Cuentas!$C$1:$C$521,Cuentas!$A$1:$A$521),"")</f>
        <v>Yuldor</v>
      </c>
      <c r="B2474" t="s">
        <v>2152</v>
      </c>
      <c r="C2474" t="s">
        <v>2153</v>
      </c>
      <c r="D2474" t="s">
        <v>16</v>
      </c>
      <c r="E2474" t="s">
        <v>7</v>
      </c>
      <c r="F2474" t="s">
        <v>2740</v>
      </c>
      <c r="G2474" t="s">
        <v>2740</v>
      </c>
      <c r="H2474" s="2">
        <v>45716</v>
      </c>
      <c r="I2474" s="2">
        <v>45746</v>
      </c>
      <c r="J2474" t="s">
        <v>20</v>
      </c>
      <c r="K2474" s="21">
        <v>39.299999999999997</v>
      </c>
      <c r="L2474" s="21">
        <v>39.299999999999997</v>
      </c>
      <c r="M2474">
        <v>13</v>
      </c>
      <c r="N2474" s="21">
        <v>39.299999999999997</v>
      </c>
    </row>
    <row r="2475" spans="1:14">
      <c r="A2475" t="str">
        <f>IFERROR(_xlfn.XLOOKUP(B2475,Cuentas!$C$1:$C$521,Cuentas!$A$1:$A$521),"")</f>
        <v>Yuldor</v>
      </c>
      <c r="B2475" t="s">
        <v>2152</v>
      </c>
      <c r="C2475" t="s">
        <v>2153</v>
      </c>
      <c r="D2475" t="s">
        <v>16</v>
      </c>
      <c r="E2475" t="s">
        <v>7</v>
      </c>
      <c r="F2475" t="s">
        <v>2741</v>
      </c>
      <c r="G2475" t="s">
        <v>2741</v>
      </c>
      <c r="H2475" s="2">
        <v>45716</v>
      </c>
      <c r="I2475" s="2">
        <v>45746</v>
      </c>
      <c r="J2475" t="s">
        <v>20</v>
      </c>
      <c r="K2475" s="21">
        <v>183</v>
      </c>
      <c r="L2475" s="21">
        <v>183</v>
      </c>
      <c r="M2475">
        <v>13</v>
      </c>
      <c r="N2475" s="21">
        <v>183</v>
      </c>
    </row>
    <row r="2476" spans="1:14">
      <c r="A2476" t="str">
        <f>IFERROR(_xlfn.XLOOKUP(B2476,Cuentas!$C$1:$C$521,Cuentas!$A$1:$A$521),"")</f>
        <v>Yuldor</v>
      </c>
      <c r="B2476" t="s">
        <v>2152</v>
      </c>
      <c r="C2476" t="s">
        <v>2153</v>
      </c>
      <c r="D2476" t="s">
        <v>16</v>
      </c>
      <c r="E2476" t="s">
        <v>7</v>
      </c>
      <c r="F2476" t="s">
        <v>2742</v>
      </c>
      <c r="G2476" t="s">
        <v>2742</v>
      </c>
      <c r="H2476" s="2">
        <v>45716</v>
      </c>
      <c r="I2476" s="2">
        <v>45746</v>
      </c>
      <c r="J2476" t="s">
        <v>20</v>
      </c>
      <c r="K2476" s="21">
        <v>12</v>
      </c>
      <c r="L2476" s="21">
        <v>12</v>
      </c>
      <c r="M2476">
        <v>13</v>
      </c>
      <c r="N2476" s="21">
        <v>12</v>
      </c>
    </row>
    <row r="2477" spans="1:14">
      <c r="A2477" t="str">
        <f>IFERROR(_xlfn.XLOOKUP(B2477,Cuentas!$C$1:$C$521,Cuentas!$A$1:$A$521),"")</f>
        <v>Yuldor</v>
      </c>
      <c r="B2477" t="s">
        <v>2152</v>
      </c>
      <c r="C2477" t="s">
        <v>2153</v>
      </c>
      <c r="D2477" t="s">
        <v>16</v>
      </c>
      <c r="E2477" t="s">
        <v>7</v>
      </c>
      <c r="F2477" t="s">
        <v>2743</v>
      </c>
      <c r="G2477" t="s">
        <v>2743</v>
      </c>
      <c r="H2477" s="2">
        <v>45719</v>
      </c>
      <c r="I2477" s="2">
        <v>45749</v>
      </c>
      <c r="J2477" t="s">
        <v>20</v>
      </c>
      <c r="K2477" s="21">
        <v>340</v>
      </c>
      <c r="L2477" s="21">
        <v>340</v>
      </c>
      <c r="M2477">
        <v>0</v>
      </c>
      <c r="N2477" s="21">
        <v>0</v>
      </c>
    </row>
    <row r="2478" spans="1:14">
      <c r="A2478" t="str">
        <f>IFERROR(_xlfn.XLOOKUP(B2478,Cuentas!$C$1:$C$521,Cuentas!$A$1:$A$521),"")</f>
        <v>Yuldor</v>
      </c>
      <c r="B2478" t="s">
        <v>2152</v>
      </c>
      <c r="C2478" t="s">
        <v>2153</v>
      </c>
      <c r="D2478" t="s">
        <v>16</v>
      </c>
      <c r="E2478" t="s">
        <v>7</v>
      </c>
      <c r="F2478" t="s">
        <v>2744</v>
      </c>
      <c r="G2478" t="s">
        <v>2744</v>
      </c>
      <c r="H2478" s="2">
        <v>45719</v>
      </c>
      <c r="I2478" s="2">
        <v>45749</v>
      </c>
      <c r="J2478" t="s">
        <v>20</v>
      </c>
      <c r="K2478" s="21">
        <v>155.5</v>
      </c>
      <c r="L2478" s="21">
        <v>155.5</v>
      </c>
      <c r="M2478">
        <v>0</v>
      </c>
      <c r="N2478" s="21">
        <v>0</v>
      </c>
    </row>
    <row r="2479" spans="1:14">
      <c r="A2479" t="str">
        <f>IFERROR(_xlfn.XLOOKUP(B2479,Cuentas!$C$1:$C$521,Cuentas!$A$1:$A$521),"")</f>
        <v>Yuldor</v>
      </c>
      <c r="B2479" t="s">
        <v>2152</v>
      </c>
      <c r="C2479" t="s">
        <v>2153</v>
      </c>
      <c r="D2479" t="s">
        <v>16</v>
      </c>
      <c r="E2479" t="s">
        <v>7</v>
      </c>
      <c r="F2479" t="s">
        <v>2745</v>
      </c>
      <c r="G2479" t="s">
        <v>2745</v>
      </c>
      <c r="H2479" s="2">
        <v>45719</v>
      </c>
      <c r="I2479" s="2">
        <v>45749</v>
      </c>
      <c r="J2479" t="s">
        <v>20</v>
      </c>
      <c r="K2479" s="21">
        <v>154.5</v>
      </c>
      <c r="L2479" s="21">
        <v>154.5</v>
      </c>
      <c r="M2479">
        <v>0</v>
      </c>
      <c r="N2479" s="21">
        <v>0</v>
      </c>
    </row>
    <row r="2480" spans="1:14">
      <c r="A2480" t="str">
        <f>IFERROR(_xlfn.XLOOKUP(B2480,Cuentas!$C$1:$C$521,Cuentas!$A$1:$A$521),"")</f>
        <v>Yuldor</v>
      </c>
      <c r="B2480" t="s">
        <v>2152</v>
      </c>
      <c r="C2480" t="s">
        <v>2153</v>
      </c>
      <c r="D2480" t="s">
        <v>16</v>
      </c>
      <c r="E2480" t="s">
        <v>7</v>
      </c>
      <c r="F2480" t="s">
        <v>2746</v>
      </c>
      <c r="G2480" t="s">
        <v>2746</v>
      </c>
      <c r="H2480" s="2">
        <v>45720</v>
      </c>
      <c r="I2480" s="2">
        <v>45750</v>
      </c>
      <c r="J2480" t="s">
        <v>20</v>
      </c>
      <c r="K2480" s="21">
        <v>173</v>
      </c>
      <c r="L2480" s="21">
        <v>173</v>
      </c>
      <c r="M2480">
        <v>0</v>
      </c>
      <c r="N2480" s="21">
        <v>0</v>
      </c>
    </row>
    <row r="2481" spans="1:14">
      <c r="A2481" t="str">
        <f>IFERROR(_xlfn.XLOOKUP(B2481,Cuentas!$C$1:$C$521,Cuentas!$A$1:$A$521),"")</f>
        <v>Yuldor</v>
      </c>
      <c r="B2481" t="s">
        <v>2152</v>
      </c>
      <c r="C2481" t="s">
        <v>2153</v>
      </c>
      <c r="D2481" t="s">
        <v>16</v>
      </c>
      <c r="E2481" t="s">
        <v>7</v>
      </c>
      <c r="F2481" t="s">
        <v>2747</v>
      </c>
      <c r="G2481" t="s">
        <v>2747</v>
      </c>
      <c r="H2481" s="2">
        <v>45721</v>
      </c>
      <c r="I2481" s="2">
        <v>45751</v>
      </c>
      <c r="J2481" t="s">
        <v>20</v>
      </c>
      <c r="K2481" s="21">
        <v>341</v>
      </c>
      <c r="L2481" s="21">
        <v>341</v>
      </c>
      <c r="M2481">
        <v>0</v>
      </c>
      <c r="N2481" s="21">
        <v>0</v>
      </c>
    </row>
    <row r="2482" spans="1:14">
      <c r="A2482" t="str">
        <f>IFERROR(_xlfn.XLOOKUP(B2482,Cuentas!$C$1:$C$521,Cuentas!$A$1:$A$521),"")</f>
        <v>Yuldor</v>
      </c>
      <c r="B2482" t="s">
        <v>2152</v>
      </c>
      <c r="C2482" t="s">
        <v>2153</v>
      </c>
      <c r="D2482" t="s">
        <v>16</v>
      </c>
      <c r="E2482" t="s">
        <v>7</v>
      </c>
      <c r="F2482" t="s">
        <v>2748</v>
      </c>
      <c r="G2482" t="s">
        <v>2748</v>
      </c>
      <c r="H2482" s="2">
        <v>45721</v>
      </c>
      <c r="I2482" s="2">
        <v>45751</v>
      </c>
      <c r="J2482" t="s">
        <v>20</v>
      </c>
      <c r="K2482" s="21">
        <v>97.2</v>
      </c>
      <c r="L2482" s="21">
        <v>97.2</v>
      </c>
      <c r="M2482">
        <v>0</v>
      </c>
      <c r="N2482" s="21">
        <v>0</v>
      </c>
    </row>
    <row r="2483" spans="1:14">
      <c r="A2483" t="str">
        <f>IFERROR(_xlfn.XLOOKUP(B2483,Cuentas!$C$1:$C$521,Cuentas!$A$1:$A$521),"")</f>
        <v>Yuldor</v>
      </c>
      <c r="B2483" t="s">
        <v>2152</v>
      </c>
      <c r="C2483" t="s">
        <v>2153</v>
      </c>
      <c r="D2483" t="s">
        <v>16</v>
      </c>
      <c r="E2483" t="s">
        <v>7</v>
      </c>
      <c r="F2483" t="s">
        <v>2749</v>
      </c>
      <c r="G2483" t="s">
        <v>2749</v>
      </c>
      <c r="H2483" s="2">
        <v>45721</v>
      </c>
      <c r="I2483" s="2">
        <v>45751</v>
      </c>
      <c r="J2483" t="s">
        <v>20</v>
      </c>
      <c r="K2483" s="21">
        <v>540</v>
      </c>
      <c r="L2483" s="21">
        <v>540</v>
      </c>
      <c r="M2483">
        <v>0</v>
      </c>
      <c r="N2483" s="21">
        <v>0</v>
      </c>
    </row>
    <row r="2484" spans="1:14">
      <c r="A2484" t="str">
        <f>IFERROR(_xlfn.XLOOKUP(B2484,Cuentas!$C$1:$C$521,Cuentas!$A$1:$A$521),"")</f>
        <v>Yuldor</v>
      </c>
      <c r="B2484" t="s">
        <v>2152</v>
      </c>
      <c r="C2484" t="s">
        <v>2153</v>
      </c>
      <c r="D2484" t="s">
        <v>16</v>
      </c>
      <c r="E2484" t="s">
        <v>7</v>
      </c>
      <c r="F2484" t="s">
        <v>2750</v>
      </c>
      <c r="G2484" t="s">
        <v>2750</v>
      </c>
      <c r="H2484" s="2">
        <v>45721</v>
      </c>
      <c r="I2484" s="2">
        <v>45751</v>
      </c>
      <c r="J2484" t="s">
        <v>20</v>
      </c>
      <c r="K2484" s="21">
        <v>356.52</v>
      </c>
      <c r="L2484" s="21">
        <v>356.52</v>
      </c>
      <c r="M2484">
        <v>0</v>
      </c>
      <c r="N2484" s="21">
        <v>0</v>
      </c>
    </row>
    <row r="2485" spans="1:14">
      <c r="A2485" t="str">
        <f>IFERROR(_xlfn.XLOOKUP(B2485,Cuentas!$C$1:$C$521,Cuentas!$A$1:$A$521),"")</f>
        <v>Yuldor</v>
      </c>
      <c r="B2485" t="s">
        <v>2152</v>
      </c>
      <c r="C2485" t="s">
        <v>2153</v>
      </c>
      <c r="D2485" t="s">
        <v>16</v>
      </c>
      <c r="E2485" t="s">
        <v>7</v>
      </c>
      <c r="F2485" t="s">
        <v>2751</v>
      </c>
      <c r="G2485" t="s">
        <v>2751</v>
      </c>
      <c r="H2485" s="2">
        <v>45721</v>
      </c>
      <c r="I2485" s="2">
        <v>45751</v>
      </c>
      <c r="J2485" t="s">
        <v>20</v>
      </c>
      <c r="K2485" s="21">
        <v>41.03</v>
      </c>
      <c r="L2485" s="21">
        <v>41.03</v>
      </c>
      <c r="M2485">
        <v>0</v>
      </c>
      <c r="N2485" s="21">
        <v>0</v>
      </c>
    </row>
    <row r="2486" spans="1:14">
      <c r="A2486" t="str">
        <f>IFERROR(_xlfn.XLOOKUP(B2486,Cuentas!$C$1:$C$521,Cuentas!$A$1:$A$521),"")</f>
        <v>Yuldor</v>
      </c>
      <c r="B2486" t="s">
        <v>2152</v>
      </c>
      <c r="C2486" t="s">
        <v>2153</v>
      </c>
      <c r="D2486" t="s">
        <v>16</v>
      </c>
      <c r="E2486" t="s">
        <v>7</v>
      </c>
      <c r="F2486" t="s">
        <v>2752</v>
      </c>
      <c r="G2486" t="s">
        <v>2752</v>
      </c>
      <c r="H2486" s="2">
        <v>45723</v>
      </c>
      <c r="I2486" s="2">
        <v>45753</v>
      </c>
      <c r="J2486" t="s">
        <v>20</v>
      </c>
      <c r="K2486" s="21">
        <v>309</v>
      </c>
      <c r="L2486" s="21">
        <v>309</v>
      </c>
      <c r="M2486">
        <v>0</v>
      </c>
      <c r="N2486" s="21">
        <v>0</v>
      </c>
    </row>
    <row r="2487" spans="1:14">
      <c r="A2487" t="str">
        <f>IFERROR(_xlfn.XLOOKUP(B2487,Cuentas!$C$1:$C$521,Cuentas!$A$1:$A$521),"")</f>
        <v>Yuldor</v>
      </c>
      <c r="B2487" t="s">
        <v>2152</v>
      </c>
      <c r="C2487" t="s">
        <v>2153</v>
      </c>
      <c r="D2487" t="s">
        <v>16</v>
      </c>
      <c r="E2487" t="s">
        <v>7</v>
      </c>
      <c r="F2487" t="s">
        <v>2753</v>
      </c>
      <c r="G2487" t="s">
        <v>2753</v>
      </c>
      <c r="H2487" s="2">
        <v>45723</v>
      </c>
      <c r="I2487" s="2">
        <v>45753</v>
      </c>
      <c r="J2487" t="s">
        <v>20</v>
      </c>
      <c r="K2487" s="21">
        <v>57</v>
      </c>
      <c r="L2487" s="21">
        <v>57</v>
      </c>
      <c r="M2487">
        <v>0</v>
      </c>
      <c r="N2487" s="21">
        <v>0</v>
      </c>
    </row>
    <row r="2488" spans="1:14">
      <c r="A2488" t="str">
        <f>IFERROR(_xlfn.XLOOKUP(B2488,Cuentas!$C$1:$C$521,Cuentas!$A$1:$A$521),"")</f>
        <v>Yuldor</v>
      </c>
      <c r="B2488" t="s">
        <v>2152</v>
      </c>
      <c r="C2488" t="s">
        <v>2153</v>
      </c>
      <c r="D2488" t="s">
        <v>16</v>
      </c>
      <c r="E2488" t="s">
        <v>7</v>
      </c>
      <c r="F2488" t="s">
        <v>2754</v>
      </c>
      <c r="G2488" t="s">
        <v>2754</v>
      </c>
      <c r="H2488" s="2">
        <v>45723</v>
      </c>
      <c r="I2488" s="2">
        <v>45753</v>
      </c>
      <c r="J2488" t="s">
        <v>20</v>
      </c>
      <c r="K2488" s="21">
        <v>92</v>
      </c>
      <c r="L2488" s="21">
        <v>92</v>
      </c>
      <c r="M2488">
        <v>0</v>
      </c>
      <c r="N2488" s="21">
        <v>0</v>
      </c>
    </row>
    <row r="2489" spans="1:14">
      <c r="A2489" t="str">
        <f>IFERROR(_xlfn.XLOOKUP(B2489,Cuentas!$C$1:$C$521,Cuentas!$A$1:$A$521),"")</f>
        <v>Yuldor</v>
      </c>
      <c r="B2489" t="s">
        <v>2152</v>
      </c>
      <c r="C2489" t="s">
        <v>2153</v>
      </c>
      <c r="D2489" t="s">
        <v>16</v>
      </c>
      <c r="E2489" t="s">
        <v>7</v>
      </c>
      <c r="F2489" t="s">
        <v>2755</v>
      </c>
      <c r="G2489" t="s">
        <v>2755</v>
      </c>
      <c r="H2489" s="2">
        <v>45726</v>
      </c>
      <c r="I2489" s="2">
        <v>45756</v>
      </c>
      <c r="J2489" t="s">
        <v>20</v>
      </c>
      <c r="K2489" s="21">
        <v>58.3</v>
      </c>
      <c r="L2489" s="21">
        <v>58.3</v>
      </c>
      <c r="M2489">
        <v>0</v>
      </c>
      <c r="N2489" s="21">
        <v>0</v>
      </c>
    </row>
    <row r="2490" spans="1:14">
      <c r="A2490" t="str">
        <f>IFERROR(_xlfn.XLOOKUP(B2490,Cuentas!$C$1:$C$521,Cuentas!$A$1:$A$521),"")</f>
        <v>Yuldor</v>
      </c>
      <c r="B2490" t="s">
        <v>2152</v>
      </c>
      <c r="C2490" t="s">
        <v>2153</v>
      </c>
      <c r="D2490" t="s">
        <v>16</v>
      </c>
      <c r="E2490" t="s">
        <v>7</v>
      </c>
      <c r="F2490" t="s">
        <v>2756</v>
      </c>
      <c r="G2490" t="s">
        <v>2756</v>
      </c>
      <c r="H2490" s="2">
        <v>45726</v>
      </c>
      <c r="I2490" s="2">
        <v>45756</v>
      </c>
      <c r="J2490" t="s">
        <v>20</v>
      </c>
      <c r="K2490" s="21">
        <v>286.60000000000002</v>
      </c>
      <c r="L2490" s="21">
        <v>286.60000000000002</v>
      </c>
      <c r="M2490">
        <v>0</v>
      </c>
      <c r="N2490" s="21">
        <v>0</v>
      </c>
    </row>
    <row r="2491" spans="1:14">
      <c r="A2491" t="str">
        <f>IFERROR(_xlfn.XLOOKUP(B2491,Cuentas!$C$1:$C$521,Cuentas!$A$1:$A$521),"")</f>
        <v>Yuldor</v>
      </c>
      <c r="B2491" t="s">
        <v>2152</v>
      </c>
      <c r="C2491" t="s">
        <v>2153</v>
      </c>
      <c r="D2491" t="s">
        <v>16</v>
      </c>
      <c r="E2491" t="s">
        <v>7</v>
      </c>
      <c r="F2491" t="s">
        <v>2757</v>
      </c>
      <c r="G2491" t="s">
        <v>2757</v>
      </c>
      <c r="H2491" s="2">
        <v>45726</v>
      </c>
      <c r="I2491" s="2">
        <v>45756</v>
      </c>
      <c r="J2491" t="s">
        <v>20</v>
      </c>
      <c r="K2491" s="21">
        <v>56.3</v>
      </c>
      <c r="L2491" s="21">
        <v>56.3</v>
      </c>
      <c r="M2491">
        <v>0</v>
      </c>
      <c r="N2491" s="21">
        <v>0</v>
      </c>
    </row>
    <row r="2492" spans="1:14">
      <c r="A2492" t="str">
        <f>IFERROR(_xlfn.XLOOKUP(B2492,Cuentas!$C$1:$C$521,Cuentas!$A$1:$A$521),"")</f>
        <v>Yuldor</v>
      </c>
      <c r="B2492" t="s">
        <v>2152</v>
      </c>
      <c r="C2492" t="s">
        <v>2153</v>
      </c>
      <c r="D2492" t="s">
        <v>16</v>
      </c>
      <c r="E2492" t="s">
        <v>7</v>
      </c>
      <c r="F2492" t="s">
        <v>2758</v>
      </c>
      <c r="G2492" t="s">
        <v>2758</v>
      </c>
      <c r="H2492" s="2">
        <v>45726</v>
      </c>
      <c r="I2492" s="2">
        <v>45756</v>
      </c>
      <c r="J2492" t="s">
        <v>20</v>
      </c>
      <c r="K2492" s="21">
        <v>106.6</v>
      </c>
      <c r="L2492" s="21">
        <v>106.6</v>
      </c>
      <c r="M2492">
        <v>0</v>
      </c>
      <c r="N2492" s="21">
        <v>0</v>
      </c>
    </row>
    <row r="2493" spans="1:14">
      <c r="A2493" t="str">
        <f>IFERROR(_xlfn.XLOOKUP(B2493,Cuentas!$C$1:$C$521,Cuentas!$A$1:$A$521),"")</f>
        <v>Yuldor</v>
      </c>
      <c r="B2493" t="s">
        <v>2152</v>
      </c>
      <c r="C2493" t="s">
        <v>2153</v>
      </c>
      <c r="D2493" t="s">
        <v>16</v>
      </c>
      <c r="E2493" t="s">
        <v>7</v>
      </c>
      <c r="F2493" t="s">
        <v>2759</v>
      </c>
      <c r="G2493" t="s">
        <v>2759</v>
      </c>
      <c r="H2493" s="2">
        <v>45726</v>
      </c>
      <c r="I2493" s="2">
        <v>45756</v>
      </c>
      <c r="J2493" t="s">
        <v>20</v>
      </c>
      <c r="K2493" s="21">
        <v>1006.9</v>
      </c>
      <c r="L2493" s="21">
        <v>1006.9</v>
      </c>
      <c r="M2493">
        <v>0</v>
      </c>
      <c r="N2493" s="21">
        <v>0</v>
      </c>
    </row>
    <row r="2494" spans="1:14">
      <c r="A2494" t="str">
        <f>IFERROR(_xlfn.XLOOKUP(B2494,Cuentas!$C$1:$C$521,Cuentas!$A$1:$A$521),"")</f>
        <v>Yuldor</v>
      </c>
      <c r="B2494" t="s">
        <v>2152</v>
      </c>
      <c r="C2494" t="s">
        <v>2153</v>
      </c>
      <c r="D2494" t="s">
        <v>16</v>
      </c>
      <c r="E2494" t="s">
        <v>7</v>
      </c>
      <c r="F2494" t="s">
        <v>2760</v>
      </c>
      <c r="G2494" t="s">
        <v>2760</v>
      </c>
      <c r="H2494" s="2">
        <v>45726</v>
      </c>
      <c r="I2494" s="2">
        <v>45756</v>
      </c>
      <c r="J2494" t="s">
        <v>20</v>
      </c>
      <c r="K2494" s="21">
        <v>277.10000000000002</v>
      </c>
      <c r="L2494" s="21">
        <v>277.10000000000002</v>
      </c>
      <c r="M2494">
        <v>0</v>
      </c>
      <c r="N2494" s="21">
        <v>0</v>
      </c>
    </row>
    <row r="2495" spans="1:14">
      <c r="A2495" t="str">
        <f>IFERROR(_xlfn.XLOOKUP(B2495,Cuentas!$C$1:$C$521,Cuentas!$A$1:$A$521),"")</f>
        <v>Yuldor</v>
      </c>
      <c r="B2495" t="s">
        <v>2152</v>
      </c>
      <c r="C2495" t="s">
        <v>2153</v>
      </c>
      <c r="D2495" t="s">
        <v>16</v>
      </c>
      <c r="E2495" t="s">
        <v>7</v>
      </c>
      <c r="F2495" t="s">
        <v>2761</v>
      </c>
      <c r="G2495" t="s">
        <v>2761</v>
      </c>
      <c r="H2495" s="2">
        <v>45726</v>
      </c>
      <c r="I2495" s="2">
        <v>45756</v>
      </c>
      <c r="J2495" t="s">
        <v>20</v>
      </c>
      <c r="K2495" s="21">
        <v>238.3</v>
      </c>
      <c r="L2495" s="21">
        <v>238.3</v>
      </c>
      <c r="M2495">
        <v>0</v>
      </c>
      <c r="N2495" s="21">
        <v>0</v>
      </c>
    </row>
    <row r="2496" spans="1:14">
      <c r="A2496" t="str">
        <f>IFERROR(_xlfn.XLOOKUP(B2496,Cuentas!$C$1:$C$521,Cuentas!$A$1:$A$521),"")</f>
        <v>Yuldor</v>
      </c>
      <c r="B2496" t="s">
        <v>2152</v>
      </c>
      <c r="C2496" t="s">
        <v>2153</v>
      </c>
      <c r="D2496" t="s">
        <v>16</v>
      </c>
      <c r="E2496" t="s">
        <v>7</v>
      </c>
      <c r="F2496" t="s">
        <v>2762</v>
      </c>
      <c r="G2496" t="s">
        <v>2762</v>
      </c>
      <c r="H2496" s="2">
        <v>45726</v>
      </c>
      <c r="I2496" s="2">
        <v>45756</v>
      </c>
      <c r="J2496" t="s">
        <v>20</v>
      </c>
      <c r="K2496" s="21">
        <v>214.8</v>
      </c>
      <c r="L2496" s="21">
        <v>214.8</v>
      </c>
      <c r="M2496">
        <v>0</v>
      </c>
      <c r="N2496" s="21">
        <v>0</v>
      </c>
    </row>
    <row r="2497" spans="1:14">
      <c r="A2497" t="str">
        <f>IFERROR(_xlfn.XLOOKUP(B2497,Cuentas!$C$1:$C$521,Cuentas!$A$1:$A$521),"")</f>
        <v>Yuldor</v>
      </c>
      <c r="B2497" t="s">
        <v>2152</v>
      </c>
      <c r="C2497" t="s">
        <v>2153</v>
      </c>
      <c r="D2497" t="s">
        <v>16</v>
      </c>
      <c r="E2497" t="s">
        <v>7</v>
      </c>
      <c r="F2497" t="s">
        <v>2763</v>
      </c>
      <c r="G2497" t="s">
        <v>2763</v>
      </c>
      <c r="H2497" s="2">
        <v>45726</v>
      </c>
      <c r="I2497" s="2">
        <v>45756</v>
      </c>
      <c r="J2497" t="s">
        <v>20</v>
      </c>
      <c r="K2497" s="21">
        <v>926.73</v>
      </c>
      <c r="L2497" s="21">
        <v>926.73</v>
      </c>
      <c r="M2497">
        <v>0</v>
      </c>
      <c r="N2497" s="21">
        <v>0</v>
      </c>
    </row>
    <row r="2498" spans="1:14">
      <c r="A2498" t="str">
        <f>IFERROR(_xlfn.XLOOKUP(B2498,Cuentas!$C$1:$C$521,Cuentas!$A$1:$A$521),"")</f>
        <v>Yuldor</v>
      </c>
      <c r="B2498" t="s">
        <v>2152</v>
      </c>
      <c r="C2498" t="s">
        <v>2153</v>
      </c>
      <c r="D2498" t="s">
        <v>16</v>
      </c>
      <c r="E2498" t="s">
        <v>7</v>
      </c>
      <c r="F2498" t="s">
        <v>2764</v>
      </c>
      <c r="G2498" t="s">
        <v>2764</v>
      </c>
      <c r="H2498" s="2">
        <v>45726</v>
      </c>
      <c r="I2498" s="2">
        <v>45756</v>
      </c>
      <c r="J2498" t="s">
        <v>20</v>
      </c>
      <c r="K2498" s="21">
        <v>644.79999999999995</v>
      </c>
      <c r="L2498" s="21">
        <v>644.79999999999995</v>
      </c>
      <c r="M2498">
        <v>0</v>
      </c>
      <c r="N2498" s="21">
        <v>0</v>
      </c>
    </row>
    <row r="2499" spans="1:14">
      <c r="A2499" t="str">
        <f>IFERROR(_xlfn.XLOOKUP(B2499,Cuentas!$C$1:$C$521,Cuentas!$A$1:$A$521),"")</f>
        <v>Yuldor</v>
      </c>
      <c r="B2499" t="s">
        <v>2152</v>
      </c>
      <c r="C2499" t="s">
        <v>2153</v>
      </c>
      <c r="D2499" t="s">
        <v>16</v>
      </c>
      <c r="E2499" t="s">
        <v>7</v>
      </c>
      <c r="F2499" t="s">
        <v>2765</v>
      </c>
      <c r="G2499" t="s">
        <v>2765</v>
      </c>
      <c r="H2499" s="2">
        <v>45726</v>
      </c>
      <c r="I2499" s="2">
        <v>45756</v>
      </c>
      <c r="J2499" t="s">
        <v>20</v>
      </c>
      <c r="K2499" s="21">
        <v>53.3</v>
      </c>
      <c r="L2499" s="21">
        <v>53.3</v>
      </c>
      <c r="M2499">
        <v>0</v>
      </c>
      <c r="N2499" s="21">
        <v>0</v>
      </c>
    </row>
    <row r="2500" spans="1:14">
      <c r="A2500" t="str">
        <f>IFERROR(_xlfn.XLOOKUP(B2500,Cuentas!$C$1:$C$521,Cuentas!$A$1:$A$521),"")</f>
        <v>Yuldor</v>
      </c>
      <c r="B2500" t="s">
        <v>2152</v>
      </c>
      <c r="C2500" t="s">
        <v>2153</v>
      </c>
      <c r="D2500" t="s">
        <v>16</v>
      </c>
      <c r="E2500" t="s">
        <v>7</v>
      </c>
      <c r="F2500" t="s">
        <v>2766</v>
      </c>
      <c r="G2500" t="s">
        <v>2766</v>
      </c>
      <c r="H2500" s="2">
        <v>45726</v>
      </c>
      <c r="I2500" s="2">
        <v>45756</v>
      </c>
      <c r="J2500" t="s">
        <v>20</v>
      </c>
      <c r="K2500" s="21">
        <v>553.20000000000005</v>
      </c>
      <c r="L2500" s="21">
        <v>553.20000000000005</v>
      </c>
      <c r="M2500">
        <v>0</v>
      </c>
      <c r="N2500" s="21">
        <v>0</v>
      </c>
    </row>
    <row r="2501" spans="1:14">
      <c r="A2501" t="str">
        <f>IFERROR(_xlfn.XLOOKUP(B2501,Cuentas!$C$1:$C$521,Cuentas!$A$1:$A$521),"")</f>
        <v>Yuldor</v>
      </c>
      <c r="B2501" t="s">
        <v>2152</v>
      </c>
      <c r="C2501" t="s">
        <v>2153</v>
      </c>
      <c r="D2501" t="s">
        <v>16</v>
      </c>
      <c r="E2501" t="s">
        <v>7</v>
      </c>
      <c r="F2501" t="s">
        <v>2767</v>
      </c>
      <c r="G2501" t="s">
        <v>2767</v>
      </c>
      <c r="H2501" s="2">
        <v>45726</v>
      </c>
      <c r="I2501" s="2">
        <v>45756</v>
      </c>
      <c r="J2501" t="s">
        <v>20</v>
      </c>
      <c r="K2501" s="21">
        <v>106.6</v>
      </c>
      <c r="L2501" s="21">
        <v>106.6</v>
      </c>
      <c r="M2501">
        <v>0</v>
      </c>
      <c r="N2501" s="21">
        <v>0</v>
      </c>
    </row>
    <row r="2502" spans="1:14">
      <c r="A2502" t="str">
        <f>IFERROR(_xlfn.XLOOKUP(B2502,Cuentas!$C$1:$C$521,Cuentas!$A$1:$A$521),"")</f>
        <v>Yuldor</v>
      </c>
      <c r="B2502" t="s">
        <v>2152</v>
      </c>
      <c r="C2502" t="s">
        <v>2153</v>
      </c>
      <c r="D2502" t="s">
        <v>16</v>
      </c>
      <c r="E2502" t="s">
        <v>7</v>
      </c>
      <c r="F2502" t="s">
        <v>2768</v>
      </c>
      <c r="G2502" t="s">
        <v>2768</v>
      </c>
      <c r="H2502" s="2">
        <v>45726</v>
      </c>
      <c r="I2502" s="2">
        <v>45756</v>
      </c>
      <c r="J2502" t="s">
        <v>20</v>
      </c>
      <c r="K2502" s="21">
        <v>53.3</v>
      </c>
      <c r="L2502" s="21">
        <v>53.3</v>
      </c>
      <c r="M2502">
        <v>0</v>
      </c>
      <c r="N2502" s="21">
        <v>0</v>
      </c>
    </row>
    <row r="2503" spans="1:14">
      <c r="A2503" t="str">
        <f>IFERROR(_xlfn.XLOOKUP(B2503,Cuentas!$C$1:$C$521,Cuentas!$A$1:$A$521),"")</f>
        <v>Yuldor</v>
      </c>
      <c r="B2503" t="s">
        <v>2152</v>
      </c>
      <c r="C2503" t="s">
        <v>2153</v>
      </c>
      <c r="D2503" t="s">
        <v>16</v>
      </c>
      <c r="E2503" t="s">
        <v>7</v>
      </c>
      <c r="F2503" t="s">
        <v>2769</v>
      </c>
      <c r="G2503" t="s">
        <v>2769</v>
      </c>
      <c r="H2503" s="2">
        <v>45726</v>
      </c>
      <c r="I2503" s="2">
        <v>45756</v>
      </c>
      <c r="J2503" t="s">
        <v>20</v>
      </c>
      <c r="K2503" s="21">
        <v>417.6</v>
      </c>
      <c r="L2503" s="21">
        <v>417.6</v>
      </c>
      <c r="M2503">
        <v>0</v>
      </c>
      <c r="N2503" s="21">
        <v>0</v>
      </c>
    </row>
    <row r="2504" spans="1:14">
      <c r="A2504" t="str">
        <f>IFERROR(_xlfn.XLOOKUP(B2504,Cuentas!$C$1:$C$521,Cuentas!$A$1:$A$521),"")</f>
        <v>Yuldor</v>
      </c>
      <c r="B2504" t="s">
        <v>2152</v>
      </c>
      <c r="C2504" t="s">
        <v>2153</v>
      </c>
      <c r="D2504" t="s">
        <v>16</v>
      </c>
      <c r="E2504" t="s">
        <v>7</v>
      </c>
      <c r="F2504" t="s">
        <v>2770</v>
      </c>
      <c r="G2504" t="s">
        <v>2770</v>
      </c>
      <c r="H2504" s="2">
        <v>45726</v>
      </c>
      <c r="I2504" s="2">
        <v>45756</v>
      </c>
      <c r="J2504" t="s">
        <v>20</v>
      </c>
      <c r="K2504" s="21">
        <v>674.08</v>
      </c>
      <c r="L2504" s="21">
        <v>674.08</v>
      </c>
      <c r="M2504">
        <v>0</v>
      </c>
      <c r="N2504" s="21">
        <v>0</v>
      </c>
    </row>
    <row r="2505" spans="1:14">
      <c r="A2505" t="str">
        <f>IFERROR(_xlfn.XLOOKUP(B2505,Cuentas!$C$1:$C$521,Cuentas!$A$1:$A$521),"")</f>
        <v>Yuldor</v>
      </c>
      <c r="B2505" t="s">
        <v>2152</v>
      </c>
      <c r="C2505" t="s">
        <v>2153</v>
      </c>
      <c r="D2505" t="s">
        <v>16</v>
      </c>
      <c r="E2505" t="s">
        <v>7</v>
      </c>
      <c r="F2505" t="s">
        <v>2771</v>
      </c>
      <c r="G2505" t="s">
        <v>2771</v>
      </c>
      <c r="H2505" s="2">
        <v>45726</v>
      </c>
      <c r="I2505" s="2">
        <v>45756</v>
      </c>
      <c r="J2505" t="s">
        <v>20</v>
      </c>
      <c r="K2505" s="21">
        <v>302.13</v>
      </c>
      <c r="L2505" s="21">
        <v>302.13</v>
      </c>
      <c r="M2505">
        <v>0</v>
      </c>
      <c r="N2505" s="21">
        <v>0</v>
      </c>
    </row>
    <row r="2506" spans="1:14">
      <c r="A2506" t="str">
        <f>IFERROR(_xlfn.XLOOKUP(B2506,Cuentas!$C$1:$C$521,Cuentas!$A$1:$A$521),"")</f>
        <v>Yuldor</v>
      </c>
      <c r="B2506" t="s">
        <v>2152</v>
      </c>
      <c r="C2506" t="s">
        <v>2153</v>
      </c>
      <c r="D2506" t="s">
        <v>16</v>
      </c>
      <c r="E2506" t="s">
        <v>7</v>
      </c>
      <c r="F2506" t="s">
        <v>2772</v>
      </c>
      <c r="G2506" t="s">
        <v>2772</v>
      </c>
      <c r="H2506" s="2">
        <v>45727</v>
      </c>
      <c r="I2506" s="2">
        <v>45757</v>
      </c>
      <c r="J2506" t="s">
        <v>20</v>
      </c>
      <c r="K2506" s="21">
        <v>208.8</v>
      </c>
      <c r="L2506" s="21">
        <v>208.8</v>
      </c>
      <c r="M2506">
        <v>0</v>
      </c>
      <c r="N2506" s="21">
        <v>0</v>
      </c>
    </row>
    <row r="2507" spans="1:14">
      <c r="A2507" t="str">
        <f>IFERROR(_xlfn.XLOOKUP(B2507,Cuentas!$C$1:$C$521,Cuentas!$A$1:$A$521),"")</f>
        <v>Yuldor</v>
      </c>
      <c r="B2507" t="s">
        <v>2152</v>
      </c>
      <c r="C2507" t="s">
        <v>2153</v>
      </c>
      <c r="D2507" t="s">
        <v>16</v>
      </c>
      <c r="E2507" t="s">
        <v>7</v>
      </c>
      <c r="F2507" t="s">
        <v>2773</v>
      </c>
      <c r="G2507" t="s">
        <v>2773</v>
      </c>
      <c r="H2507" s="2">
        <v>45727</v>
      </c>
      <c r="I2507" s="2">
        <v>45757</v>
      </c>
      <c r="J2507" t="s">
        <v>20</v>
      </c>
      <c r="K2507" s="21">
        <v>155.5</v>
      </c>
      <c r="L2507" s="21">
        <v>155.5</v>
      </c>
      <c r="M2507">
        <v>0</v>
      </c>
      <c r="N2507" s="21">
        <v>0</v>
      </c>
    </row>
    <row r="2508" spans="1:14">
      <c r="A2508" t="str">
        <f>IFERROR(_xlfn.XLOOKUP(B2508,Cuentas!$C$1:$C$521,Cuentas!$A$1:$A$521),"")</f>
        <v>Yuldor</v>
      </c>
      <c r="B2508" t="s">
        <v>2152</v>
      </c>
      <c r="C2508" t="s">
        <v>2153</v>
      </c>
      <c r="D2508" t="s">
        <v>16</v>
      </c>
      <c r="E2508" t="s">
        <v>7</v>
      </c>
      <c r="F2508" t="s">
        <v>2774</v>
      </c>
      <c r="G2508" t="s">
        <v>2774</v>
      </c>
      <c r="H2508" s="2">
        <v>45727</v>
      </c>
      <c r="I2508" s="2">
        <v>45757</v>
      </c>
      <c r="J2508" t="s">
        <v>20</v>
      </c>
      <c r="K2508" s="21">
        <v>184</v>
      </c>
      <c r="L2508" s="21">
        <v>184</v>
      </c>
      <c r="M2508">
        <v>0</v>
      </c>
      <c r="N2508" s="21">
        <v>0</v>
      </c>
    </row>
    <row r="2509" spans="1:14">
      <c r="A2509" t="str">
        <f>IFERROR(_xlfn.XLOOKUP(B2509,Cuentas!$C$1:$C$521,Cuentas!$A$1:$A$521),"")</f>
        <v>Yuldor</v>
      </c>
      <c r="B2509" t="s">
        <v>2152</v>
      </c>
      <c r="C2509" t="s">
        <v>2153</v>
      </c>
      <c r="D2509" t="s">
        <v>16</v>
      </c>
      <c r="E2509" t="s">
        <v>7</v>
      </c>
      <c r="F2509" t="s">
        <v>2775</v>
      </c>
      <c r="G2509" t="s">
        <v>2775</v>
      </c>
      <c r="H2509" s="2">
        <v>45727</v>
      </c>
      <c r="I2509" s="2">
        <v>45757</v>
      </c>
      <c r="J2509" t="s">
        <v>20</v>
      </c>
      <c r="K2509" s="21">
        <v>370</v>
      </c>
      <c r="L2509" s="21">
        <v>370</v>
      </c>
      <c r="M2509">
        <v>0</v>
      </c>
      <c r="N2509" s="21">
        <v>0</v>
      </c>
    </row>
    <row r="2510" spans="1:14">
      <c r="A2510" t="str">
        <f>IFERROR(_xlfn.XLOOKUP(B2510,Cuentas!$C$1:$C$521,Cuentas!$A$1:$A$521),"")</f>
        <v>Yuldor</v>
      </c>
      <c r="B2510" t="s">
        <v>2152</v>
      </c>
      <c r="C2510" t="s">
        <v>2153</v>
      </c>
      <c r="D2510" t="s">
        <v>16</v>
      </c>
      <c r="E2510" t="s">
        <v>7</v>
      </c>
      <c r="F2510" t="s">
        <v>2776</v>
      </c>
      <c r="G2510" t="s">
        <v>2776</v>
      </c>
      <c r="H2510" s="2">
        <v>45727</v>
      </c>
      <c r="I2510" s="2">
        <v>45757</v>
      </c>
      <c r="J2510" t="s">
        <v>20</v>
      </c>
      <c r="K2510" s="21">
        <v>208.8</v>
      </c>
      <c r="L2510" s="21">
        <v>208.8</v>
      </c>
      <c r="M2510">
        <v>0</v>
      </c>
      <c r="N2510" s="21">
        <v>0</v>
      </c>
    </row>
    <row r="2511" spans="1:14">
      <c r="A2511" t="str">
        <f>IFERROR(_xlfn.XLOOKUP(B2511,Cuentas!$C$1:$C$521,Cuentas!$A$1:$A$521),"")</f>
        <v>Yuldor</v>
      </c>
      <c r="B2511" t="s">
        <v>2152</v>
      </c>
      <c r="C2511" t="s">
        <v>2153</v>
      </c>
      <c r="D2511" t="s">
        <v>16</v>
      </c>
      <c r="E2511" t="s">
        <v>7</v>
      </c>
      <c r="F2511" t="s">
        <v>2777</v>
      </c>
      <c r="G2511" t="s">
        <v>2777</v>
      </c>
      <c r="H2511" s="2">
        <v>45727</v>
      </c>
      <c r="I2511" s="2">
        <v>45757</v>
      </c>
      <c r="J2511" t="s">
        <v>20</v>
      </c>
      <c r="K2511" s="21">
        <v>311</v>
      </c>
      <c r="L2511" s="21">
        <v>311</v>
      </c>
      <c r="M2511">
        <v>0</v>
      </c>
      <c r="N2511" s="21">
        <v>0</v>
      </c>
    </row>
    <row r="2512" spans="1:14">
      <c r="A2512" t="str">
        <f>IFERROR(_xlfn.XLOOKUP(B2512,Cuentas!$C$1:$C$521,Cuentas!$A$1:$A$521),"")</f>
        <v>Yuldor</v>
      </c>
      <c r="B2512" t="s">
        <v>2152</v>
      </c>
      <c r="C2512" t="s">
        <v>2153</v>
      </c>
      <c r="D2512" t="s">
        <v>16</v>
      </c>
      <c r="E2512" t="s">
        <v>7</v>
      </c>
      <c r="F2512" t="s">
        <v>2778</v>
      </c>
      <c r="G2512" t="s">
        <v>2778</v>
      </c>
      <c r="H2512" s="2">
        <v>45728</v>
      </c>
      <c r="I2512" s="2">
        <v>45758</v>
      </c>
      <c r="J2512" t="s">
        <v>20</v>
      </c>
      <c r="K2512" s="21">
        <v>597</v>
      </c>
      <c r="L2512" s="21">
        <v>597</v>
      </c>
      <c r="M2512">
        <v>0</v>
      </c>
      <c r="N2512" s="21">
        <v>0</v>
      </c>
    </row>
    <row r="2513" spans="1:14">
      <c r="A2513" t="str">
        <f>IFERROR(_xlfn.XLOOKUP(B2513,Cuentas!$C$1:$C$521,Cuentas!$A$1:$A$521),"")</f>
        <v>Yuldor</v>
      </c>
      <c r="B2513" t="s">
        <v>2152</v>
      </c>
      <c r="C2513" t="s">
        <v>2153</v>
      </c>
      <c r="D2513" t="s">
        <v>16</v>
      </c>
      <c r="E2513" t="s">
        <v>7</v>
      </c>
      <c r="F2513" t="s">
        <v>2779</v>
      </c>
      <c r="G2513" t="s">
        <v>2779</v>
      </c>
      <c r="H2513" s="2">
        <v>45728</v>
      </c>
      <c r="I2513" s="2">
        <v>45758</v>
      </c>
      <c r="J2513" t="s">
        <v>20</v>
      </c>
      <c r="K2513" s="21">
        <v>277</v>
      </c>
      <c r="L2513" s="21">
        <v>277</v>
      </c>
      <c r="M2513">
        <v>0</v>
      </c>
      <c r="N2513" s="21">
        <v>0</v>
      </c>
    </row>
    <row r="2514" spans="1:14">
      <c r="A2514" t="str">
        <f>IFERROR(_xlfn.XLOOKUP(B2514,Cuentas!$C$1:$C$521,Cuentas!$A$1:$A$521),"")</f>
        <v>Yuldor</v>
      </c>
      <c r="B2514" t="s">
        <v>2152</v>
      </c>
      <c r="C2514" t="s">
        <v>2153</v>
      </c>
      <c r="D2514" t="s">
        <v>16</v>
      </c>
      <c r="E2514" t="s">
        <v>7</v>
      </c>
      <c r="F2514" t="s">
        <v>2780</v>
      </c>
      <c r="G2514" t="s">
        <v>2780</v>
      </c>
      <c r="H2514" s="2">
        <v>45728</v>
      </c>
      <c r="I2514" s="2">
        <v>45758</v>
      </c>
      <c r="J2514" t="s">
        <v>20</v>
      </c>
      <c r="K2514" s="21">
        <v>555</v>
      </c>
      <c r="L2514" s="21">
        <v>555</v>
      </c>
      <c r="M2514">
        <v>0</v>
      </c>
      <c r="N2514" s="21">
        <v>0</v>
      </c>
    </row>
    <row r="2515" spans="1:14">
      <c r="A2515" t="str">
        <f>IFERROR(_xlfn.XLOOKUP(B2515,Cuentas!$C$1:$C$521,Cuentas!$A$1:$A$521),"")</f>
        <v>Yuldor</v>
      </c>
      <c r="B2515" t="s">
        <v>2152</v>
      </c>
      <c r="C2515" t="s">
        <v>2153</v>
      </c>
      <c r="D2515" t="s">
        <v>16</v>
      </c>
      <c r="E2515" t="s">
        <v>7</v>
      </c>
      <c r="F2515" t="s">
        <v>2781</v>
      </c>
      <c r="G2515" t="s">
        <v>2781</v>
      </c>
      <c r="H2515" s="2">
        <v>45728</v>
      </c>
      <c r="I2515" s="2">
        <v>45758</v>
      </c>
      <c r="J2515" t="s">
        <v>20</v>
      </c>
      <c r="K2515" s="21">
        <v>58.3</v>
      </c>
      <c r="L2515" s="21">
        <v>58.3</v>
      </c>
      <c r="M2515">
        <v>0</v>
      </c>
      <c r="N2515" s="21">
        <v>0</v>
      </c>
    </row>
    <row r="2516" spans="1:14">
      <c r="A2516" t="str">
        <f>IFERROR(_xlfn.XLOOKUP(B2516,Cuentas!$C$1:$C$521,Cuentas!$A$1:$A$521),"")</f>
        <v>Yuldor</v>
      </c>
      <c r="B2516" t="s">
        <v>2152</v>
      </c>
      <c r="C2516" t="s">
        <v>2153</v>
      </c>
      <c r="D2516" t="s">
        <v>16</v>
      </c>
      <c r="E2516" t="s">
        <v>7</v>
      </c>
      <c r="F2516" t="s">
        <v>2782</v>
      </c>
      <c r="G2516" t="s">
        <v>2782</v>
      </c>
      <c r="H2516" s="2">
        <v>45728</v>
      </c>
      <c r="I2516" s="2">
        <v>45758</v>
      </c>
      <c r="J2516" t="s">
        <v>20</v>
      </c>
      <c r="K2516" s="21">
        <v>115.6</v>
      </c>
      <c r="L2516" s="21">
        <v>115.6</v>
      </c>
      <c r="M2516">
        <v>0</v>
      </c>
      <c r="N2516" s="21">
        <v>0</v>
      </c>
    </row>
    <row r="2517" spans="1:14">
      <c r="A2517" t="str">
        <f>IFERROR(_xlfn.XLOOKUP(B2517,Cuentas!$C$1:$C$521,Cuentas!$A$1:$A$521),"")</f>
        <v>Yuldor</v>
      </c>
      <c r="B2517" t="s">
        <v>2152</v>
      </c>
      <c r="C2517" t="s">
        <v>2153</v>
      </c>
      <c r="D2517" t="s">
        <v>16</v>
      </c>
      <c r="E2517" t="s">
        <v>7</v>
      </c>
      <c r="F2517" t="s">
        <v>2783</v>
      </c>
      <c r="G2517" t="s">
        <v>2783</v>
      </c>
      <c r="H2517" s="2">
        <v>45728</v>
      </c>
      <c r="I2517" s="2">
        <v>45758</v>
      </c>
      <c r="J2517" t="s">
        <v>20</v>
      </c>
      <c r="K2517" s="21">
        <v>158.5</v>
      </c>
      <c r="L2517" s="21">
        <v>158.5</v>
      </c>
      <c r="M2517">
        <v>0</v>
      </c>
      <c r="N2517" s="21">
        <v>0</v>
      </c>
    </row>
    <row r="2518" spans="1:14">
      <c r="A2518" t="str">
        <f>IFERROR(_xlfn.XLOOKUP(B2518,Cuentas!$C$1:$C$521,Cuentas!$A$1:$A$521),"")</f>
        <v>Yuldor</v>
      </c>
      <c r="B2518" t="s">
        <v>2152</v>
      </c>
      <c r="C2518" t="s">
        <v>2153</v>
      </c>
      <c r="D2518" t="s">
        <v>16</v>
      </c>
      <c r="E2518" t="s">
        <v>7</v>
      </c>
      <c r="F2518" t="s">
        <v>2784</v>
      </c>
      <c r="G2518" t="s">
        <v>2784</v>
      </c>
      <c r="H2518" s="2">
        <v>45729</v>
      </c>
      <c r="I2518" s="2">
        <v>45759</v>
      </c>
      <c r="J2518" t="s">
        <v>20</v>
      </c>
      <c r="K2518" s="21">
        <v>130.19999999999999</v>
      </c>
      <c r="L2518" s="21">
        <v>130.19999999999999</v>
      </c>
      <c r="M2518">
        <v>0</v>
      </c>
      <c r="N2518" s="21">
        <v>0</v>
      </c>
    </row>
    <row r="2519" spans="1:14">
      <c r="A2519" t="str">
        <f>IFERROR(_xlfn.XLOOKUP(B2519,Cuentas!$C$1:$C$521,Cuentas!$A$1:$A$521),"")</f>
        <v>Yuldor</v>
      </c>
      <c r="B2519" t="s">
        <v>2152</v>
      </c>
      <c r="C2519" t="s">
        <v>2153</v>
      </c>
      <c r="D2519" t="s">
        <v>16</v>
      </c>
      <c r="E2519" t="s">
        <v>7</v>
      </c>
      <c r="F2519" t="s">
        <v>2785</v>
      </c>
      <c r="G2519" t="s">
        <v>2785</v>
      </c>
      <c r="H2519" s="2">
        <v>45730</v>
      </c>
      <c r="I2519" s="2">
        <v>45760</v>
      </c>
      <c r="J2519" t="s">
        <v>20</v>
      </c>
      <c r="K2519" s="21">
        <v>370</v>
      </c>
      <c r="L2519" s="21">
        <v>370</v>
      </c>
      <c r="M2519">
        <v>0</v>
      </c>
      <c r="N2519" s="21">
        <v>0</v>
      </c>
    </row>
    <row r="2520" spans="1:14">
      <c r="A2520" t="str">
        <f>IFERROR(_xlfn.XLOOKUP(B2520,Cuentas!$C$1:$C$521,Cuentas!$A$1:$A$521),"")</f>
        <v>Yuldor</v>
      </c>
      <c r="B2520" t="s">
        <v>2152</v>
      </c>
      <c r="C2520" t="s">
        <v>2153</v>
      </c>
      <c r="D2520" t="s">
        <v>16</v>
      </c>
      <c r="E2520" t="s">
        <v>7</v>
      </c>
      <c r="F2520" t="s">
        <v>2786</v>
      </c>
      <c r="G2520" t="s">
        <v>2786</v>
      </c>
      <c r="H2520" s="2">
        <v>45730</v>
      </c>
      <c r="I2520" s="2">
        <v>45760</v>
      </c>
      <c r="J2520" t="s">
        <v>20</v>
      </c>
      <c r="K2520" s="21">
        <v>447.36</v>
      </c>
      <c r="L2520" s="21">
        <v>447.36</v>
      </c>
      <c r="M2520">
        <v>0</v>
      </c>
      <c r="N2520" s="21">
        <v>0</v>
      </c>
    </row>
    <row r="2521" spans="1:14">
      <c r="A2521" t="str">
        <f>IFERROR(_xlfn.XLOOKUP(B2521,Cuentas!$C$1:$C$521,Cuentas!$A$1:$A$521),"")</f>
        <v>Yuldor</v>
      </c>
      <c r="B2521" t="s">
        <v>2152</v>
      </c>
      <c r="C2521" t="s">
        <v>2153</v>
      </c>
      <c r="D2521" t="s">
        <v>16</v>
      </c>
      <c r="E2521" t="s">
        <v>7</v>
      </c>
      <c r="F2521" t="s">
        <v>2787</v>
      </c>
      <c r="G2521" t="s">
        <v>2787</v>
      </c>
      <c r="H2521" s="2">
        <v>45730</v>
      </c>
      <c r="I2521" s="2">
        <v>45760</v>
      </c>
      <c r="J2521" t="s">
        <v>20</v>
      </c>
      <c r="K2521" s="21">
        <v>569.41999999999996</v>
      </c>
      <c r="L2521" s="21">
        <v>569.41999999999996</v>
      </c>
      <c r="M2521">
        <v>0</v>
      </c>
      <c r="N2521" s="21">
        <v>0</v>
      </c>
    </row>
    <row r="2522" spans="1:14">
      <c r="A2522" t="str">
        <f>IFERROR(_xlfn.XLOOKUP(B2522,Cuentas!$C$1:$C$521,Cuentas!$A$1:$A$521),"")</f>
        <v>Yuldor</v>
      </c>
      <c r="B2522" t="s">
        <v>2152</v>
      </c>
      <c r="C2522" t="s">
        <v>2153</v>
      </c>
      <c r="D2522" t="s">
        <v>16</v>
      </c>
      <c r="E2522" t="s">
        <v>7</v>
      </c>
      <c r="F2522" t="s">
        <v>2788</v>
      </c>
      <c r="G2522" t="s">
        <v>2788</v>
      </c>
      <c r="H2522" s="2">
        <v>45730</v>
      </c>
      <c r="I2522" s="2">
        <v>45760</v>
      </c>
      <c r="J2522" t="s">
        <v>20</v>
      </c>
      <c r="K2522" s="21">
        <v>53.3</v>
      </c>
      <c r="L2522" s="21">
        <v>53.3</v>
      </c>
      <c r="M2522">
        <v>0</v>
      </c>
      <c r="N2522" s="21">
        <v>0</v>
      </c>
    </row>
    <row r="2523" spans="1:14">
      <c r="A2523" t="str">
        <f>IFERROR(_xlfn.XLOOKUP(B2523,Cuentas!$C$1:$C$521,Cuentas!$A$1:$A$521),"")</f>
        <v>Yuldor</v>
      </c>
      <c r="B2523" t="s">
        <v>2152</v>
      </c>
      <c r="C2523" t="s">
        <v>2153</v>
      </c>
      <c r="D2523" t="s">
        <v>16</v>
      </c>
      <c r="E2523" t="s">
        <v>7</v>
      </c>
      <c r="F2523" t="s">
        <v>2789</v>
      </c>
      <c r="G2523" t="s">
        <v>2789</v>
      </c>
      <c r="H2523" s="2">
        <v>45730</v>
      </c>
      <c r="I2523" s="2">
        <v>45760</v>
      </c>
      <c r="J2523" t="s">
        <v>20</v>
      </c>
      <c r="K2523" s="21">
        <v>212.2</v>
      </c>
      <c r="L2523" s="21">
        <v>212.2</v>
      </c>
      <c r="M2523">
        <v>0</v>
      </c>
      <c r="N2523" s="21">
        <v>0</v>
      </c>
    </row>
    <row r="2524" spans="1:14">
      <c r="A2524" t="str">
        <f>IFERROR(_xlfn.XLOOKUP(B2524,Cuentas!$C$1:$C$521,Cuentas!$A$1:$A$521),"")</f>
        <v>Yuldor</v>
      </c>
      <c r="B2524" t="s">
        <v>2152</v>
      </c>
      <c r="C2524" t="s">
        <v>2153</v>
      </c>
      <c r="D2524" t="s">
        <v>16</v>
      </c>
      <c r="E2524" t="s">
        <v>7</v>
      </c>
      <c r="F2524" t="s">
        <v>2790</v>
      </c>
      <c r="G2524" t="s">
        <v>2790</v>
      </c>
      <c r="H2524" s="2">
        <v>45733</v>
      </c>
      <c r="I2524" s="2">
        <v>45763</v>
      </c>
      <c r="J2524" t="s">
        <v>20</v>
      </c>
      <c r="K2524" s="21">
        <v>380</v>
      </c>
      <c r="L2524" s="21">
        <v>380</v>
      </c>
      <c r="M2524">
        <v>0</v>
      </c>
      <c r="N2524" s="21">
        <v>0</v>
      </c>
    </row>
    <row r="2525" spans="1:14">
      <c r="A2525" t="str">
        <f>IFERROR(_xlfn.XLOOKUP(B2525,Cuentas!$C$1:$C$521,Cuentas!$A$1:$A$521),"")</f>
        <v>Yuldor</v>
      </c>
      <c r="B2525" t="s">
        <v>2152</v>
      </c>
      <c r="C2525" t="s">
        <v>2153</v>
      </c>
      <c r="D2525" t="s">
        <v>16</v>
      </c>
      <c r="E2525" t="s">
        <v>7</v>
      </c>
      <c r="F2525" t="s">
        <v>2791</v>
      </c>
      <c r="G2525" t="s">
        <v>2791</v>
      </c>
      <c r="H2525" s="2">
        <v>45734</v>
      </c>
      <c r="I2525" s="2">
        <v>45764</v>
      </c>
      <c r="J2525" t="s">
        <v>20</v>
      </c>
      <c r="K2525" s="21">
        <v>376</v>
      </c>
      <c r="L2525" s="21">
        <v>376</v>
      </c>
      <c r="M2525">
        <v>0</v>
      </c>
      <c r="N2525" s="21">
        <v>0</v>
      </c>
    </row>
    <row r="2526" spans="1:14">
      <c r="A2526" t="str">
        <f>IFERROR(_xlfn.XLOOKUP(B2526,Cuentas!$C$1:$C$521,Cuentas!$A$1:$A$521),"")</f>
        <v>Yuldor</v>
      </c>
      <c r="B2526" t="s">
        <v>2152</v>
      </c>
      <c r="C2526" t="s">
        <v>2153</v>
      </c>
      <c r="D2526" t="s">
        <v>16</v>
      </c>
      <c r="E2526" t="s">
        <v>7</v>
      </c>
      <c r="F2526" t="s">
        <v>2792</v>
      </c>
      <c r="G2526" t="s">
        <v>2792</v>
      </c>
      <c r="H2526" s="2">
        <v>45734</v>
      </c>
      <c r="I2526" s="2">
        <v>45764</v>
      </c>
      <c r="J2526" t="s">
        <v>20</v>
      </c>
      <c r="K2526" s="21">
        <v>106.6</v>
      </c>
      <c r="L2526" s="21">
        <v>106.6</v>
      </c>
      <c r="M2526">
        <v>0</v>
      </c>
      <c r="N2526" s="21">
        <v>0</v>
      </c>
    </row>
    <row r="2527" spans="1:14">
      <c r="A2527" t="str">
        <f>IFERROR(_xlfn.XLOOKUP(B2527,Cuentas!$C$1:$C$521,Cuentas!$A$1:$A$521),"")</f>
        <v>Yuldor</v>
      </c>
      <c r="B2527" t="s">
        <v>2152</v>
      </c>
      <c r="C2527" t="s">
        <v>2153</v>
      </c>
      <c r="D2527" t="s">
        <v>16</v>
      </c>
      <c r="E2527" t="s">
        <v>7</v>
      </c>
      <c r="F2527" t="s">
        <v>2793</v>
      </c>
      <c r="G2527" t="s">
        <v>2793</v>
      </c>
      <c r="H2527" s="2">
        <v>45734</v>
      </c>
      <c r="I2527" s="2">
        <v>45764</v>
      </c>
      <c r="J2527" t="s">
        <v>20</v>
      </c>
      <c r="K2527" s="21">
        <v>202.3</v>
      </c>
      <c r="L2527" s="21">
        <v>202.3</v>
      </c>
      <c r="M2527">
        <v>0</v>
      </c>
      <c r="N2527" s="21">
        <v>0</v>
      </c>
    </row>
    <row r="2528" spans="1:14">
      <c r="A2528" t="str">
        <f>IFERROR(_xlfn.XLOOKUP(B2528,Cuentas!$C$1:$C$521,Cuentas!$A$1:$A$521),"")</f>
        <v>Yuldor</v>
      </c>
      <c r="B2528" t="s">
        <v>2152</v>
      </c>
      <c r="C2528" t="s">
        <v>2153</v>
      </c>
      <c r="D2528" t="s">
        <v>16</v>
      </c>
      <c r="E2528" t="s">
        <v>7</v>
      </c>
      <c r="F2528" t="s">
        <v>2794</v>
      </c>
      <c r="G2528" t="s">
        <v>2794</v>
      </c>
      <c r="H2528" s="2">
        <v>45734</v>
      </c>
      <c r="I2528" s="2">
        <v>45764</v>
      </c>
      <c r="J2528" t="s">
        <v>20</v>
      </c>
      <c r="K2528" s="21">
        <v>93</v>
      </c>
      <c r="L2528" s="21">
        <v>93</v>
      </c>
      <c r="M2528">
        <v>0</v>
      </c>
      <c r="N2528" s="21">
        <v>0</v>
      </c>
    </row>
    <row r="2529" spans="1:14">
      <c r="A2529" t="str">
        <f>IFERROR(_xlfn.XLOOKUP(B2529,Cuentas!$C$1:$C$521,Cuentas!$A$1:$A$521),"")</f>
        <v>Yuldor</v>
      </c>
      <c r="B2529" t="s">
        <v>2152</v>
      </c>
      <c r="C2529" t="s">
        <v>2153</v>
      </c>
      <c r="D2529" t="s">
        <v>16</v>
      </c>
      <c r="E2529" t="s">
        <v>7</v>
      </c>
      <c r="F2529" t="s">
        <v>2795</v>
      </c>
      <c r="G2529" t="s">
        <v>2795</v>
      </c>
      <c r="H2529" s="2">
        <v>45734</v>
      </c>
      <c r="I2529" s="2">
        <v>45764</v>
      </c>
      <c r="J2529" t="s">
        <v>20</v>
      </c>
      <c r="K2529" s="21">
        <v>290</v>
      </c>
      <c r="L2529" s="21">
        <v>290</v>
      </c>
      <c r="M2529">
        <v>0</v>
      </c>
      <c r="N2529" s="21">
        <v>0</v>
      </c>
    </row>
    <row r="2530" spans="1:14">
      <c r="A2530" t="str">
        <f>IFERROR(_xlfn.XLOOKUP(B2530,Cuentas!$C$1:$C$521,Cuentas!$A$1:$A$521),"")</f>
        <v>Yuldor</v>
      </c>
      <c r="B2530" t="s">
        <v>2152</v>
      </c>
      <c r="C2530" t="s">
        <v>2153</v>
      </c>
      <c r="D2530" t="s">
        <v>16</v>
      </c>
      <c r="E2530" t="s">
        <v>7</v>
      </c>
      <c r="F2530" t="s">
        <v>2796</v>
      </c>
      <c r="G2530" t="s">
        <v>2796</v>
      </c>
      <c r="H2530" s="2">
        <v>45734</v>
      </c>
      <c r="I2530" s="2">
        <v>45764</v>
      </c>
      <c r="J2530" t="s">
        <v>20</v>
      </c>
      <c r="K2530" s="21">
        <v>250.5</v>
      </c>
      <c r="L2530" s="21">
        <v>250.5</v>
      </c>
      <c r="M2530">
        <v>0</v>
      </c>
      <c r="N2530" s="21">
        <v>0</v>
      </c>
    </row>
    <row r="2531" spans="1:14">
      <c r="A2531" t="str">
        <f>IFERROR(_xlfn.XLOOKUP(B2531,Cuentas!$C$1:$C$521,Cuentas!$A$1:$A$521),"")</f>
        <v>Yuldor</v>
      </c>
      <c r="B2531" t="s">
        <v>2152</v>
      </c>
      <c r="C2531" t="s">
        <v>2153</v>
      </c>
      <c r="D2531" t="s">
        <v>16</v>
      </c>
      <c r="E2531" t="s">
        <v>7</v>
      </c>
      <c r="F2531" t="s">
        <v>2797</v>
      </c>
      <c r="G2531" t="s">
        <v>2797</v>
      </c>
      <c r="H2531" s="2">
        <v>45734</v>
      </c>
      <c r="I2531" s="2">
        <v>45764</v>
      </c>
      <c r="J2531" t="s">
        <v>20</v>
      </c>
      <c r="K2531" s="21">
        <v>228</v>
      </c>
      <c r="L2531" s="21">
        <v>228</v>
      </c>
      <c r="M2531">
        <v>0</v>
      </c>
      <c r="N2531" s="21">
        <v>0</v>
      </c>
    </row>
    <row r="2532" spans="1:14">
      <c r="A2532" t="str">
        <f>IFERROR(_xlfn.XLOOKUP(B2532,Cuentas!$C$1:$C$521,Cuentas!$A$1:$A$521),"")</f>
        <v>Yuldor</v>
      </c>
      <c r="B2532" t="s">
        <v>2152</v>
      </c>
      <c r="C2532" t="s">
        <v>2153</v>
      </c>
      <c r="D2532" t="s">
        <v>16</v>
      </c>
      <c r="E2532" t="s">
        <v>7</v>
      </c>
      <c r="F2532" t="s">
        <v>2798</v>
      </c>
      <c r="G2532" t="s">
        <v>2798</v>
      </c>
      <c r="H2532" s="2">
        <v>45734</v>
      </c>
      <c r="I2532" s="2">
        <v>45764</v>
      </c>
      <c r="J2532" t="s">
        <v>20</v>
      </c>
      <c r="K2532" s="21">
        <v>447</v>
      </c>
      <c r="L2532" s="21">
        <v>447</v>
      </c>
      <c r="M2532">
        <v>0</v>
      </c>
      <c r="N2532" s="21">
        <v>0</v>
      </c>
    </row>
    <row r="2533" spans="1:14">
      <c r="A2533" t="str">
        <f>IFERROR(_xlfn.XLOOKUP(B2533,Cuentas!$C$1:$C$521,Cuentas!$A$1:$A$521),"")</f>
        <v>Yuldor</v>
      </c>
      <c r="B2533" t="s">
        <v>2152</v>
      </c>
      <c r="C2533" t="s">
        <v>2153</v>
      </c>
      <c r="D2533" t="s">
        <v>16</v>
      </c>
      <c r="E2533" t="s">
        <v>7</v>
      </c>
      <c r="F2533" t="s">
        <v>2799</v>
      </c>
      <c r="G2533" t="s">
        <v>2799</v>
      </c>
      <c r="H2533" s="2">
        <v>45734</v>
      </c>
      <c r="I2533" s="2">
        <v>45764</v>
      </c>
      <c r="J2533" t="s">
        <v>20</v>
      </c>
      <c r="K2533" s="21">
        <v>150</v>
      </c>
      <c r="L2533" s="21">
        <v>150</v>
      </c>
      <c r="M2533">
        <v>0</v>
      </c>
      <c r="N2533" s="21">
        <v>0</v>
      </c>
    </row>
    <row r="2534" spans="1:14">
      <c r="A2534" t="str">
        <f>IFERROR(_xlfn.XLOOKUP(B2534,Cuentas!$C$1:$C$521,Cuentas!$A$1:$A$521),"")</f>
        <v>Yuldor</v>
      </c>
      <c r="B2534" t="s">
        <v>2152</v>
      </c>
      <c r="C2534" t="s">
        <v>2153</v>
      </c>
      <c r="D2534" t="s">
        <v>16</v>
      </c>
      <c r="E2534" t="s">
        <v>7</v>
      </c>
      <c r="F2534" t="s">
        <v>2800</v>
      </c>
      <c r="G2534" t="s">
        <v>2800</v>
      </c>
      <c r="H2534" s="2">
        <v>45734</v>
      </c>
      <c r="I2534" s="2">
        <v>45764</v>
      </c>
      <c r="J2534" t="s">
        <v>20</v>
      </c>
      <c r="K2534" s="21">
        <v>285.20999999999998</v>
      </c>
      <c r="L2534" s="21">
        <v>285.20999999999998</v>
      </c>
      <c r="M2534">
        <v>0</v>
      </c>
      <c r="N2534" s="21">
        <v>0</v>
      </c>
    </row>
    <row r="2535" spans="1:14">
      <c r="A2535" t="str">
        <f>IFERROR(_xlfn.XLOOKUP(B2535,Cuentas!$C$1:$C$521,Cuentas!$A$1:$A$521),"")</f>
        <v>Yuldor</v>
      </c>
      <c r="B2535" t="s">
        <v>2152</v>
      </c>
      <c r="C2535" t="s">
        <v>2153</v>
      </c>
      <c r="D2535" t="s">
        <v>16</v>
      </c>
      <c r="E2535" t="s">
        <v>7</v>
      </c>
      <c r="F2535" t="s">
        <v>2801</v>
      </c>
      <c r="G2535" t="s">
        <v>2801</v>
      </c>
      <c r="H2535" s="2">
        <v>45735</v>
      </c>
      <c r="I2535" s="2">
        <v>45765</v>
      </c>
      <c r="J2535" t="s">
        <v>20</v>
      </c>
      <c r="K2535" s="21">
        <v>411.4</v>
      </c>
      <c r="L2535" s="21">
        <v>411.4</v>
      </c>
      <c r="M2535">
        <v>0</v>
      </c>
      <c r="N2535" s="21">
        <v>0</v>
      </c>
    </row>
    <row r="2536" spans="1:14">
      <c r="A2536" t="str">
        <f>IFERROR(_xlfn.XLOOKUP(B2536,Cuentas!$C$1:$C$521,Cuentas!$A$1:$A$521),"")</f>
        <v>Yuldor</v>
      </c>
      <c r="B2536" t="s">
        <v>2152</v>
      </c>
      <c r="C2536" t="s">
        <v>2153</v>
      </c>
      <c r="D2536" t="s">
        <v>16</v>
      </c>
      <c r="E2536" t="s">
        <v>7</v>
      </c>
      <c r="F2536" t="s">
        <v>2802</v>
      </c>
      <c r="G2536" t="s">
        <v>2802</v>
      </c>
      <c r="H2536" s="2">
        <v>45735</v>
      </c>
      <c r="I2536" s="2">
        <v>45765</v>
      </c>
      <c r="J2536" t="s">
        <v>20</v>
      </c>
      <c r="K2536" s="21">
        <v>395.26</v>
      </c>
      <c r="L2536" s="21">
        <v>395.26</v>
      </c>
      <c r="M2536">
        <v>0</v>
      </c>
      <c r="N2536" s="21">
        <v>0</v>
      </c>
    </row>
    <row r="2537" spans="1:14">
      <c r="A2537" t="str">
        <f>IFERROR(_xlfn.XLOOKUP(B2537,Cuentas!$C$1:$C$521,Cuentas!$A$1:$A$521),"")</f>
        <v>Yuldor</v>
      </c>
      <c r="B2537" t="s">
        <v>2152</v>
      </c>
      <c r="C2537" t="s">
        <v>2153</v>
      </c>
      <c r="D2537" t="s">
        <v>16</v>
      </c>
      <c r="E2537" t="s">
        <v>7</v>
      </c>
      <c r="F2537" t="s">
        <v>2803</v>
      </c>
      <c r="G2537" t="s">
        <v>2803</v>
      </c>
      <c r="H2537" s="2">
        <v>45735</v>
      </c>
      <c r="I2537" s="2">
        <v>45765</v>
      </c>
      <c r="J2537" t="s">
        <v>20</v>
      </c>
      <c r="K2537" s="21">
        <v>418.9</v>
      </c>
      <c r="L2537" s="21">
        <v>418.9</v>
      </c>
      <c r="M2537">
        <v>0</v>
      </c>
      <c r="N2537" s="21">
        <v>0</v>
      </c>
    </row>
    <row r="2538" spans="1:14">
      <c r="A2538" t="str">
        <f>IFERROR(_xlfn.XLOOKUP(B2538,Cuentas!$C$1:$C$521,Cuentas!$A$1:$A$521),"")</f>
        <v>Yuldor</v>
      </c>
      <c r="B2538" t="s">
        <v>2152</v>
      </c>
      <c r="C2538" t="s">
        <v>2153</v>
      </c>
      <c r="D2538" t="s">
        <v>16</v>
      </c>
      <c r="E2538" t="s">
        <v>7</v>
      </c>
      <c r="F2538" t="s">
        <v>2804</v>
      </c>
      <c r="G2538" t="s">
        <v>2804</v>
      </c>
      <c r="H2538" s="2">
        <v>45736</v>
      </c>
      <c r="I2538" s="2">
        <v>45766</v>
      </c>
      <c r="J2538" t="s">
        <v>20</v>
      </c>
      <c r="K2538" s="21">
        <v>305</v>
      </c>
      <c r="L2538" s="21">
        <v>305</v>
      </c>
      <c r="M2538">
        <v>0</v>
      </c>
      <c r="N2538" s="21">
        <v>0</v>
      </c>
    </row>
    <row r="2539" spans="1:14">
      <c r="A2539" t="str">
        <f>IFERROR(_xlfn.XLOOKUP(B2539,Cuentas!$C$1:$C$521,Cuentas!$A$1:$A$521),"")</f>
        <v>Yuldor</v>
      </c>
      <c r="B2539" t="s">
        <v>2152</v>
      </c>
      <c r="C2539" t="s">
        <v>2153</v>
      </c>
      <c r="D2539" t="s">
        <v>16</v>
      </c>
      <c r="E2539" t="s">
        <v>7</v>
      </c>
      <c r="F2539" t="s">
        <v>2805</v>
      </c>
      <c r="G2539" t="s">
        <v>2805</v>
      </c>
      <c r="H2539" s="2">
        <v>45736</v>
      </c>
      <c r="I2539" s="2">
        <v>45766</v>
      </c>
      <c r="J2539" t="s">
        <v>20</v>
      </c>
      <c r="K2539" s="21">
        <v>625.4</v>
      </c>
      <c r="L2539" s="21">
        <v>625.4</v>
      </c>
      <c r="M2539">
        <v>0</v>
      </c>
      <c r="N2539" s="21">
        <v>0</v>
      </c>
    </row>
    <row r="2540" spans="1:14">
      <c r="A2540" t="str">
        <f>IFERROR(_xlfn.XLOOKUP(B2540,Cuentas!$C$1:$C$521,Cuentas!$A$1:$A$521),"")</f>
        <v>Yuldor</v>
      </c>
      <c r="B2540" t="s">
        <v>2152</v>
      </c>
      <c r="C2540" t="s">
        <v>2153</v>
      </c>
      <c r="D2540" t="s">
        <v>16</v>
      </c>
      <c r="E2540" t="s">
        <v>7</v>
      </c>
      <c r="F2540" t="s">
        <v>2806</v>
      </c>
      <c r="G2540" t="s">
        <v>2806</v>
      </c>
      <c r="H2540" s="2">
        <v>45736</v>
      </c>
      <c r="I2540" s="2">
        <v>45766</v>
      </c>
      <c r="J2540" t="s">
        <v>20</v>
      </c>
      <c r="K2540" s="21">
        <v>122.09</v>
      </c>
      <c r="L2540" s="21">
        <v>122.09</v>
      </c>
      <c r="M2540">
        <v>0</v>
      </c>
      <c r="N2540" s="21">
        <v>0</v>
      </c>
    </row>
    <row r="2541" spans="1:14">
      <c r="A2541" t="str">
        <f>IFERROR(_xlfn.XLOOKUP(B2541,Cuentas!$C$1:$C$521,Cuentas!$A$1:$A$521),"")</f>
        <v>Yuldor</v>
      </c>
      <c r="B2541" t="s">
        <v>2152</v>
      </c>
      <c r="C2541" t="s">
        <v>2153</v>
      </c>
      <c r="D2541" t="s">
        <v>16</v>
      </c>
      <c r="E2541" t="s">
        <v>7</v>
      </c>
      <c r="F2541" t="s">
        <v>2807</v>
      </c>
      <c r="G2541" t="s">
        <v>2807</v>
      </c>
      <c r="H2541" s="2">
        <v>45736</v>
      </c>
      <c r="I2541" s="2">
        <v>45766</v>
      </c>
      <c r="J2541" t="s">
        <v>20</v>
      </c>
      <c r="K2541" s="21">
        <v>251.4</v>
      </c>
      <c r="L2541" s="21">
        <v>251.4</v>
      </c>
      <c r="M2541">
        <v>0</v>
      </c>
      <c r="N2541" s="21">
        <v>0</v>
      </c>
    </row>
    <row r="2542" spans="1:14">
      <c r="A2542" t="str">
        <f>IFERROR(_xlfn.XLOOKUP(B2542,Cuentas!$C$1:$C$521,Cuentas!$A$1:$A$521),"")</f>
        <v>Yuldor</v>
      </c>
      <c r="B2542" t="s">
        <v>2152</v>
      </c>
      <c r="C2542" t="s">
        <v>2153</v>
      </c>
      <c r="D2542" t="s">
        <v>16</v>
      </c>
      <c r="E2542" t="s">
        <v>7</v>
      </c>
      <c r="F2542" t="s">
        <v>2808</v>
      </c>
      <c r="G2542" t="s">
        <v>2808</v>
      </c>
      <c r="H2542" s="2">
        <v>45740</v>
      </c>
      <c r="I2542" s="2">
        <v>45770</v>
      </c>
      <c r="J2542" t="s">
        <v>20</v>
      </c>
      <c r="K2542" s="21">
        <v>106.6</v>
      </c>
      <c r="L2542" s="21">
        <v>106.6</v>
      </c>
      <c r="M2542">
        <v>0</v>
      </c>
      <c r="N2542" s="21">
        <v>0</v>
      </c>
    </row>
    <row r="2543" spans="1:14">
      <c r="A2543" t="str">
        <f>IFERROR(_xlfn.XLOOKUP(B2543,Cuentas!$C$1:$C$521,Cuentas!$A$1:$A$521),"")</f>
        <v>Yuldor</v>
      </c>
      <c r="B2543" t="s">
        <v>2152</v>
      </c>
      <c r="C2543" t="s">
        <v>2153</v>
      </c>
      <c r="D2543" t="s">
        <v>16</v>
      </c>
      <c r="E2543" t="s">
        <v>7</v>
      </c>
      <c r="F2543" t="s">
        <v>2809</v>
      </c>
      <c r="G2543" t="s">
        <v>2809</v>
      </c>
      <c r="H2543" s="2">
        <v>45740</v>
      </c>
      <c r="I2543" s="2">
        <v>45770</v>
      </c>
      <c r="J2543" t="s">
        <v>20</v>
      </c>
      <c r="K2543" s="21">
        <v>53.3</v>
      </c>
      <c r="L2543" s="21">
        <v>53.3</v>
      </c>
      <c r="M2543">
        <v>0</v>
      </c>
      <c r="N2543" s="21">
        <v>0</v>
      </c>
    </row>
    <row r="2544" spans="1:14">
      <c r="A2544" t="str">
        <f>IFERROR(_xlfn.XLOOKUP(B2544,Cuentas!$C$1:$C$521,Cuentas!$A$1:$A$521),"")</f>
        <v>Yuldor</v>
      </c>
      <c r="B2544" t="s">
        <v>2152</v>
      </c>
      <c r="C2544" t="s">
        <v>2153</v>
      </c>
      <c r="D2544" t="s">
        <v>16</v>
      </c>
      <c r="E2544" t="s">
        <v>7</v>
      </c>
      <c r="F2544" t="s">
        <v>2810</v>
      </c>
      <c r="G2544" t="s">
        <v>2810</v>
      </c>
      <c r="H2544" s="2">
        <v>45740</v>
      </c>
      <c r="I2544" s="2">
        <v>45770</v>
      </c>
      <c r="J2544" t="s">
        <v>20</v>
      </c>
      <c r="K2544" s="21">
        <v>368</v>
      </c>
      <c r="L2544" s="21">
        <v>368</v>
      </c>
      <c r="M2544">
        <v>0</v>
      </c>
      <c r="N2544" s="21">
        <v>0</v>
      </c>
    </row>
    <row r="2545" spans="1:14">
      <c r="A2545" t="str">
        <f>IFERROR(_xlfn.XLOOKUP(B2545,Cuentas!$C$1:$C$521,Cuentas!$A$1:$A$521),"")</f>
        <v>Yuldor</v>
      </c>
      <c r="B2545" t="s">
        <v>2152</v>
      </c>
      <c r="C2545" t="s">
        <v>2153</v>
      </c>
      <c r="D2545" t="s">
        <v>16</v>
      </c>
      <c r="E2545" t="s">
        <v>7</v>
      </c>
      <c r="F2545" t="s">
        <v>2811</v>
      </c>
      <c r="G2545" t="s">
        <v>2811</v>
      </c>
      <c r="H2545" s="2">
        <v>45740</v>
      </c>
      <c r="I2545" s="2">
        <v>45770</v>
      </c>
      <c r="J2545" t="s">
        <v>20</v>
      </c>
      <c r="K2545" s="21">
        <v>188</v>
      </c>
      <c r="L2545" s="21">
        <v>188</v>
      </c>
      <c r="M2545">
        <v>0</v>
      </c>
      <c r="N2545" s="21">
        <v>0</v>
      </c>
    </row>
    <row r="2546" spans="1:14">
      <c r="A2546" t="str">
        <f>IFERROR(_xlfn.XLOOKUP(B2546,Cuentas!$C$1:$C$521,Cuentas!$A$1:$A$521),"")</f>
        <v>Yuldor</v>
      </c>
      <c r="B2546" t="s">
        <v>2152</v>
      </c>
      <c r="C2546" t="s">
        <v>2153</v>
      </c>
      <c r="D2546" t="s">
        <v>16</v>
      </c>
      <c r="E2546" t="s">
        <v>7</v>
      </c>
      <c r="F2546" t="s">
        <v>2812</v>
      </c>
      <c r="G2546" t="s">
        <v>2812</v>
      </c>
      <c r="H2546" s="2">
        <v>45740</v>
      </c>
      <c r="I2546" s="2">
        <v>45770</v>
      </c>
      <c r="J2546" t="s">
        <v>20</v>
      </c>
      <c r="K2546" s="21">
        <v>237.56</v>
      </c>
      <c r="L2546" s="21">
        <v>237.56</v>
      </c>
      <c r="M2546">
        <v>0</v>
      </c>
      <c r="N2546" s="21">
        <v>0</v>
      </c>
    </row>
    <row r="2547" spans="1:14">
      <c r="A2547" t="str">
        <f>IFERROR(_xlfn.XLOOKUP(B2547,Cuentas!$C$1:$C$521,Cuentas!$A$1:$A$521),"")</f>
        <v>Yuldor</v>
      </c>
      <c r="B2547" t="s">
        <v>2152</v>
      </c>
      <c r="C2547" t="s">
        <v>2153</v>
      </c>
      <c r="D2547" t="s">
        <v>16</v>
      </c>
      <c r="E2547" t="s">
        <v>7</v>
      </c>
      <c r="F2547" t="s">
        <v>2813</v>
      </c>
      <c r="G2547" t="s">
        <v>2813</v>
      </c>
      <c r="H2547" s="2">
        <v>45740</v>
      </c>
      <c r="I2547" s="2">
        <v>45770</v>
      </c>
      <c r="J2547" t="s">
        <v>20</v>
      </c>
      <c r="K2547" s="21">
        <v>370</v>
      </c>
      <c r="L2547" s="21">
        <v>370</v>
      </c>
      <c r="M2547">
        <v>0</v>
      </c>
      <c r="N2547" s="21">
        <v>0</v>
      </c>
    </row>
    <row r="2548" spans="1:14">
      <c r="A2548" t="str">
        <f>IFERROR(_xlfn.XLOOKUP(B2548,Cuentas!$C$1:$C$521,Cuentas!$A$1:$A$521),"")</f>
        <v>Yuldor</v>
      </c>
      <c r="B2548" t="s">
        <v>2152</v>
      </c>
      <c r="C2548" t="s">
        <v>2153</v>
      </c>
      <c r="D2548" t="s">
        <v>16</v>
      </c>
      <c r="E2548" t="s">
        <v>7</v>
      </c>
      <c r="F2548" t="s">
        <v>2814</v>
      </c>
      <c r="G2548" t="s">
        <v>2814</v>
      </c>
      <c r="H2548" s="2">
        <v>45740</v>
      </c>
      <c r="I2548" s="2">
        <v>45770</v>
      </c>
      <c r="J2548" t="s">
        <v>20</v>
      </c>
      <c r="K2548" s="21">
        <v>184</v>
      </c>
      <c r="L2548" s="21">
        <v>184</v>
      </c>
      <c r="M2548">
        <v>0</v>
      </c>
      <c r="N2548" s="21">
        <v>0</v>
      </c>
    </row>
    <row r="2549" spans="1:14">
      <c r="A2549" t="str">
        <f>IFERROR(_xlfn.XLOOKUP(B2549,Cuentas!$C$1:$C$521,Cuentas!$A$1:$A$521),"")</f>
        <v>Yuldor</v>
      </c>
      <c r="B2549" t="s">
        <v>2152</v>
      </c>
      <c r="C2549" t="s">
        <v>2153</v>
      </c>
      <c r="D2549" t="s">
        <v>16</v>
      </c>
      <c r="E2549" t="s">
        <v>7</v>
      </c>
      <c r="F2549" t="s">
        <v>2815</v>
      </c>
      <c r="G2549" t="s">
        <v>2815</v>
      </c>
      <c r="H2549" s="2">
        <v>45740</v>
      </c>
      <c r="I2549" s="2">
        <v>45770</v>
      </c>
      <c r="J2549" t="s">
        <v>20</v>
      </c>
      <c r="K2549" s="21">
        <v>368</v>
      </c>
      <c r="L2549" s="21">
        <v>368</v>
      </c>
      <c r="M2549">
        <v>0</v>
      </c>
      <c r="N2549" s="21">
        <v>0</v>
      </c>
    </row>
    <row r="2550" spans="1:14">
      <c r="A2550" t="str">
        <f>IFERROR(_xlfn.XLOOKUP(B2550,Cuentas!$C$1:$C$521,Cuentas!$A$1:$A$521),"")</f>
        <v>Yuldor</v>
      </c>
      <c r="B2550" t="s">
        <v>2152</v>
      </c>
      <c r="C2550" t="s">
        <v>2153</v>
      </c>
      <c r="D2550" t="s">
        <v>16</v>
      </c>
      <c r="E2550" t="s">
        <v>7</v>
      </c>
      <c r="F2550" t="s">
        <v>2816</v>
      </c>
      <c r="G2550" t="s">
        <v>2816</v>
      </c>
      <c r="H2550" s="2">
        <v>45740</v>
      </c>
      <c r="I2550" s="2">
        <v>45770</v>
      </c>
      <c r="J2550" t="s">
        <v>20</v>
      </c>
      <c r="K2550" s="21">
        <v>447</v>
      </c>
      <c r="L2550" s="21">
        <v>447</v>
      </c>
      <c r="M2550">
        <v>0</v>
      </c>
      <c r="N2550" s="21">
        <v>0</v>
      </c>
    </row>
    <row r="2551" spans="1:14">
      <c r="A2551" t="str">
        <f>IFERROR(_xlfn.XLOOKUP(B2551,Cuentas!$C$1:$C$521,Cuentas!$A$1:$A$521),"")</f>
        <v>Yuldor</v>
      </c>
      <c r="B2551" t="s">
        <v>2152</v>
      </c>
      <c r="C2551" t="s">
        <v>2153</v>
      </c>
      <c r="D2551" t="s">
        <v>16</v>
      </c>
      <c r="E2551" t="s">
        <v>7</v>
      </c>
      <c r="F2551" t="s">
        <v>2817</v>
      </c>
      <c r="G2551" t="s">
        <v>2817</v>
      </c>
      <c r="H2551" s="2">
        <v>45740</v>
      </c>
      <c r="I2551" s="2">
        <v>45770</v>
      </c>
      <c r="J2551" t="s">
        <v>20</v>
      </c>
      <c r="K2551" s="21">
        <v>212.2</v>
      </c>
      <c r="L2551" s="21">
        <v>212.2</v>
      </c>
      <c r="M2551">
        <v>0</v>
      </c>
      <c r="N2551" s="21">
        <v>0</v>
      </c>
    </row>
    <row r="2552" spans="1:14">
      <c r="A2552" t="str">
        <f>IFERROR(_xlfn.XLOOKUP(B2552,Cuentas!$C$1:$C$521,Cuentas!$A$1:$A$521),"")</f>
        <v>Yuldor</v>
      </c>
      <c r="B2552" t="s">
        <v>2152</v>
      </c>
      <c r="C2552" t="s">
        <v>2153</v>
      </c>
      <c r="D2552" t="s">
        <v>16</v>
      </c>
      <c r="E2552" t="s">
        <v>7</v>
      </c>
      <c r="F2552" t="s">
        <v>2818</v>
      </c>
      <c r="G2552" t="s">
        <v>2818</v>
      </c>
      <c r="H2552" s="2">
        <v>45740</v>
      </c>
      <c r="I2552" s="2">
        <v>45770</v>
      </c>
      <c r="J2552" t="s">
        <v>20</v>
      </c>
      <c r="K2552" s="21">
        <v>159.9</v>
      </c>
      <c r="L2552" s="21">
        <v>159.9</v>
      </c>
      <c r="M2552">
        <v>0</v>
      </c>
      <c r="N2552" s="21">
        <v>0</v>
      </c>
    </row>
    <row r="2553" spans="1:14">
      <c r="A2553" t="str">
        <f>IFERROR(_xlfn.XLOOKUP(B2553,Cuentas!$C$1:$C$521,Cuentas!$A$1:$A$521),"")</f>
        <v>Yuldor</v>
      </c>
      <c r="B2553" t="s">
        <v>2152</v>
      </c>
      <c r="C2553" t="s">
        <v>2153</v>
      </c>
      <c r="D2553" t="s">
        <v>16</v>
      </c>
      <c r="E2553" t="s">
        <v>7</v>
      </c>
      <c r="F2553" t="s">
        <v>2819</v>
      </c>
      <c r="G2553" t="s">
        <v>2819</v>
      </c>
      <c r="H2553" s="2">
        <v>45741</v>
      </c>
      <c r="I2553" s="2">
        <v>45771</v>
      </c>
      <c r="J2553" t="s">
        <v>20</v>
      </c>
      <c r="K2553" s="21">
        <v>103.6</v>
      </c>
      <c r="L2553" s="21">
        <v>103.6</v>
      </c>
      <c r="M2553">
        <v>0</v>
      </c>
      <c r="N2553" s="21">
        <v>0</v>
      </c>
    </row>
    <row r="2554" spans="1:14">
      <c r="A2554" t="str">
        <f>IFERROR(_xlfn.XLOOKUP(B2554,Cuentas!$C$1:$C$521,Cuentas!$A$1:$A$521),"")</f>
        <v>Yuldor</v>
      </c>
      <c r="B2554" t="s">
        <v>2152</v>
      </c>
      <c r="C2554" t="s">
        <v>2153</v>
      </c>
      <c r="D2554" t="s">
        <v>16</v>
      </c>
      <c r="E2554" t="s">
        <v>7</v>
      </c>
      <c r="F2554" t="s">
        <v>2820</v>
      </c>
      <c r="G2554" t="s">
        <v>2820</v>
      </c>
      <c r="H2554" s="2">
        <v>45742</v>
      </c>
      <c r="I2554" s="2">
        <v>45772</v>
      </c>
      <c r="J2554" t="s">
        <v>20</v>
      </c>
      <c r="K2554" s="21">
        <v>58.3</v>
      </c>
      <c r="L2554" s="21">
        <v>58.3</v>
      </c>
      <c r="M2554">
        <v>0</v>
      </c>
      <c r="N2554" s="21">
        <v>0</v>
      </c>
    </row>
    <row r="2555" spans="1:14">
      <c r="A2555" t="str">
        <f>IFERROR(_xlfn.XLOOKUP(B2555,Cuentas!$C$1:$C$521,Cuentas!$A$1:$A$521),"")</f>
        <v>Yuldor</v>
      </c>
      <c r="B2555" t="s">
        <v>2152</v>
      </c>
      <c r="C2555" t="s">
        <v>2153</v>
      </c>
      <c r="D2555" t="s">
        <v>16</v>
      </c>
      <c r="E2555" t="s">
        <v>7</v>
      </c>
      <c r="F2555" t="s">
        <v>2821</v>
      </c>
      <c r="G2555" t="s">
        <v>2821</v>
      </c>
      <c r="H2555" s="2">
        <v>45742</v>
      </c>
      <c r="I2555" s="2">
        <v>45772</v>
      </c>
      <c r="J2555" t="s">
        <v>20</v>
      </c>
      <c r="K2555" s="21">
        <v>391.7</v>
      </c>
      <c r="L2555" s="21">
        <v>391.7</v>
      </c>
      <c r="M2555">
        <v>0</v>
      </c>
      <c r="N2555" s="21">
        <v>0</v>
      </c>
    </row>
    <row r="2556" spans="1:14">
      <c r="A2556" t="str">
        <f>IFERROR(_xlfn.XLOOKUP(B2556,Cuentas!$C$1:$C$521,Cuentas!$A$1:$A$521),"")</f>
        <v>Yuldor</v>
      </c>
      <c r="B2556" t="s">
        <v>2152</v>
      </c>
      <c r="C2556" t="s">
        <v>2153</v>
      </c>
      <c r="D2556" t="s">
        <v>16</v>
      </c>
      <c r="E2556" t="s">
        <v>7</v>
      </c>
      <c r="F2556" t="s">
        <v>2822</v>
      </c>
      <c r="G2556" t="s">
        <v>2822</v>
      </c>
      <c r="H2556" s="2">
        <v>45742</v>
      </c>
      <c r="I2556" s="2">
        <v>45772</v>
      </c>
      <c r="J2556" t="s">
        <v>20</v>
      </c>
      <c r="K2556" s="21">
        <v>154.9</v>
      </c>
      <c r="L2556" s="21">
        <v>154.9</v>
      </c>
      <c r="M2556">
        <v>0</v>
      </c>
      <c r="N2556" s="21">
        <v>0</v>
      </c>
    </row>
    <row r="2557" spans="1:14">
      <c r="A2557" t="str">
        <f>IFERROR(_xlfn.XLOOKUP(B2557,Cuentas!$C$1:$C$521,Cuentas!$A$1:$A$521),"")</f>
        <v>Yuldor</v>
      </c>
      <c r="B2557" t="s">
        <v>2152</v>
      </c>
      <c r="C2557" t="s">
        <v>2153</v>
      </c>
      <c r="D2557" t="s">
        <v>16</v>
      </c>
      <c r="E2557" t="s">
        <v>7</v>
      </c>
      <c r="F2557" t="s">
        <v>2823</v>
      </c>
      <c r="G2557" t="s">
        <v>2823</v>
      </c>
      <c r="H2557" s="2">
        <v>45742</v>
      </c>
      <c r="I2557" s="2">
        <v>45772</v>
      </c>
      <c r="J2557" t="s">
        <v>20</v>
      </c>
      <c r="K2557" s="21">
        <v>1484.4</v>
      </c>
      <c r="L2557" s="21">
        <v>1484.4</v>
      </c>
      <c r="M2557">
        <v>0</v>
      </c>
      <c r="N2557" s="21">
        <v>0</v>
      </c>
    </row>
    <row r="2558" spans="1:14">
      <c r="A2558" t="str">
        <f>IFERROR(_xlfn.XLOOKUP(B2558,Cuentas!$C$1:$C$521,Cuentas!$A$1:$A$521),"")</f>
        <v>Yuldor</v>
      </c>
      <c r="B2558" t="s">
        <v>2152</v>
      </c>
      <c r="C2558" t="s">
        <v>2153</v>
      </c>
      <c r="D2558" t="s">
        <v>16</v>
      </c>
      <c r="E2558" t="s">
        <v>7</v>
      </c>
      <c r="F2558" t="s">
        <v>2824</v>
      </c>
      <c r="G2558" t="s">
        <v>2824</v>
      </c>
      <c r="H2558" s="2">
        <v>45742</v>
      </c>
      <c r="I2558" s="2">
        <v>45772</v>
      </c>
      <c r="J2558" t="s">
        <v>20</v>
      </c>
      <c r="K2558" s="21">
        <v>227</v>
      </c>
      <c r="L2558" s="21">
        <v>227</v>
      </c>
      <c r="M2558">
        <v>0</v>
      </c>
      <c r="N2558" s="21">
        <v>0</v>
      </c>
    </row>
    <row r="2559" spans="1:14">
      <c r="A2559" t="str">
        <f>IFERROR(_xlfn.XLOOKUP(B2559,Cuentas!$C$1:$C$521,Cuentas!$A$1:$A$521),"")</f>
        <v>Alexandra</v>
      </c>
      <c r="B2559" t="s">
        <v>2825</v>
      </c>
      <c r="C2559" t="s">
        <v>2826</v>
      </c>
      <c r="D2559" t="s">
        <v>213</v>
      </c>
      <c r="E2559" t="s">
        <v>5502</v>
      </c>
      <c r="F2559" t="s">
        <v>2827</v>
      </c>
      <c r="G2559" t="s">
        <v>19</v>
      </c>
      <c r="I2559" s="2">
        <v>45473</v>
      </c>
      <c r="J2559" t="s">
        <v>20</v>
      </c>
      <c r="K2559" s="21">
        <v>-100</v>
      </c>
      <c r="L2559" s="21">
        <v>-100</v>
      </c>
      <c r="M2559">
        <v>0</v>
      </c>
      <c r="N2559" s="21">
        <v>-100</v>
      </c>
    </row>
    <row r="2560" spans="1:14">
      <c r="A2560" t="str">
        <f>IFERROR(_xlfn.XLOOKUP(B2560,Cuentas!$C$1:$C$521,Cuentas!$A$1:$A$521),"")</f>
        <v>Alexandra</v>
      </c>
      <c r="B2560" t="s">
        <v>2828</v>
      </c>
      <c r="C2560" t="s">
        <v>2829</v>
      </c>
      <c r="D2560" t="s">
        <v>16</v>
      </c>
      <c r="E2560" t="s">
        <v>7</v>
      </c>
      <c r="F2560" t="s">
        <v>2830</v>
      </c>
      <c r="G2560" t="s">
        <v>2830</v>
      </c>
      <c r="H2560" s="2">
        <v>45621</v>
      </c>
      <c r="I2560" s="2">
        <v>45651</v>
      </c>
      <c r="J2560" t="s">
        <v>20</v>
      </c>
      <c r="K2560" s="21">
        <v>502.82</v>
      </c>
      <c r="L2560" s="21">
        <v>502.82</v>
      </c>
      <c r="M2560">
        <v>0</v>
      </c>
      <c r="N2560" s="21">
        <v>502.82</v>
      </c>
    </row>
    <row r="2561" spans="1:14">
      <c r="A2561" t="str">
        <f>IFERROR(_xlfn.XLOOKUP(B2561,Cuentas!$C$1:$C$521,Cuentas!$A$1:$A$521),"")</f>
        <v>Alexandra</v>
      </c>
      <c r="B2561" t="s">
        <v>2831</v>
      </c>
      <c r="C2561" t="s">
        <v>2832</v>
      </c>
      <c r="D2561" t="s">
        <v>213</v>
      </c>
      <c r="E2561" t="s">
        <v>3139</v>
      </c>
      <c r="F2561" t="s">
        <v>19</v>
      </c>
      <c r="G2561" t="s">
        <v>19</v>
      </c>
      <c r="I2561" s="2">
        <v>45621</v>
      </c>
      <c r="J2561" t="s">
        <v>20</v>
      </c>
      <c r="K2561" s="21">
        <v>-103.5</v>
      </c>
      <c r="L2561" s="21">
        <v>-103.5</v>
      </c>
      <c r="M2561">
        <v>0</v>
      </c>
      <c r="N2561" s="21">
        <v>-103.5</v>
      </c>
    </row>
    <row r="2562" spans="1:14">
      <c r="A2562" t="str">
        <f>IFERROR(_xlfn.XLOOKUP(B2562,Cuentas!$C$1:$C$521,Cuentas!$A$1:$A$521),"")</f>
        <v>Nicolas</v>
      </c>
      <c r="B2562" t="s">
        <v>2833</v>
      </c>
      <c r="C2562" t="s">
        <v>2834</v>
      </c>
      <c r="D2562" t="s">
        <v>213</v>
      </c>
      <c r="E2562" t="s">
        <v>7</v>
      </c>
      <c r="F2562" t="s">
        <v>2835</v>
      </c>
      <c r="G2562" t="s">
        <v>2835</v>
      </c>
      <c r="H2562" s="2">
        <v>45678</v>
      </c>
      <c r="I2562" s="2">
        <v>45678</v>
      </c>
      <c r="J2562" t="s">
        <v>20</v>
      </c>
      <c r="K2562" s="21">
        <v>232</v>
      </c>
      <c r="L2562" s="21">
        <v>232</v>
      </c>
      <c r="M2562">
        <v>0</v>
      </c>
      <c r="N2562" s="21">
        <v>232</v>
      </c>
    </row>
    <row r="2563" spans="1:14">
      <c r="A2563" t="str">
        <f>IFERROR(_xlfn.XLOOKUP(B2563,Cuentas!$C$1:$C$521,Cuentas!$A$1:$A$521),"")</f>
        <v>Alexandra</v>
      </c>
      <c r="B2563" t="s">
        <v>2836</v>
      </c>
      <c r="C2563" t="s">
        <v>2837</v>
      </c>
      <c r="D2563" t="s">
        <v>213</v>
      </c>
      <c r="E2563" t="s">
        <v>7</v>
      </c>
      <c r="F2563" t="s">
        <v>2838</v>
      </c>
      <c r="G2563" t="s">
        <v>2838</v>
      </c>
      <c r="H2563" s="2">
        <v>45671</v>
      </c>
      <c r="I2563" s="2">
        <v>45671</v>
      </c>
      <c r="J2563" t="s">
        <v>20</v>
      </c>
      <c r="K2563" s="21">
        <v>284.7</v>
      </c>
      <c r="L2563" s="21">
        <v>284.7</v>
      </c>
      <c r="M2563">
        <v>0</v>
      </c>
      <c r="N2563" s="21">
        <v>284.7</v>
      </c>
    </row>
    <row r="2564" spans="1:14">
      <c r="A2564" t="str">
        <f>IFERROR(_xlfn.XLOOKUP(B2564,Cuentas!$C$1:$C$521,Cuentas!$A$1:$A$521),"")</f>
        <v>Alexandra</v>
      </c>
      <c r="B2564" t="s">
        <v>2836</v>
      </c>
      <c r="C2564" t="s">
        <v>2837</v>
      </c>
      <c r="D2564" t="s">
        <v>213</v>
      </c>
      <c r="E2564" t="s">
        <v>7</v>
      </c>
      <c r="F2564" t="s">
        <v>2839</v>
      </c>
      <c r="G2564" t="s">
        <v>2839</v>
      </c>
      <c r="H2564" s="2">
        <v>45719</v>
      </c>
      <c r="I2564" s="2">
        <v>45719</v>
      </c>
      <c r="J2564" t="s">
        <v>20</v>
      </c>
      <c r="K2564" s="21">
        <v>504.43</v>
      </c>
      <c r="L2564" s="21">
        <v>492.13</v>
      </c>
      <c r="M2564">
        <v>10</v>
      </c>
      <c r="N2564" s="21">
        <v>492.13</v>
      </c>
    </row>
    <row r="2565" spans="1:14">
      <c r="A2565" t="str">
        <f>IFERROR(_xlfn.XLOOKUP(B2565,Cuentas!$C$1:$C$521,Cuentas!$A$1:$A$521),"")</f>
        <v>Alexandra</v>
      </c>
      <c r="B2565" t="s">
        <v>2836</v>
      </c>
      <c r="C2565" t="s">
        <v>2837</v>
      </c>
      <c r="D2565" t="s">
        <v>213</v>
      </c>
      <c r="E2565" t="s">
        <v>5502</v>
      </c>
      <c r="F2565" t="s">
        <v>2840</v>
      </c>
      <c r="G2565" t="s">
        <v>2839</v>
      </c>
      <c r="I2565" s="2">
        <v>45727</v>
      </c>
      <c r="J2565" t="s">
        <v>20</v>
      </c>
      <c r="K2565" s="21">
        <v>-12.3</v>
      </c>
      <c r="L2565" s="21" t="s">
        <v>86</v>
      </c>
      <c r="M2565">
        <v>11</v>
      </c>
      <c r="N2565" s="21" t="s">
        <v>86</v>
      </c>
    </row>
    <row r="2566" spans="1:14">
      <c r="A2566" t="str">
        <f>IFERROR(_xlfn.XLOOKUP(B2566,Cuentas!$C$1:$C$521,Cuentas!$A$1:$A$521),"")</f>
        <v/>
      </c>
      <c r="B2566" t="s">
        <v>2841</v>
      </c>
      <c r="C2566" t="s">
        <v>2842</v>
      </c>
      <c r="D2566" t="s">
        <v>213</v>
      </c>
      <c r="E2566" t="s">
        <v>5502</v>
      </c>
      <c r="F2566" t="s">
        <v>2843</v>
      </c>
      <c r="G2566" t="s">
        <v>19</v>
      </c>
      <c r="I2566" s="2">
        <v>45716</v>
      </c>
      <c r="J2566" t="s">
        <v>20</v>
      </c>
      <c r="K2566" s="21">
        <v>-378.35</v>
      </c>
      <c r="L2566" s="21">
        <v>-378.35</v>
      </c>
      <c r="M2566">
        <v>0</v>
      </c>
      <c r="N2566" s="21">
        <v>-378.35</v>
      </c>
    </row>
    <row r="2567" spans="1:14">
      <c r="A2567" t="str">
        <f>IFERROR(_xlfn.XLOOKUP(B2567,Cuentas!$C$1:$C$521,Cuentas!$A$1:$A$521),"")</f>
        <v/>
      </c>
      <c r="B2567" t="s">
        <v>2841</v>
      </c>
      <c r="C2567" t="s">
        <v>2842</v>
      </c>
      <c r="D2567" t="s">
        <v>213</v>
      </c>
      <c r="E2567" t="s">
        <v>5502</v>
      </c>
      <c r="F2567" t="s">
        <v>2844</v>
      </c>
      <c r="G2567" t="s">
        <v>19</v>
      </c>
      <c r="I2567" s="2">
        <v>45716</v>
      </c>
      <c r="J2567" t="s">
        <v>20</v>
      </c>
      <c r="K2567" s="21">
        <v>-68.95</v>
      </c>
      <c r="L2567" s="21">
        <v>-68.95</v>
      </c>
      <c r="M2567">
        <v>0</v>
      </c>
      <c r="N2567" s="21">
        <v>-68.95</v>
      </c>
    </row>
    <row r="2568" spans="1:14">
      <c r="A2568" t="str">
        <f>IFERROR(_xlfn.XLOOKUP(B2568,Cuentas!$C$1:$C$521,Cuentas!$A$1:$A$521),"")</f>
        <v>Alexandra</v>
      </c>
      <c r="B2568" t="s">
        <v>2845</v>
      </c>
      <c r="C2568" t="s">
        <v>2846</v>
      </c>
      <c r="D2568" t="s">
        <v>213</v>
      </c>
      <c r="E2568" t="s">
        <v>7</v>
      </c>
      <c r="F2568" t="s">
        <v>2847</v>
      </c>
      <c r="G2568" t="s">
        <v>2847</v>
      </c>
      <c r="H2568" s="2">
        <v>45665</v>
      </c>
      <c r="I2568" s="2">
        <v>45665</v>
      </c>
      <c r="J2568" t="s">
        <v>20</v>
      </c>
      <c r="K2568" s="21">
        <v>796.88</v>
      </c>
      <c r="L2568" s="21">
        <v>796.88</v>
      </c>
      <c r="M2568">
        <v>0</v>
      </c>
      <c r="N2568" s="21">
        <v>796.88</v>
      </c>
    </row>
    <row r="2569" spans="1:14">
      <c r="A2569" t="str">
        <f>IFERROR(_xlfn.XLOOKUP(B2569,Cuentas!$C$1:$C$521,Cuentas!$A$1:$A$521),"")</f>
        <v>Yuldor</v>
      </c>
      <c r="B2569" t="s">
        <v>2848</v>
      </c>
      <c r="C2569" t="s">
        <v>2849</v>
      </c>
      <c r="D2569" t="s">
        <v>16</v>
      </c>
      <c r="E2569" t="s">
        <v>7</v>
      </c>
      <c r="F2569" t="s">
        <v>2850</v>
      </c>
      <c r="G2569" t="s">
        <v>2850</v>
      </c>
      <c r="H2569" s="2">
        <v>45582</v>
      </c>
      <c r="I2569" s="2">
        <v>45582</v>
      </c>
      <c r="J2569" t="s">
        <v>20</v>
      </c>
      <c r="K2569" s="21">
        <v>4230</v>
      </c>
      <c r="L2569" s="21">
        <v>4230</v>
      </c>
      <c r="M2569">
        <v>0</v>
      </c>
      <c r="N2569" s="21">
        <v>4230</v>
      </c>
    </row>
    <row r="2570" spans="1:14">
      <c r="A2570" t="str">
        <f>IFERROR(_xlfn.XLOOKUP(B2570,Cuentas!$C$1:$C$521,Cuentas!$A$1:$A$521),"")</f>
        <v>Nicolas</v>
      </c>
      <c r="B2570" t="s">
        <v>2851</v>
      </c>
      <c r="C2570" t="s">
        <v>2852</v>
      </c>
      <c r="D2570" t="s">
        <v>213</v>
      </c>
      <c r="E2570" t="s">
        <v>7</v>
      </c>
      <c r="F2570" t="s">
        <v>2853</v>
      </c>
      <c r="G2570" t="s">
        <v>2853</v>
      </c>
      <c r="H2570" s="2">
        <v>45596</v>
      </c>
      <c r="I2570" s="2">
        <v>45596</v>
      </c>
      <c r="J2570" t="s">
        <v>20</v>
      </c>
      <c r="K2570" s="21">
        <v>700</v>
      </c>
      <c r="L2570" s="21">
        <v>625.33000000000004</v>
      </c>
      <c r="M2570">
        <v>0</v>
      </c>
      <c r="N2570" s="21">
        <v>625.33000000000004</v>
      </c>
    </row>
    <row r="2571" spans="1:14">
      <c r="A2571" t="str">
        <f>IFERROR(_xlfn.XLOOKUP(B2571,Cuentas!$C$1:$C$521,Cuentas!$A$1:$A$521),"")</f>
        <v>Nicolas</v>
      </c>
      <c r="B2571" t="s">
        <v>2851</v>
      </c>
      <c r="C2571" t="s">
        <v>2852</v>
      </c>
      <c r="D2571" t="s">
        <v>213</v>
      </c>
      <c r="E2571" t="s">
        <v>5502</v>
      </c>
      <c r="F2571" t="s">
        <v>2854</v>
      </c>
      <c r="G2571" t="s">
        <v>2853</v>
      </c>
      <c r="I2571" s="2">
        <v>45614</v>
      </c>
      <c r="J2571" t="s">
        <v>20</v>
      </c>
      <c r="K2571" s="21">
        <v>-70</v>
      </c>
      <c r="L2571" s="21" t="s">
        <v>86</v>
      </c>
      <c r="M2571">
        <v>0</v>
      </c>
      <c r="N2571" s="21" t="s">
        <v>86</v>
      </c>
    </row>
    <row r="2572" spans="1:14">
      <c r="A2572" t="str">
        <f>IFERROR(_xlfn.XLOOKUP(B2572,Cuentas!$C$1:$C$521,Cuentas!$A$1:$A$521),"")</f>
        <v>Nicolas</v>
      </c>
      <c r="B2572" t="s">
        <v>2851</v>
      </c>
      <c r="C2572" t="s">
        <v>2852</v>
      </c>
      <c r="D2572" t="s">
        <v>213</v>
      </c>
      <c r="E2572" t="s">
        <v>3139</v>
      </c>
      <c r="F2572" t="s">
        <v>2853</v>
      </c>
      <c r="G2572" t="s">
        <v>2853</v>
      </c>
      <c r="I2572" s="2">
        <v>45616</v>
      </c>
      <c r="J2572" t="s">
        <v>20</v>
      </c>
      <c r="K2572" s="21">
        <v>-4.67</v>
      </c>
      <c r="L2572" s="21" t="s">
        <v>86</v>
      </c>
      <c r="M2572">
        <v>0</v>
      </c>
      <c r="N2572" s="21" t="s">
        <v>86</v>
      </c>
    </row>
    <row r="2573" spans="1:14">
      <c r="A2573" t="str">
        <f>IFERROR(_xlfn.XLOOKUP(B2573,Cuentas!$C$1:$C$521,Cuentas!$A$1:$A$521),"")</f>
        <v>Nicolas</v>
      </c>
      <c r="B2573" t="s">
        <v>2855</v>
      </c>
      <c r="C2573" t="s">
        <v>2856</v>
      </c>
      <c r="D2573" t="s">
        <v>16</v>
      </c>
      <c r="E2573" t="s">
        <v>7</v>
      </c>
      <c r="F2573" t="s">
        <v>2857</v>
      </c>
      <c r="G2573" t="s">
        <v>2857</v>
      </c>
      <c r="H2573" s="2">
        <v>45716</v>
      </c>
      <c r="I2573" s="2">
        <v>45746</v>
      </c>
      <c r="J2573" t="s">
        <v>20</v>
      </c>
      <c r="K2573" s="21">
        <v>162</v>
      </c>
      <c r="L2573" s="21">
        <v>162</v>
      </c>
      <c r="M2573">
        <v>13</v>
      </c>
      <c r="N2573" s="21">
        <v>162</v>
      </c>
    </row>
    <row r="2574" spans="1:14">
      <c r="A2574" t="str">
        <f>IFERROR(_xlfn.XLOOKUP(B2574,Cuentas!$C$1:$C$521,Cuentas!$A$1:$A$521),"")</f>
        <v>Nicolas</v>
      </c>
      <c r="B2574" t="s">
        <v>2855</v>
      </c>
      <c r="C2574" t="s">
        <v>2856</v>
      </c>
      <c r="D2574" t="s">
        <v>16</v>
      </c>
      <c r="E2574" t="s">
        <v>7</v>
      </c>
      <c r="F2574" t="s">
        <v>2858</v>
      </c>
      <c r="G2574" t="s">
        <v>2858</v>
      </c>
      <c r="H2574" s="2">
        <v>45719</v>
      </c>
      <c r="I2574" s="2">
        <v>45749</v>
      </c>
      <c r="J2574" t="s">
        <v>20</v>
      </c>
      <c r="K2574" s="21">
        <v>103.68</v>
      </c>
      <c r="L2574" s="21">
        <v>103.68</v>
      </c>
      <c r="M2574">
        <v>0</v>
      </c>
      <c r="N2574" s="21">
        <v>0</v>
      </c>
    </row>
    <row r="2575" spans="1:14">
      <c r="A2575" t="str">
        <f>IFERROR(_xlfn.XLOOKUP(B2575,Cuentas!$C$1:$C$521,Cuentas!$A$1:$A$521),"")</f>
        <v>Nicolas</v>
      </c>
      <c r="B2575" t="s">
        <v>2855</v>
      </c>
      <c r="C2575" t="s">
        <v>2856</v>
      </c>
      <c r="D2575" t="s">
        <v>16</v>
      </c>
      <c r="E2575" t="s">
        <v>7</v>
      </c>
      <c r="F2575" t="s">
        <v>2859</v>
      </c>
      <c r="G2575" t="s">
        <v>2859</v>
      </c>
      <c r="H2575" s="2">
        <v>45720</v>
      </c>
      <c r="I2575" s="2">
        <v>45750</v>
      </c>
      <c r="J2575" t="s">
        <v>20</v>
      </c>
      <c r="K2575" s="21">
        <v>1838.25</v>
      </c>
      <c r="L2575" s="21">
        <v>1838.25</v>
      </c>
      <c r="M2575">
        <v>0</v>
      </c>
      <c r="N2575" s="21">
        <v>0</v>
      </c>
    </row>
    <row r="2576" spans="1:14">
      <c r="A2576" t="str">
        <f>IFERROR(_xlfn.XLOOKUP(B2576,Cuentas!$C$1:$C$521,Cuentas!$A$1:$A$521),"")</f>
        <v>Nicolas</v>
      </c>
      <c r="B2576" t="s">
        <v>2855</v>
      </c>
      <c r="C2576" t="s">
        <v>2856</v>
      </c>
      <c r="D2576" t="s">
        <v>16</v>
      </c>
      <c r="E2576" t="s">
        <v>7</v>
      </c>
      <c r="F2576" t="s">
        <v>2860</v>
      </c>
      <c r="G2576" t="s">
        <v>2860</v>
      </c>
      <c r="H2576" s="2">
        <v>45721</v>
      </c>
      <c r="I2576" s="2">
        <v>45751</v>
      </c>
      <c r="J2576" t="s">
        <v>20</v>
      </c>
      <c r="K2576" s="21">
        <v>978</v>
      </c>
      <c r="L2576" s="21">
        <v>978</v>
      </c>
      <c r="M2576">
        <v>0</v>
      </c>
      <c r="N2576" s="21">
        <v>0</v>
      </c>
    </row>
    <row r="2577" spans="1:14">
      <c r="A2577" t="str">
        <f>IFERROR(_xlfn.XLOOKUP(B2577,Cuentas!$C$1:$C$521,Cuentas!$A$1:$A$521),"")</f>
        <v>Nicolas</v>
      </c>
      <c r="B2577" t="s">
        <v>2855</v>
      </c>
      <c r="C2577" t="s">
        <v>2856</v>
      </c>
      <c r="D2577" t="s">
        <v>16</v>
      </c>
      <c r="E2577" t="s">
        <v>7</v>
      </c>
      <c r="F2577" t="s">
        <v>2861</v>
      </c>
      <c r="G2577" t="s">
        <v>2861</v>
      </c>
      <c r="H2577" s="2">
        <v>45726</v>
      </c>
      <c r="I2577" s="2">
        <v>45756</v>
      </c>
      <c r="J2577" t="s">
        <v>20</v>
      </c>
      <c r="K2577" s="21">
        <v>11217</v>
      </c>
      <c r="L2577" s="21">
        <v>11217</v>
      </c>
      <c r="M2577">
        <v>0</v>
      </c>
      <c r="N2577" s="21">
        <v>0</v>
      </c>
    </row>
    <row r="2578" spans="1:14">
      <c r="A2578" t="str">
        <f>IFERROR(_xlfn.XLOOKUP(B2578,Cuentas!$C$1:$C$521,Cuentas!$A$1:$A$521),"")</f>
        <v>Nicolas</v>
      </c>
      <c r="B2578" t="s">
        <v>2855</v>
      </c>
      <c r="C2578" t="s">
        <v>2856</v>
      </c>
      <c r="D2578" t="s">
        <v>16</v>
      </c>
      <c r="E2578" t="s">
        <v>7</v>
      </c>
      <c r="F2578" t="s">
        <v>2862</v>
      </c>
      <c r="G2578" t="s">
        <v>2862</v>
      </c>
      <c r="H2578" s="2">
        <v>45726</v>
      </c>
      <c r="I2578" s="2">
        <v>45756</v>
      </c>
      <c r="J2578" t="s">
        <v>20</v>
      </c>
      <c r="K2578" s="21">
        <v>695.52</v>
      </c>
      <c r="L2578" s="21">
        <v>695.52</v>
      </c>
      <c r="M2578">
        <v>0</v>
      </c>
      <c r="N2578" s="21">
        <v>0</v>
      </c>
    </row>
    <row r="2579" spans="1:14">
      <c r="A2579" t="str">
        <f>IFERROR(_xlfn.XLOOKUP(B2579,Cuentas!$C$1:$C$521,Cuentas!$A$1:$A$521),"")</f>
        <v>Nicolas</v>
      </c>
      <c r="B2579" t="s">
        <v>2855</v>
      </c>
      <c r="C2579" t="s">
        <v>2856</v>
      </c>
      <c r="D2579" t="s">
        <v>16</v>
      </c>
      <c r="E2579" t="s">
        <v>7</v>
      </c>
      <c r="F2579" t="s">
        <v>2863</v>
      </c>
      <c r="G2579" t="s">
        <v>2863</v>
      </c>
      <c r="H2579" s="2">
        <v>45726</v>
      </c>
      <c r="I2579" s="2">
        <v>45756</v>
      </c>
      <c r="J2579" t="s">
        <v>20</v>
      </c>
      <c r="K2579" s="21">
        <v>4186.6000000000004</v>
      </c>
      <c r="L2579" s="21">
        <v>4186.6000000000004</v>
      </c>
      <c r="M2579">
        <v>0</v>
      </c>
      <c r="N2579" s="21">
        <v>0</v>
      </c>
    </row>
    <row r="2580" spans="1:14">
      <c r="A2580" t="str">
        <f>IFERROR(_xlfn.XLOOKUP(B2580,Cuentas!$C$1:$C$521,Cuentas!$A$1:$A$521),"")</f>
        <v>Nicolas</v>
      </c>
      <c r="B2580" t="s">
        <v>2855</v>
      </c>
      <c r="C2580" t="s">
        <v>2856</v>
      </c>
      <c r="D2580" t="s">
        <v>16</v>
      </c>
      <c r="E2580" t="s">
        <v>7</v>
      </c>
      <c r="F2580" t="s">
        <v>2864</v>
      </c>
      <c r="G2580" t="s">
        <v>2864</v>
      </c>
      <c r="H2580" s="2">
        <v>45726</v>
      </c>
      <c r="I2580" s="2">
        <v>45756</v>
      </c>
      <c r="J2580" t="s">
        <v>20</v>
      </c>
      <c r="K2580" s="21">
        <v>3141.6</v>
      </c>
      <c r="L2580" s="21">
        <v>3141.6</v>
      </c>
      <c r="M2580">
        <v>0</v>
      </c>
      <c r="N2580" s="21">
        <v>0</v>
      </c>
    </row>
    <row r="2581" spans="1:14">
      <c r="A2581" t="str">
        <f>IFERROR(_xlfn.XLOOKUP(B2581,Cuentas!$C$1:$C$521,Cuentas!$A$1:$A$521),"")</f>
        <v>Nicolas</v>
      </c>
      <c r="B2581" t="s">
        <v>2855</v>
      </c>
      <c r="C2581" t="s">
        <v>2856</v>
      </c>
      <c r="D2581" t="s">
        <v>16</v>
      </c>
      <c r="E2581" t="s">
        <v>7</v>
      </c>
      <c r="F2581" t="s">
        <v>2865</v>
      </c>
      <c r="G2581" t="s">
        <v>2865</v>
      </c>
      <c r="H2581" s="2">
        <v>45726</v>
      </c>
      <c r="I2581" s="2">
        <v>45756</v>
      </c>
      <c r="J2581" t="s">
        <v>20</v>
      </c>
      <c r="K2581" s="21">
        <v>4931</v>
      </c>
      <c r="L2581" s="21">
        <v>4931</v>
      </c>
      <c r="M2581">
        <v>0</v>
      </c>
      <c r="N2581" s="21">
        <v>0</v>
      </c>
    </row>
    <row r="2582" spans="1:14">
      <c r="A2582" t="str">
        <f>IFERROR(_xlfn.XLOOKUP(B2582,Cuentas!$C$1:$C$521,Cuentas!$A$1:$A$521),"")</f>
        <v>Nicolas</v>
      </c>
      <c r="B2582" t="s">
        <v>2855</v>
      </c>
      <c r="C2582" t="s">
        <v>2856</v>
      </c>
      <c r="D2582" t="s">
        <v>16</v>
      </c>
      <c r="E2582" t="s">
        <v>7</v>
      </c>
      <c r="F2582" t="s">
        <v>2866</v>
      </c>
      <c r="G2582" t="s">
        <v>2866</v>
      </c>
      <c r="H2582" s="2">
        <v>45733</v>
      </c>
      <c r="I2582" s="2">
        <v>45763</v>
      </c>
      <c r="J2582" t="s">
        <v>20</v>
      </c>
      <c r="K2582" s="21">
        <v>1155</v>
      </c>
      <c r="L2582" s="21">
        <v>1155</v>
      </c>
      <c r="M2582">
        <v>0</v>
      </c>
      <c r="N2582" s="21">
        <v>0</v>
      </c>
    </row>
    <row r="2583" spans="1:14">
      <c r="A2583" t="str">
        <f>IFERROR(_xlfn.XLOOKUP(B2583,Cuentas!$C$1:$C$521,Cuentas!$A$1:$A$521),"")</f>
        <v>Nicolas</v>
      </c>
      <c r="B2583" t="s">
        <v>2855</v>
      </c>
      <c r="C2583" t="s">
        <v>2856</v>
      </c>
      <c r="D2583" t="s">
        <v>16</v>
      </c>
      <c r="E2583" t="s">
        <v>7</v>
      </c>
      <c r="F2583" t="s">
        <v>2867</v>
      </c>
      <c r="G2583" t="s">
        <v>2867</v>
      </c>
      <c r="H2583" s="2">
        <v>45742</v>
      </c>
      <c r="I2583" s="2">
        <v>45772</v>
      </c>
      <c r="J2583" t="s">
        <v>20</v>
      </c>
      <c r="K2583" s="21">
        <v>2436</v>
      </c>
      <c r="L2583" s="21">
        <v>2436</v>
      </c>
      <c r="M2583">
        <v>0</v>
      </c>
      <c r="N2583" s="21">
        <v>0</v>
      </c>
    </row>
    <row r="2584" spans="1:14">
      <c r="A2584" t="str">
        <f>IFERROR(_xlfn.XLOOKUP(B2584,Cuentas!$C$1:$C$521,Cuentas!$A$1:$A$521),"")</f>
        <v>Nicolas</v>
      </c>
      <c r="B2584" t="s">
        <v>2868</v>
      </c>
      <c r="C2584" t="s">
        <v>2869</v>
      </c>
      <c r="D2584" t="s">
        <v>16</v>
      </c>
      <c r="E2584" t="s">
        <v>7</v>
      </c>
      <c r="F2584" t="s">
        <v>2870</v>
      </c>
      <c r="G2584" t="s">
        <v>2870</v>
      </c>
      <c r="H2584" s="2">
        <v>45555</v>
      </c>
      <c r="I2584" s="2">
        <v>45585</v>
      </c>
      <c r="J2584" t="s">
        <v>20</v>
      </c>
      <c r="K2584" s="21">
        <v>385</v>
      </c>
      <c r="L2584" s="21">
        <v>385</v>
      </c>
      <c r="M2584">
        <v>0</v>
      </c>
      <c r="N2584" s="21">
        <v>385</v>
      </c>
    </row>
    <row r="2585" spans="1:14">
      <c r="A2585" t="str">
        <f>IFERROR(_xlfn.XLOOKUP(B2585,Cuentas!$C$1:$C$521,Cuentas!$A$1:$A$521),"")</f>
        <v>Nicolas</v>
      </c>
      <c r="B2585" t="s">
        <v>2868</v>
      </c>
      <c r="C2585" t="s">
        <v>2869</v>
      </c>
      <c r="D2585" t="s">
        <v>16</v>
      </c>
      <c r="E2585" t="s">
        <v>7</v>
      </c>
      <c r="F2585" t="s">
        <v>2871</v>
      </c>
      <c r="G2585" t="s">
        <v>2871</v>
      </c>
      <c r="H2585" s="2">
        <v>45558</v>
      </c>
      <c r="I2585" s="2">
        <v>45588</v>
      </c>
      <c r="J2585" t="s">
        <v>20</v>
      </c>
      <c r="K2585" s="21">
        <v>385</v>
      </c>
      <c r="L2585" s="21">
        <v>385</v>
      </c>
      <c r="M2585">
        <v>0</v>
      </c>
      <c r="N2585" s="21">
        <v>385</v>
      </c>
    </row>
    <row r="2586" spans="1:14">
      <c r="A2586" t="str">
        <f>IFERROR(_xlfn.XLOOKUP(B2586,Cuentas!$C$1:$C$521,Cuentas!$A$1:$A$521),"")</f>
        <v>Nicolas</v>
      </c>
      <c r="B2586" t="s">
        <v>2868</v>
      </c>
      <c r="C2586" t="s">
        <v>2869</v>
      </c>
      <c r="D2586" t="s">
        <v>16</v>
      </c>
      <c r="E2586" t="s">
        <v>5502</v>
      </c>
      <c r="F2586" t="s">
        <v>2872</v>
      </c>
      <c r="G2586" t="s">
        <v>19</v>
      </c>
      <c r="I2586" s="2">
        <v>45716</v>
      </c>
      <c r="J2586" t="s">
        <v>20</v>
      </c>
      <c r="K2586" s="21">
        <v>-3380</v>
      </c>
      <c r="L2586" s="21">
        <v>-3380</v>
      </c>
      <c r="M2586">
        <v>0</v>
      </c>
      <c r="N2586" s="21">
        <v>-3380</v>
      </c>
    </row>
    <row r="2587" spans="1:14">
      <c r="A2587" t="str">
        <f>IFERROR(_xlfn.XLOOKUP(B2587,Cuentas!$C$1:$C$521,Cuentas!$A$1:$A$521),"")</f>
        <v>Nicolas</v>
      </c>
      <c r="B2587" t="s">
        <v>2868</v>
      </c>
      <c r="C2587" t="s">
        <v>2869</v>
      </c>
      <c r="D2587" t="s">
        <v>16</v>
      </c>
      <c r="E2587" t="s">
        <v>7</v>
      </c>
      <c r="F2587" t="s">
        <v>2873</v>
      </c>
      <c r="G2587" t="s">
        <v>2873</v>
      </c>
      <c r="H2587" s="2">
        <v>45698</v>
      </c>
      <c r="I2587" s="2">
        <v>45728</v>
      </c>
      <c r="J2587" t="s">
        <v>20</v>
      </c>
      <c r="K2587" s="21">
        <v>5292</v>
      </c>
      <c r="L2587" s="21">
        <v>2514.08</v>
      </c>
      <c r="M2587">
        <v>11</v>
      </c>
      <c r="N2587" s="21">
        <v>2514.08</v>
      </c>
    </row>
    <row r="2588" spans="1:14">
      <c r="A2588" t="str">
        <f>IFERROR(_xlfn.XLOOKUP(B2588,Cuentas!$C$1:$C$521,Cuentas!$A$1:$A$521),"")</f>
        <v>Nicolas</v>
      </c>
      <c r="B2588" t="s">
        <v>2868</v>
      </c>
      <c r="C2588" t="s">
        <v>2869</v>
      </c>
      <c r="D2588" t="s">
        <v>16</v>
      </c>
      <c r="E2588" t="s">
        <v>3139</v>
      </c>
      <c r="F2588" t="s">
        <v>2873</v>
      </c>
      <c r="G2588" t="s">
        <v>2873</v>
      </c>
      <c r="I2588" s="2">
        <v>45719</v>
      </c>
      <c r="J2588" t="s">
        <v>20</v>
      </c>
      <c r="K2588" s="21">
        <v>-2777.92</v>
      </c>
      <c r="L2588" s="21" t="s">
        <v>86</v>
      </c>
      <c r="M2588">
        <v>10</v>
      </c>
      <c r="N2588" s="21" t="s">
        <v>86</v>
      </c>
    </row>
    <row r="2589" spans="1:14">
      <c r="A2589" t="str">
        <f>IFERROR(_xlfn.XLOOKUP(B2589,Cuentas!$C$1:$C$521,Cuentas!$A$1:$A$521),"")</f>
        <v>Nicolas</v>
      </c>
      <c r="B2589" t="s">
        <v>2868</v>
      </c>
      <c r="C2589" t="s">
        <v>2869</v>
      </c>
      <c r="D2589" t="s">
        <v>16</v>
      </c>
      <c r="E2589" t="s">
        <v>7</v>
      </c>
      <c r="F2589" t="s">
        <v>2874</v>
      </c>
      <c r="G2589" t="s">
        <v>2874</v>
      </c>
      <c r="H2589" s="2">
        <v>45714</v>
      </c>
      <c r="I2589" s="2">
        <v>45744</v>
      </c>
      <c r="J2589" t="s">
        <v>20</v>
      </c>
      <c r="K2589" s="21">
        <v>30355.200000000001</v>
      </c>
      <c r="L2589" s="21">
        <v>30355.200000000001</v>
      </c>
      <c r="M2589">
        <v>13</v>
      </c>
      <c r="N2589" s="21">
        <v>30355.200000000001</v>
      </c>
    </row>
    <row r="2590" spans="1:14">
      <c r="A2590" t="str">
        <f>IFERROR(_xlfn.XLOOKUP(B2590,Cuentas!$C$1:$C$521,Cuentas!$A$1:$A$521),"")</f>
        <v>Nicolas</v>
      </c>
      <c r="B2590" t="s">
        <v>2868</v>
      </c>
      <c r="C2590" t="s">
        <v>2869</v>
      </c>
      <c r="D2590" t="s">
        <v>16</v>
      </c>
      <c r="E2590" t="s">
        <v>7</v>
      </c>
      <c r="F2590" t="s">
        <v>2875</v>
      </c>
      <c r="G2590" t="s">
        <v>2875</v>
      </c>
      <c r="H2590" s="2">
        <v>45715</v>
      </c>
      <c r="I2590" s="2">
        <v>45745</v>
      </c>
      <c r="J2590" t="s">
        <v>20</v>
      </c>
      <c r="K2590" s="21">
        <v>3591</v>
      </c>
      <c r="L2590" s="21">
        <v>3591</v>
      </c>
      <c r="M2590">
        <v>13</v>
      </c>
      <c r="N2590" s="21">
        <v>3591</v>
      </c>
    </row>
    <row r="2591" spans="1:14">
      <c r="A2591" t="str">
        <f>IFERROR(_xlfn.XLOOKUP(B2591,Cuentas!$C$1:$C$521,Cuentas!$A$1:$A$521),"")</f>
        <v>Nicolas</v>
      </c>
      <c r="B2591" t="s">
        <v>2868</v>
      </c>
      <c r="C2591" t="s">
        <v>2869</v>
      </c>
      <c r="D2591" t="s">
        <v>16</v>
      </c>
      <c r="E2591" t="s">
        <v>7</v>
      </c>
      <c r="F2591" t="s">
        <v>2876</v>
      </c>
      <c r="G2591" t="s">
        <v>2876</v>
      </c>
      <c r="H2591" s="2">
        <v>45716</v>
      </c>
      <c r="I2591" s="2">
        <v>45746</v>
      </c>
      <c r="J2591" t="s">
        <v>20</v>
      </c>
      <c r="K2591" s="21">
        <v>3380</v>
      </c>
      <c r="L2591" s="21">
        <v>3380</v>
      </c>
      <c r="M2591">
        <v>13</v>
      </c>
      <c r="N2591" s="21">
        <v>3380</v>
      </c>
    </row>
    <row r="2592" spans="1:14">
      <c r="A2592" t="str">
        <f>IFERROR(_xlfn.XLOOKUP(B2592,Cuentas!$C$1:$C$521,Cuentas!$A$1:$A$521),"")</f>
        <v>Nicolas</v>
      </c>
      <c r="B2592" t="s">
        <v>2868</v>
      </c>
      <c r="C2592" t="s">
        <v>2869</v>
      </c>
      <c r="D2592" t="s">
        <v>16</v>
      </c>
      <c r="E2592" t="s">
        <v>7</v>
      </c>
      <c r="F2592" t="s">
        <v>2877</v>
      </c>
      <c r="G2592" t="s">
        <v>2877</v>
      </c>
      <c r="H2592" s="2">
        <v>45722</v>
      </c>
      <c r="I2592" s="2">
        <v>45752</v>
      </c>
      <c r="J2592" t="s">
        <v>20</v>
      </c>
      <c r="K2592" s="21">
        <v>3556.8</v>
      </c>
      <c r="L2592" s="21">
        <v>3556.8</v>
      </c>
      <c r="M2592">
        <v>0</v>
      </c>
      <c r="N2592" s="21">
        <v>0</v>
      </c>
    </row>
    <row r="2593" spans="1:14">
      <c r="A2593" t="str">
        <f>IFERROR(_xlfn.XLOOKUP(B2593,Cuentas!$C$1:$C$521,Cuentas!$A$1:$A$521),"")</f>
        <v>Nicolas</v>
      </c>
      <c r="B2593" t="s">
        <v>2868</v>
      </c>
      <c r="C2593" t="s">
        <v>2869</v>
      </c>
      <c r="D2593" t="s">
        <v>16</v>
      </c>
      <c r="E2593" t="s">
        <v>7</v>
      </c>
      <c r="F2593" t="s">
        <v>2878</v>
      </c>
      <c r="G2593" t="s">
        <v>2878</v>
      </c>
      <c r="H2593" s="2">
        <v>45722</v>
      </c>
      <c r="I2593" s="2">
        <v>45752</v>
      </c>
      <c r="J2593" t="s">
        <v>20</v>
      </c>
      <c r="K2593" s="21">
        <v>3556.8</v>
      </c>
      <c r="L2593" s="21">
        <v>3556.8</v>
      </c>
      <c r="M2593">
        <v>0</v>
      </c>
      <c r="N2593" s="21">
        <v>0</v>
      </c>
    </row>
    <row r="2594" spans="1:14">
      <c r="A2594" t="str">
        <f>IFERROR(_xlfn.XLOOKUP(B2594,Cuentas!$C$1:$C$521,Cuentas!$A$1:$A$521),"")</f>
        <v>Nicolas</v>
      </c>
      <c r="B2594" t="s">
        <v>2868</v>
      </c>
      <c r="C2594" t="s">
        <v>2869</v>
      </c>
      <c r="D2594" t="s">
        <v>16</v>
      </c>
      <c r="E2594" t="s">
        <v>7</v>
      </c>
      <c r="F2594" t="s">
        <v>2879</v>
      </c>
      <c r="G2594" t="s">
        <v>2879</v>
      </c>
      <c r="H2594" s="2">
        <v>45728</v>
      </c>
      <c r="I2594" s="2">
        <v>45758</v>
      </c>
      <c r="J2594" t="s">
        <v>20</v>
      </c>
      <c r="K2594" s="21">
        <v>20744.64</v>
      </c>
      <c r="L2594" s="21">
        <v>20744.64</v>
      </c>
      <c r="M2594">
        <v>0</v>
      </c>
      <c r="N2594" s="21">
        <v>0</v>
      </c>
    </row>
    <row r="2595" spans="1:14">
      <c r="A2595" t="str">
        <f>IFERROR(_xlfn.XLOOKUP(B2595,Cuentas!$C$1:$C$521,Cuentas!$A$1:$A$521),"")</f>
        <v>Nicolas</v>
      </c>
      <c r="B2595" t="s">
        <v>2868</v>
      </c>
      <c r="C2595" t="s">
        <v>2869</v>
      </c>
      <c r="D2595" t="s">
        <v>16</v>
      </c>
      <c r="E2595" t="s">
        <v>7</v>
      </c>
      <c r="F2595" t="s">
        <v>2880</v>
      </c>
      <c r="G2595" t="s">
        <v>2880</v>
      </c>
      <c r="H2595" s="2">
        <v>45728</v>
      </c>
      <c r="I2595" s="2">
        <v>45758</v>
      </c>
      <c r="J2595" t="s">
        <v>20</v>
      </c>
      <c r="K2595" s="21">
        <v>20744.64</v>
      </c>
      <c r="L2595" s="21">
        <v>20744.64</v>
      </c>
      <c r="M2595">
        <v>0</v>
      </c>
      <c r="N2595" s="21">
        <v>0</v>
      </c>
    </row>
    <row r="2596" spans="1:14">
      <c r="A2596" t="str">
        <f>IFERROR(_xlfn.XLOOKUP(B2596,Cuentas!$C$1:$C$521,Cuentas!$A$1:$A$521),"")</f>
        <v>Nicolas</v>
      </c>
      <c r="B2596" t="s">
        <v>2868</v>
      </c>
      <c r="C2596" t="s">
        <v>2869</v>
      </c>
      <c r="D2596" t="s">
        <v>16</v>
      </c>
      <c r="E2596" t="s">
        <v>7</v>
      </c>
      <c r="F2596" t="s">
        <v>2881</v>
      </c>
      <c r="G2596" t="s">
        <v>2881</v>
      </c>
      <c r="H2596" s="2">
        <v>45728</v>
      </c>
      <c r="I2596" s="2">
        <v>45758</v>
      </c>
      <c r="J2596" t="s">
        <v>20</v>
      </c>
      <c r="K2596" s="21">
        <v>20744.64</v>
      </c>
      <c r="L2596" s="21">
        <v>20744.64</v>
      </c>
      <c r="M2596">
        <v>0</v>
      </c>
      <c r="N2596" s="21">
        <v>0</v>
      </c>
    </row>
    <row r="2597" spans="1:14">
      <c r="A2597" t="str">
        <f>IFERROR(_xlfn.XLOOKUP(B2597,Cuentas!$C$1:$C$521,Cuentas!$A$1:$A$521),"")</f>
        <v>Nicolas</v>
      </c>
      <c r="B2597" t="s">
        <v>2868</v>
      </c>
      <c r="C2597" t="s">
        <v>2869</v>
      </c>
      <c r="D2597" t="s">
        <v>16</v>
      </c>
      <c r="E2597" t="s">
        <v>7</v>
      </c>
      <c r="F2597" t="s">
        <v>2882</v>
      </c>
      <c r="G2597" t="s">
        <v>2882</v>
      </c>
      <c r="H2597" s="2">
        <v>45733</v>
      </c>
      <c r="I2597" s="2">
        <v>45763</v>
      </c>
      <c r="J2597" t="s">
        <v>20</v>
      </c>
      <c r="K2597" s="21">
        <v>8820</v>
      </c>
      <c r="L2597" s="21">
        <v>8820</v>
      </c>
      <c r="M2597">
        <v>0</v>
      </c>
      <c r="N2597" s="21">
        <v>0</v>
      </c>
    </row>
    <row r="2598" spans="1:14">
      <c r="A2598" t="str">
        <f>IFERROR(_xlfn.XLOOKUP(B2598,Cuentas!$C$1:$C$521,Cuentas!$A$1:$A$521),"")</f>
        <v>Nicolas</v>
      </c>
      <c r="B2598" t="s">
        <v>2868</v>
      </c>
      <c r="C2598" t="s">
        <v>2869</v>
      </c>
      <c r="D2598" t="s">
        <v>16</v>
      </c>
      <c r="E2598" t="s">
        <v>7</v>
      </c>
      <c r="F2598" t="s">
        <v>2883</v>
      </c>
      <c r="G2598" t="s">
        <v>2883</v>
      </c>
      <c r="H2598" s="2">
        <v>45733</v>
      </c>
      <c r="I2598" s="2">
        <v>45763</v>
      </c>
      <c r="J2598" t="s">
        <v>20</v>
      </c>
      <c r="K2598" s="21">
        <v>9408</v>
      </c>
      <c r="L2598" s="21">
        <v>9408</v>
      </c>
      <c r="M2598">
        <v>0</v>
      </c>
      <c r="N2598" s="21">
        <v>0</v>
      </c>
    </row>
    <row r="2599" spans="1:14">
      <c r="A2599" t="str">
        <f>IFERROR(_xlfn.XLOOKUP(B2599,Cuentas!$C$1:$C$521,Cuentas!$A$1:$A$521),"")</f>
        <v>Nicolas</v>
      </c>
      <c r="B2599" t="s">
        <v>2868</v>
      </c>
      <c r="C2599" t="s">
        <v>2869</v>
      </c>
      <c r="D2599" t="s">
        <v>16</v>
      </c>
      <c r="E2599" t="s">
        <v>7</v>
      </c>
      <c r="F2599" t="s">
        <v>2884</v>
      </c>
      <c r="G2599" t="s">
        <v>2884</v>
      </c>
      <c r="H2599" s="2">
        <v>45741</v>
      </c>
      <c r="I2599" s="2">
        <v>45771</v>
      </c>
      <c r="J2599" t="s">
        <v>20</v>
      </c>
      <c r="K2599" s="21">
        <v>920</v>
      </c>
      <c r="L2599" s="21">
        <v>920</v>
      </c>
      <c r="M2599">
        <v>0</v>
      </c>
      <c r="N2599" s="21">
        <v>0</v>
      </c>
    </row>
    <row r="2600" spans="1:14">
      <c r="A2600" t="str">
        <f>IFERROR(_xlfn.XLOOKUP(B2600,Cuentas!$C$1:$C$521,Cuentas!$A$1:$A$521),"")</f>
        <v>Yuldor</v>
      </c>
      <c r="B2600" t="s">
        <v>2885</v>
      </c>
      <c r="C2600" t="s">
        <v>2886</v>
      </c>
      <c r="D2600" t="s">
        <v>347</v>
      </c>
      <c r="E2600" t="s">
        <v>5502</v>
      </c>
      <c r="F2600" t="s">
        <v>2887</v>
      </c>
      <c r="G2600" t="s">
        <v>19</v>
      </c>
      <c r="I2600" s="2">
        <v>45519</v>
      </c>
      <c r="J2600" t="s">
        <v>20</v>
      </c>
      <c r="K2600" s="21">
        <v>-15.77</v>
      </c>
      <c r="L2600" s="21">
        <v>-15.77</v>
      </c>
      <c r="M2600">
        <v>0</v>
      </c>
      <c r="N2600" s="21">
        <v>-15.77</v>
      </c>
    </row>
    <row r="2601" spans="1:14">
      <c r="A2601" t="str">
        <f>IFERROR(_xlfn.XLOOKUP(B2601,Cuentas!$C$1:$C$521,Cuentas!$A$1:$A$521),"")</f>
        <v>Yuldor</v>
      </c>
      <c r="B2601" t="s">
        <v>2885</v>
      </c>
      <c r="C2601" t="s">
        <v>2886</v>
      </c>
      <c r="D2601" t="s">
        <v>347</v>
      </c>
      <c r="E2601" t="s">
        <v>5502</v>
      </c>
      <c r="F2601" t="s">
        <v>2888</v>
      </c>
      <c r="G2601" t="s">
        <v>19</v>
      </c>
      <c r="I2601" s="2">
        <v>45519</v>
      </c>
      <c r="J2601" t="s">
        <v>20</v>
      </c>
      <c r="K2601" s="21">
        <v>-3.65</v>
      </c>
      <c r="L2601" s="21">
        <v>-3.65</v>
      </c>
      <c r="M2601">
        <v>0</v>
      </c>
      <c r="N2601" s="21">
        <v>-3.65</v>
      </c>
    </row>
    <row r="2602" spans="1:14">
      <c r="A2602" t="str">
        <f>IFERROR(_xlfn.XLOOKUP(B2602,Cuentas!$C$1:$C$521,Cuentas!$A$1:$A$521),"")</f>
        <v>Yuldor</v>
      </c>
      <c r="B2602" t="s">
        <v>2885</v>
      </c>
      <c r="C2602" t="s">
        <v>2886</v>
      </c>
      <c r="D2602" t="s">
        <v>347</v>
      </c>
      <c r="E2602" t="s">
        <v>5502</v>
      </c>
      <c r="F2602" t="s">
        <v>2889</v>
      </c>
      <c r="G2602" t="s">
        <v>19</v>
      </c>
      <c r="I2602" s="2">
        <v>45519</v>
      </c>
      <c r="J2602" t="s">
        <v>20</v>
      </c>
      <c r="K2602" s="21">
        <v>-4.76</v>
      </c>
      <c r="L2602" s="21">
        <v>-4.76</v>
      </c>
      <c r="M2602">
        <v>0</v>
      </c>
      <c r="N2602" s="21">
        <v>-4.76</v>
      </c>
    </row>
    <row r="2603" spans="1:14">
      <c r="A2603" t="str">
        <f>IFERROR(_xlfn.XLOOKUP(B2603,Cuentas!$C$1:$C$521,Cuentas!$A$1:$A$521),"")</f>
        <v>Nicolas</v>
      </c>
      <c r="B2603" t="s">
        <v>2890</v>
      </c>
      <c r="C2603" t="s">
        <v>2891</v>
      </c>
      <c r="D2603" t="s">
        <v>16</v>
      </c>
      <c r="E2603" t="s">
        <v>3139</v>
      </c>
      <c r="F2603" t="s">
        <v>19</v>
      </c>
      <c r="G2603" t="s">
        <v>19</v>
      </c>
      <c r="I2603" s="2">
        <v>45252</v>
      </c>
      <c r="J2603" t="s">
        <v>20</v>
      </c>
      <c r="K2603" s="21">
        <v>-308</v>
      </c>
      <c r="L2603" s="21">
        <v>-308</v>
      </c>
      <c r="M2603">
        <v>0</v>
      </c>
      <c r="N2603" s="21">
        <v>-308</v>
      </c>
    </row>
    <row r="2604" spans="1:14">
      <c r="A2604" t="str">
        <f>IFERROR(_xlfn.XLOOKUP(B2604,Cuentas!$C$1:$C$521,Cuentas!$A$1:$A$521),"")</f>
        <v>Nicolas</v>
      </c>
      <c r="B2604" t="s">
        <v>2890</v>
      </c>
      <c r="C2604" t="s">
        <v>2891</v>
      </c>
      <c r="D2604" t="s">
        <v>16</v>
      </c>
      <c r="E2604" t="s">
        <v>5502</v>
      </c>
      <c r="F2604" t="s">
        <v>2892</v>
      </c>
      <c r="G2604" t="s">
        <v>19</v>
      </c>
      <c r="I2604" s="2">
        <v>45412</v>
      </c>
      <c r="J2604" t="s">
        <v>20</v>
      </c>
      <c r="K2604" s="21">
        <v>-9.94</v>
      </c>
      <c r="L2604" s="21">
        <v>-9.94</v>
      </c>
      <c r="M2604">
        <v>0</v>
      </c>
      <c r="N2604" s="21">
        <v>-9.94</v>
      </c>
    </row>
    <row r="2605" spans="1:14">
      <c r="A2605" t="str">
        <f>IFERROR(_xlfn.XLOOKUP(B2605,Cuentas!$C$1:$C$521,Cuentas!$A$1:$A$521),"")</f>
        <v>Nicolas</v>
      </c>
      <c r="B2605" t="s">
        <v>2890</v>
      </c>
      <c r="C2605" t="s">
        <v>2891</v>
      </c>
      <c r="D2605" t="s">
        <v>16</v>
      </c>
      <c r="E2605" t="s">
        <v>5502</v>
      </c>
      <c r="F2605" t="s">
        <v>2893</v>
      </c>
      <c r="G2605" t="s">
        <v>19</v>
      </c>
      <c r="I2605" s="2">
        <v>45412</v>
      </c>
      <c r="J2605" t="s">
        <v>20</v>
      </c>
      <c r="K2605" s="21">
        <v>-12.8</v>
      </c>
      <c r="L2605" s="21">
        <v>-12.8</v>
      </c>
      <c r="M2605">
        <v>0</v>
      </c>
      <c r="N2605" s="21">
        <v>-12.8</v>
      </c>
    </row>
    <row r="2606" spans="1:14">
      <c r="A2606" t="str">
        <f>IFERROR(_xlfn.XLOOKUP(B2606,Cuentas!$C$1:$C$521,Cuentas!$A$1:$A$521),"")</f>
        <v>Nicolas</v>
      </c>
      <c r="B2606" t="s">
        <v>2890</v>
      </c>
      <c r="C2606" t="s">
        <v>2891</v>
      </c>
      <c r="D2606" t="s">
        <v>16</v>
      </c>
      <c r="E2606" t="s">
        <v>5502</v>
      </c>
      <c r="F2606" t="s">
        <v>2894</v>
      </c>
      <c r="G2606" t="s">
        <v>19</v>
      </c>
      <c r="I2606" s="2">
        <v>45412</v>
      </c>
      <c r="J2606" t="s">
        <v>20</v>
      </c>
      <c r="K2606" s="21">
        <v>-9.94</v>
      </c>
      <c r="L2606" s="21">
        <v>-9.94</v>
      </c>
      <c r="M2606">
        <v>0</v>
      </c>
      <c r="N2606" s="21">
        <v>-9.94</v>
      </c>
    </row>
    <row r="2607" spans="1:14">
      <c r="A2607" t="str">
        <f>IFERROR(_xlfn.XLOOKUP(B2607,Cuentas!$C$1:$C$521,Cuentas!$A$1:$A$521),"")</f>
        <v>Nicolas</v>
      </c>
      <c r="B2607" t="s">
        <v>2890</v>
      </c>
      <c r="C2607" t="s">
        <v>2891</v>
      </c>
      <c r="D2607" t="s">
        <v>16</v>
      </c>
      <c r="E2607" t="s">
        <v>5502</v>
      </c>
      <c r="F2607" t="s">
        <v>2895</v>
      </c>
      <c r="G2607" t="s">
        <v>19</v>
      </c>
      <c r="I2607" s="2">
        <v>45412</v>
      </c>
      <c r="J2607" t="s">
        <v>20</v>
      </c>
      <c r="K2607" s="21">
        <v>-11.01</v>
      </c>
      <c r="L2607" s="21">
        <v>-11.01</v>
      </c>
      <c r="M2607">
        <v>0</v>
      </c>
      <c r="N2607" s="21">
        <v>-11.01</v>
      </c>
    </row>
    <row r="2608" spans="1:14">
      <c r="A2608" t="str">
        <f>IFERROR(_xlfn.XLOOKUP(B2608,Cuentas!$C$1:$C$521,Cuentas!$A$1:$A$521),"")</f>
        <v>Nicolas</v>
      </c>
      <c r="B2608" t="s">
        <v>2890</v>
      </c>
      <c r="C2608" t="s">
        <v>2891</v>
      </c>
      <c r="D2608" t="s">
        <v>16</v>
      </c>
      <c r="E2608" t="s">
        <v>5502</v>
      </c>
      <c r="F2608" t="s">
        <v>2896</v>
      </c>
      <c r="G2608" t="s">
        <v>19</v>
      </c>
      <c r="I2608" s="2">
        <v>45412</v>
      </c>
      <c r="J2608" t="s">
        <v>20</v>
      </c>
      <c r="K2608" s="21">
        <v>-8.94</v>
      </c>
      <c r="L2608" s="21">
        <v>-8.94</v>
      </c>
      <c r="M2608">
        <v>0</v>
      </c>
      <c r="N2608" s="21">
        <v>-8.94</v>
      </c>
    </row>
    <row r="2609" spans="1:14">
      <c r="A2609" t="str">
        <f>IFERROR(_xlfn.XLOOKUP(B2609,Cuentas!$C$1:$C$521,Cuentas!$A$1:$A$521),"")</f>
        <v>Nicolas</v>
      </c>
      <c r="B2609" t="s">
        <v>2890</v>
      </c>
      <c r="C2609" t="s">
        <v>2891</v>
      </c>
      <c r="D2609" t="s">
        <v>16</v>
      </c>
      <c r="E2609" t="s">
        <v>5502</v>
      </c>
      <c r="F2609" t="s">
        <v>2897</v>
      </c>
      <c r="G2609" t="s">
        <v>19</v>
      </c>
      <c r="I2609" s="2">
        <v>45412</v>
      </c>
      <c r="J2609" t="s">
        <v>20</v>
      </c>
      <c r="K2609" s="21">
        <v>-9.94</v>
      </c>
      <c r="L2609" s="21">
        <v>-9.94</v>
      </c>
      <c r="M2609">
        <v>0</v>
      </c>
      <c r="N2609" s="21">
        <v>-9.94</v>
      </c>
    </row>
    <row r="2610" spans="1:14">
      <c r="A2610" t="str">
        <f>IFERROR(_xlfn.XLOOKUP(B2610,Cuentas!$C$1:$C$521,Cuentas!$A$1:$A$521),"")</f>
        <v>Nicolas</v>
      </c>
      <c r="B2610" t="s">
        <v>2890</v>
      </c>
      <c r="C2610" t="s">
        <v>2891</v>
      </c>
      <c r="D2610" t="s">
        <v>16</v>
      </c>
      <c r="E2610" t="s">
        <v>7</v>
      </c>
      <c r="F2610" t="s">
        <v>2898</v>
      </c>
      <c r="G2610" t="s">
        <v>2898</v>
      </c>
      <c r="H2610" s="2">
        <v>45544</v>
      </c>
      <c r="I2610" s="2">
        <v>45574</v>
      </c>
      <c r="J2610" t="s">
        <v>20</v>
      </c>
      <c r="K2610" s="21">
        <v>142</v>
      </c>
      <c r="L2610" s="21">
        <v>142</v>
      </c>
      <c r="M2610">
        <v>0</v>
      </c>
      <c r="N2610" s="21">
        <v>142</v>
      </c>
    </row>
    <row r="2611" spans="1:14">
      <c r="A2611" t="str">
        <f>IFERROR(_xlfn.XLOOKUP(B2611,Cuentas!$C$1:$C$521,Cuentas!$A$1:$A$521),"")</f>
        <v>Nicolas</v>
      </c>
      <c r="B2611" t="s">
        <v>2890</v>
      </c>
      <c r="C2611" t="s">
        <v>2891</v>
      </c>
      <c r="D2611" t="s">
        <v>16</v>
      </c>
      <c r="E2611" t="s">
        <v>7</v>
      </c>
      <c r="F2611" t="s">
        <v>2899</v>
      </c>
      <c r="G2611" t="s">
        <v>2899</v>
      </c>
      <c r="H2611" s="2">
        <v>45546</v>
      </c>
      <c r="I2611" s="2">
        <v>45576</v>
      </c>
      <c r="J2611" t="s">
        <v>20</v>
      </c>
      <c r="K2611" s="21">
        <v>1399</v>
      </c>
      <c r="L2611" s="21">
        <v>1399</v>
      </c>
      <c r="M2611">
        <v>0</v>
      </c>
      <c r="N2611" s="21">
        <v>1399</v>
      </c>
    </row>
    <row r="2612" spans="1:14">
      <c r="A2612" t="str">
        <f>IFERROR(_xlfn.XLOOKUP(B2612,Cuentas!$C$1:$C$521,Cuentas!$A$1:$A$521),"")</f>
        <v>Nicolas</v>
      </c>
      <c r="B2612" t="s">
        <v>2890</v>
      </c>
      <c r="C2612" t="s">
        <v>2891</v>
      </c>
      <c r="D2612" t="s">
        <v>16</v>
      </c>
      <c r="E2612" t="s">
        <v>7</v>
      </c>
      <c r="F2612" t="s">
        <v>2900</v>
      </c>
      <c r="G2612" t="s">
        <v>2900</v>
      </c>
      <c r="H2612" s="2">
        <v>45560</v>
      </c>
      <c r="I2612" s="2">
        <v>45590</v>
      </c>
      <c r="J2612" t="s">
        <v>20</v>
      </c>
      <c r="K2612" s="21">
        <v>70</v>
      </c>
      <c r="L2612" s="21">
        <v>55.92</v>
      </c>
      <c r="M2612">
        <v>0</v>
      </c>
      <c r="N2612" s="21">
        <v>55.92</v>
      </c>
    </row>
    <row r="2613" spans="1:14">
      <c r="A2613" t="str">
        <f>IFERROR(_xlfn.XLOOKUP(B2613,Cuentas!$C$1:$C$521,Cuentas!$A$1:$A$521),"")</f>
        <v>Nicolas</v>
      </c>
      <c r="B2613" t="s">
        <v>2890</v>
      </c>
      <c r="C2613" t="s">
        <v>2891</v>
      </c>
      <c r="D2613" t="s">
        <v>16</v>
      </c>
      <c r="E2613" t="s">
        <v>3139</v>
      </c>
      <c r="F2613" t="s">
        <v>2900</v>
      </c>
      <c r="G2613" t="s">
        <v>2900</v>
      </c>
      <c r="I2613" s="2">
        <v>45610</v>
      </c>
      <c r="J2613" t="s">
        <v>20</v>
      </c>
      <c r="K2613" s="21">
        <v>-14.08</v>
      </c>
      <c r="L2613" s="21" t="s">
        <v>86</v>
      </c>
      <c r="M2613">
        <v>0</v>
      </c>
      <c r="N2613" s="21" t="s">
        <v>86</v>
      </c>
    </row>
    <row r="2614" spans="1:14">
      <c r="A2614" t="str">
        <f>IFERROR(_xlfn.XLOOKUP(B2614,Cuentas!$C$1:$C$521,Cuentas!$A$1:$A$521),"")</f>
        <v>Nicolas</v>
      </c>
      <c r="B2614" t="s">
        <v>2890</v>
      </c>
      <c r="C2614" t="s">
        <v>2891</v>
      </c>
      <c r="D2614" t="s">
        <v>16</v>
      </c>
      <c r="E2614" t="s">
        <v>7</v>
      </c>
      <c r="F2614" t="s">
        <v>2901</v>
      </c>
      <c r="G2614" t="s">
        <v>2901</v>
      </c>
      <c r="H2614" s="2">
        <v>45737</v>
      </c>
      <c r="I2614" s="2">
        <v>45767</v>
      </c>
      <c r="J2614" t="s">
        <v>20</v>
      </c>
      <c r="K2614" s="21">
        <v>980</v>
      </c>
      <c r="L2614" s="21">
        <v>980</v>
      </c>
      <c r="M2614">
        <v>0</v>
      </c>
      <c r="N2614" s="21">
        <v>0</v>
      </c>
    </row>
    <row r="2615" spans="1:14">
      <c r="A2615" t="str">
        <f>IFERROR(_xlfn.XLOOKUP(B2615,Cuentas!$C$1:$C$521,Cuentas!$A$1:$A$521),"")</f>
        <v>Nicolas</v>
      </c>
      <c r="B2615" t="s">
        <v>2902</v>
      </c>
      <c r="C2615" t="s">
        <v>2903</v>
      </c>
      <c r="D2615" t="s">
        <v>347</v>
      </c>
      <c r="E2615" t="s">
        <v>7</v>
      </c>
      <c r="F2615" t="s">
        <v>2904</v>
      </c>
      <c r="G2615" t="s">
        <v>2904</v>
      </c>
      <c r="H2615" s="2">
        <v>45708</v>
      </c>
      <c r="I2615" s="2">
        <v>45738</v>
      </c>
      <c r="J2615" t="s">
        <v>20</v>
      </c>
      <c r="K2615" s="21">
        <v>33.200000000000003</v>
      </c>
      <c r="L2615" s="21">
        <v>33.200000000000003</v>
      </c>
      <c r="M2615">
        <v>12</v>
      </c>
      <c r="N2615" s="21">
        <v>33.200000000000003</v>
      </c>
    </row>
    <row r="2616" spans="1:14">
      <c r="A2616" t="str">
        <f>IFERROR(_xlfn.XLOOKUP(B2616,Cuentas!$C$1:$C$521,Cuentas!$A$1:$A$521),"")</f>
        <v>Nicolas</v>
      </c>
      <c r="B2616" t="s">
        <v>2905</v>
      </c>
      <c r="C2616" t="s">
        <v>2906</v>
      </c>
      <c r="D2616" t="s">
        <v>347</v>
      </c>
      <c r="E2616" t="s">
        <v>3139</v>
      </c>
      <c r="F2616" t="s">
        <v>19</v>
      </c>
      <c r="G2616" t="s">
        <v>19</v>
      </c>
      <c r="I2616" s="2">
        <v>44788</v>
      </c>
      <c r="J2616" t="s">
        <v>20</v>
      </c>
      <c r="K2616" s="21">
        <v>-184</v>
      </c>
      <c r="L2616" s="21">
        <v>-184</v>
      </c>
      <c r="M2616">
        <v>0</v>
      </c>
      <c r="N2616" s="21">
        <v>-184</v>
      </c>
    </row>
    <row r="2617" spans="1:14">
      <c r="A2617" t="str">
        <f>IFERROR(_xlfn.XLOOKUP(B2617,Cuentas!$C$1:$C$521,Cuentas!$A$1:$A$521),"")</f>
        <v>Nicolas</v>
      </c>
      <c r="B2617" t="s">
        <v>2905</v>
      </c>
      <c r="C2617" t="s">
        <v>2906</v>
      </c>
      <c r="D2617" t="s">
        <v>347</v>
      </c>
      <c r="E2617" t="s">
        <v>5502</v>
      </c>
      <c r="F2617" t="s">
        <v>2907</v>
      </c>
      <c r="G2617" t="s">
        <v>19</v>
      </c>
      <c r="I2617" s="2">
        <v>45380</v>
      </c>
      <c r="J2617" t="s">
        <v>20</v>
      </c>
      <c r="K2617" s="21">
        <v>-270.5</v>
      </c>
      <c r="L2617" s="21">
        <v>-270.5</v>
      </c>
      <c r="M2617">
        <v>0</v>
      </c>
      <c r="N2617" s="21">
        <v>-270.5</v>
      </c>
    </row>
    <row r="2618" spans="1:14">
      <c r="A2618" t="str">
        <f>IFERROR(_xlfn.XLOOKUP(B2618,Cuentas!$C$1:$C$521,Cuentas!$A$1:$A$521),"")</f>
        <v>Nicolas</v>
      </c>
      <c r="B2618" t="s">
        <v>2905</v>
      </c>
      <c r="C2618" t="s">
        <v>2906</v>
      </c>
      <c r="D2618" t="s">
        <v>347</v>
      </c>
      <c r="E2618" t="s">
        <v>5502</v>
      </c>
      <c r="F2618" t="s">
        <v>2908</v>
      </c>
      <c r="G2618" t="s">
        <v>19</v>
      </c>
      <c r="I2618" s="2">
        <v>45388</v>
      </c>
      <c r="J2618" t="s">
        <v>20</v>
      </c>
      <c r="K2618" s="21">
        <v>-2074</v>
      </c>
      <c r="L2618" s="21">
        <v>-2074</v>
      </c>
      <c r="M2618">
        <v>0</v>
      </c>
      <c r="N2618" s="21">
        <v>-2074</v>
      </c>
    </row>
    <row r="2619" spans="1:14">
      <c r="A2619" t="str">
        <f>IFERROR(_xlfn.XLOOKUP(B2619,Cuentas!$C$1:$C$521,Cuentas!$A$1:$A$521),"")</f>
        <v>Nicolas</v>
      </c>
      <c r="B2619" t="s">
        <v>2905</v>
      </c>
      <c r="C2619" t="s">
        <v>2906</v>
      </c>
      <c r="D2619" t="s">
        <v>347</v>
      </c>
      <c r="E2619" t="s">
        <v>5502</v>
      </c>
      <c r="F2619" t="s">
        <v>2909</v>
      </c>
      <c r="G2619" t="s">
        <v>19</v>
      </c>
      <c r="I2619" s="2">
        <v>45412</v>
      </c>
      <c r="J2619" t="s">
        <v>20</v>
      </c>
      <c r="K2619" s="21">
        <v>-402.34</v>
      </c>
      <c r="L2619" s="21">
        <v>-402.34</v>
      </c>
      <c r="M2619">
        <v>0</v>
      </c>
      <c r="N2619" s="21">
        <v>-402.34</v>
      </c>
    </row>
    <row r="2620" spans="1:14">
      <c r="A2620" t="str">
        <f>IFERROR(_xlfn.XLOOKUP(B2620,Cuentas!$C$1:$C$521,Cuentas!$A$1:$A$521),"")</f>
        <v>Nicolas</v>
      </c>
      <c r="B2620" t="s">
        <v>2905</v>
      </c>
      <c r="C2620" t="s">
        <v>2906</v>
      </c>
      <c r="D2620" t="s">
        <v>347</v>
      </c>
      <c r="E2620" t="s">
        <v>5502</v>
      </c>
      <c r="F2620" t="s">
        <v>2910</v>
      </c>
      <c r="G2620" t="s">
        <v>19</v>
      </c>
      <c r="I2620" s="2">
        <v>45412</v>
      </c>
      <c r="J2620" t="s">
        <v>20</v>
      </c>
      <c r="K2620" s="21">
        <v>-480.28</v>
      </c>
      <c r="L2620" s="21">
        <v>-480.28</v>
      </c>
      <c r="M2620">
        <v>0</v>
      </c>
      <c r="N2620" s="21">
        <v>-480.28</v>
      </c>
    </row>
    <row r="2621" spans="1:14">
      <c r="A2621" t="str">
        <f>IFERROR(_xlfn.XLOOKUP(B2621,Cuentas!$C$1:$C$521,Cuentas!$A$1:$A$521),"")</f>
        <v>Nicolas</v>
      </c>
      <c r="B2621" t="s">
        <v>2905</v>
      </c>
      <c r="C2621" t="s">
        <v>2906</v>
      </c>
      <c r="D2621" t="s">
        <v>347</v>
      </c>
      <c r="E2621" t="s">
        <v>5502</v>
      </c>
      <c r="F2621" t="s">
        <v>2911</v>
      </c>
      <c r="G2621" t="s">
        <v>19</v>
      </c>
      <c r="I2621" s="2">
        <v>45412</v>
      </c>
      <c r="J2621" t="s">
        <v>20</v>
      </c>
      <c r="K2621" s="21">
        <v>-121.84</v>
      </c>
      <c r="L2621" s="21">
        <v>-121.84</v>
      </c>
      <c r="M2621">
        <v>0</v>
      </c>
      <c r="N2621" s="21">
        <v>-121.84</v>
      </c>
    </row>
    <row r="2622" spans="1:14">
      <c r="A2622" t="str">
        <f>IFERROR(_xlfn.XLOOKUP(B2622,Cuentas!$C$1:$C$521,Cuentas!$A$1:$A$521),"")</f>
        <v>Nicolas</v>
      </c>
      <c r="B2622" t="s">
        <v>2905</v>
      </c>
      <c r="C2622" t="s">
        <v>2906</v>
      </c>
      <c r="D2622" t="s">
        <v>347</v>
      </c>
      <c r="E2622" t="s">
        <v>5502</v>
      </c>
      <c r="F2622" t="s">
        <v>2912</v>
      </c>
      <c r="G2622" t="s">
        <v>19</v>
      </c>
      <c r="I2622" s="2">
        <v>45428</v>
      </c>
      <c r="J2622" t="s">
        <v>20</v>
      </c>
      <c r="K2622" s="21">
        <v>-59.5</v>
      </c>
      <c r="L2622" s="21">
        <v>-59.5</v>
      </c>
      <c r="M2622">
        <v>0</v>
      </c>
      <c r="N2622" s="21">
        <v>-59.5</v>
      </c>
    </row>
    <row r="2623" spans="1:14">
      <c r="A2623" t="str">
        <f>IFERROR(_xlfn.XLOOKUP(B2623,Cuentas!$C$1:$C$521,Cuentas!$A$1:$A$521),"")</f>
        <v>Nicolas</v>
      </c>
      <c r="B2623" t="s">
        <v>2905</v>
      </c>
      <c r="C2623" t="s">
        <v>2906</v>
      </c>
      <c r="D2623" t="s">
        <v>347</v>
      </c>
      <c r="E2623" t="s">
        <v>5502</v>
      </c>
      <c r="F2623" t="s">
        <v>2913</v>
      </c>
      <c r="G2623" t="s">
        <v>19</v>
      </c>
      <c r="I2623" s="2">
        <v>45443</v>
      </c>
      <c r="J2623" t="s">
        <v>20</v>
      </c>
      <c r="K2623" s="21">
        <v>-212.06</v>
      </c>
      <c r="L2623" s="21">
        <v>-212.06</v>
      </c>
      <c r="M2623">
        <v>0</v>
      </c>
      <c r="N2623" s="21">
        <v>-212.06</v>
      </c>
    </row>
    <row r="2624" spans="1:14">
      <c r="A2624" t="str">
        <f>IFERROR(_xlfn.XLOOKUP(B2624,Cuentas!$C$1:$C$521,Cuentas!$A$1:$A$521),"")</f>
        <v>Nicolas</v>
      </c>
      <c r="B2624" t="s">
        <v>2905</v>
      </c>
      <c r="C2624" t="s">
        <v>2906</v>
      </c>
      <c r="D2624" t="s">
        <v>347</v>
      </c>
      <c r="E2624" t="s">
        <v>7</v>
      </c>
      <c r="F2624" t="s">
        <v>2914</v>
      </c>
      <c r="G2624" t="s">
        <v>2914</v>
      </c>
      <c r="H2624" s="2">
        <v>45573</v>
      </c>
      <c r="I2624" s="2">
        <v>45603</v>
      </c>
      <c r="J2624" t="s">
        <v>20</v>
      </c>
      <c r="K2624" s="21">
        <v>253.5</v>
      </c>
      <c r="L2624" s="21">
        <v>253.5</v>
      </c>
      <c r="M2624">
        <v>0</v>
      </c>
      <c r="N2624" s="21">
        <v>253.5</v>
      </c>
    </row>
    <row r="2625" spans="1:14">
      <c r="A2625" t="str">
        <f>IFERROR(_xlfn.XLOOKUP(B2625,Cuentas!$C$1:$C$521,Cuentas!$A$1:$A$521),"")</f>
        <v>Nicolas</v>
      </c>
      <c r="B2625" t="s">
        <v>2905</v>
      </c>
      <c r="C2625" t="s">
        <v>2906</v>
      </c>
      <c r="D2625" t="s">
        <v>347</v>
      </c>
      <c r="E2625" t="s">
        <v>7</v>
      </c>
      <c r="F2625" t="s">
        <v>2915</v>
      </c>
      <c r="G2625" t="s">
        <v>2915</v>
      </c>
      <c r="H2625" s="2">
        <v>45573</v>
      </c>
      <c r="I2625" s="2">
        <v>45603</v>
      </c>
      <c r="J2625" t="s">
        <v>20</v>
      </c>
      <c r="K2625" s="21">
        <v>1050</v>
      </c>
      <c r="L2625" s="21">
        <v>1050</v>
      </c>
      <c r="M2625">
        <v>0</v>
      </c>
      <c r="N2625" s="21">
        <v>1050</v>
      </c>
    </row>
    <row r="2626" spans="1:14">
      <c r="A2626" t="str">
        <f>IFERROR(_xlfn.XLOOKUP(B2626,Cuentas!$C$1:$C$521,Cuentas!$A$1:$A$521),"")</f>
        <v>Nicolas</v>
      </c>
      <c r="B2626" t="s">
        <v>2905</v>
      </c>
      <c r="C2626" t="s">
        <v>2906</v>
      </c>
      <c r="D2626" t="s">
        <v>347</v>
      </c>
      <c r="E2626" t="s">
        <v>7</v>
      </c>
      <c r="F2626" t="s">
        <v>2916</v>
      </c>
      <c r="G2626" t="s">
        <v>2916</v>
      </c>
      <c r="H2626" s="2">
        <v>45664</v>
      </c>
      <c r="I2626" s="2">
        <v>45694</v>
      </c>
      <c r="J2626" t="s">
        <v>20</v>
      </c>
      <c r="K2626" s="21">
        <v>440</v>
      </c>
      <c r="L2626" s="21">
        <v>440</v>
      </c>
      <c r="M2626">
        <v>0</v>
      </c>
      <c r="N2626" s="21">
        <v>440</v>
      </c>
    </row>
    <row r="2627" spans="1:14">
      <c r="A2627" t="str">
        <f>IFERROR(_xlfn.XLOOKUP(B2627,Cuentas!$C$1:$C$521,Cuentas!$A$1:$A$521),"")</f>
        <v>Nicolas</v>
      </c>
      <c r="B2627" t="s">
        <v>2905</v>
      </c>
      <c r="C2627" t="s">
        <v>2906</v>
      </c>
      <c r="D2627" t="s">
        <v>347</v>
      </c>
      <c r="E2627" t="s">
        <v>7</v>
      </c>
      <c r="F2627" t="s">
        <v>2917</v>
      </c>
      <c r="G2627" t="s">
        <v>2917</v>
      </c>
      <c r="H2627" s="2">
        <v>45667</v>
      </c>
      <c r="I2627" s="2">
        <v>45697</v>
      </c>
      <c r="J2627" t="s">
        <v>20</v>
      </c>
      <c r="K2627" s="21">
        <v>3252.55</v>
      </c>
      <c r="L2627" s="21">
        <v>3252.55</v>
      </c>
      <c r="M2627">
        <v>0</v>
      </c>
      <c r="N2627" s="21">
        <v>3252.55</v>
      </c>
    </row>
    <row r="2628" spans="1:14">
      <c r="A2628" t="str">
        <f>IFERROR(_xlfn.XLOOKUP(B2628,Cuentas!$C$1:$C$521,Cuentas!$A$1:$A$521),"")</f>
        <v>Nicolas</v>
      </c>
      <c r="B2628" t="s">
        <v>2905</v>
      </c>
      <c r="C2628" t="s">
        <v>2906</v>
      </c>
      <c r="D2628" t="s">
        <v>347</v>
      </c>
      <c r="E2628" t="s">
        <v>7</v>
      </c>
      <c r="F2628" t="s">
        <v>2918</v>
      </c>
      <c r="G2628" t="s">
        <v>2918</v>
      </c>
      <c r="H2628" s="2">
        <v>45670</v>
      </c>
      <c r="I2628" s="2">
        <v>45700</v>
      </c>
      <c r="J2628" t="s">
        <v>20</v>
      </c>
      <c r="K2628" s="21">
        <v>114</v>
      </c>
      <c r="L2628" s="21">
        <v>114</v>
      </c>
      <c r="M2628">
        <v>0</v>
      </c>
      <c r="N2628" s="21">
        <v>114</v>
      </c>
    </row>
    <row r="2629" spans="1:14">
      <c r="A2629" t="str">
        <f>IFERROR(_xlfn.XLOOKUP(B2629,Cuentas!$C$1:$C$521,Cuentas!$A$1:$A$521),"")</f>
        <v>Nicolas</v>
      </c>
      <c r="B2629" t="s">
        <v>2905</v>
      </c>
      <c r="C2629" t="s">
        <v>2906</v>
      </c>
      <c r="D2629" t="s">
        <v>347</v>
      </c>
      <c r="E2629" t="s">
        <v>7</v>
      </c>
      <c r="F2629" t="s">
        <v>2919</v>
      </c>
      <c r="G2629" t="s">
        <v>2919</v>
      </c>
      <c r="H2629" s="2">
        <v>45673</v>
      </c>
      <c r="I2629" s="2">
        <v>45703</v>
      </c>
      <c r="J2629" t="s">
        <v>20</v>
      </c>
      <c r="K2629" s="21">
        <v>816</v>
      </c>
      <c r="L2629" s="21">
        <v>816</v>
      </c>
      <c r="M2629">
        <v>0</v>
      </c>
      <c r="N2629" s="21">
        <v>816</v>
      </c>
    </row>
    <row r="2630" spans="1:14">
      <c r="A2630" t="str">
        <f>IFERROR(_xlfn.XLOOKUP(B2630,Cuentas!$C$1:$C$521,Cuentas!$A$1:$A$521),"")</f>
        <v>Nicolas</v>
      </c>
      <c r="B2630" t="s">
        <v>2905</v>
      </c>
      <c r="C2630" t="s">
        <v>2906</v>
      </c>
      <c r="D2630" t="s">
        <v>347</v>
      </c>
      <c r="E2630" t="s">
        <v>7</v>
      </c>
      <c r="F2630" t="s">
        <v>2920</v>
      </c>
      <c r="G2630" t="s">
        <v>2920</v>
      </c>
      <c r="H2630" s="2">
        <v>45673</v>
      </c>
      <c r="I2630" s="2">
        <v>45703</v>
      </c>
      <c r="J2630" t="s">
        <v>20</v>
      </c>
      <c r="K2630" s="21">
        <v>2112</v>
      </c>
      <c r="L2630" s="21">
        <v>2112</v>
      </c>
      <c r="M2630">
        <v>0</v>
      </c>
      <c r="N2630" s="21">
        <v>2112</v>
      </c>
    </row>
    <row r="2631" spans="1:14">
      <c r="A2631" t="str">
        <f>IFERROR(_xlfn.XLOOKUP(B2631,Cuentas!$C$1:$C$521,Cuentas!$A$1:$A$521),"")</f>
        <v>Nicolas</v>
      </c>
      <c r="B2631" t="s">
        <v>2905</v>
      </c>
      <c r="C2631" t="s">
        <v>2906</v>
      </c>
      <c r="D2631" t="s">
        <v>347</v>
      </c>
      <c r="E2631" t="s">
        <v>7</v>
      </c>
      <c r="F2631" t="s">
        <v>2921</v>
      </c>
      <c r="G2631" t="s">
        <v>2921</v>
      </c>
      <c r="H2631" s="2">
        <v>45674</v>
      </c>
      <c r="I2631" s="2">
        <v>45704</v>
      </c>
      <c r="J2631" t="s">
        <v>20</v>
      </c>
      <c r="K2631" s="21">
        <v>408</v>
      </c>
      <c r="L2631" s="21">
        <v>408</v>
      </c>
      <c r="M2631">
        <v>0</v>
      </c>
      <c r="N2631" s="21">
        <v>408</v>
      </c>
    </row>
    <row r="2632" spans="1:14">
      <c r="A2632" t="str">
        <f>IFERROR(_xlfn.XLOOKUP(B2632,Cuentas!$C$1:$C$521,Cuentas!$A$1:$A$521),"")</f>
        <v>Nicolas</v>
      </c>
      <c r="B2632" t="s">
        <v>2905</v>
      </c>
      <c r="C2632" t="s">
        <v>2906</v>
      </c>
      <c r="D2632" t="s">
        <v>347</v>
      </c>
      <c r="E2632" t="s">
        <v>7</v>
      </c>
      <c r="F2632" t="s">
        <v>2922</v>
      </c>
      <c r="G2632" t="s">
        <v>2922</v>
      </c>
      <c r="H2632" s="2">
        <v>45674</v>
      </c>
      <c r="I2632" s="2">
        <v>45704</v>
      </c>
      <c r="J2632" t="s">
        <v>20</v>
      </c>
      <c r="K2632" s="21">
        <v>539</v>
      </c>
      <c r="L2632" s="21">
        <v>539</v>
      </c>
      <c r="M2632">
        <v>0</v>
      </c>
      <c r="N2632" s="21">
        <v>539</v>
      </c>
    </row>
    <row r="2633" spans="1:14">
      <c r="A2633" t="str">
        <f>IFERROR(_xlfn.XLOOKUP(B2633,Cuentas!$C$1:$C$521,Cuentas!$A$1:$A$521),"")</f>
        <v>Nicolas</v>
      </c>
      <c r="B2633" t="s">
        <v>2905</v>
      </c>
      <c r="C2633" t="s">
        <v>2906</v>
      </c>
      <c r="D2633" t="s">
        <v>347</v>
      </c>
      <c r="E2633" t="s">
        <v>7</v>
      </c>
      <c r="F2633" t="s">
        <v>2923</v>
      </c>
      <c r="G2633" t="s">
        <v>2923</v>
      </c>
      <c r="H2633" s="2">
        <v>45688</v>
      </c>
      <c r="I2633" s="2">
        <v>45718</v>
      </c>
      <c r="J2633" t="s">
        <v>20</v>
      </c>
      <c r="K2633" s="21">
        <v>11695.5</v>
      </c>
      <c r="L2633" s="21">
        <v>1345.5</v>
      </c>
      <c r="M2633">
        <v>10</v>
      </c>
      <c r="N2633" s="21">
        <v>1345.5</v>
      </c>
    </row>
    <row r="2634" spans="1:14">
      <c r="A2634" t="str">
        <f>IFERROR(_xlfn.XLOOKUP(B2634,Cuentas!$C$1:$C$521,Cuentas!$A$1:$A$521),"")</f>
        <v>Nicolas</v>
      </c>
      <c r="B2634" t="s">
        <v>2905</v>
      </c>
      <c r="C2634" t="s">
        <v>2906</v>
      </c>
      <c r="D2634" t="s">
        <v>347</v>
      </c>
      <c r="E2634" t="s">
        <v>3139</v>
      </c>
      <c r="F2634" t="s">
        <v>2923</v>
      </c>
      <c r="G2634" t="s">
        <v>2923</v>
      </c>
      <c r="I2634" s="2">
        <v>45728</v>
      </c>
      <c r="J2634" t="s">
        <v>20</v>
      </c>
      <c r="K2634" s="21">
        <v>-10350</v>
      </c>
      <c r="L2634" s="21" t="s">
        <v>86</v>
      </c>
      <c r="M2634">
        <v>11</v>
      </c>
      <c r="N2634" s="21" t="s">
        <v>86</v>
      </c>
    </row>
    <row r="2635" spans="1:14">
      <c r="A2635" t="str">
        <f>IFERROR(_xlfn.XLOOKUP(B2635,Cuentas!$C$1:$C$521,Cuentas!$A$1:$A$521),"")</f>
        <v>Nicolas</v>
      </c>
      <c r="B2635" t="s">
        <v>2905</v>
      </c>
      <c r="C2635" t="s">
        <v>2906</v>
      </c>
      <c r="D2635" t="s">
        <v>347</v>
      </c>
      <c r="E2635" t="s">
        <v>7</v>
      </c>
      <c r="F2635" t="s">
        <v>2924</v>
      </c>
      <c r="G2635" t="s">
        <v>2924</v>
      </c>
      <c r="H2635" s="2">
        <v>45688</v>
      </c>
      <c r="I2635" s="2">
        <v>45718</v>
      </c>
      <c r="J2635" t="s">
        <v>20</v>
      </c>
      <c r="K2635" s="21">
        <v>18244.98</v>
      </c>
      <c r="L2635" s="21">
        <v>18244.98</v>
      </c>
      <c r="M2635">
        <v>10</v>
      </c>
      <c r="N2635" s="21">
        <v>18244.98</v>
      </c>
    </row>
    <row r="2636" spans="1:14">
      <c r="A2636" t="str">
        <f>IFERROR(_xlfn.XLOOKUP(B2636,Cuentas!$C$1:$C$521,Cuentas!$A$1:$A$521),"")</f>
        <v>Nicolas</v>
      </c>
      <c r="B2636" t="s">
        <v>2905</v>
      </c>
      <c r="C2636" t="s">
        <v>2906</v>
      </c>
      <c r="D2636" t="s">
        <v>347</v>
      </c>
      <c r="E2636" t="s">
        <v>7</v>
      </c>
      <c r="F2636" t="s">
        <v>2925</v>
      </c>
      <c r="G2636" t="s">
        <v>2925</v>
      </c>
      <c r="H2636" s="2">
        <v>45691</v>
      </c>
      <c r="I2636" s="2">
        <v>45721</v>
      </c>
      <c r="J2636" t="s">
        <v>20</v>
      </c>
      <c r="K2636" s="21">
        <v>4051.3</v>
      </c>
      <c r="L2636" s="21">
        <v>4051.3</v>
      </c>
      <c r="M2636">
        <v>10</v>
      </c>
      <c r="N2636" s="21">
        <v>4051.3</v>
      </c>
    </row>
    <row r="2637" spans="1:14">
      <c r="A2637" t="str">
        <f>IFERROR(_xlfn.XLOOKUP(B2637,Cuentas!$C$1:$C$521,Cuentas!$A$1:$A$521),"")</f>
        <v>Nicolas</v>
      </c>
      <c r="B2637" t="s">
        <v>2905</v>
      </c>
      <c r="C2637" t="s">
        <v>2906</v>
      </c>
      <c r="D2637" t="s">
        <v>347</v>
      </c>
      <c r="E2637" t="s">
        <v>7</v>
      </c>
      <c r="F2637" t="s">
        <v>2926</v>
      </c>
      <c r="G2637" t="s">
        <v>2926</v>
      </c>
      <c r="H2637" s="2">
        <v>45707</v>
      </c>
      <c r="I2637" s="2">
        <v>45737</v>
      </c>
      <c r="J2637" t="s">
        <v>20</v>
      </c>
      <c r="K2637" s="21">
        <v>2476</v>
      </c>
      <c r="L2637" s="21">
        <v>2476</v>
      </c>
      <c r="M2637">
        <v>12</v>
      </c>
      <c r="N2637" s="21">
        <v>2476</v>
      </c>
    </row>
    <row r="2638" spans="1:14">
      <c r="A2638" t="str">
        <f>IFERROR(_xlfn.XLOOKUP(B2638,Cuentas!$C$1:$C$521,Cuentas!$A$1:$A$521),"")</f>
        <v>Nicolas</v>
      </c>
      <c r="B2638" t="s">
        <v>2905</v>
      </c>
      <c r="C2638" t="s">
        <v>2906</v>
      </c>
      <c r="D2638" t="s">
        <v>347</v>
      </c>
      <c r="E2638" t="s">
        <v>7</v>
      </c>
      <c r="F2638" t="s">
        <v>2927</v>
      </c>
      <c r="G2638" t="s">
        <v>2927</v>
      </c>
      <c r="H2638" s="2">
        <v>45707</v>
      </c>
      <c r="I2638" s="2">
        <v>45737</v>
      </c>
      <c r="J2638" t="s">
        <v>20</v>
      </c>
      <c r="K2638" s="21">
        <v>5563.5</v>
      </c>
      <c r="L2638" s="21">
        <v>5563.5</v>
      </c>
      <c r="M2638">
        <v>12</v>
      </c>
      <c r="N2638" s="21">
        <v>5563.5</v>
      </c>
    </row>
    <row r="2639" spans="1:14">
      <c r="A2639" t="str">
        <f>IFERROR(_xlfn.XLOOKUP(B2639,Cuentas!$C$1:$C$521,Cuentas!$A$1:$A$521),"")</f>
        <v>Nicolas</v>
      </c>
      <c r="B2639" t="s">
        <v>2905</v>
      </c>
      <c r="C2639" t="s">
        <v>2906</v>
      </c>
      <c r="D2639" t="s">
        <v>347</v>
      </c>
      <c r="E2639" t="s">
        <v>7</v>
      </c>
      <c r="F2639" t="s">
        <v>2928</v>
      </c>
      <c r="G2639" t="s">
        <v>2928</v>
      </c>
      <c r="H2639" s="2">
        <v>45707</v>
      </c>
      <c r="I2639" s="2">
        <v>45737</v>
      </c>
      <c r="J2639" t="s">
        <v>20</v>
      </c>
      <c r="K2639" s="21">
        <v>3762.5</v>
      </c>
      <c r="L2639" s="21">
        <v>3762.5</v>
      </c>
      <c r="M2639">
        <v>12</v>
      </c>
      <c r="N2639" s="21">
        <v>3762.5</v>
      </c>
    </row>
    <row r="2640" spans="1:14">
      <c r="A2640" t="str">
        <f>IFERROR(_xlfn.XLOOKUP(B2640,Cuentas!$C$1:$C$521,Cuentas!$A$1:$A$521),"")</f>
        <v>Nicolas</v>
      </c>
      <c r="B2640" t="s">
        <v>2905</v>
      </c>
      <c r="C2640" t="s">
        <v>2906</v>
      </c>
      <c r="D2640" t="s">
        <v>347</v>
      </c>
      <c r="E2640" t="s">
        <v>7</v>
      </c>
      <c r="F2640" t="s">
        <v>2929</v>
      </c>
      <c r="G2640" t="s">
        <v>2929</v>
      </c>
      <c r="H2640" s="2">
        <v>45707</v>
      </c>
      <c r="I2640" s="2">
        <v>45737</v>
      </c>
      <c r="J2640" t="s">
        <v>20</v>
      </c>
      <c r="K2640" s="21">
        <v>1764</v>
      </c>
      <c r="L2640" s="21">
        <v>1764</v>
      </c>
      <c r="M2640">
        <v>12</v>
      </c>
      <c r="N2640" s="21">
        <v>1764</v>
      </c>
    </row>
    <row r="2641" spans="1:14">
      <c r="A2641" t="str">
        <f>IFERROR(_xlfn.XLOOKUP(B2641,Cuentas!$C$1:$C$521,Cuentas!$A$1:$A$521),"")</f>
        <v>Nicolas</v>
      </c>
      <c r="B2641" t="s">
        <v>2905</v>
      </c>
      <c r="C2641" t="s">
        <v>2906</v>
      </c>
      <c r="D2641" t="s">
        <v>347</v>
      </c>
      <c r="E2641" t="s">
        <v>7</v>
      </c>
      <c r="F2641" t="s">
        <v>2930</v>
      </c>
      <c r="G2641" t="s">
        <v>2930</v>
      </c>
      <c r="H2641" s="2">
        <v>45715</v>
      </c>
      <c r="I2641" s="2">
        <v>45745</v>
      </c>
      <c r="J2641" t="s">
        <v>20</v>
      </c>
      <c r="K2641" s="21">
        <v>4095</v>
      </c>
      <c r="L2641" s="21">
        <v>4095</v>
      </c>
      <c r="M2641">
        <v>13</v>
      </c>
      <c r="N2641" s="21">
        <v>4095</v>
      </c>
    </row>
    <row r="2642" spans="1:14">
      <c r="A2642" t="str">
        <f>IFERROR(_xlfn.XLOOKUP(B2642,Cuentas!$C$1:$C$521,Cuentas!$A$1:$A$521),"")</f>
        <v>Nicolas</v>
      </c>
      <c r="B2642" t="s">
        <v>2905</v>
      </c>
      <c r="C2642" t="s">
        <v>2906</v>
      </c>
      <c r="D2642" t="s">
        <v>347</v>
      </c>
      <c r="E2642" t="s">
        <v>7</v>
      </c>
      <c r="F2642" t="s">
        <v>2931</v>
      </c>
      <c r="G2642" t="s">
        <v>2931</v>
      </c>
      <c r="H2642" s="2">
        <v>45715</v>
      </c>
      <c r="I2642" s="2">
        <v>45745</v>
      </c>
      <c r="J2642" t="s">
        <v>20</v>
      </c>
      <c r="K2642" s="21">
        <v>2208.16</v>
      </c>
      <c r="L2642" s="21">
        <v>2208.16</v>
      </c>
      <c r="M2642">
        <v>13</v>
      </c>
      <c r="N2642" s="21">
        <v>2208.16</v>
      </c>
    </row>
    <row r="2643" spans="1:14">
      <c r="A2643" t="str">
        <f>IFERROR(_xlfn.XLOOKUP(B2643,Cuentas!$C$1:$C$521,Cuentas!$A$1:$A$521),"")</f>
        <v>Nicolas</v>
      </c>
      <c r="B2643" t="s">
        <v>2905</v>
      </c>
      <c r="C2643" t="s">
        <v>2906</v>
      </c>
      <c r="D2643" t="s">
        <v>347</v>
      </c>
      <c r="E2643" t="s">
        <v>7</v>
      </c>
      <c r="F2643" t="s">
        <v>2932</v>
      </c>
      <c r="G2643" t="s">
        <v>2932</v>
      </c>
      <c r="H2643" s="2">
        <v>45715</v>
      </c>
      <c r="I2643" s="2">
        <v>45745</v>
      </c>
      <c r="J2643" t="s">
        <v>20</v>
      </c>
      <c r="K2643" s="21">
        <v>1330</v>
      </c>
      <c r="L2643" s="21">
        <v>1330</v>
      </c>
      <c r="M2643">
        <v>13</v>
      </c>
      <c r="N2643" s="21">
        <v>1330</v>
      </c>
    </row>
    <row r="2644" spans="1:14">
      <c r="A2644" t="str">
        <f>IFERROR(_xlfn.XLOOKUP(B2644,Cuentas!$C$1:$C$521,Cuentas!$A$1:$A$521),"")</f>
        <v>Nicolas</v>
      </c>
      <c r="B2644" t="s">
        <v>2905</v>
      </c>
      <c r="C2644" t="s">
        <v>2906</v>
      </c>
      <c r="D2644" t="s">
        <v>347</v>
      </c>
      <c r="E2644" t="s">
        <v>7</v>
      </c>
      <c r="F2644" t="s">
        <v>2933</v>
      </c>
      <c r="G2644" t="s">
        <v>2933</v>
      </c>
      <c r="H2644" s="2">
        <v>45721</v>
      </c>
      <c r="I2644" s="2">
        <v>45751</v>
      </c>
      <c r="J2644" t="s">
        <v>20</v>
      </c>
      <c r="K2644" s="21">
        <v>12846.42</v>
      </c>
      <c r="L2644" s="21">
        <v>12846.42</v>
      </c>
      <c r="M2644">
        <v>0</v>
      </c>
      <c r="N2644" s="21">
        <v>0</v>
      </c>
    </row>
    <row r="2645" spans="1:14">
      <c r="A2645" t="str">
        <f>IFERROR(_xlfn.XLOOKUP(B2645,Cuentas!$C$1:$C$521,Cuentas!$A$1:$A$521),"")</f>
        <v>Nicolas</v>
      </c>
      <c r="B2645" t="s">
        <v>2905</v>
      </c>
      <c r="C2645" t="s">
        <v>2906</v>
      </c>
      <c r="D2645" t="s">
        <v>347</v>
      </c>
      <c r="E2645" t="s">
        <v>7</v>
      </c>
      <c r="F2645" t="s">
        <v>2934</v>
      </c>
      <c r="G2645" t="s">
        <v>2934</v>
      </c>
      <c r="H2645" s="2">
        <v>45726</v>
      </c>
      <c r="I2645" s="2">
        <v>45756</v>
      </c>
      <c r="J2645" t="s">
        <v>20</v>
      </c>
      <c r="K2645" s="21">
        <v>6186.75</v>
      </c>
      <c r="L2645" s="21">
        <v>6114.75</v>
      </c>
      <c r="M2645">
        <v>0</v>
      </c>
      <c r="N2645" s="21">
        <v>0</v>
      </c>
    </row>
    <row r="2646" spans="1:14">
      <c r="A2646" t="str">
        <f>IFERROR(_xlfn.XLOOKUP(B2646,Cuentas!$C$1:$C$521,Cuentas!$A$1:$A$521),"")</f>
        <v>Nicolas</v>
      </c>
      <c r="B2646" t="s">
        <v>2905</v>
      </c>
      <c r="C2646" t="s">
        <v>2906</v>
      </c>
      <c r="D2646" t="s">
        <v>347</v>
      </c>
      <c r="E2646" t="s">
        <v>5502</v>
      </c>
      <c r="F2646" t="s">
        <v>2935</v>
      </c>
      <c r="G2646" t="s">
        <v>2934</v>
      </c>
      <c r="I2646" s="2">
        <v>45728</v>
      </c>
      <c r="J2646" t="s">
        <v>20</v>
      </c>
      <c r="K2646" s="21">
        <v>-72</v>
      </c>
      <c r="L2646" s="21" t="s">
        <v>86</v>
      </c>
      <c r="M2646">
        <v>11</v>
      </c>
      <c r="N2646" s="21" t="s">
        <v>86</v>
      </c>
    </row>
    <row r="2647" spans="1:14">
      <c r="A2647" t="str">
        <f>IFERROR(_xlfn.XLOOKUP(B2647,Cuentas!$C$1:$C$521,Cuentas!$A$1:$A$521),"")</f>
        <v>Nicolas</v>
      </c>
      <c r="B2647" t="s">
        <v>2905</v>
      </c>
      <c r="C2647" t="s">
        <v>2906</v>
      </c>
      <c r="D2647" t="s">
        <v>347</v>
      </c>
      <c r="E2647" t="s">
        <v>7</v>
      </c>
      <c r="F2647" t="s">
        <v>2936</v>
      </c>
      <c r="G2647" t="s">
        <v>2936</v>
      </c>
      <c r="H2647" s="2">
        <v>45726</v>
      </c>
      <c r="I2647" s="2">
        <v>45756</v>
      </c>
      <c r="J2647" t="s">
        <v>20</v>
      </c>
      <c r="K2647" s="21">
        <v>17133</v>
      </c>
      <c r="L2647" s="21">
        <v>17133</v>
      </c>
      <c r="M2647">
        <v>0</v>
      </c>
      <c r="N2647" s="21">
        <v>0</v>
      </c>
    </row>
    <row r="2648" spans="1:14">
      <c r="A2648" t="str">
        <f>IFERROR(_xlfn.XLOOKUP(B2648,Cuentas!$C$1:$C$521,Cuentas!$A$1:$A$521),"")</f>
        <v>Nicolas</v>
      </c>
      <c r="B2648" t="s">
        <v>2905</v>
      </c>
      <c r="C2648" t="s">
        <v>2906</v>
      </c>
      <c r="D2648" t="s">
        <v>347</v>
      </c>
      <c r="E2648" t="s">
        <v>7</v>
      </c>
      <c r="F2648" t="s">
        <v>2937</v>
      </c>
      <c r="G2648" t="s">
        <v>2937</v>
      </c>
      <c r="H2648" s="2">
        <v>45727</v>
      </c>
      <c r="I2648" s="2">
        <v>45757</v>
      </c>
      <c r="J2648" t="s">
        <v>20</v>
      </c>
      <c r="K2648" s="21">
        <v>5563.5</v>
      </c>
      <c r="L2648" s="21">
        <v>5563.5</v>
      </c>
      <c r="M2648">
        <v>0</v>
      </c>
      <c r="N2648" s="21">
        <v>0</v>
      </c>
    </row>
    <row r="2649" spans="1:14">
      <c r="A2649" t="str">
        <f>IFERROR(_xlfn.XLOOKUP(B2649,Cuentas!$C$1:$C$521,Cuentas!$A$1:$A$521),"")</f>
        <v>Nicolas</v>
      </c>
      <c r="B2649" t="s">
        <v>2905</v>
      </c>
      <c r="C2649" t="s">
        <v>2906</v>
      </c>
      <c r="D2649" t="s">
        <v>347</v>
      </c>
      <c r="E2649" t="s">
        <v>7</v>
      </c>
      <c r="F2649" t="s">
        <v>2938</v>
      </c>
      <c r="G2649" t="s">
        <v>2938</v>
      </c>
      <c r="H2649" s="2">
        <v>45727</v>
      </c>
      <c r="I2649" s="2">
        <v>45757</v>
      </c>
      <c r="J2649" t="s">
        <v>20</v>
      </c>
      <c r="K2649" s="21">
        <v>7755.25</v>
      </c>
      <c r="L2649" s="21">
        <v>7755.25</v>
      </c>
      <c r="M2649">
        <v>0</v>
      </c>
      <c r="N2649" s="21">
        <v>0</v>
      </c>
    </row>
    <row r="2650" spans="1:14">
      <c r="A2650" t="str">
        <f>IFERROR(_xlfn.XLOOKUP(B2650,Cuentas!$C$1:$C$521,Cuentas!$A$1:$A$521),"")</f>
        <v>Nicolas</v>
      </c>
      <c r="B2650" t="s">
        <v>2905</v>
      </c>
      <c r="C2650" t="s">
        <v>2906</v>
      </c>
      <c r="D2650" t="s">
        <v>347</v>
      </c>
      <c r="E2650" t="s">
        <v>7</v>
      </c>
      <c r="F2650" t="s">
        <v>2939</v>
      </c>
      <c r="G2650" t="s">
        <v>2939</v>
      </c>
      <c r="H2650" s="2">
        <v>45730</v>
      </c>
      <c r="I2650" s="2">
        <v>45760</v>
      </c>
      <c r="J2650" t="s">
        <v>20</v>
      </c>
      <c r="K2650" s="21">
        <v>1710</v>
      </c>
      <c r="L2650" s="21">
        <v>1710</v>
      </c>
      <c r="M2650">
        <v>0</v>
      </c>
      <c r="N2650" s="21">
        <v>0</v>
      </c>
    </row>
    <row r="2651" spans="1:14">
      <c r="A2651" t="str">
        <f>IFERROR(_xlfn.XLOOKUP(B2651,Cuentas!$C$1:$C$521,Cuentas!$A$1:$A$521),"")</f>
        <v>Yuldor</v>
      </c>
      <c r="B2651" t="s">
        <v>2940</v>
      </c>
      <c r="C2651" t="s">
        <v>2941</v>
      </c>
      <c r="D2651" t="s">
        <v>347</v>
      </c>
      <c r="E2651" t="s">
        <v>3139</v>
      </c>
      <c r="F2651" t="s">
        <v>19</v>
      </c>
      <c r="G2651" t="s">
        <v>19</v>
      </c>
      <c r="I2651" s="2">
        <v>45322</v>
      </c>
      <c r="J2651" t="s">
        <v>20</v>
      </c>
      <c r="K2651" s="21">
        <v>-0.01</v>
      </c>
      <c r="L2651" s="21">
        <v>-0.01</v>
      </c>
      <c r="M2651">
        <v>0</v>
      </c>
      <c r="N2651" s="21">
        <v>-0.01</v>
      </c>
    </row>
    <row r="2652" spans="1:14">
      <c r="A2652" t="str">
        <f>IFERROR(_xlfn.XLOOKUP(B2652,Cuentas!$C$1:$C$521,Cuentas!$A$1:$A$521),"")</f>
        <v>Yuldor</v>
      </c>
      <c r="B2652" t="s">
        <v>2940</v>
      </c>
      <c r="C2652" t="s">
        <v>2941</v>
      </c>
      <c r="D2652" t="s">
        <v>347</v>
      </c>
      <c r="E2652" t="s">
        <v>3139</v>
      </c>
      <c r="F2652" t="s">
        <v>19</v>
      </c>
      <c r="G2652" t="s">
        <v>19</v>
      </c>
      <c r="I2652" s="2">
        <v>45323</v>
      </c>
      <c r="J2652" t="s">
        <v>20</v>
      </c>
      <c r="K2652" s="21">
        <v>-0.01</v>
      </c>
      <c r="L2652" s="21">
        <v>-0.01</v>
      </c>
      <c r="M2652">
        <v>0</v>
      </c>
      <c r="N2652" s="21">
        <v>-0.01</v>
      </c>
    </row>
    <row r="2653" spans="1:14">
      <c r="A2653" t="str">
        <f>IFERROR(_xlfn.XLOOKUP(B2653,Cuentas!$C$1:$C$521,Cuentas!$A$1:$A$521),"")</f>
        <v>Alexandra</v>
      </c>
      <c r="B2653" t="s">
        <v>2942</v>
      </c>
      <c r="C2653" t="s">
        <v>2943</v>
      </c>
      <c r="D2653" t="s">
        <v>213</v>
      </c>
      <c r="E2653" t="s">
        <v>3139</v>
      </c>
      <c r="F2653" t="s">
        <v>19</v>
      </c>
      <c r="G2653" t="s">
        <v>19</v>
      </c>
      <c r="I2653" s="2">
        <v>45413</v>
      </c>
      <c r="J2653" t="s">
        <v>20</v>
      </c>
      <c r="K2653" s="21">
        <v>-234.36</v>
      </c>
      <c r="L2653" s="21">
        <v>-234.36</v>
      </c>
      <c r="M2653">
        <v>0</v>
      </c>
      <c r="N2653" s="21">
        <v>-234.36</v>
      </c>
    </row>
    <row r="2654" spans="1:14">
      <c r="A2654" t="str">
        <f>IFERROR(_xlfn.XLOOKUP(B2654,Cuentas!$C$1:$C$521,Cuentas!$A$1:$A$521),"")</f>
        <v>Alexandra</v>
      </c>
      <c r="B2654" t="s">
        <v>2942</v>
      </c>
      <c r="C2654" t="s">
        <v>2943</v>
      </c>
      <c r="D2654" t="s">
        <v>213</v>
      </c>
      <c r="E2654" t="s">
        <v>5502</v>
      </c>
      <c r="F2654" t="s">
        <v>2944</v>
      </c>
      <c r="G2654" t="s">
        <v>19</v>
      </c>
      <c r="I2654" s="2">
        <v>45443</v>
      </c>
      <c r="J2654" t="s">
        <v>20</v>
      </c>
      <c r="K2654" s="21">
        <v>-17.64</v>
      </c>
      <c r="L2654" s="21">
        <v>-17.64</v>
      </c>
      <c r="M2654">
        <v>0</v>
      </c>
      <c r="N2654" s="21">
        <v>-17.64</v>
      </c>
    </row>
    <row r="2655" spans="1:14">
      <c r="A2655" t="str">
        <f>IFERROR(_xlfn.XLOOKUP(B2655,Cuentas!$C$1:$C$521,Cuentas!$A$1:$A$521),"")</f>
        <v>Nicolas</v>
      </c>
      <c r="B2655" t="s">
        <v>2945</v>
      </c>
      <c r="C2655" t="s">
        <v>2946</v>
      </c>
      <c r="D2655" t="s">
        <v>213</v>
      </c>
      <c r="E2655" t="s">
        <v>7</v>
      </c>
      <c r="F2655" t="s">
        <v>2947</v>
      </c>
      <c r="G2655" t="s">
        <v>2947</v>
      </c>
      <c r="H2655" s="2">
        <v>45656</v>
      </c>
      <c r="I2655" s="2">
        <v>45656</v>
      </c>
      <c r="J2655" t="s">
        <v>20</v>
      </c>
      <c r="K2655" s="21">
        <v>711.06</v>
      </c>
      <c r="L2655" s="21">
        <v>711.06</v>
      </c>
      <c r="M2655">
        <v>0</v>
      </c>
      <c r="N2655" s="21">
        <v>711.06</v>
      </c>
    </row>
    <row r="2656" spans="1:14">
      <c r="A2656" t="str">
        <f>IFERROR(_xlfn.XLOOKUP(B2656,Cuentas!$C$1:$C$521,Cuentas!$A$1:$A$521),"")</f>
        <v>Yuldor</v>
      </c>
      <c r="B2656" t="s">
        <v>2948</v>
      </c>
      <c r="C2656" t="s">
        <v>2949</v>
      </c>
      <c r="D2656" t="s">
        <v>213</v>
      </c>
      <c r="E2656" t="s">
        <v>7</v>
      </c>
      <c r="F2656" t="s">
        <v>2950</v>
      </c>
      <c r="G2656" t="s">
        <v>2950</v>
      </c>
      <c r="H2656" s="2">
        <v>45590</v>
      </c>
      <c r="I2656" s="2">
        <v>45590</v>
      </c>
      <c r="J2656" t="s">
        <v>20</v>
      </c>
      <c r="K2656" s="21">
        <v>2310</v>
      </c>
      <c r="L2656" s="21">
        <v>1155</v>
      </c>
      <c r="M2656">
        <v>0</v>
      </c>
      <c r="N2656" s="21">
        <v>1155</v>
      </c>
    </row>
    <row r="2657" spans="1:14">
      <c r="A2657" t="str">
        <f>IFERROR(_xlfn.XLOOKUP(B2657,Cuentas!$C$1:$C$521,Cuentas!$A$1:$A$521),"")</f>
        <v>Yuldor</v>
      </c>
      <c r="B2657" t="s">
        <v>2948</v>
      </c>
      <c r="C2657" t="s">
        <v>2949</v>
      </c>
      <c r="D2657" t="s">
        <v>213</v>
      </c>
      <c r="E2657" t="s">
        <v>5502</v>
      </c>
      <c r="F2657" t="s">
        <v>2951</v>
      </c>
      <c r="G2657" t="s">
        <v>2950</v>
      </c>
      <c r="I2657" s="2">
        <v>45736</v>
      </c>
      <c r="J2657" t="s">
        <v>20</v>
      </c>
      <c r="K2657" s="21">
        <v>-1155</v>
      </c>
      <c r="L2657" s="21" t="s">
        <v>86</v>
      </c>
      <c r="M2657">
        <v>12</v>
      </c>
      <c r="N2657" s="21" t="s">
        <v>86</v>
      </c>
    </row>
    <row r="2658" spans="1:14">
      <c r="A2658" t="str">
        <f>IFERROR(_xlfn.XLOOKUP(B2658,Cuentas!$C$1:$C$521,Cuentas!$A$1:$A$521),"")</f>
        <v>Alexandra</v>
      </c>
      <c r="B2658" t="s">
        <v>2952</v>
      </c>
      <c r="C2658" t="s">
        <v>2953</v>
      </c>
      <c r="D2658" t="s">
        <v>16</v>
      </c>
      <c r="E2658" t="s">
        <v>7</v>
      </c>
      <c r="F2658" t="s">
        <v>2954</v>
      </c>
      <c r="G2658" t="s">
        <v>2954</v>
      </c>
      <c r="H2658" s="2">
        <v>45698</v>
      </c>
      <c r="I2658" s="2">
        <v>45728</v>
      </c>
      <c r="J2658" t="s">
        <v>20</v>
      </c>
      <c r="K2658" s="21">
        <v>16380</v>
      </c>
      <c r="L2658" s="21">
        <v>16380</v>
      </c>
      <c r="M2658">
        <v>11</v>
      </c>
      <c r="N2658" s="21">
        <v>16380</v>
      </c>
    </row>
    <row r="2659" spans="1:14">
      <c r="A2659" t="str">
        <f>IFERROR(_xlfn.XLOOKUP(B2659,Cuentas!$C$1:$C$521,Cuentas!$A$1:$A$521),"")</f>
        <v>Alexandra</v>
      </c>
      <c r="B2659" t="s">
        <v>2952</v>
      </c>
      <c r="C2659" t="s">
        <v>2953</v>
      </c>
      <c r="D2659" t="s">
        <v>16</v>
      </c>
      <c r="E2659" t="s">
        <v>7</v>
      </c>
      <c r="F2659" t="s">
        <v>2955</v>
      </c>
      <c r="G2659" t="s">
        <v>2955</v>
      </c>
      <c r="H2659" s="2">
        <v>45698</v>
      </c>
      <c r="I2659" s="2">
        <v>45728</v>
      </c>
      <c r="J2659" t="s">
        <v>20</v>
      </c>
      <c r="K2659" s="21">
        <v>12390</v>
      </c>
      <c r="L2659" s="21">
        <v>12390</v>
      </c>
      <c r="M2659">
        <v>11</v>
      </c>
      <c r="N2659" s="21">
        <v>12390</v>
      </c>
    </row>
    <row r="2660" spans="1:14">
      <c r="A2660" t="str">
        <f>IFERROR(_xlfn.XLOOKUP(B2660,Cuentas!$C$1:$C$521,Cuentas!$A$1:$A$521),"")</f>
        <v>Alexandra</v>
      </c>
      <c r="B2660" t="s">
        <v>2952</v>
      </c>
      <c r="C2660" t="s">
        <v>2953</v>
      </c>
      <c r="D2660" t="s">
        <v>16</v>
      </c>
      <c r="E2660" t="s">
        <v>7</v>
      </c>
      <c r="F2660" t="s">
        <v>2956</v>
      </c>
      <c r="G2660" t="s">
        <v>2956</v>
      </c>
      <c r="H2660" s="2">
        <v>45698</v>
      </c>
      <c r="I2660" s="2">
        <v>45728</v>
      </c>
      <c r="J2660" t="s">
        <v>20</v>
      </c>
      <c r="K2660" s="21">
        <v>15960</v>
      </c>
      <c r="L2660" s="21">
        <v>15960</v>
      </c>
      <c r="M2660">
        <v>11</v>
      </c>
      <c r="N2660" s="21">
        <v>15960</v>
      </c>
    </row>
    <row r="2661" spans="1:14">
      <c r="A2661" t="str">
        <f>IFERROR(_xlfn.XLOOKUP(B2661,Cuentas!$C$1:$C$521,Cuentas!$A$1:$A$521),"")</f>
        <v>Alexandra</v>
      </c>
      <c r="B2661" t="s">
        <v>2952</v>
      </c>
      <c r="C2661" t="s">
        <v>2953</v>
      </c>
      <c r="D2661" t="s">
        <v>16</v>
      </c>
      <c r="E2661" t="s">
        <v>7</v>
      </c>
      <c r="F2661" t="s">
        <v>2957</v>
      </c>
      <c r="G2661" t="s">
        <v>2957</v>
      </c>
      <c r="H2661" s="2">
        <v>45698</v>
      </c>
      <c r="I2661" s="2">
        <v>45728</v>
      </c>
      <c r="J2661" t="s">
        <v>20</v>
      </c>
      <c r="K2661" s="21">
        <v>3780</v>
      </c>
      <c r="L2661" s="21">
        <v>3780</v>
      </c>
      <c r="M2661">
        <v>11</v>
      </c>
      <c r="N2661" s="21">
        <v>3780</v>
      </c>
    </row>
    <row r="2662" spans="1:14">
      <c r="A2662" t="str">
        <f>IFERROR(_xlfn.XLOOKUP(B2662,Cuentas!$C$1:$C$521,Cuentas!$A$1:$A$521),"")</f>
        <v>Alexandra</v>
      </c>
      <c r="B2662" t="s">
        <v>2952</v>
      </c>
      <c r="C2662" t="s">
        <v>2953</v>
      </c>
      <c r="D2662" t="s">
        <v>16</v>
      </c>
      <c r="E2662" t="s">
        <v>7</v>
      </c>
      <c r="F2662" t="s">
        <v>2958</v>
      </c>
      <c r="G2662" t="s">
        <v>2958</v>
      </c>
      <c r="H2662" s="2">
        <v>45698</v>
      </c>
      <c r="I2662" s="2">
        <v>45728</v>
      </c>
      <c r="J2662" t="s">
        <v>20</v>
      </c>
      <c r="K2662" s="21">
        <v>9240</v>
      </c>
      <c r="L2662" s="21">
        <v>9240</v>
      </c>
      <c r="M2662">
        <v>11</v>
      </c>
      <c r="N2662" s="21">
        <v>9240</v>
      </c>
    </row>
    <row r="2663" spans="1:14">
      <c r="A2663" t="str">
        <f>IFERROR(_xlfn.XLOOKUP(B2663,Cuentas!$C$1:$C$521,Cuentas!$A$1:$A$521),"")</f>
        <v>Alexandra</v>
      </c>
      <c r="B2663" t="s">
        <v>2952</v>
      </c>
      <c r="C2663" t="s">
        <v>2953</v>
      </c>
      <c r="D2663" t="s">
        <v>16</v>
      </c>
      <c r="E2663" t="s">
        <v>7</v>
      </c>
      <c r="F2663" t="s">
        <v>2959</v>
      </c>
      <c r="G2663" t="s">
        <v>2959</v>
      </c>
      <c r="H2663" s="2">
        <v>45698</v>
      </c>
      <c r="I2663" s="2">
        <v>45728</v>
      </c>
      <c r="J2663" t="s">
        <v>20</v>
      </c>
      <c r="K2663" s="21">
        <v>7980</v>
      </c>
      <c r="L2663" s="21">
        <v>7980</v>
      </c>
      <c r="M2663">
        <v>11</v>
      </c>
      <c r="N2663" s="21">
        <v>7980</v>
      </c>
    </row>
    <row r="2664" spans="1:14">
      <c r="A2664" t="str">
        <f>IFERROR(_xlfn.XLOOKUP(B2664,Cuentas!$C$1:$C$521,Cuentas!$A$1:$A$521),"")</f>
        <v>Alexandra</v>
      </c>
      <c r="B2664" t="s">
        <v>2952</v>
      </c>
      <c r="C2664" t="s">
        <v>2953</v>
      </c>
      <c r="D2664" t="s">
        <v>16</v>
      </c>
      <c r="E2664" t="s">
        <v>7</v>
      </c>
      <c r="F2664" t="s">
        <v>2960</v>
      </c>
      <c r="G2664" t="s">
        <v>2960</v>
      </c>
      <c r="H2664" s="2">
        <v>45698</v>
      </c>
      <c r="I2664" s="2">
        <v>45728</v>
      </c>
      <c r="J2664" t="s">
        <v>20</v>
      </c>
      <c r="K2664" s="21">
        <v>7560</v>
      </c>
      <c r="L2664" s="21">
        <v>7560</v>
      </c>
      <c r="M2664">
        <v>11</v>
      </c>
      <c r="N2664" s="21">
        <v>7560</v>
      </c>
    </row>
    <row r="2665" spans="1:14">
      <c r="A2665" t="str">
        <f>IFERROR(_xlfn.XLOOKUP(B2665,Cuentas!$C$1:$C$521,Cuentas!$A$1:$A$521),"")</f>
        <v>Alexandra</v>
      </c>
      <c r="B2665" t="s">
        <v>2952</v>
      </c>
      <c r="C2665" t="s">
        <v>2953</v>
      </c>
      <c r="D2665" t="s">
        <v>16</v>
      </c>
      <c r="E2665" t="s">
        <v>7</v>
      </c>
      <c r="F2665" t="s">
        <v>2961</v>
      </c>
      <c r="G2665" t="s">
        <v>2961</v>
      </c>
      <c r="H2665" s="2">
        <v>45698</v>
      </c>
      <c r="I2665" s="2">
        <v>45728</v>
      </c>
      <c r="J2665" t="s">
        <v>20</v>
      </c>
      <c r="K2665" s="21">
        <v>9030</v>
      </c>
      <c r="L2665" s="21">
        <v>9030</v>
      </c>
      <c r="M2665">
        <v>11</v>
      </c>
      <c r="N2665" s="21">
        <v>9030</v>
      </c>
    </row>
    <row r="2666" spans="1:14">
      <c r="A2666" t="str">
        <f>IFERROR(_xlfn.XLOOKUP(B2666,Cuentas!$C$1:$C$521,Cuentas!$A$1:$A$521),"")</f>
        <v>Alexandra</v>
      </c>
      <c r="B2666" t="s">
        <v>2952</v>
      </c>
      <c r="C2666" t="s">
        <v>2953</v>
      </c>
      <c r="D2666" t="s">
        <v>16</v>
      </c>
      <c r="E2666" t="s">
        <v>7</v>
      </c>
      <c r="F2666" t="s">
        <v>2962</v>
      </c>
      <c r="G2666" t="s">
        <v>2962</v>
      </c>
      <c r="H2666" s="2">
        <v>45698</v>
      </c>
      <c r="I2666" s="2">
        <v>45728</v>
      </c>
      <c r="J2666" t="s">
        <v>20</v>
      </c>
      <c r="K2666" s="21">
        <v>2520</v>
      </c>
      <c r="L2666" s="21">
        <v>2520</v>
      </c>
      <c r="M2666">
        <v>11</v>
      </c>
      <c r="N2666" s="21">
        <v>2520</v>
      </c>
    </row>
    <row r="2667" spans="1:14">
      <c r="A2667" t="str">
        <f>IFERROR(_xlfn.XLOOKUP(B2667,Cuentas!$C$1:$C$521,Cuentas!$A$1:$A$521),"")</f>
        <v>Alexandra</v>
      </c>
      <c r="B2667" t="s">
        <v>2952</v>
      </c>
      <c r="C2667" t="s">
        <v>2953</v>
      </c>
      <c r="D2667" t="s">
        <v>16</v>
      </c>
      <c r="E2667" t="s">
        <v>7</v>
      </c>
      <c r="F2667" t="s">
        <v>2963</v>
      </c>
      <c r="G2667" t="s">
        <v>2963</v>
      </c>
      <c r="H2667" s="2">
        <v>45722</v>
      </c>
      <c r="I2667" s="2">
        <v>45752</v>
      </c>
      <c r="J2667" t="s">
        <v>20</v>
      </c>
      <c r="K2667" s="21">
        <v>477</v>
      </c>
      <c r="L2667" s="21">
        <v>477</v>
      </c>
      <c r="M2667">
        <v>0</v>
      </c>
      <c r="N2667" s="21">
        <v>0</v>
      </c>
    </row>
    <row r="2668" spans="1:14">
      <c r="A2668" t="str">
        <f>IFERROR(_xlfn.XLOOKUP(B2668,Cuentas!$C$1:$C$521,Cuentas!$A$1:$A$521),"")</f>
        <v>Alexandra</v>
      </c>
      <c r="B2668" t="s">
        <v>2952</v>
      </c>
      <c r="C2668" t="s">
        <v>2953</v>
      </c>
      <c r="D2668" t="s">
        <v>16</v>
      </c>
      <c r="E2668" t="s">
        <v>7</v>
      </c>
      <c r="F2668" t="s">
        <v>2964</v>
      </c>
      <c r="G2668" t="s">
        <v>2964</v>
      </c>
      <c r="H2668" s="2">
        <v>45726</v>
      </c>
      <c r="I2668" s="2">
        <v>45756</v>
      </c>
      <c r="J2668" t="s">
        <v>20</v>
      </c>
      <c r="K2668" s="21">
        <v>795</v>
      </c>
      <c r="L2668" s="21">
        <v>795</v>
      </c>
      <c r="M2668">
        <v>0</v>
      </c>
      <c r="N2668" s="21">
        <v>0</v>
      </c>
    </row>
    <row r="2669" spans="1:14">
      <c r="A2669" t="str">
        <f>IFERROR(_xlfn.XLOOKUP(B2669,Cuentas!$C$1:$C$521,Cuentas!$A$1:$A$521),"")</f>
        <v>Alexandra</v>
      </c>
      <c r="B2669" t="s">
        <v>2952</v>
      </c>
      <c r="C2669" t="s">
        <v>2953</v>
      </c>
      <c r="D2669" t="s">
        <v>16</v>
      </c>
      <c r="E2669" t="s">
        <v>7</v>
      </c>
      <c r="F2669" t="s">
        <v>2965</v>
      </c>
      <c r="G2669" t="s">
        <v>2965</v>
      </c>
      <c r="H2669" s="2">
        <v>45726</v>
      </c>
      <c r="I2669" s="2">
        <v>45756</v>
      </c>
      <c r="J2669" t="s">
        <v>20</v>
      </c>
      <c r="K2669" s="21">
        <v>318</v>
      </c>
      <c r="L2669" s="21">
        <v>318</v>
      </c>
      <c r="M2669">
        <v>0</v>
      </c>
      <c r="N2669" s="21">
        <v>0</v>
      </c>
    </row>
    <row r="2670" spans="1:14">
      <c r="A2670" t="str">
        <f>IFERROR(_xlfn.XLOOKUP(B2670,Cuentas!$C$1:$C$521,Cuentas!$A$1:$A$521),"")</f>
        <v>Alexandra</v>
      </c>
      <c r="B2670" t="s">
        <v>2952</v>
      </c>
      <c r="C2670" t="s">
        <v>2953</v>
      </c>
      <c r="D2670" t="s">
        <v>16</v>
      </c>
      <c r="E2670" t="s">
        <v>7</v>
      </c>
      <c r="F2670" t="s">
        <v>2966</v>
      </c>
      <c r="G2670" t="s">
        <v>2966</v>
      </c>
      <c r="H2670" s="2">
        <v>45726</v>
      </c>
      <c r="I2670" s="2">
        <v>45756</v>
      </c>
      <c r="J2670" t="s">
        <v>20</v>
      </c>
      <c r="K2670" s="21">
        <v>1272</v>
      </c>
      <c r="L2670" s="21">
        <v>1272</v>
      </c>
      <c r="M2670">
        <v>0</v>
      </c>
      <c r="N2670" s="21">
        <v>0</v>
      </c>
    </row>
    <row r="2671" spans="1:14">
      <c r="A2671" t="str">
        <f>IFERROR(_xlfn.XLOOKUP(B2671,Cuentas!$C$1:$C$521,Cuentas!$A$1:$A$521),"")</f>
        <v>Alexandra</v>
      </c>
      <c r="B2671" t="s">
        <v>2952</v>
      </c>
      <c r="C2671" t="s">
        <v>2953</v>
      </c>
      <c r="D2671" t="s">
        <v>16</v>
      </c>
      <c r="E2671" t="s">
        <v>7</v>
      </c>
      <c r="F2671" t="s">
        <v>2967</v>
      </c>
      <c r="G2671" t="s">
        <v>2967</v>
      </c>
      <c r="H2671" s="2">
        <v>45726</v>
      </c>
      <c r="I2671" s="2">
        <v>45756</v>
      </c>
      <c r="J2671" t="s">
        <v>20</v>
      </c>
      <c r="K2671" s="21">
        <v>318</v>
      </c>
      <c r="L2671" s="21">
        <v>318</v>
      </c>
      <c r="M2671">
        <v>0</v>
      </c>
      <c r="N2671" s="21">
        <v>0</v>
      </c>
    </row>
    <row r="2672" spans="1:14">
      <c r="A2672" t="str">
        <f>IFERROR(_xlfn.XLOOKUP(B2672,Cuentas!$C$1:$C$521,Cuentas!$A$1:$A$521),"")</f>
        <v>Alexandra</v>
      </c>
      <c r="B2672" t="s">
        <v>2952</v>
      </c>
      <c r="C2672" t="s">
        <v>2953</v>
      </c>
      <c r="D2672" t="s">
        <v>16</v>
      </c>
      <c r="E2672" t="s">
        <v>7</v>
      </c>
      <c r="F2672" t="s">
        <v>2968</v>
      </c>
      <c r="G2672" t="s">
        <v>2968</v>
      </c>
      <c r="H2672" s="2">
        <v>45726</v>
      </c>
      <c r="I2672" s="2">
        <v>45756</v>
      </c>
      <c r="J2672" t="s">
        <v>20</v>
      </c>
      <c r="K2672" s="21">
        <v>636</v>
      </c>
      <c r="L2672" s="21">
        <v>636</v>
      </c>
      <c r="M2672">
        <v>0</v>
      </c>
      <c r="N2672" s="21">
        <v>0</v>
      </c>
    </row>
    <row r="2673" spans="1:14">
      <c r="A2673" t="str">
        <f>IFERROR(_xlfn.XLOOKUP(B2673,Cuentas!$C$1:$C$521,Cuentas!$A$1:$A$521),"")</f>
        <v>Alexandra</v>
      </c>
      <c r="B2673" t="s">
        <v>2952</v>
      </c>
      <c r="C2673" t="s">
        <v>2953</v>
      </c>
      <c r="D2673" t="s">
        <v>16</v>
      </c>
      <c r="E2673" t="s">
        <v>7</v>
      </c>
      <c r="F2673" t="s">
        <v>2969</v>
      </c>
      <c r="G2673" t="s">
        <v>2969</v>
      </c>
      <c r="H2673" s="2">
        <v>45726</v>
      </c>
      <c r="I2673" s="2">
        <v>45756</v>
      </c>
      <c r="J2673" t="s">
        <v>20</v>
      </c>
      <c r="K2673" s="21">
        <v>1908</v>
      </c>
      <c r="L2673" s="21">
        <v>1908</v>
      </c>
      <c r="M2673">
        <v>0</v>
      </c>
      <c r="N2673" s="21">
        <v>0</v>
      </c>
    </row>
    <row r="2674" spans="1:14">
      <c r="A2674" t="str">
        <f>IFERROR(_xlfn.XLOOKUP(B2674,Cuentas!$C$1:$C$521,Cuentas!$A$1:$A$521),"")</f>
        <v>Alexandra</v>
      </c>
      <c r="B2674" t="s">
        <v>2952</v>
      </c>
      <c r="C2674" t="s">
        <v>2953</v>
      </c>
      <c r="D2674" t="s">
        <v>16</v>
      </c>
      <c r="E2674" t="s">
        <v>7</v>
      </c>
      <c r="F2674" t="s">
        <v>2970</v>
      </c>
      <c r="G2674" t="s">
        <v>2970</v>
      </c>
      <c r="H2674" s="2">
        <v>45727</v>
      </c>
      <c r="I2674" s="2">
        <v>45757</v>
      </c>
      <c r="J2674" t="s">
        <v>20</v>
      </c>
      <c r="K2674" s="21">
        <v>477</v>
      </c>
      <c r="L2674" s="21">
        <v>477</v>
      </c>
      <c r="M2674">
        <v>0</v>
      </c>
      <c r="N2674" s="21">
        <v>0</v>
      </c>
    </row>
    <row r="2675" spans="1:14">
      <c r="A2675" t="str">
        <f>IFERROR(_xlfn.XLOOKUP(B2675,Cuentas!$C$1:$C$521,Cuentas!$A$1:$A$521),"")</f>
        <v>Alexandra</v>
      </c>
      <c r="B2675" t="s">
        <v>2952</v>
      </c>
      <c r="C2675" t="s">
        <v>2953</v>
      </c>
      <c r="D2675" t="s">
        <v>16</v>
      </c>
      <c r="E2675" t="s">
        <v>7</v>
      </c>
      <c r="F2675" t="s">
        <v>2971</v>
      </c>
      <c r="G2675" t="s">
        <v>2971</v>
      </c>
      <c r="H2675" s="2">
        <v>45727</v>
      </c>
      <c r="I2675" s="2">
        <v>45757</v>
      </c>
      <c r="J2675" t="s">
        <v>20</v>
      </c>
      <c r="K2675" s="21">
        <v>318</v>
      </c>
      <c r="L2675" s="21">
        <v>318</v>
      </c>
      <c r="M2675">
        <v>0</v>
      </c>
      <c r="N2675" s="21">
        <v>0</v>
      </c>
    </row>
    <row r="2676" spans="1:14">
      <c r="A2676" t="str">
        <f>IFERROR(_xlfn.XLOOKUP(B2676,Cuentas!$C$1:$C$521,Cuentas!$A$1:$A$521),"")</f>
        <v>Alexandra</v>
      </c>
      <c r="B2676" t="s">
        <v>2952</v>
      </c>
      <c r="C2676" t="s">
        <v>2953</v>
      </c>
      <c r="D2676" t="s">
        <v>16</v>
      </c>
      <c r="E2676" t="s">
        <v>7</v>
      </c>
      <c r="F2676" t="s">
        <v>2972</v>
      </c>
      <c r="G2676" t="s">
        <v>2972</v>
      </c>
      <c r="H2676" s="2">
        <v>45727</v>
      </c>
      <c r="I2676" s="2">
        <v>45757</v>
      </c>
      <c r="J2676" t="s">
        <v>20</v>
      </c>
      <c r="K2676" s="21">
        <v>795</v>
      </c>
      <c r="L2676" s="21">
        <v>795</v>
      </c>
      <c r="M2676">
        <v>0</v>
      </c>
      <c r="N2676" s="21">
        <v>0</v>
      </c>
    </row>
    <row r="2677" spans="1:14">
      <c r="A2677" t="str">
        <f>IFERROR(_xlfn.XLOOKUP(B2677,Cuentas!$C$1:$C$521,Cuentas!$A$1:$A$521),"")</f>
        <v>Alexandra</v>
      </c>
      <c r="B2677" t="s">
        <v>2952</v>
      </c>
      <c r="C2677" t="s">
        <v>2953</v>
      </c>
      <c r="D2677" t="s">
        <v>16</v>
      </c>
      <c r="E2677" t="s">
        <v>7</v>
      </c>
      <c r="F2677" t="s">
        <v>2973</v>
      </c>
      <c r="G2677" t="s">
        <v>2973</v>
      </c>
      <c r="H2677" s="2">
        <v>45727</v>
      </c>
      <c r="I2677" s="2">
        <v>45757</v>
      </c>
      <c r="J2677" t="s">
        <v>20</v>
      </c>
      <c r="K2677" s="21">
        <v>477</v>
      </c>
      <c r="L2677" s="21">
        <v>477</v>
      </c>
      <c r="M2677">
        <v>0</v>
      </c>
      <c r="N2677" s="21">
        <v>0</v>
      </c>
    </row>
    <row r="2678" spans="1:14">
      <c r="A2678" t="str">
        <f>IFERROR(_xlfn.XLOOKUP(B2678,Cuentas!$C$1:$C$521,Cuentas!$A$1:$A$521),"")</f>
        <v>Alexandra</v>
      </c>
      <c r="B2678" t="s">
        <v>2952</v>
      </c>
      <c r="C2678" t="s">
        <v>2953</v>
      </c>
      <c r="D2678" t="s">
        <v>16</v>
      </c>
      <c r="E2678" t="s">
        <v>7</v>
      </c>
      <c r="F2678" t="s">
        <v>2974</v>
      </c>
      <c r="G2678" t="s">
        <v>2974</v>
      </c>
      <c r="H2678" s="2">
        <v>45727</v>
      </c>
      <c r="I2678" s="2">
        <v>45757</v>
      </c>
      <c r="J2678" t="s">
        <v>20</v>
      </c>
      <c r="K2678" s="21">
        <v>477</v>
      </c>
      <c r="L2678" s="21">
        <v>477</v>
      </c>
      <c r="M2678">
        <v>0</v>
      </c>
      <c r="N2678" s="21">
        <v>0</v>
      </c>
    </row>
    <row r="2679" spans="1:14">
      <c r="A2679" t="str">
        <f>IFERROR(_xlfn.XLOOKUP(B2679,Cuentas!$C$1:$C$521,Cuentas!$A$1:$A$521),"")</f>
        <v>Alexandra</v>
      </c>
      <c r="B2679" t="s">
        <v>2952</v>
      </c>
      <c r="C2679" t="s">
        <v>2953</v>
      </c>
      <c r="D2679" t="s">
        <v>16</v>
      </c>
      <c r="E2679" t="s">
        <v>7</v>
      </c>
      <c r="F2679" t="s">
        <v>2975</v>
      </c>
      <c r="G2679" t="s">
        <v>2975</v>
      </c>
      <c r="H2679" s="2">
        <v>45727</v>
      </c>
      <c r="I2679" s="2">
        <v>45757</v>
      </c>
      <c r="J2679" t="s">
        <v>20</v>
      </c>
      <c r="K2679" s="21">
        <v>1113</v>
      </c>
      <c r="L2679" s="21">
        <v>1113</v>
      </c>
      <c r="M2679">
        <v>0</v>
      </c>
      <c r="N2679" s="21">
        <v>0</v>
      </c>
    </row>
    <row r="2680" spans="1:14">
      <c r="A2680" t="str">
        <f>IFERROR(_xlfn.XLOOKUP(B2680,Cuentas!$C$1:$C$521,Cuentas!$A$1:$A$521),"")</f>
        <v>Alexandra</v>
      </c>
      <c r="B2680" t="s">
        <v>2952</v>
      </c>
      <c r="C2680" t="s">
        <v>2953</v>
      </c>
      <c r="D2680" t="s">
        <v>16</v>
      </c>
      <c r="E2680" t="s">
        <v>7</v>
      </c>
      <c r="F2680" t="s">
        <v>2976</v>
      </c>
      <c r="G2680" t="s">
        <v>2976</v>
      </c>
      <c r="H2680" s="2">
        <v>45727</v>
      </c>
      <c r="I2680" s="2">
        <v>45757</v>
      </c>
      <c r="J2680" t="s">
        <v>20</v>
      </c>
      <c r="K2680" s="21">
        <v>1431</v>
      </c>
      <c r="L2680" s="21">
        <v>1431</v>
      </c>
      <c r="M2680">
        <v>0</v>
      </c>
      <c r="N2680" s="21">
        <v>0</v>
      </c>
    </row>
    <row r="2681" spans="1:14">
      <c r="A2681" t="str">
        <f>IFERROR(_xlfn.XLOOKUP(B2681,Cuentas!$C$1:$C$521,Cuentas!$A$1:$A$521),"")</f>
        <v>Alexandra</v>
      </c>
      <c r="B2681" t="s">
        <v>2952</v>
      </c>
      <c r="C2681" t="s">
        <v>2953</v>
      </c>
      <c r="D2681" t="s">
        <v>16</v>
      </c>
      <c r="E2681" t="s">
        <v>7</v>
      </c>
      <c r="F2681" t="s">
        <v>2977</v>
      </c>
      <c r="G2681" t="s">
        <v>2977</v>
      </c>
      <c r="H2681" s="2">
        <v>45728</v>
      </c>
      <c r="I2681" s="2">
        <v>45758</v>
      </c>
      <c r="J2681" t="s">
        <v>20</v>
      </c>
      <c r="K2681" s="21">
        <v>636</v>
      </c>
      <c r="L2681" s="21">
        <v>636</v>
      </c>
      <c r="M2681">
        <v>0</v>
      </c>
      <c r="N2681" s="21">
        <v>0</v>
      </c>
    </row>
    <row r="2682" spans="1:14">
      <c r="A2682" t="str">
        <f>IFERROR(_xlfn.XLOOKUP(B2682,Cuentas!$C$1:$C$521,Cuentas!$A$1:$A$521),"")</f>
        <v>Alexandra</v>
      </c>
      <c r="B2682" t="s">
        <v>2952</v>
      </c>
      <c r="C2682" t="s">
        <v>2953</v>
      </c>
      <c r="D2682" t="s">
        <v>16</v>
      </c>
      <c r="E2682" t="s">
        <v>7</v>
      </c>
      <c r="F2682" t="s">
        <v>2978</v>
      </c>
      <c r="G2682" t="s">
        <v>2978</v>
      </c>
      <c r="H2682" s="2">
        <v>45728</v>
      </c>
      <c r="I2682" s="2">
        <v>45758</v>
      </c>
      <c r="J2682" t="s">
        <v>20</v>
      </c>
      <c r="K2682" s="21">
        <v>636</v>
      </c>
      <c r="L2682" s="21">
        <v>636</v>
      </c>
      <c r="M2682">
        <v>0</v>
      </c>
      <c r="N2682" s="21">
        <v>0</v>
      </c>
    </row>
    <row r="2683" spans="1:14">
      <c r="A2683" t="str">
        <f>IFERROR(_xlfn.XLOOKUP(B2683,Cuentas!$C$1:$C$521,Cuentas!$A$1:$A$521),"")</f>
        <v>Alexandra</v>
      </c>
      <c r="B2683" t="s">
        <v>2952</v>
      </c>
      <c r="C2683" t="s">
        <v>2953</v>
      </c>
      <c r="D2683" t="s">
        <v>16</v>
      </c>
      <c r="E2683" t="s">
        <v>7</v>
      </c>
      <c r="F2683" t="s">
        <v>2979</v>
      </c>
      <c r="G2683" t="s">
        <v>2979</v>
      </c>
      <c r="H2683" s="2">
        <v>45728</v>
      </c>
      <c r="I2683" s="2">
        <v>45758</v>
      </c>
      <c r="J2683" t="s">
        <v>20</v>
      </c>
      <c r="K2683" s="21">
        <v>795</v>
      </c>
      <c r="L2683" s="21">
        <v>795</v>
      </c>
      <c r="M2683">
        <v>0</v>
      </c>
      <c r="N2683" s="21">
        <v>0</v>
      </c>
    </row>
    <row r="2684" spans="1:14">
      <c r="A2684" t="str">
        <f>IFERROR(_xlfn.XLOOKUP(B2684,Cuentas!$C$1:$C$521,Cuentas!$A$1:$A$521),"")</f>
        <v>Alexandra</v>
      </c>
      <c r="B2684" t="s">
        <v>2952</v>
      </c>
      <c r="C2684" t="s">
        <v>2953</v>
      </c>
      <c r="D2684" t="s">
        <v>16</v>
      </c>
      <c r="E2684" t="s">
        <v>7</v>
      </c>
      <c r="F2684" t="s">
        <v>2980</v>
      </c>
      <c r="G2684" t="s">
        <v>2980</v>
      </c>
      <c r="H2684" s="2">
        <v>45728</v>
      </c>
      <c r="I2684" s="2">
        <v>45758</v>
      </c>
      <c r="J2684" t="s">
        <v>20</v>
      </c>
      <c r="K2684" s="21">
        <v>159</v>
      </c>
      <c r="L2684" s="21">
        <v>159</v>
      </c>
      <c r="M2684">
        <v>0</v>
      </c>
      <c r="N2684" s="21">
        <v>0</v>
      </c>
    </row>
    <row r="2685" spans="1:14">
      <c r="A2685" t="str">
        <f>IFERROR(_xlfn.XLOOKUP(B2685,Cuentas!$C$1:$C$521,Cuentas!$A$1:$A$521),"")</f>
        <v>Alexandra</v>
      </c>
      <c r="B2685" t="s">
        <v>2952</v>
      </c>
      <c r="C2685" t="s">
        <v>2953</v>
      </c>
      <c r="D2685" t="s">
        <v>16</v>
      </c>
      <c r="E2685" t="s">
        <v>7</v>
      </c>
      <c r="F2685" t="s">
        <v>2981</v>
      </c>
      <c r="G2685" t="s">
        <v>2981</v>
      </c>
      <c r="H2685" s="2">
        <v>45728</v>
      </c>
      <c r="I2685" s="2">
        <v>45758</v>
      </c>
      <c r="J2685" t="s">
        <v>20</v>
      </c>
      <c r="K2685" s="21">
        <v>1590</v>
      </c>
      <c r="L2685" s="21">
        <v>1590</v>
      </c>
      <c r="M2685">
        <v>0</v>
      </c>
      <c r="N2685" s="21">
        <v>0</v>
      </c>
    </row>
    <row r="2686" spans="1:14">
      <c r="A2686" t="str">
        <f>IFERROR(_xlfn.XLOOKUP(B2686,Cuentas!$C$1:$C$521,Cuentas!$A$1:$A$521),"")</f>
        <v>Alexandra</v>
      </c>
      <c r="B2686" t="s">
        <v>2952</v>
      </c>
      <c r="C2686" t="s">
        <v>2953</v>
      </c>
      <c r="D2686" t="s">
        <v>16</v>
      </c>
      <c r="E2686" t="s">
        <v>7</v>
      </c>
      <c r="F2686" t="s">
        <v>2982</v>
      </c>
      <c r="G2686" t="s">
        <v>2982</v>
      </c>
      <c r="H2686" s="2">
        <v>45728</v>
      </c>
      <c r="I2686" s="2">
        <v>45758</v>
      </c>
      <c r="J2686" t="s">
        <v>20</v>
      </c>
      <c r="K2686" s="21">
        <v>954</v>
      </c>
      <c r="L2686" s="21">
        <v>954</v>
      </c>
      <c r="M2686">
        <v>0</v>
      </c>
      <c r="N2686" s="21">
        <v>0</v>
      </c>
    </row>
    <row r="2687" spans="1:14">
      <c r="A2687" t="str">
        <f>IFERROR(_xlfn.XLOOKUP(B2687,Cuentas!$C$1:$C$521,Cuentas!$A$1:$A$521),"")</f>
        <v>Alexandra</v>
      </c>
      <c r="B2687" t="s">
        <v>2952</v>
      </c>
      <c r="C2687" t="s">
        <v>2953</v>
      </c>
      <c r="D2687" t="s">
        <v>16</v>
      </c>
      <c r="E2687" t="s">
        <v>7</v>
      </c>
      <c r="F2687" t="s">
        <v>2983</v>
      </c>
      <c r="G2687" t="s">
        <v>2983</v>
      </c>
      <c r="H2687" s="2">
        <v>45728</v>
      </c>
      <c r="I2687" s="2">
        <v>45758</v>
      </c>
      <c r="J2687" t="s">
        <v>20</v>
      </c>
      <c r="K2687" s="21">
        <v>477</v>
      </c>
      <c r="L2687" s="21">
        <v>477</v>
      </c>
      <c r="M2687">
        <v>0</v>
      </c>
      <c r="N2687" s="21">
        <v>0</v>
      </c>
    </row>
    <row r="2688" spans="1:14">
      <c r="A2688" t="str">
        <f>IFERROR(_xlfn.XLOOKUP(B2688,Cuentas!$C$1:$C$521,Cuentas!$A$1:$A$521),"")</f>
        <v>Alexandra</v>
      </c>
      <c r="B2688" t="s">
        <v>2952</v>
      </c>
      <c r="C2688" t="s">
        <v>2953</v>
      </c>
      <c r="D2688" t="s">
        <v>16</v>
      </c>
      <c r="E2688" t="s">
        <v>7</v>
      </c>
      <c r="F2688" t="s">
        <v>2984</v>
      </c>
      <c r="G2688" t="s">
        <v>2984</v>
      </c>
      <c r="H2688" s="2">
        <v>45729</v>
      </c>
      <c r="I2688" s="2">
        <v>45759</v>
      </c>
      <c r="J2688" t="s">
        <v>20</v>
      </c>
      <c r="K2688" s="21">
        <v>159</v>
      </c>
      <c r="L2688" s="21">
        <v>159</v>
      </c>
      <c r="M2688">
        <v>0</v>
      </c>
      <c r="N2688" s="21">
        <v>0</v>
      </c>
    </row>
    <row r="2689" spans="1:14">
      <c r="A2689" t="str">
        <f>IFERROR(_xlfn.XLOOKUP(B2689,Cuentas!$C$1:$C$521,Cuentas!$A$1:$A$521),"")</f>
        <v>Alexandra</v>
      </c>
      <c r="B2689" t="s">
        <v>2952</v>
      </c>
      <c r="C2689" t="s">
        <v>2953</v>
      </c>
      <c r="D2689" t="s">
        <v>16</v>
      </c>
      <c r="E2689" t="s">
        <v>7</v>
      </c>
      <c r="F2689" t="s">
        <v>2985</v>
      </c>
      <c r="G2689" t="s">
        <v>2985</v>
      </c>
      <c r="H2689" s="2">
        <v>45729</v>
      </c>
      <c r="I2689" s="2">
        <v>45759</v>
      </c>
      <c r="J2689" t="s">
        <v>20</v>
      </c>
      <c r="K2689" s="21">
        <v>795</v>
      </c>
      <c r="L2689" s="21">
        <v>795</v>
      </c>
      <c r="M2689">
        <v>0</v>
      </c>
      <c r="N2689" s="21">
        <v>0</v>
      </c>
    </row>
    <row r="2690" spans="1:14">
      <c r="A2690" t="str">
        <f>IFERROR(_xlfn.XLOOKUP(B2690,Cuentas!$C$1:$C$521,Cuentas!$A$1:$A$521),"")</f>
        <v>Alexandra</v>
      </c>
      <c r="B2690" t="s">
        <v>2952</v>
      </c>
      <c r="C2690" t="s">
        <v>2953</v>
      </c>
      <c r="D2690" t="s">
        <v>16</v>
      </c>
      <c r="E2690" t="s">
        <v>7</v>
      </c>
      <c r="F2690" t="s">
        <v>2986</v>
      </c>
      <c r="G2690" t="s">
        <v>2986</v>
      </c>
      <c r="H2690" s="2">
        <v>45729</v>
      </c>
      <c r="I2690" s="2">
        <v>45759</v>
      </c>
      <c r="J2690" t="s">
        <v>20</v>
      </c>
      <c r="K2690" s="21">
        <v>636</v>
      </c>
      <c r="L2690" s="21">
        <v>636</v>
      </c>
      <c r="M2690">
        <v>0</v>
      </c>
      <c r="N2690" s="21">
        <v>0</v>
      </c>
    </row>
    <row r="2691" spans="1:14">
      <c r="A2691" t="str">
        <f>IFERROR(_xlfn.XLOOKUP(B2691,Cuentas!$C$1:$C$521,Cuentas!$A$1:$A$521),"")</f>
        <v>Alexandra</v>
      </c>
      <c r="B2691" t="s">
        <v>2952</v>
      </c>
      <c r="C2691" t="s">
        <v>2953</v>
      </c>
      <c r="D2691" t="s">
        <v>16</v>
      </c>
      <c r="E2691" t="s">
        <v>7</v>
      </c>
      <c r="F2691" t="s">
        <v>2987</v>
      </c>
      <c r="G2691" t="s">
        <v>2987</v>
      </c>
      <c r="H2691" s="2">
        <v>45729</v>
      </c>
      <c r="I2691" s="2">
        <v>45759</v>
      </c>
      <c r="J2691" t="s">
        <v>20</v>
      </c>
      <c r="K2691" s="21">
        <v>318</v>
      </c>
      <c r="L2691" s="21">
        <v>318</v>
      </c>
      <c r="M2691">
        <v>0</v>
      </c>
      <c r="N2691" s="21">
        <v>0</v>
      </c>
    </row>
    <row r="2692" spans="1:14">
      <c r="A2692" t="str">
        <f>IFERROR(_xlfn.XLOOKUP(B2692,Cuentas!$C$1:$C$521,Cuentas!$A$1:$A$521),"")</f>
        <v>Alexandra</v>
      </c>
      <c r="B2692" t="s">
        <v>2952</v>
      </c>
      <c r="C2692" t="s">
        <v>2953</v>
      </c>
      <c r="D2692" t="s">
        <v>16</v>
      </c>
      <c r="E2692" t="s">
        <v>7</v>
      </c>
      <c r="F2692" t="s">
        <v>2988</v>
      </c>
      <c r="G2692" t="s">
        <v>2988</v>
      </c>
      <c r="H2692" s="2">
        <v>45729</v>
      </c>
      <c r="I2692" s="2">
        <v>45759</v>
      </c>
      <c r="J2692" t="s">
        <v>20</v>
      </c>
      <c r="K2692" s="21">
        <v>1272</v>
      </c>
      <c r="L2692" s="21">
        <v>1272</v>
      </c>
      <c r="M2692">
        <v>0</v>
      </c>
      <c r="N2692" s="21">
        <v>0</v>
      </c>
    </row>
    <row r="2693" spans="1:14">
      <c r="A2693" t="str">
        <f>IFERROR(_xlfn.XLOOKUP(B2693,Cuentas!$C$1:$C$521,Cuentas!$A$1:$A$521),"")</f>
        <v>Alexandra</v>
      </c>
      <c r="B2693" t="s">
        <v>2952</v>
      </c>
      <c r="C2693" t="s">
        <v>2953</v>
      </c>
      <c r="D2693" t="s">
        <v>16</v>
      </c>
      <c r="E2693" t="s">
        <v>7</v>
      </c>
      <c r="F2693" t="s">
        <v>2989</v>
      </c>
      <c r="G2693" t="s">
        <v>2989</v>
      </c>
      <c r="H2693" s="2">
        <v>45729</v>
      </c>
      <c r="I2693" s="2">
        <v>45759</v>
      </c>
      <c r="J2693" t="s">
        <v>20</v>
      </c>
      <c r="K2693" s="21">
        <v>477</v>
      </c>
      <c r="L2693" s="21">
        <v>477</v>
      </c>
      <c r="M2693">
        <v>0</v>
      </c>
      <c r="N2693" s="21">
        <v>0</v>
      </c>
    </row>
    <row r="2694" spans="1:14">
      <c r="A2694" t="str">
        <f>IFERROR(_xlfn.XLOOKUP(B2694,Cuentas!$C$1:$C$521,Cuentas!$A$1:$A$521),"")</f>
        <v>Alexandra</v>
      </c>
      <c r="B2694" t="s">
        <v>2952</v>
      </c>
      <c r="C2694" t="s">
        <v>2953</v>
      </c>
      <c r="D2694" t="s">
        <v>16</v>
      </c>
      <c r="E2694" t="s">
        <v>7</v>
      </c>
      <c r="F2694" t="s">
        <v>2990</v>
      </c>
      <c r="G2694" t="s">
        <v>2990</v>
      </c>
      <c r="H2694" s="2">
        <v>45729</v>
      </c>
      <c r="I2694" s="2">
        <v>45759</v>
      </c>
      <c r="J2694" t="s">
        <v>20</v>
      </c>
      <c r="K2694" s="21">
        <v>318</v>
      </c>
      <c r="L2694" s="21">
        <v>318</v>
      </c>
      <c r="M2694">
        <v>0</v>
      </c>
      <c r="N2694" s="21">
        <v>0</v>
      </c>
    </row>
    <row r="2695" spans="1:14">
      <c r="A2695" t="str">
        <f>IFERROR(_xlfn.XLOOKUP(B2695,Cuentas!$C$1:$C$521,Cuentas!$A$1:$A$521),"")</f>
        <v>Alexandra</v>
      </c>
      <c r="B2695" t="s">
        <v>2952</v>
      </c>
      <c r="C2695" t="s">
        <v>2953</v>
      </c>
      <c r="D2695" t="s">
        <v>16</v>
      </c>
      <c r="E2695" t="s">
        <v>7</v>
      </c>
      <c r="F2695" t="s">
        <v>2991</v>
      </c>
      <c r="G2695" t="s">
        <v>2991</v>
      </c>
      <c r="H2695" s="2">
        <v>45729</v>
      </c>
      <c r="I2695" s="2">
        <v>45759</v>
      </c>
      <c r="J2695" t="s">
        <v>20</v>
      </c>
      <c r="K2695" s="21">
        <v>1113</v>
      </c>
      <c r="L2695" s="21">
        <v>1113</v>
      </c>
      <c r="M2695">
        <v>0</v>
      </c>
      <c r="N2695" s="21">
        <v>0</v>
      </c>
    </row>
    <row r="2696" spans="1:14">
      <c r="A2696" t="str">
        <f>IFERROR(_xlfn.XLOOKUP(B2696,Cuentas!$C$1:$C$521,Cuentas!$A$1:$A$521),"")</f>
        <v>Alexandra</v>
      </c>
      <c r="B2696" t="s">
        <v>2952</v>
      </c>
      <c r="C2696" t="s">
        <v>2953</v>
      </c>
      <c r="D2696" t="s">
        <v>16</v>
      </c>
      <c r="E2696" t="s">
        <v>7</v>
      </c>
      <c r="F2696" t="s">
        <v>2992</v>
      </c>
      <c r="G2696" t="s">
        <v>2992</v>
      </c>
      <c r="H2696" s="2">
        <v>45729</v>
      </c>
      <c r="I2696" s="2">
        <v>45759</v>
      </c>
      <c r="J2696" t="s">
        <v>20</v>
      </c>
      <c r="K2696" s="21">
        <v>1113</v>
      </c>
      <c r="L2696" s="21">
        <v>1113</v>
      </c>
      <c r="M2696">
        <v>0</v>
      </c>
      <c r="N2696" s="21">
        <v>0</v>
      </c>
    </row>
    <row r="2697" spans="1:14">
      <c r="A2697" t="str">
        <f>IFERROR(_xlfn.XLOOKUP(B2697,Cuentas!$C$1:$C$521,Cuentas!$A$1:$A$521),"")</f>
        <v>Alexandra</v>
      </c>
      <c r="B2697" t="s">
        <v>2952</v>
      </c>
      <c r="C2697" t="s">
        <v>2953</v>
      </c>
      <c r="D2697" t="s">
        <v>16</v>
      </c>
      <c r="E2697" t="s">
        <v>7</v>
      </c>
      <c r="F2697" t="s">
        <v>2993</v>
      </c>
      <c r="G2697" t="s">
        <v>2993</v>
      </c>
      <c r="H2697" s="2">
        <v>45729</v>
      </c>
      <c r="I2697" s="2">
        <v>45759</v>
      </c>
      <c r="J2697" t="s">
        <v>20</v>
      </c>
      <c r="K2697" s="21">
        <v>477</v>
      </c>
      <c r="L2697" s="21">
        <v>477</v>
      </c>
      <c r="M2697">
        <v>0</v>
      </c>
      <c r="N2697" s="21">
        <v>0</v>
      </c>
    </row>
    <row r="2698" spans="1:14">
      <c r="A2698" t="str">
        <f>IFERROR(_xlfn.XLOOKUP(B2698,Cuentas!$C$1:$C$521,Cuentas!$A$1:$A$521),"")</f>
        <v>Alexandra</v>
      </c>
      <c r="B2698" t="s">
        <v>2952</v>
      </c>
      <c r="C2698" t="s">
        <v>2953</v>
      </c>
      <c r="D2698" t="s">
        <v>16</v>
      </c>
      <c r="E2698" t="s">
        <v>7</v>
      </c>
      <c r="F2698" t="s">
        <v>2994</v>
      </c>
      <c r="G2698" t="s">
        <v>2994</v>
      </c>
      <c r="H2698" s="2">
        <v>45729</v>
      </c>
      <c r="I2698" s="2">
        <v>45759</v>
      </c>
      <c r="J2698" t="s">
        <v>20</v>
      </c>
      <c r="K2698" s="21">
        <v>795</v>
      </c>
      <c r="L2698" s="21">
        <v>795</v>
      </c>
      <c r="M2698">
        <v>0</v>
      </c>
      <c r="N2698" s="21">
        <v>0</v>
      </c>
    </row>
    <row r="2699" spans="1:14">
      <c r="A2699" t="str">
        <f>IFERROR(_xlfn.XLOOKUP(B2699,Cuentas!$C$1:$C$521,Cuentas!$A$1:$A$521),"")</f>
        <v>Alexandra</v>
      </c>
      <c r="B2699" t="s">
        <v>2952</v>
      </c>
      <c r="C2699" t="s">
        <v>2953</v>
      </c>
      <c r="D2699" t="s">
        <v>16</v>
      </c>
      <c r="E2699" t="s">
        <v>7</v>
      </c>
      <c r="F2699" t="s">
        <v>2995</v>
      </c>
      <c r="G2699" t="s">
        <v>2995</v>
      </c>
      <c r="H2699" s="2">
        <v>45730</v>
      </c>
      <c r="I2699" s="2">
        <v>45760</v>
      </c>
      <c r="J2699" t="s">
        <v>20</v>
      </c>
      <c r="K2699" s="21">
        <v>159</v>
      </c>
      <c r="L2699" s="21">
        <v>159</v>
      </c>
      <c r="M2699">
        <v>0</v>
      </c>
      <c r="N2699" s="21">
        <v>0</v>
      </c>
    </row>
    <row r="2700" spans="1:14">
      <c r="A2700" t="str">
        <f>IFERROR(_xlfn.XLOOKUP(B2700,Cuentas!$C$1:$C$521,Cuentas!$A$1:$A$521),"")</f>
        <v>Alexandra</v>
      </c>
      <c r="B2700" t="s">
        <v>2952</v>
      </c>
      <c r="C2700" t="s">
        <v>2953</v>
      </c>
      <c r="D2700" t="s">
        <v>16</v>
      </c>
      <c r="E2700" t="s">
        <v>7</v>
      </c>
      <c r="F2700" t="s">
        <v>2996</v>
      </c>
      <c r="G2700" t="s">
        <v>2996</v>
      </c>
      <c r="H2700" s="2">
        <v>45730</v>
      </c>
      <c r="I2700" s="2">
        <v>45760</v>
      </c>
      <c r="J2700" t="s">
        <v>20</v>
      </c>
      <c r="K2700" s="21">
        <v>636</v>
      </c>
      <c r="L2700" s="21">
        <v>636</v>
      </c>
      <c r="M2700">
        <v>0</v>
      </c>
      <c r="N2700" s="21">
        <v>0</v>
      </c>
    </row>
    <row r="2701" spans="1:14">
      <c r="A2701" t="str">
        <f>IFERROR(_xlfn.XLOOKUP(B2701,Cuentas!$C$1:$C$521,Cuentas!$A$1:$A$521),"")</f>
        <v>Alexandra</v>
      </c>
      <c r="B2701" t="s">
        <v>2952</v>
      </c>
      <c r="C2701" t="s">
        <v>2953</v>
      </c>
      <c r="D2701" t="s">
        <v>16</v>
      </c>
      <c r="E2701" t="s">
        <v>7</v>
      </c>
      <c r="F2701" t="s">
        <v>2997</v>
      </c>
      <c r="G2701" t="s">
        <v>2997</v>
      </c>
      <c r="H2701" s="2">
        <v>45730</v>
      </c>
      <c r="I2701" s="2">
        <v>45760</v>
      </c>
      <c r="J2701" t="s">
        <v>20</v>
      </c>
      <c r="K2701" s="21">
        <v>477</v>
      </c>
      <c r="L2701" s="21">
        <v>477</v>
      </c>
      <c r="M2701">
        <v>0</v>
      </c>
      <c r="N2701" s="21">
        <v>0</v>
      </c>
    </row>
    <row r="2702" spans="1:14">
      <c r="A2702" t="str">
        <f>IFERROR(_xlfn.XLOOKUP(B2702,Cuentas!$C$1:$C$521,Cuentas!$A$1:$A$521),"")</f>
        <v>Alexandra</v>
      </c>
      <c r="B2702" t="s">
        <v>2952</v>
      </c>
      <c r="C2702" t="s">
        <v>2953</v>
      </c>
      <c r="D2702" t="s">
        <v>16</v>
      </c>
      <c r="E2702" t="s">
        <v>7</v>
      </c>
      <c r="F2702" t="s">
        <v>2998</v>
      </c>
      <c r="G2702" t="s">
        <v>2998</v>
      </c>
      <c r="H2702" s="2">
        <v>45730</v>
      </c>
      <c r="I2702" s="2">
        <v>45760</v>
      </c>
      <c r="J2702" t="s">
        <v>20</v>
      </c>
      <c r="K2702" s="21">
        <v>795</v>
      </c>
      <c r="L2702" s="21">
        <v>795</v>
      </c>
      <c r="M2702">
        <v>0</v>
      </c>
      <c r="N2702" s="21">
        <v>0</v>
      </c>
    </row>
    <row r="2703" spans="1:14">
      <c r="A2703" t="str">
        <f>IFERROR(_xlfn.XLOOKUP(B2703,Cuentas!$C$1:$C$521,Cuentas!$A$1:$A$521),"")</f>
        <v>Alexandra</v>
      </c>
      <c r="B2703" t="s">
        <v>2952</v>
      </c>
      <c r="C2703" t="s">
        <v>2953</v>
      </c>
      <c r="D2703" t="s">
        <v>16</v>
      </c>
      <c r="E2703" t="s">
        <v>7</v>
      </c>
      <c r="F2703" t="s">
        <v>2999</v>
      </c>
      <c r="G2703" t="s">
        <v>2999</v>
      </c>
      <c r="H2703" s="2">
        <v>45730</v>
      </c>
      <c r="I2703" s="2">
        <v>45760</v>
      </c>
      <c r="J2703" t="s">
        <v>20</v>
      </c>
      <c r="K2703" s="21">
        <v>636</v>
      </c>
      <c r="L2703" s="21">
        <v>636</v>
      </c>
      <c r="M2703">
        <v>0</v>
      </c>
      <c r="N2703" s="21">
        <v>0</v>
      </c>
    </row>
    <row r="2704" spans="1:14">
      <c r="A2704" t="str">
        <f>IFERROR(_xlfn.XLOOKUP(B2704,Cuentas!$C$1:$C$521,Cuentas!$A$1:$A$521),"")</f>
        <v>Alexandra</v>
      </c>
      <c r="B2704" t="s">
        <v>2952</v>
      </c>
      <c r="C2704" t="s">
        <v>2953</v>
      </c>
      <c r="D2704" t="s">
        <v>16</v>
      </c>
      <c r="E2704" t="s">
        <v>7</v>
      </c>
      <c r="F2704" t="s">
        <v>3000</v>
      </c>
      <c r="G2704" t="s">
        <v>3000</v>
      </c>
      <c r="H2704" s="2">
        <v>45730</v>
      </c>
      <c r="I2704" s="2">
        <v>45760</v>
      </c>
      <c r="J2704" t="s">
        <v>20</v>
      </c>
      <c r="K2704" s="21">
        <v>795</v>
      </c>
      <c r="L2704" s="21">
        <v>795</v>
      </c>
      <c r="M2704">
        <v>0</v>
      </c>
      <c r="N2704" s="21">
        <v>0</v>
      </c>
    </row>
    <row r="2705" spans="1:14">
      <c r="A2705" t="str">
        <f>IFERROR(_xlfn.XLOOKUP(B2705,Cuentas!$C$1:$C$521,Cuentas!$A$1:$A$521),"")</f>
        <v>Alexandra</v>
      </c>
      <c r="B2705" t="s">
        <v>2952</v>
      </c>
      <c r="C2705" t="s">
        <v>2953</v>
      </c>
      <c r="D2705" t="s">
        <v>16</v>
      </c>
      <c r="E2705" t="s">
        <v>7</v>
      </c>
      <c r="F2705" t="s">
        <v>3001</v>
      </c>
      <c r="G2705" t="s">
        <v>3001</v>
      </c>
      <c r="H2705" s="2">
        <v>45730</v>
      </c>
      <c r="I2705" s="2">
        <v>45760</v>
      </c>
      <c r="J2705" t="s">
        <v>20</v>
      </c>
      <c r="K2705" s="21">
        <v>318</v>
      </c>
      <c r="L2705" s="21">
        <v>318</v>
      </c>
      <c r="M2705">
        <v>0</v>
      </c>
      <c r="N2705" s="21">
        <v>0</v>
      </c>
    </row>
    <row r="2706" spans="1:14">
      <c r="A2706" t="str">
        <f>IFERROR(_xlfn.XLOOKUP(B2706,Cuentas!$C$1:$C$521,Cuentas!$A$1:$A$521),"")</f>
        <v>Alexandra</v>
      </c>
      <c r="B2706" t="s">
        <v>2952</v>
      </c>
      <c r="C2706" t="s">
        <v>2953</v>
      </c>
      <c r="D2706" t="s">
        <v>16</v>
      </c>
      <c r="E2706" t="s">
        <v>7</v>
      </c>
      <c r="F2706" t="s">
        <v>3002</v>
      </c>
      <c r="G2706" t="s">
        <v>3002</v>
      </c>
      <c r="H2706" s="2">
        <v>45730</v>
      </c>
      <c r="I2706" s="2">
        <v>45760</v>
      </c>
      <c r="J2706" t="s">
        <v>20</v>
      </c>
      <c r="K2706" s="21">
        <v>318</v>
      </c>
      <c r="L2706" s="21">
        <v>318</v>
      </c>
      <c r="M2706">
        <v>0</v>
      </c>
      <c r="N2706" s="21">
        <v>0</v>
      </c>
    </row>
    <row r="2707" spans="1:14">
      <c r="A2707" t="str">
        <f>IFERROR(_xlfn.XLOOKUP(B2707,Cuentas!$C$1:$C$521,Cuentas!$A$1:$A$521),"")</f>
        <v>Alexandra</v>
      </c>
      <c r="B2707" t="s">
        <v>2952</v>
      </c>
      <c r="C2707" t="s">
        <v>2953</v>
      </c>
      <c r="D2707" t="s">
        <v>16</v>
      </c>
      <c r="E2707" t="s">
        <v>7</v>
      </c>
      <c r="F2707" t="s">
        <v>3003</v>
      </c>
      <c r="G2707" t="s">
        <v>3003</v>
      </c>
      <c r="H2707" s="2">
        <v>45730</v>
      </c>
      <c r="I2707" s="2">
        <v>45760</v>
      </c>
      <c r="J2707" t="s">
        <v>20</v>
      </c>
      <c r="K2707" s="21">
        <v>159</v>
      </c>
      <c r="L2707" s="21">
        <v>159</v>
      </c>
      <c r="M2707">
        <v>0</v>
      </c>
      <c r="N2707" s="21">
        <v>0</v>
      </c>
    </row>
    <row r="2708" spans="1:14">
      <c r="A2708" t="str">
        <f>IFERROR(_xlfn.XLOOKUP(B2708,Cuentas!$C$1:$C$521,Cuentas!$A$1:$A$521),"")</f>
        <v>Alexandra</v>
      </c>
      <c r="B2708" t="s">
        <v>2952</v>
      </c>
      <c r="C2708" t="s">
        <v>2953</v>
      </c>
      <c r="D2708" t="s">
        <v>16</v>
      </c>
      <c r="E2708" t="s">
        <v>7</v>
      </c>
      <c r="F2708" t="s">
        <v>3004</v>
      </c>
      <c r="G2708" t="s">
        <v>3004</v>
      </c>
      <c r="H2708" s="2">
        <v>45730</v>
      </c>
      <c r="I2708" s="2">
        <v>45760</v>
      </c>
      <c r="J2708" t="s">
        <v>20</v>
      </c>
      <c r="K2708" s="21">
        <v>1272</v>
      </c>
      <c r="L2708" s="21">
        <v>1272</v>
      </c>
      <c r="M2708">
        <v>0</v>
      </c>
      <c r="N2708" s="21">
        <v>0</v>
      </c>
    </row>
    <row r="2709" spans="1:14">
      <c r="A2709" t="str">
        <f>IFERROR(_xlfn.XLOOKUP(B2709,Cuentas!$C$1:$C$521,Cuentas!$A$1:$A$521),"")</f>
        <v>Alexandra</v>
      </c>
      <c r="B2709" t="s">
        <v>2952</v>
      </c>
      <c r="C2709" t="s">
        <v>2953</v>
      </c>
      <c r="D2709" t="s">
        <v>16</v>
      </c>
      <c r="E2709" t="s">
        <v>7</v>
      </c>
      <c r="F2709" t="s">
        <v>3005</v>
      </c>
      <c r="G2709" t="s">
        <v>3005</v>
      </c>
      <c r="H2709" s="2">
        <v>45730</v>
      </c>
      <c r="I2709" s="2">
        <v>45760</v>
      </c>
      <c r="J2709" t="s">
        <v>20</v>
      </c>
      <c r="K2709" s="21">
        <v>1113</v>
      </c>
      <c r="L2709" s="21">
        <v>1113</v>
      </c>
      <c r="M2709">
        <v>0</v>
      </c>
      <c r="N2709" s="21">
        <v>0</v>
      </c>
    </row>
    <row r="2710" spans="1:14">
      <c r="A2710" t="str">
        <f>IFERROR(_xlfn.XLOOKUP(B2710,Cuentas!$C$1:$C$521,Cuentas!$A$1:$A$521),"")</f>
        <v>Alexandra</v>
      </c>
      <c r="B2710" t="s">
        <v>2952</v>
      </c>
      <c r="C2710" t="s">
        <v>2953</v>
      </c>
      <c r="D2710" t="s">
        <v>16</v>
      </c>
      <c r="E2710" t="s">
        <v>7</v>
      </c>
      <c r="F2710" t="s">
        <v>3006</v>
      </c>
      <c r="G2710" t="s">
        <v>3006</v>
      </c>
      <c r="H2710" s="2">
        <v>45733</v>
      </c>
      <c r="I2710" s="2">
        <v>45763</v>
      </c>
      <c r="J2710" t="s">
        <v>20</v>
      </c>
      <c r="K2710" s="21">
        <v>159</v>
      </c>
      <c r="L2710" s="21">
        <v>159</v>
      </c>
      <c r="M2710">
        <v>0</v>
      </c>
      <c r="N2710" s="21">
        <v>0</v>
      </c>
    </row>
    <row r="2711" spans="1:14">
      <c r="A2711" t="str">
        <f>IFERROR(_xlfn.XLOOKUP(B2711,Cuentas!$C$1:$C$521,Cuentas!$A$1:$A$521),"")</f>
        <v>Alexandra</v>
      </c>
      <c r="B2711" t="s">
        <v>2952</v>
      </c>
      <c r="C2711" t="s">
        <v>2953</v>
      </c>
      <c r="D2711" t="s">
        <v>16</v>
      </c>
      <c r="E2711" t="s">
        <v>7</v>
      </c>
      <c r="F2711" t="s">
        <v>3007</v>
      </c>
      <c r="G2711" t="s">
        <v>3007</v>
      </c>
      <c r="H2711" s="2">
        <v>45733</v>
      </c>
      <c r="I2711" s="2">
        <v>45763</v>
      </c>
      <c r="J2711" t="s">
        <v>20</v>
      </c>
      <c r="K2711" s="21">
        <v>477</v>
      </c>
      <c r="L2711" s="21">
        <v>477</v>
      </c>
      <c r="M2711">
        <v>0</v>
      </c>
      <c r="N2711" s="21">
        <v>0</v>
      </c>
    </row>
    <row r="2712" spans="1:14">
      <c r="A2712" t="str">
        <f>IFERROR(_xlfn.XLOOKUP(B2712,Cuentas!$C$1:$C$521,Cuentas!$A$1:$A$521),"")</f>
        <v>Alexandra</v>
      </c>
      <c r="B2712" t="s">
        <v>2952</v>
      </c>
      <c r="C2712" t="s">
        <v>2953</v>
      </c>
      <c r="D2712" t="s">
        <v>16</v>
      </c>
      <c r="E2712" t="s">
        <v>7</v>
      </c>
      <c r="F2712" t="s">
        <v>3008</v>
      </c>
      <c r="G2712" t="s">
        <v>3008</v>
      </c>
      <c r="H2712" s="2">
        <v>45733</v>
      </c>
      <c r="I2712" s="2">
        <v>45763</v>
      </c>
      <c r="J2712" t="s">
        <v>20</v>
      </c>
      <c r="K2712" s="21">
        <v>159</v>
      </c>
      <c r="L2712" s="21">
        <v>159</v>
      </c>
      <c r="M2712">
        <v>0</v>
      </c>
      <c r="N2712" s="21">
        <v>0</v>
      </c>
    </row>
    <row r="2713" spans="1:14">
      <c r="A2713" t="str">
        <f>IFERROR(_xlfn.XLOOKUP(B2713,Cuentas!$C$1:$C$521,Cuentas!$A$1:$A$521),"")</f>
        <v>Alexandra</v>
      </c>
      <c r="B2713" t="s">
        <v>2952</v>
      </c>
      <c r="C2713" t="s">
        <v>2953</v>
      </c>
      <c r="D2713" t="s">
        <v>16</v>
      </c>
      <c r="E2713" t="s">
        <v>7</v>
      </c>
      <c r="F2713" t="s">
        <v>3009</v>
      </c>
      <c r="G2713" t="s">
        <v>3009</v>
      </c>
      <c r="H2713" s="2">
        <v>45733</v>
      </c>
      <c r="I2713" s="2">
        <v>45763</v>
      </c>
      <c r="J2713" t="s">
        <v>20</v>
      </c>
      <c r="K2713" s="21">
        <v>477</v>
      </c>
      <c r="L2713" s="21">
        <v>477</v>
      </c>
      <c r="M2713">
        <v>0</v>
      </c>
      <c r="N2713" s="21">
        <v>0</v>
      </c>
    </row>
    <row r="2714" spans="1:14">
      <c r="A2714" t="str">
        <f>IFERROR(_xlfn.XLOOKUP(B2714,Cuentas!$C$1:$C$521,Cuentas!$A$1:$A$521),"")</f>
        <v>Alexandra</v>
      </c>
      <c r="B2714" t="s">
        <v>2952</v>
      </c>
      <c r="C2714" t="s">
        <v>2953</v>
      </c>
      <c r="D2714" t="s">
        <v>16</v>
      </c>
      <c r="E2714" t="s">
        <v>7</v>
      </c>
      <c r="F2714" t="s">
        <v>3010</v>
      </c>
      <c r="G2714" t="s">
        <v>3010</v>
      </c>
      <c r="H2714" s="2">
        <v>45733</v>
      </c>
      <c r="I2714" s="2">
        <v>45763</v>
      </c>
      <c r="J2714" t="s">
        <v>20</v>
      </c>
      <c r="K2714" s="21">
        <v>795</v>
      </c>
      <c r="L2714" s="21">
        <v>795</v>
      </c>
      <c r="M2714">
        <v>0</v>
      </c>
      <c r="N2714" s="21">
        <v>0</v>
      </c>
    </row>
    <row r="2715" spans="1:14">
      <c r="A2715" t="str">
        <f>IFERROR(_xlfn.XLOOKUP(B2715,Cuentas!$C$1:$C$521,Cuentas!$A$1:$A$521),"")</f>
        <v>Alexandra</v>
      </c>
      <c r="B2715" t="s">
        <v>2952</v>
      </c>
      <c r="C2715" t="s">
        <v>2953</v>
      </c>
      <c r="D2715" t="s">
        <v>16</v>
      </c>
      <c r="E2715" t="s">
        <v>7</v>
      </c>
      <c r="F2715" t="s">
        <v>3011</v>
      </c>
      <c r="G2715" t="s">
        <v>3011</v>
      </c>
      <c r="H2715" s="2">
        <v>45733</v>
      </c>
      <c r="I2715" s="2">
        <v>45763</v>
      </c>
      <c r="J2715" t="s">
        <v>20</v>
      </c>
      <c r="K2715" s="21">
        <v>318</v>
      </c>
      <c r="L2715" s="21">
        <v>318</v>
      </c>
      <c r="M2715">
        <v>0</v>
      </c>
      <c r="N2715" s="21">
        <v>0</v>
      </c>
    </row>
    <row r="2716" spans="1:14">
      <c r="A2716" t="str">
        <f>IFERROR(_xlfn.XLOOKUP(B2716,Cuentas!$C$1:$C$521,Cuentas!$A$1:$A$521),"")</f>
        <v>Alexandra</v>
      </c>
      <c r="B2716" t="s">
        <v>2952</v>
      </c>
      <c r="C2716" t="s">
        <v>2953</v>
      </c>
      <c r="D2716" t="s">
        <v>16</v>
      </c>
      <c r="E2716" t="s">
        <v>7</v>
      </c>
      <c r="F2716" t="s">
        <v>3012</v>
      </c>
      <c r="G2716" t="s">
        <v>3012</v>
      </c>
      <c r="H2716" s="2">
        <v>45733</v>
      </c>
      <c r="I2716" s="2">
        <v>45763</v>
      </c>
      <c r="J2716" t="s">
        <v>20</v>
      </c>
      <c r="K2716" s="21">
        <v>477</v>
      </c>
      <c r="L2716" s="21">
        <v>477</v>
      </c>
      <c r="M2716">
        <v>0</v>
      </c>
      <c r="N2716" s="21">
        <v>0</v>
      </c>
    </row>
    <row r="2717" spans="1:14">
      <c r="A2717" t="str">
        <f>IFERROR(_xlfn.XLOOKUP(B2717,Cuentas!$C$1:$C$521,Cuentas!$A$1:$A$521),"")</f>
        <v>Alexandra</v>
      </c>
      <c r="B2717" t="s">
        <v>2952</v>
      </c>
      <c r="C2717" t="s">
        <v>2953</v>
      </c>
      <c r="D2717" t="s">
        <v>16</v>
      </c>
      <c r="E2717" t="s">
        <v>7</v>
      </c>
      <c r="F2717" t="s">
        <v>3013</v>
      </c>
      <c r="G2717" t="s">
        <v>3013</v>
      </c>
      <c r="H2717" s="2">
        <v>45733</v>
      </c>
      <c r="I2717" s="2">
        <v>45763</v>
      </c>
      <c r="J2717" t="s">
        <v>20</v>
      </c>
      <c r="K2717" s="21">
        <v>477</v>
      </c>
      <c r="L2717" s="21">
        <v>477</v>
      </c>
      <c r="M2717">
        <v>0</v>
      </c>
      <c r="N2717" s="21">
        <v>0</v>
      </c>
    </row>
    <row r="2718" spans="1:14">
      <c r="A2718" t="str">
        <f>IFERROR(_xlfn.XLOOKUP(B2718,Cuentas!$C$1:$C$521,Cuentas!$A$1:$A$521),"")</f>
        <v>Alexandra</v>
      </c>
      <c r="B2718" t="s">
        <v>2952</v>
      </c>
      <c r="C2718" t="s">
        <v>2953</v>
      </c>
      <c r="D2718" t="s">
        <v>16</v>
      </c>
      <c r="E2718" t="s">
        <v>7</v>
      </c>
      <c r="F2718" t="s">
        <v>3014</v>
      </c>
      <c r="G2718" t="s">
        <v>3014</v>
      </c>
      <c r="H2718" s="2">
        <v>45733</v>
      </c>
      <c r="I2718" s="2">
        <v>45763</v>
      </c>
      <c r="J2718" t="s">
        <v>20</v>
      </c>
      <c r="K2718" s="21">
        <v>318</v>
      </c>
      <c r="L2718" s="21">
        <v>318</v>
      </c>
      <c r="M2718">
        <v>0</v>
      </c>
      <c r="N2718" s="21">
        <v>0</v>
      </c>
    </row>
    <row r="2719" spans="1:14">
      <c r="A2719" t="str">
        <f>IFERROR(_xlfn.XLOOKUP(B2719,Cuentas!$C$1:$C$521,Cuentas!$A$1:$A$521),"")</f>
        <v>Alexandra</v>
      </c>
      <c r="B2719" t="s">
        <v>2952</v>
      </c>
      <c r="C2719" t="s">
        <v>2953</v>
      </c>
      <c r="D2719" t="s">
        <v>16</v>
      </c>
      <c r="E2719" t="s">
        <v>7</v>
      </c>
      <c r="F2719" t="s">
        <v>3015</v>
      </c>
      <c r="G2719" t="s">
        <v>3015</v>
      </c>
      <c r="H2719" s="2">
        <v>45733</v>
      </c>
      <c r="I2719" s="2">
        <v>45763</v>
      </c>
      <c r="J2719" t="s">
        <v>20</v>
      </c>
      <c r="K2719" s="21">
        <v>477</v>
      </c>
      <c r="L2719" s="21">
        <v>477</v>
      </c>
      <c r="M2719">
        <v>0</v>
      </c>
      <c r="N2719" s="21">
        <v>0</v>
      </c>
    </row>
    <row r="2720" spans="1:14">
      <c r="A2720" t="str">
        <f>IFERROR(_xlfn.XLOOKUP(B2720,Cuentas!$C$1:$C$521,Cuentas!$A$1:$A$521),"")</f>
        <v>Alexandra</v>
      </c>
      <c r="B2720" t="s">
        <v>2952</v>
      </c>
      <c r="C2720" t="s">
        <v>2953</v>
      </c>
      <c r="D2720" t="s">
        <v>16</v>
      </c>
      <c r="E2720" t="s">
        <v>7</v>
      </c>
      <c r="F2720" t="s">
        <v>3016</v>
      </c>
      <c r="G2720" t="s">
        <v>3016</v>
      </c>
      <c r="H2720" s="2">
        <v>45733</v>
      </c>
      <c r="I2720" s="2">
        <v>45763</v>
      </c>
      <c r="J2720" t="s">
        <v>20</v>
      </c>
      <c r="K2720" s="21">
        <v>318</v>
      </c>
      <c r="L2720" s="21">
        <v>318</v>
      </c>
      <c r="M2720">
        <v>0</v>
      </c>
      <c r="N2720" s="21">
        <v>0</v>
      </c>
    </row>
    <row r="2721" spans="1:14">
      <c r="A2721" t="str">
        <f>IFERROR(_xlfn.XLOOKUP(B2721,Cuentas!$C$1:$C$521,Cuentas!$A$1:$A$521),"")</f>
        <v>Alexandra</v>
      </c>
      <c r="B2721" t="s">
        <v>2952</v>
      </c>
      <c r="C2721" t="s">
        <v>2953</v>
      </c>
      <c r="D2721" t="s">
        <v>16</v>
      </c>
      <c r="E2721" t="s">
        <v>7</v>
      </c>
      <c r="F2721" t="s">
        <v>3017</v>
      </c>
      <c r="G2721" t="s">
        <v>3017</v>
      </c>
      <c r="H2721" s="2">
        <v>45733</v>
      </c>
      <c r="I2721" s="2">
        <v>45763</v>
      </c>
      <c r="J2721" t="s">
        <v>20</v>
      </c>
      <c r="K2721" s="21">
        <v>159</v>
      </c>
      <c r="L2721" s="21">
        <v>159</v>
      </c>
      <c r="M2721">
        <v>0</v>
      </c>
      <c r="N2721" s="21">
        <v>0</v>
      </c>
    </row>
    <row r="2722" spans="1:14">
      <c r="A2722" t="str">
        <f>IFERROR(_xlfn.XLOOKUP(B2722,Cuentas!$C$1:$C$521,Cuentas!$A$1:$A$521),"")</f>
        <v>Alexandra</v>
      </c>
      <c r="B2722" t="s">
        <v>2952</v>
      </c>
      <c r="C2722" t="s">
        <v>2953</v>
      </c>
      <c r="D2722" t="s">
        <v>16</v>
      </c>
      <c r="E2722" t="s">
        <v>7</v>
      </c>
      <c r="F2722" t="s">
        <v>3018</v>
      </c>
      <c r="G2722" t="s">
        <v>3018</v>
      </c>
      <c r="H2722" s="2">
        <v>45733</v>
      </c>
      <c r="I2722" s="2">
        <v>45763</v>
      </c>
      <c r="J2722" t="s">
        <v>20</v>
      </c>
      <c r="K2722" s="21">
        <v>159</v>
      </c>
      <c r="L2722" s="21">
        <v>159</v>
      </c>
      <c r="M2722">
        <v>0</v>
      </c>
      <c r="N2722" s="21">
        <v>0</v>
      </c>
    </row>
    <row r="2723" spans="1:14">
      <c r="A2723" t="str">
        <f>IFERROR(_xlfn.XLOOKUP(B2723,Cuentas!$C$1:$C$521,Cuentas!$A$1:$A$521),"")</f>
        <v>Alexandra</v>
      </c>
      <c r="B2723" t="s">
        <v>2952</v>
      </c>
      <c r="C2723" t="s">
        <v>2953</v>
      </c>
      <c r="D2723" t="s">
        <v>16</v>
      </c>
      <c r="E2723" t="s">
        <v>7</v>
      </c>
      <c r="F2723" t="s">
        <v>3019</v>
      </c>
      <c r="G2723" t="s">
        <v>3019</v>
      </c>
      <c r="H2723" s="2">
        <v>45733</v>
      </c>
      <c r="I2723" s="2">
        <v>45763</v>
      </c>
      <c r="J2723" t="s">
        <v>20</v>
      </c>
      <c r="K2723" s="21">
        <v>636</v>
      </c>
      <c r="L2723" s="21">
        <v>636</v>
      </c>
      <c r="M2723">
        <v>0</v>
      </c>
      <c r="N2723" s="21">
        <v>0</v>
      </c>
    </row>
    <row r="2724" spans="1:14">
      <c r="A2724" t="str">
        <f>IFERROR(_xlfn.XLOOKUP(B2724,Cuentas!$C$1:$C$521,Cuentas!$A$1:$A$521),"")</f>
        <v>Alexandra</v>
      </c>
      <c r="B2724" t="s">
        <v>2952</v>
      </c>
      <c r="C2724" t="s">
        <v>2953</v>
      </c>
      <c r="D2724" t="s">
        <v>16</v>
      </c>
      <c r="E2724" t="s">
        <v>7</v>
      </c>
      <c r="F2724" t="s">
        <v>3020</v>
      </c>
      <c r="G2724" t="s">
        <v>3020</v>
      </c>
      <c r="H2724" s="2">
        <v>45733</v>
      </c>
      <c r="I2724" s="2">
        <v>45763</v>
      </c>
      <c r="J2724" t="s">
        <v>20</v>
      </c>
      <c r="K2724" s="21">
        <v>477</v>
      </c>
      <c r="L2724" s="21">
        <v>477</v>
      </c>
      <c r="M2724">
        <v>0</v>
      </c>
      <c r="N2724" s="21">
        <v>0</v>
      </c>
    </row>
    <row r="2725" spans="1:14">
      <c r="A2725" t="str">
        <f>IFERROR(_xlfn.XLOOKUP(B2725,Cuentas!$C$1:$C$521,Cuentas!$A$1:$A$521),"")</f>
        <v>Alexandra</v>
      </c>
      <c r="B2725" t="s">
        <v>2952</v>
      </c>
      <c r="C2725" t="s">
        <v>2953</v>
      </c>
      <c r="D2725" t="s">
        <v>16</v>
      </c>
      <c r="E2725" t="s">
        <v>7</v>
      </c>
      <c r="F2725" t="s">
        <v>3021</v>
      </c>
      <c r="G2725" t="s">
        <v>3021</v>
      </c>
      <c r="H2725" s="2">
        <v>45733</v>
      </c>
      <c r="I2725" s="2">
        <v>45763</v>
      </c>
      <c r="J2725" t="s">
        <v>20</v>
      </c>
      <c r="K2725" s="21">
        <v>159</v>
      </c>
      <c r="L2725" s="21">
        <v>159</v>
      </c>
      <c r="M2725">
        <v>0</v>
      </c>
      <c r="N2725" s="21">
        <v>0</v>
      </c>
    </row>
    <row r="2726" spans="1:14">
      <c r="A2726" t="str">
        <f>IFERROR(_xlfn.XLOOKUP(B2726,Cuentas!$C$1:$C$521,Cuentas!$A$1:$A$521),"")</f>
        <v>Alexandra</v>
      </c>
      <c r="B2726" t="s">
        <v>2952</v>
      </c>
      <c r="C2726" t="s">
        <v>2953</v>
      </c>
      <c r="D2726" t="s">
        <v>16</v>
      </c>
      <c r="E2726" t="s">
        <v>7</v>
      </c>
      <c r="F2726" t="s">
        <v>3022</v>
      </c>
      <c r="G2726" t="s">
        <v>3022</v>
      </c>
      <c r="H2726" s="2">
        <v>45733</v>
      </c>
      <c r="I2726" s="2">
        <v>45763</v>
      </c>
      <c r="J2726" t="s">
        <v>20</v>
      </c>
      <c r="K2726" s="21">
        <v>477</v>
      </c>
      <c r="L2726" s="21">
        <v>477</v>
      </c>
      <c r="M2726">
        <v>0</v>
      </c>
      <c r="N2726" s="21">
        <v>0</v>
      </c>
    </row>
    <row r="2727" spans="1:14">
      <c r="A2727" t="str">
        <f>IFERROR(_xlfn.XLOOKUP(B2727,Cuentas!$C$1:$C$521,Cuentas!$A$1:$A$521),"")</f>
        <v>Alexandra</v>
      </c>
      <c r="B2727" t="s">
        <v>2952</v>
      </c>
      <c r="C2727" t="s">
        <v>2953</v>
      </c>
      <c r="D2727" t="s">
        <v>16</v>
      </c>
      <c r="E2727" t="s">
        <v>7</v>
      </c>
      <c r="F2727" t="s">
        <v>3023</v>
      </c>
      <c r="G2727" t="s">
        <v>3023</v>
      </c>
      <c r="H2727" s="2">
        <v>45733</v>
      </c>
      <c r="I2727" s="2">
        <v>45763</v>
      </c>
      <c r="J2727" t="s">
        <v>20</v>
      </c>
      <c r="K2727" s="21">
        <v>318</v>
      </c>
      <c r="L2727" s="21">
        <v>318</v>
      </c>
      <c r="M2727">
        <v>0</v>
      </c>
      <c r="N2727" s="21">
        <v>0</v>
      </c>
    </row>
    <row r="2728" spans="1:14">
      <c r="A2728" t="str">
        <f>IFERROR(_xlfn.XLOOKUP(B2728,Cuentas!$C$1:$C$521,Cuentas!$A$1:$A$521),"")</f>
        <v>Alexandra</v>
      </c>
      <c r="B2728" t="s">
        <v>2952</v>
      </c>
      <c r="C2728" t="s">
        <v>2953</v>
      </c>
      <c r="D2728" t="s">
        <v>16</v>
      </c>
      <c r="E2728" t="s">
        <v>7</v>
      </c>
      <c r="F2728" t="s">
        <v>3024</v>
      </c>
      <c r="G2728" t="s">
        <v>3024</v>
      </c>
      <c r="H2728" s="2">
        <v>45733</v>
      </c>
      <c r="I2728" s="2">
        <v>45763</v>
      </c>
      <c r="J2728" t="s">
        <v>20</v>
      </c>
      <c r="K2728" s="21">
        <v>318</v>
      </c>
      <c r="L2728" s="21">
        <v>318</v>
      </c>
      <c r="M2728">
        <v>0</v>
      </c>
      <c r="N2728" s="21">
        <v>0</v>
      </c>
    </row>
    <row r="2729" spans="1:14">
      <c r="A2729" t="str">
        <f>IFERROR(_xlfn.XLOOKUP(B2729,Cuentas!$C$1:$C$521,Cuentas!$A$1:$A$521),"")</f>
        <v>Alexandra</v>
      </c>
      <c r="B2729" t="s">
        <v>2952</v>
      </c>
      <c r="C2729" t="s">
        <v>2953</v>
      </c>
      <c r="D2729" t="s">
        <v>16</v>
      </c>
      <c r="E2729" t="s">
        <v>7</v>
      </c>
      <c r="F2729" t="s">
        <v>3025</v>
      </c>
      <c r="G2729" t="s">
        <v>3025</v>
      </c>
      <c r="H2729" s="2">
        <v>45733</v>
      </c>
      <c r="I2729" s="2">
        <v>45763</v>
      </c>
      <c r="J2729" t="s">
        <v>20</v>
      </c>
      <c r="K2729" s="21">
        <v>159</v>
      </c>
      <c r="L2729" s="21">
        <v>159</v>
      </c>
      <c r="M2729">
        <v>0</v>
      </c>
      <c r="N2729" s="21">
        <v>0</v>
      </c>
    </row>
    <row r="2730" spans="1:14">
      <c r="A2730" t="str">
        <f>IFERROR(_xlfn.XLOOKUP(B2730,Cuentas!$C$1:$C$521,Cuentas!$A$1:$A$521),"")</f>
        <v>Alexandra</v>
      </c>
      <c r="B2730" t="s">
        <v>2952</v>
      </c>
      <c r="C2730" t="s">
        <v>2953</v>
      </c>
      <c r="D2730" t="s">
        <v>16</v>
      </c>
      <c r="E2730" t="s">
        <v>7</v>
      </c>
      <c r="F2730" t="s">
        <v>3026</v>
      </c>
      <c r="G2730" t="s">
        <v>3026</v>
      </c>
      <c r="H2730" s="2">
        <v>45733</v>
      </c>
      <c r="I2730" s="2">
        <v>45763</v>
      </c>
      <c r="J2730" t="s">
        <v>20</v>
      </c>
      <c r="K2730" s="21">
        <v>795</v>
      </c>
      <c r="L2730" s="21">
        <v>795</v>
      </c>
      <c r="M2730">
        <v>0</v>
      </c>
      <c r="N2730" s="21">
        <v>0</v>
      </c>
    </row>
    <row r="2731" spans="1:14">
      <c r="A2731" t="str">
        <f>IFERROR(_xlfn.XLOOKUP(B2731,Cuentas!$C$1:$C$521,Cuentas!$A$1:$A$521),"")</f>
        <v>Alexandra</v>
      </c>
      <c r="B2731" t="s">
        <v>2952</v>
      </c>
      <c r="C2731" t="s">
        <v>2953</v>
      </c>
      <c r="D2731" t="s">
        <v>16</v>
      </c>
      <c r="E2731" t="s">
        <v>7</v>
      </c>
      <c r="F2731" t="s">
        <v>3027</v>
      </c>
      <c r="G2731" t="s">
        <v>3027</v>
      </c>
      <c r="H2731" s="2">
        <v>45734</v>
      </c>
      <c r="I2731" s="2">
        <v>45764</v>
      </c>
      <c r="J2731" t="s">
        <v>20</v>
      </c>
      <c r="K2731" s="21">
        <v>159</v>
      </c>
      <c r="L2731" s="21">
        <v>159</v>
      </c>
      <c r="M2731">
        <v>0</v>
      </c>
      <c r="N2731" s="21">
        <v>0</v>
      </c>
    </row>
    <row r="2732" spans="1:14">
      <c r="A2732" t="str">
        <f>IFERROR(_xlfn.XLOOKUP(B2732,Cuentas!$C$1:$C$521,Cuentas!$A$1:$A$521),"")</f>
        <v>Alexandra</v>
      </c>
      <c r="B2732" t="s">
        <v>2952</v>
      </c>
      <c r="C2732" t="s">
        <v>2953</v>
      </c>
      <c r="D2732" t="s">
        <v>16</v>
      </c>
      <c r="E2732" t="s">
        <v>7</v>
      </c>
      <c r="F2732" t="s">
        <v>3028</v>
      </c>
      <c r="G2732" t="s">
        <v>3028</v>
      </c>
      <c r="H2732" s="2">
        <v>45734</v>
      </c>
      <c r="I2732" s="2">
        <v>45764</v>
      </c>
      <c r="J2732" t="s">
        <v>20</v>
      </c>
      <c r="K2732" s="21">
        <v>159</v>
      </c>
      <c r="L2732" s="21">
        <v>159</v>
      </c>
      <c r="M2732">
        <v>0</v>
      </c>
      <c r="N2732" s="21">
        <v>0</v>
      </c>
    </row>
    <row r="2733" spans="1:14">
      <c r="A2733" t="str">
        <f>IFERROR(_xlfn.XLOOKUP(B2733,Cuentas!$C$1:$C$521,Cuentas!$A$1:$A$521),"")</f>
        <v>Alexandra</v>
      </c>
      <c r="B2733" t="s">
        <v>2952</v>
      </c>
      <c r="C2733" t="s">
        <v>2953</v>
      </c>
      <c r="D2733" t="s">
        <v>16</v>
      </c>
      <c r="E2733" t="s">
        <v>7</v>
      </c>
      <c r="F2733" t="s">
        <v>3029</v>
      </c>
      <c r="G2733" t="s">
        <v>3029</v>
      </c>
      <c r="H2733" s="2">
        <v>45734</v>
      </c>
      <c r="I2733" s="2">
        <v>45764</v>
      </c>
      <c r="J2733" t="s">
        <v>20</v>
      </c>
      <c r="K2733" s="21">
        <v>318</v>
      </c>
      <c r="L2733" s="21">
        <v>318</v>
      </c>
      <c r="M2733">
        <v>0</v>
      </c>
      <c r="N2733" s="21">
        <v>0</v>
      </c>
    </row>
    <row r="2734" spans="1:14">
      <c r="A2734" t="str">
        <f>IFERROR(_xlfn.XLOOKUP(B2734,Cuentas!$C$1:$C$521,Cuentas!$A$1:$A$521),"")</f>
        <v>Alexandra</v>
      </c>
      <c r="B2734" t="s">
        <v>2952</v>
      </c>
      <c r="C2734" t="s">
        <v>2953</v>
      </c>
      <c r="D2734" t="s">
        <v>16</v>
      </c>
      <c r="E2734" t="s">
        <v>7</v>
      </c>
      <c r="F2734" t="s">
        <v>3030</v>
      </c>
      <c r="G2734" t="s">
        <v>3030</v>
      </c>
      <c r="H2734" s="2">
        <v>45734</v>
      </c>
      <c r="I2734" s="2">
        <v>45764</v>
      </c>
      <c r="J2734" t="s">
        <v>20</v>
      </c>
      <c r="K2734" s="21">
        <v>318</v>
      </c>
      <c r="L2734" s="21">
        <v>318</v>
      </c>
      <c r="M2734">
        <v>0</v>
      </c>
      <c r="N2734" s="21">
        <v>0</v>
      </c>
    </row>
    <row r="2735" spans="1:14">
      <c r="A2735" t="str">
        <f>IFERROR(_xlfn.XLOOKUP(B2735,Cuentas!$C$1:$C$521,Cuentas!$A$1:$A$521),"")</f>
        <v>Alexandra</v>
      </c>
      <c r="B2735" t="s">
        <v>2952</v>
      </c>
      <c r="C2735" t="s">
        <v>2953</v>
      </c>
      <c r="D2735" t="s">
        <v>16</v>
      </c>
      <c r="E2735" t="s">
        <v>7</v>
      </c>
      <c r="F2735" t="s">
        <v>3031</v>
      </c>
      <c r="G2735" t="s">
        <v>3031</v>
      </c>
      <c r="H2735" s="2">
        <v>45734</v>
      </c>
      <c r="I2735" s="2">
        <v>45764</v>
      </c>
      <c r="J2735" t="s">
        <v>20</v>
      </c>
      <c r="K2735" s="21">
        <v>954</v>
      </c>
      <c r="L2735" s="21">
        <v>954</v>
      </c>
      <c r="M2735">
        <v>0</v>
      </c>
      <c r="N2735" s="21">
        <v>0</v>
      </c>
    </row>
    <row r="2736" spans="1:14">
      <c r="A2736" t="str">
        <f>IFERROR(_xlfn.XLOOKUP(B2736,Cuentas!$C$1:$C$521,Cuentas!$A$1:$A$521),"")</f>
        <v>Alexandra</v>
      </c>
      <c r="B2736" t="s">
        <v>2952</v>
      </c>
      <c r="C2736" t="s">
        <v>2953</v>
      </c>
      <c r="D2736" t="s">
        <v>16</v>
      </c>
      <c r="E2736" t="s">
        <v>7</v>
      </c>
      <c r="F2736" t="s">
        <v>3032</v>
      </c>
      <c r="G2736" t="s">
        <v>3032</v>
      </c>
      <c r="H2736" s="2">
        <v>45734</v>
      </c>
      <c r="I2736" s="2">
        <v>45764</v>
      </c>
      <c r="J2736" t="s">
        <v>20</v>
      </c>
      <c r="K2736" s="21">
        <v>318</v>
      </c>
      <c r="L2736" s="21">
        <v>318</v>
      </c>
      <c r="M2736">
        <v>0</v>
      </c>
      <c r="N2736" s="21">
        <v>0</v>
      </c>
    </row>
    <row r="2737" spans="1:14">
      <c r="A2737" t="str">
        <f>IFERROR(_xlfn.XLOOKUP(B2737,Cuentas!$C$1:$C$521,Cuentas!$A$1:$A$521),"")</f>
        <v>Alexandra</v>
      </c>
      <c r="B2737" t="s">
        <v>2952</v>
      </c>
      <c r="C2737" t="s">
        <v>2953</v>
      </c>
      <c r="D2737" t="s">
        <v>16</v>
      </c>
      <c r="E2737" t="s">
        <v>7</v>
      </c>
      <c r="F2737" t="s">
        <v>3033</v>
      </c>
      <c r="G2737" t="s">
        <v>3033</v>
      </c>
      <c r="H2737" s="2">
        <v>45734</v>
      </c>
      <c r="I2737" s="2">
        <v>45764</v>
      </c>
      <c r="J2737" t="s">
        <v>20</v>
      </c>
      <c r="K2737" s="21">
        <v>318</v>
      </c>
      <c r="L2737" s="21">
        <v>318</v>
      </c>
      <c r="M2737">
        <v>0</v>
      </c>
      <c r="N2737" s="21">
        <v>0</v>
      </c>
    </row>
    <row r="2738" spans="1:14">
      <c r="A2738" t="str">
        <f>IFERROR(_xlfn.XLOOKUP(B2738,Cuentas!$C$1:$C$521,Cuentas!$A$1:$A$521),"")</f>
        <v>Alexandra</v>
      </c>
      <c r="B2738" t="s">
        <v>2952</v>
      </c>
      <c r="C2738" t="s">
        <v>2953</v>
      </c>
      <c r="D2738" t="s">
        <v>16</v>
      </c>
      <c r="E2738" t="s">
        <v>7</v>
      </c>
      <c r="F2738" t="s">
        <v>3034</v>
      </c>
      <c r="G2738" t="s">
        <v>3034</v>
      </c>
      <c r="H2738" s="2">
        <v>45734</v>
      </c>
      <c r="I2738" s="2">
        <v>45764</v>
      </c>
      <c r="J2738" t="s">
        <v>20</v>
      </c>
      <c r="K2738" s="21">
        <v>159</v>
      </c>
      <c r="L2738" s="21">
        <v>159</v>
      </c>
      <c r="M2738">
        <v>0</v>
      </c>
      <c r="N2738" s="21">
        <v>0</v>
      </c>
    </row>
    <row r="2739" spans="1:14">
      <c r="A2739" t="str">
        <f>IFERROR(_xlfn.XLOOKUP(B2739,Cuentas!$C$1:$C$521,Cuentas!$A$1:$A$521),"")</f>
        <v>Alexandra</v>
      </c>
      <c r="B2739" t="s">
        <v>2952</v>
      </c>
      <c r="C2739" t="s">
        <v>2953</v>
      </c>
      <c r="D2739" t="s">
        <v>16</v>
      </c>
      <c r="E2739" t="s">
        <v>7</v>
      </c>
      <c r="F2739" t="s">
        <v>3035</v>
      </c>
      <c r="G2739" t="s">
        <v>3035</v>
      </c>
      <c r="H2739" s="2">
        <v>45734</v>
      </c>
      <c r="I2739" s="2">
        <v>45764</v>
      </c>
      <c r="J2739" t="s">
        <v>20</v>
      </c>
      <c r="K2739" s="21">
        <v>318</v>
      </c>
      <c r="L2739" s="21">
        <v>318</v>
      </c>
      <c r="M2739">
        <v>0</v>
      </c>
      <c r="N2739" s="21">
        <v>0</v>
      </c>
    </row>
    <row r="2740" spans="1:14">
      <c r="A2740" t="str">
        <f>IFERROR(_xlfn.XLOOKUP(B2740,Cuentas!$C$1:$C$521,Cuentas!$A$1:$A$521),"")</f>
        <v>Alexandra</v>
      </c>
      <c r="B2740" t="s">
        <v>2952</v>
      </c>
      <c r="C2740" t="s">
        <v>2953</v>
      </c>
      <c r="D2740" t="s">
        <v>16</v>
      </c>
      <c r="E2740" t="s">
        <v>7</v>
      </c>
      <c r="F2740" t="s">
        <v>3036</v>
      </c>
      <c r="G2740" t="s">
        <v>3036</v>
      </c>
      <c r="H2740" s="2">
        <v>45735</v>
      </c>
      <c r="I2740" s="2">
        <v>45765</v>
      </c>
      <c r="J2740" t="s">
        <v>20</v>
      </c>
      <c r="K2740" s="21">
        <v>477</v>
      </c>
      <c r="L2740" s="21">
        <v>477</v>
      </c>
      <c r="M2740">
        <v>0</v>
      </c>
      <c r="N2740" s="21">
        <v>0</v>
      </c>
    </row>
    <row r="2741" spans="1:14">
      <c r="A2741" t="str">
        <f>IFERROR(_xlfn.XLOOKUP(B2741,Cuentas!$C$1:$C$521,Cuentas!$A$1:$A$521),"")</f>
        <v>Alexandra</v>
      </c>
      <c r="B2741" t="s">
        <v>2952</v>
      </c>
      <c r="C2741" t="s">
        <v>2953</v>
      </c>
      <c r="D2741" t="s">
        <v>16</v>
      </c>
      <c r="E2741" t="s">
        <v>7</v>
      </c>
      <c r="F2741" t="s">
        <v>3037</v>
      </c>
      <c r="G2741" t="s">
        <v>3037</v>
      </c>
      <c r="H2741" s="2">
        <v>45735</v>
      </c>
      <c r="I2741" s="2">
        <v>45765</v>
      </c>
      <c r="J2741" t="s">
        <v>20</v>
      </c>
      <c r="K2741" s="21">
        <v>159</v>
      </c>
      <c r="L2741" s="21">
        <v>159</v>
      </c>
      <c r="M2741">
        <v>0</v>
      </c>
      <c r="N2741" s="21">
        <v>0</v>
      </c>
    </row>
    <row r="2742" spans="1:14">
      <c r="A2742" t="str">
        <f>IFERROR(_xlfn.XLOOKUP(B2742,Cuentas!$C$1:$C$521,Cuentas!$A$1:$A$521),"")</f>
        <v>Alexandra</v>
      </c>
      <c r="B2742" t="s">
        <v>2952</v>
      </c>
      <c r="C2742" t="s">
        <v>2953</v>
      </c>
      <c r="D2742" t="s">
        <v>16</v>
      </c>
      <c r="E2742" t="s">
        <v>7</v>
      </c>
      <c r="F2742" t="s">
        <v>3038</v>
      </c>
      <c r="G2742" t="s">
        <v>3038</v>
      </c>
      <c r="H2742" s="2">
        <v>45735</v>
      </c>
      <c r="I2742" s="2">
        <v>45765</v>
      </c>
      <c r="J2742" t="s">
        <v>20</v>
      </c>
      <c r="K2742" s="21">
        <v>636</v>
      </c>
      <c r="L2742" s="21">
        <v>636</v>
      </c>
      <c r="M2742">
        <v>0</v>
      </c>
      <c r="N2742" s="21">
        <v>0</v>
      </c>
    </row>
    <row r="2743" spans="1:14">
      <c r="A2743" t="str">
        <f>IFERROR(_xlfn.XLOOKUP(B2743,Cuentas!$C$1:$C$521,Cuentas!$A$1:$A$521),"")</f>
        <v>Alexandra</v>
      </c>
      <c r="B2743" t="s">
        <v>2952</v>
      </c>
      <c r="C2743" t="s">
        <v>2953</v>
      </c>
      <c r="D2743" t="s">
        <v>16</v>
      </c>
      <c r="E2743" t="s">
        <v>7</v>
      </c>
      <c r="F2743" t="s">
        <v>3039</v>
      </c>
      <c r="G2743" t="s">
        <v>3039</v>
      </c>
      <c r="H2743" s="2">
        <v>45735</v>
      </c>
      <c r="I2743" s="2">
        <v>45765</v>
      </c>
      <c r="J2743" t="s">
        <v>20</v>
      </c>
      <c r="K2743" s="21">
        <v>159</v>
      </c>
      <c r="L2743" s="21">
        <v>159</v>
      </c>
      <c r="M2743">
        <v>0</v>
      </c>
      <c r="N2743" s="21">
        <v>0</v>
      </c>
    </row>
    <row r="2744" spans="1:14">
      <c r="A2744" t="str">
        <f>IFERROR(_xlfn.XLOOKUP(B2744,Cuentas!$C$1:$C$521,Cuentas!$A$1:$A$521),"")</f>
        <v>Alexandra</v>
      </c>
      <c r="B2744" t="s">
        <v>2952</v>
      </c>
      <c r="C2744" t="s">
        <v>2953</v>
      </c>
      <c r="D2744" t="s">
        <v>16</v>
      </c>
      <c r="E2744" t="s">
        <v>7</v>
      </c>
      <c r="F2744" t="s">
        <v>3040</v>
      </c>
      <c r="G2744" t="s">
        <v>3040</v>
      </c>
      <c r="H2744" s="2">
        <v>45735</v>
      </c>
      <c r="I2744" s="2">
        <v>45765</v>
      </c>
      <c r="J2744" t="s">
        <v>20</v>
      </c>
      <c r="K2744" s="21">
        <v>318</v>
      </c>
      <c r="L2744" s="21">
        <v>318</v>
      </c>
      <c r="M2744">
        <v>0</v>
      </c>
      <c r="N2744" s="21">
        <v>0</v>
      </c>
    </row>
    <row r="2745" spans="1:14">
      <c r="A2745" t="str">
        <f>IFERROR(_xlfn.XLOOKUP(B2745,Cuentas!$C$1:$C$521,Cuentas!$A$1:$A$521),"")</f>
        <v>Alexandra</v>
      </c>
      <c r="B2745" t="s">
        <v>2952</v>
      </c>
      <c r="C2745" t="s">
        <v>2953</v>
      </c>
      <c r="D2745" t="s">
        <v>16</v>
      </c>
      <c r="E2745" t="s">
        <v>7</v>
      </c>
      <c r="F2745" t="s">
        <v>3041</v>
      </c>
      <c r="G2745" t="s">
        <v>3041</v>
      </c>
      <c r="H2745" s="2">
        <v>45735</v>
      </c>
      <c r="I2745" s="2">
        <v>45765</v>
      </c>
      <c r="J2745" t="s">
        <v>20</v>
      </c>
      <c r="K2745" s="21">
        <v>159</v>
      </c>
      <c r="L2745" s="21">
        <v>159</v>
      </c>
      <c r="M2745">
        <v>0</v>
      </c>
      <c r="N2745" s="21">
        <v>0</v>
      </c>
    </row>
    <row r="2746" spans="1:14">
      <c r="A2746" t="str">
        <f>IFERROR(_xlfn.XLOOKUP(B2746,Cuentas!$C$1:$C$521,Cuentas!$A$1:$A$521),"")</f>
        <v>Alexandra</v>
      </c>
      <c r="B2746" t="s">
        <v>2952</v>
      </c>
      <c r="C2746" t="s">
        <v>2953</v>
      </c>
      <c r="D2746" t="s">
        <v>16</v>
      </c>
      <c r="E2746" t="s">
        <v>7</v>
      </c>
      <c r="F2746" t="s">
        <v>3042</v>
      </c>
      <c r="G2746" t="s">
        <v>3042</v>
      </c>
      <c r="H2746" s="2">
        <v>45736</v>
      </c>
      <c r="I2746" s="2">
        <v>45766</v>
      </c>
      <c r="J2746" t="s">
        <v>20</v>
      </c>
      <c r="K2746" s="21">
        <v>636</v>
      </c>
      <c r="L2746" s="21">
        <v>636</v>
      </c>
      <c r="M2746">
        <v>0</v>
      </c>
      <c r="N2746" s="21">
        <v>0</v>
      </c>
    </row>
    <row r="2747" spans="1:14">
      <c r="A2747" t="str">
        <f>IFERROR(_xlfn.XLOOKUP(B2747,Cuentas!$C$1:$C$521,Cuentas!$A$1:$A$521),"")</f>
        <v>Alexandra</v>
      </c>
      <c r="B2747" t="s">
        <v>2952</v>
      </c>
      <c r="C2747" t="s">
        <v>2953</v>
      </c>
      <c r="D2747" t="s">
        <v>16</v>
      </c>
      <c r="E2747" t="s">
        <v>7</v>
      </c>
      <c r="F2747" t="s">
        <v>3043</v>
      </c>
      <c r="G2747" t="s">
        <v>3043</v>
      </c>
      <c r="H2747" s="2">
        <v>45736</v>
      </c>
      <c r="I2747" s="2">
        <v>45766</v>
      </c>
      <c r="J2747" t="s">
        <v>20</v>
      </c>
      <c r="K2747" s="21">
        <v>318</v>
      </c>
      <c r="L2747" s="21">
        <v>318</v>
      </c>
      <c r="M2747">
        <v>0</v>
      </c>
      <c r="N2747" s="21">
        <v>0</v>
      </c>
    </row>
    <row r="2748" spans="1:14">
      <c r="A2748" t="str">
        <f>IFERROR(_xlfn.XLOOKUP(B2748,Cuentas!$C$1:$C$521,Cuentas!$A$1:$A$521),"")</f>
        <v>Alexandra</v>
      </c>
      <c r="B2748" t="s">
        <v>2952</v>
      </c>
      <c r="C2748" t="s">
        <v>2953</v>
      </c>
      <c r="D2748" t="s">
        <v>16</v>
      </c>
      <c r="E2748" t="s">
        <v>7</v>
      </c>
      <c r="F2748" t="s">
        <v>3044</v>
      </c>
      <c r="G2748" t="s">
        <v>3044</v>
      </c>
      <c r="H2748" s="2">
        <v>45736</v>
      </c>
      <c r="I2748" s="2">
        <v>45766</v>
      </c>
      <c r="J2748" t="s">
        <v>20</v>
      </c>
      <c r="K2748" s="21">
        <v>636</v>
      </c>
      <c r="L2748" s="21">
        <v>636</v>
      </c>
      <c r="M2748">
        <v>0</v>
      </c>
      <c r="N2748" s="21">
        <v>0</v>
      </c>
    </row>
    <row r="2749" spans="1:14">
      <c r="A2749" t="str">
        <f>IFERROR(_xlfn.XLOOKUP(B2749,Cuentas!$C$1:$C$521,Cuentas!$A$1:$A$521),"")</f>
        <v>Alexandra</v>
      </c>
      <c r="B2749" t="s">
        <v>2952</v>
      </c>
      <c r="C2749" t="s">
        <v>2953</v>
      </c>
      <c r="D2749" t="s">
        <v>16</v>
      </c>
      <c r="E2749" t="s">
        <v>7</v>
      </c>
      <c r="F2749" t="s">
        <v>3045</v>
      </c>
      <c r="G2749" t="s">
        <v>3045</v>
      </c>
      <c r="H2749" s="2">
        <v>45736</v>
      </c>
      <c r="I2749" s="2">
        <v>45766</v>
      </c>
      <c r="J2749" t="s">
        <v>20</v>
      </c>
      <c r="K2749" s="21">
        <v>159</v>
      </c>
      <c r="L2749" s="21">
        <v>159</v>
      </c>
      <c r="M2749">
        <v>0</v>
      </c>
      <c r="N2749" s="21">
        <v>0</v>
      </c>
    </row>
    <row r="2750" spans="1:14">
      <c r="A2750" t="str">
        <f>IFERROR(_xlfn.XLOOKUP(B2750,Cuentas!$C$1:$C$521,Cuentas!$A$1:$A$521),"")</f>
        <v>Alexandra</v>
      </c>
      <c r="B2750" t="s">
        <v>2952</v>
      </c>
      <c r="C2750" t="s">
        <v>2953</v>
      </c>
      <c r="D2750" t="s">
        <v>16</v>
      </c>
      <c r="E2750" t="s">
        <v>7</v>
      </c>
      <c r="F2750" t="s">
        <v>3046</v>
      </c>
      <c r="G2750" t="s">
        <v>3046</v>
      </c>
      <c r="H2750" s="2">
        <v>45736</v>
      </c>
      <c r="I2750" s="2">
        <v>45766</v>
      </c>
      <c r="J2750" t="s">
        <v>20</v>
      </c>
      <c r="K2750" s="21">
        <v>318</v>
      </c>
      <c r="L2750" s="21">
        <v>318</v>
      </c>
      <c r="M2750">
        <v>0</v>
      </c>
      <c r="N2750" s="21">
        <v>0</v>
      </c>
    </row>
    <row r="2751" spans="1:14">
      <c r="A2751" t="str">
        <f>IFERROR(_xlfn.XLOOKUP(B2751,Cuentas!$C$1:$C$521,Cuentas!$A$1:$A$521),"")</f>
        <v>Alexandra</v>
      </c>
      <c r="B2751" t="s">
        <v>2952</v>
      </c>
      <c r="C2751" t="s">
        <v>2953</v>
      </c>
      <c r="D2751" t="s">
        <v>16</v>
      </c>
      <c r="E2751" t="s">
        <v>7</v>
      </c>
      <c r="F2751" t="s">
        <v>3047</v>
      </c>
      <c r="G2751" t="s">
        <v>3047</v>
      </c>
      <c r="H2751" s="2">
        <v>45736</v>
      </c>
      <c r="I2751" s="2">
        <v>45766</v>
      </c>
      <c r="J2751" t="s">
        <v>20</v>
      </c>
      <c r="K2751" s="21">
        <v>477</v>
      </c>
      <c r="L2751" s="21">
        <v>477</v>
      </c>
      <c r="M2751">
        <v>0</v>
      </c>
      <c r="N2751" s="21">
        <v>0</v>
      </c>
    </row>
    <row r="2752" spans="1:14">
      <c r="A2752" t="str">
        <f>IFERROR(_xlfn.XLOOKUP(B2752,Cuentas!$C$1:$C$521,Cuentas!$A$1:$A$521),"")</f>
        <v>Alexandra</v>
      </c>
      <c r="B2752" t="s">
        <v>2952</v>
      </c>
      <c r="C2752" t="s">
        <v>2953</v>
      </c>
      <c r="D2752" t="s">
        <v>16</v>
      </c>
      <c r="E2752" t="s">
        <v>7</v>
      </c>
      <c r="F2752" t="s">
        <v>3048</v>
      </c>
      <c r="G2752" t="s">
        <v>3048</v>
      </c>
      <c r="H2752" s="2">
        <v>45736</v>
      </c>
      <c r="I2752" s="2">
        <v>45766</v>
      </c>
      <c r="J2752" t="s">
        <v>20</v>
      </c>
      <c r="K2752" s="21">
        <v>318</v>
      </c>
      <c r="L2752" s="21">
        <v>318</v>
      </c>
      <c r="M2752">
        <v>0</v>
      </c>
      <c r="N2752" s="21">
        <v>0</v>
      </c>
    </row>
    <row r="2753" spans="1:14">
      <c r="A2753" t="str">
        <f>IFERROR(_xlfn.XLOOKUP(B2753,Cuentas!$C$1:$C$521,Cuentas!$A$1:$A$521),"")</f>
        <v>Alexandra</v>
      </c>
      <c r="B2753" t="s">
        <v>2952</v>
      </c>
      <c r="C2753" t="s">
        <v>2953</v>
      </c>
      <c r="D2753" t="s">
        <v>16</v>
      </c>
      <c r="E2753" t="s">
        <v>7</v>
      </c>
      <c r="F2753" t="s">
        <v>3049</v>
      </c>
      <c r="G2753" t="s">
        <v>3049</v>
      </c>
      <c r="H2753" s="2">
        <v>45737</v>
      </c>
      <c r="I2753" s="2">
        <v>45767</v>
      </c>
      <c r="J2753" t="s">
        <v>20</v>
      </c>
      <c r="K2753" s="21">
        <v>159</v>
      </c>
      <c r="L2753" s="21">
        <v>159</v>
      </c>
      <c r="M2753">
        <v>0</v>
      </c>
      <c r="N2753" s="21">
        <v>0</v>
      </c>
    </row>
    <row r="2754" spans="1:14">
      <c r="A2754" t="str">
        <f>IFERROR(_xlfn.XLOOKUP(B2754,Cuentas!$C$1:$C$521,Cuentas!$A$1:$A$521),"")</f>
        <v>Alexandra</v>
      </c>
      <c r="B2754" t="s">
        <v>2952</v>
      </c>
      <c r="C2754" t="s">
        <v>2953</v>
      </c>
      <c r="D2754" t="s">
        <v>16</v>
      </c>
      <c r="E2754" t="s">
        <v>7</v>
      </c>
      <c r="F2754" t="s">
        <v>3050</v>
      </c>
      <c r="G2754" t="s">
        <v>3050</v>
      </c>
      <c r="H2754" s="2">
        <v>45737</v>
      </c>
      <c r="I2754" s="2">
        <v>45767</v>
      </c>
      <c r="J2754" t="s">
        <v>20</v>
      </c>
      <c r="K2754" s="21">
        <v>636</v>
      </c>
      <c r="L2754" s="21">
        <v>636</v>
      </c>
      <c r="M2754">
        <v>0</v>
      </c>
      <c r="N2754" s="21">
        <v>0</v>
      </c>
    </row>
    <row r="2755" spans="1:14">
      <c r="A2755" t="str">
        <f>IFERROR(_xlfn.XLOOKUP(B2755,Cuentas!$C$1:$C$521,Cuentas!$A$1:$A$521),"")</f>
        <v>Alexandra</v>
      </c>
      <c r="B2755" t="s">
        <v>2952</v>
      </c>
      <c r="C2755" t="s">
        <v>2953</v>
      </c>
      <c r="D2755" t="s">
        <v>16</v>
      </c>
      <c r="E2755" t="s">
        <v>7</v>
      </c>
      <c r="F2755" t="s">
        <v>3051</v>
      </c>
      <c r="G2755" t="s">
        <v>3051</v>
      </c>
      <c r="H2755" s="2">
        <v>45737</v>
      </c>
      <c r="I2755" s="2">
        <v>45767</v>
      </c>
      <c r="J2755" t="s">
        <v>20</v>
      </c>
      <c r="K2755" s="21">
        <v>159</v>
      </c>
      <c r="L2755" s="21">
        <v>159</v>
      </c>
      <c r="M2755">
        <v>0</v>
      </c>
      <c r="N2755" s="21">
        <v>0</v>
      </c>
    </row>
    <row r="2756" spans="1:14">
      <c r="A2756" t="str">
        <f>IFERROR(_xlfn.XLOOKUP(B2756,Cuentas!$C$1:$C$521,Cuentas!$A$1:$A$521),"")</f>
        <v>Alexandra</v>
      </c>
      <c r="B2756" t="s">
        <v>2952</v>
      </c>
      <c r="C2756" t="s">
        <v>2953</v>
      </c>
      <c r="D2756" t="s">
        <v>16</v>
      </c>
      <c r="E2756" t="s">
        <v>7</v>
      </c>
      <c r="F2756" t="s">
        <v>3052</v>
      </c>
      <c r="G2756" t="s">
        <v>3052</v>
      </c>
      <c r="H2756" s="2">
        <v>45737</v>
      </c>
      <c r="I2756" s="2">
        <v>45767</v>
      </c>
      <c r="J2756" t="s">
        <v>20</v>
      </c>
      <c r="K2756" s="21">
        <v>159</v>
      </c>
      <c r="L2756" s="21">
        <v>159</v>
      </c>
      <c r="M2756">
        <v>0</v>
      </c>
      <c r="N2756" s="21">
        <v>0</v>
      </c>
    </row>
    <row r="2757" spans="1:14">
      <c r="A2757" t="str">
        <f>IFERROR(_xlfn.XLOOKUP(B2757,Cuentas!$C$1:$C$521,Cuentas!$A$1:$A$521),"")</f>
        <v>Alexandra</v>
      </c>
      <c r="B2757" t="s">
        <v>2952</v>
      </c>
      <c r="C2757" t="s">
        <v>2953</v>
      </c>
      <c r="D2757" t="s">
        <v>16</v>
      </c>
      <c r="E2757" t="s">
        <v>7</v>
      </c>
      <c r="F2757" t="s">
        <v>3053</v>
      </c>
      <c r="G2757" t="s">
        <v>3053</v>
      </c>
      <c r="H2757" s="2">
        <v>45737</v>
      </c>
      <c r="I2757" s="2">
        <v>45767</v>
      </c>
      <c r="J2757" t="s">
        <v>20</v>
      </c>
      <c r="K2757" s="21">
        <v>159</v>
      </c>
      <c r="L2757" s="21">
        <v>159</v>
      </c>
      <c r="M2757">
        <v>0</v>
      </c>
      <c r="N2757" s="21">
        <v>0</v>
      </c>
    </row>
    <row r="2758" spans="1:14">
      <c r="A2758" t="str">
        <f>IFERROR(_xlfn.XLOOKUP(B2758,Cuentas!$C$1:$C$521,Cuentas!$A$1:$A$521),"")</f>
        <v>Alexandra</v>
      </c>
      <c r="B2758" t="s">
        <v>2952</v>
      </c>
      <c r="C2758" t="s">
        <v>2953</v>
      </c>
      <c r="D2758" t="s">
        <v>16</v>
      </c>
      <c r="E2758" t="s">
        <v>7</v>
      </c>
      <c r="F2758" t="s">
        <v>3054</v>
      </c>
      <c r="G2758" t="s">
        <v>3054</v>
      </c>
      <c r="H2758" s="2">
        <v>45737</v>
      </c>
      <c r="I2758" s="2">
        <v>45767</v>
      </c>
      <c r="J2758" t="s">
        <v>20</v>
      </c>
      <c r="K2758" s="21">
        <v>318</v>
      </c>
      <c r="L2758" s="21">
        <v>318</v>
      </c>
      <c r="M2758">
        <v>0</v>
      </c>
      <c r="N2758" s="21">
        <v>0</v>
      </c>
    </row>
    <row r="2759" spans="1:14">
      <c r="A2759" t="str">
        <f>IFERROR(_xlfn.XLOOKUP(B2759,Cuentas!$C$1:$C$521,Cuentas!$A$1:$A$521),"")</f>
        <v>Alexandra</v>
      </c>
      <c r="B2759" t="s">
        <v>2952</v>
      </c>
      <c r="C2759" t="s">
        <v>2953</v>
      </c>
      <c r="D2759" t="s">
        <v>16</v>
      </c>
      <c r="E2759" t="s">
        <v>7</v>
      </c>
      <c r="F2759" t="s">
        <v>3055</v>
      </c>
      <c r="G2759" t="s">
        <v>3055</v>
      </c>
      <c r="H2759" s="2">
        <v>45740</v>
      </c>
      <c r="I2759" s="2">
        <v>45770</v>
      </c>
      <c r="J2759" t="s">
        <v>20</v>
      </c>
      <c r="K2759" s="21">
        <v>159</v>
      </c>
      <c r="L2759" s="21">
        <v>159</v>
      </c>
      <c r="M2759">
        <v>0</v>
      </c>
      <c r="N2759" s="21">
        <v>0</v>
      </c>
    </row>
    <row r="2760" spans="1:14">
      <c r="A2760" t="str">
        <f>IFERROR(_xlfn.XLOOKUP(B2760,Cuentas!$C$1:$C$521,Cuentas!$A$1:$A$521),"")</f>
        <v>Alexandra</v>
      </c>
      <c r="B2760" t="s">
        <v>2952</v>
      </c>
      <c r="C2760" t="s">
        <v>2953</v>
      </c>
      <c r="D2760" t="s">
        <v>16</v>
      </c>
      <c r="E2760" t="s">
        <v>7</v>
      </c>
      <c r="F2760" t="s">
        <v>3056</v>
      </c>
      <c r="G2760" t="s">
        <v>3056</v>
      </c>
      <c r="H2760" s="2">
        <v>45740</v>
      </c>
      <c r="I2760" s="2">
        <v>45770</v>
      </c>
      <c r="J2760" t="s">
        <v>20</v>
      </c>
      <c r="K2760" s="21">
        <v>159</v>
      </c>
      <c r="L2760" s="21">
        <v>159</v>
      </c>
      <c r="M2760">
        <v>0</v>
      </c>
      <c r="N2760" s="21">
        <v>0</v>
      </c>
    </row>
    <row r="2761" spans="1:14">
      <c r="A2761" t="str">
        <f>IFERROR(_xlfn.XLOOKUP(B2761,Cuentas!$C$1:$C$521,Cuentas!$A$1:$A$521),"")</f>
        <v>Alexandra</v>
      </c>
      <c r="B2761" t="s">
        <v>2952</v>
      </c>
      <c r="C2761" t="s">
        <v>2953</v>
      </c>
      <c r="D2761" t="s">
        <v>16</v>
      </c>
      <c r="E2761" t="s">
        <v>7</v>
      </c>
      <c r="F2761" t="s">
        <v>3057</v>
      </c>
      <c r="G2761" t="s">
        <v>3057</v>
      </c>
      <c r="H2761" s="2">
        <v>45740</v>
      </c>
      <c r="I2761" s="2">
        <v>45770</v>
      </c>
      <c r="J2761" t="s">
        <v>20</v>
      </c>
      <c r="K2761" s="21">
        <v>159</v>
      </c>
      <c r="L2761" s="21">
        <v>159</v>
      </c>
      <c r="M2761">
        <v>0</v>
      </c>
      <c r="N2761" s="21">
        <v>0</v>
      </c>
    </row>
    <row r="2762" spans="1:14">
      <c r="A2762" t="str">
        <f>IFERROR(_xlfn.XLOOKUP(B2762,Cuentas!$C$1:$C$521,Cuentas!$A$1:$A$521),"")</f>
        <v>Alexandra</v>
      </c>
      <c r="B2762" t="s">
        <v>2952</v>
      </c>
      <c r="C2762" t="s">
        <v>2953</v>
      </c>
      <c r="D2762" t="s">
        <v>16</v>
      </c>
      <c r="E2762" t="s">
        <v>7</v>
      </c>
      <c r="F2762" t="s">
        <v>3058</v>
      </c>
      <c r="G2762" t="s">
        <v>3058</v>
      </c>
      <c r="H2762" s="2">
        <v>45740</v>
      </c>
      <c r="I2762" s="2">
        <v>45770</v>
      </c>
      <c r="J2762" t="s">
        <v>20</v>
      </c>
      <c r="K2762" s="21">
        <v>159</v>
      </c>
      <c r="L2762" s="21">
        <v>159</v>
      </c>
      <c r="M2762">
        <v>0</v>
      </c>
      <c r="N2762" s="21">
        <v>0</v>
      </c>
    </row>
    <row r="2763" spans="1:14">
      <c r="A2763" t="str">
        <f>IFERROR(_xlfn.XLOOKUP(B2763,Cuentas!$C$1:$C$521,Cuentas!$A$1:$A$521),"")</f>
        <v>Alexandra</v>
      </c>
      <c r="B2763" t="s">
        <v>2952</v>
      </c>
      <c r="C2763" t="s">
        <v>2953</v>
      </c>
      <c r="D2763" t="s">
        <v>16</v>
      </c>
      <c r="E2763" t="s">
        <v>7</v>
      </c>
      <c r="F2763" t="s">
        <v>3059</v>
      </c>
      <c r="G2763" t="s">
        <v>3059</v>
      </c>
      <c r="H2763" s="2">
        <v>45740</v>
      </c>
      <c r="I2763" s="2">
        <v>45770</v>
      </c>
      <c r="J2763" t="s">
        <v>20</v>
      </c>
      <c r="K2763" s="21">
        <v>318</v>
      </c>
      <c r="L2763" s="21">
        <v>318</v>
      </c>
      <c r="M2763">
        <v>0</v>
      </c>
      <c r="N2763" s="21">
        <v>0</v>
      </c>
    </row>
    <row r="2764" spans="1:14">
      <c r="A2764" t="str">
        <f>IFERROR(_xlfn.XLOOKUP(B2764,Cuentas!$C$1:$C$521,Cuentas!$A$1:$A$521),"")</f>
        <v>Alexandra</v>
      </c>
      <c r="B2764" t="s">
        <v>2952</v>
      </c>
      <c r="C2764" t="s">
        <v>2953</v>
      </c>
      <c r="D2764" t="s">
        <v>16</v>
      </c>
      <c r="E2764" t="s">
        <v>7</v>
      </c>
      <c r="F2764" t="s">
        <v>3060</v>
      </c>
      <c r="G2764" t="s">
        <v>3060</v>
      </c>
      <c r="H2764" s="2">
        <v>45740</v>
      </c>
      <c r="I2764" s="2">
        <v>45770</v>
      </c>
      <c r="J2764" t="s">
        <v>20</v>
      </c>
      <c r="K2764" s="21">
        <v>318</v>
      </c>
      <c r="L2764" s="21">
        <v>318</v>
      </c>
      <c r="M2764">
        <v>0</v>
      </c>
      <c r="N2764" s="21">
        <v>0</v>
      </c>
    </row>
    <row r="2765" spans="1:14">
      <c r="A2765" t="str">
        <f>IFERROR(_xlfn.XLOOKUP(B2765,Cuentas!$C$1:$C$521,Cuentas!$A$1:$A$521),"")</f>
        <v>Alexandra</v>
      </c>
      <c r="B2765" t="s">
        <v>2952</v>
      </c>
      <c r="C2765" t="s">
        <v>2953</v>
      </c>
      <c r="D2765" t="s">
        <v>16</v>
      </c>
      <c r="E2765" t="s">
        <v>7</v>
      </c>
      <c r="F2765" t="s">
        <v>3061</v>
      </c>
      <c r="G2765" t="s">
        <v>3061</v>
      </c>
      <c r="H2765" s="2">
        <v>45740</v>
      </c>
      <c r="I2765" s="2">
        <v>45770</v>
      </c>
      <c r="J2765" t="s">
        <v>20</v>
      </c>
      <c r="K2765" s="21">
        <v>159</v>
      </c>
      <c r="L2765" s="21">
        <v>159</v>
      </c>
      <c r="M2765">
        <v>0</v>
      </c>
      <c r="N2765" s="21">
        <v>0</v>
      </c>
    </row>
    <row r="2766" spans="1:14">
      <c r="A2766" t="str">
        <f>IFERROR(_xlfn.XLOOKUP(B2766,Cuentas!$C$1:$C$521,Cuentas!$A$1:$A$521),"")</f>
        <v>Alexandra</v>
      </c>
      <c r="B2766" t="s">
        <v>2952</v>
      </c>
      <c r="C2766" t="s">
        <v>2953</v>
      </c>
      <c r="D2766" t="s">
        <v>16</v>
      </c>
      <c r="E2766" t="s">
        <v>7</v>
      </c>
      <c r="F2766" t="s">
        <v>3062</v>
      </c>
      <c r="G2766" t="s">
        <v>3062</v>
      </c>
      <c r="H2766" s="2">
        <v>45740</v>
      </c>
      <c r="I2766" s="2">
        <v>45770</v>
      </c>
      <c r="J2766" t="s">
        <v>20</v>
      </c>
      <c r="K2766" s="21">
        <v>159</v>
      </c>
      <c r="L2766" s="21">
        <v>159</v>
      </c>
      <c r="M2766">
        <v>0</v>
      </c>
      <c r="N2766" s="21">
        <v>0</v>
      </c>
    </row>
    <row r="2767" spans="1:14">
      <c r="A2767" t="str">
        <f>IFERROR(_xlfn.XLOOKUP(B2767,Cuentas!$C$1:$C$521,Cuentas!$A$1:$A$521),"")</f>
        <v>Alexandra</v>
      </c>
      <c r="B2767" t="s">
        <v>2952</v>
      </c>
      <c r="C2767" t="s">
        <v>2953</v>
      </c>
      <c r="D2767" t="s">
        <v>16</v>
      </c>
      <c r="E2767" t="s">
        <v>7</v>
      </c>
      <c r="F2767" t="s">
        <v>3063</v>
      </c>
      <c r="G2767" t="s">
        <v>3063</v>
      </c>
      <c r="H2767" s="2">
        <v>45740</v>
      </c>
      <c r="I2767" s="2">
        <v>45770</v>
      </c>
      <c r="J2767" t="s">
        <v>20</v>
      </c>
      <c r="K2767" s="21">
        <v>159</v>
      </c>
      <c r="L2767" s="21">
        <v>159</v>
      </c>
      <c r="M2767">
        <v>0</v>
      </c>
      <c r="N2767" s="21">
        <v>0</v>
      </c>
    </row>
    <row r="2768" spans="1:14">
      <c r="A2768" t="str">
        <f>IFERROR(_xlfn.XLOOKUP(B2768,Cuentas!$C$1:$C$521,Cuentas!$A$1:$A$521),"")</f>
        <v>Alexandra</v>
      </c>
      <c r="B2768" t="s">
        <v>2952</v>
      </c>
      <c r="C2768" t="s">
        <v>2953</v>
      </c>
      <c r="D2768" t="s">
        <v>16</v>
      </c>
      <c r="E2768" t="s">
        <v>7</v>
      </c>
      <c r="F2768" t="s">
        <v>3064</v>
      </c>
      <c r="G2768" t="s">
        <v>3064</v>
      </c>
      <c r="H2768" s="2">
        <v>45740</v>
      </c>
      <c r="I2768" s="2">
        <v>45770</v>
      </c>
      <c r="J2768" t="s">
        <v>20</v>
      </c>
      <c r="K2768" s="21">
        <v>159</v>
      </c>
      <c r="L2768" s="21">
        <v>159</v>
      </c>
      <c r="M2768">
        <v>0</v>
      </c>
      <c r="N2768" s="21">
        <v>0</v>
      </c>
    </row>
    <row r="2769" spans="1:14">
      <c r="A2769" t="str">
        <f>IFERROR(_xlfn.XLOOKUP(B2769,Cuentas!$C$1:$C$521,Cuentas!$A$1:$A$521),"")</f>
        <v>Alexandra</v>
      </c>
      <c r="B2769" t="s">
        <v>2952</v>
      </c>
      <c r="C2769" t="s">
        <v>2953</v>
      </c>
      <c r="D2769" t="s">
        <v>16</v>
      </c>
      <c r="E2769" t="s">
        <v>7</v>
      </c>
      <c r="F2769" t="s">
        <v>3065</v>
      </c>
      <c r="G2769" t="s">
        <v>3065</v>
      </c>
      <c r="H2769" s="2">
        <v>45740</v>
      </c>
      <c r="I2769" s="2">
        <v>45770</v>
      </c>
      <c r="J2769" t="s">
        <v>20</v>
      </c>
      <c r="K2769" s="21">
        <v>159</v>
      </c>
      <c r="L2769" s="21">
        <v>159</v>
      </c>
      <c r="M2769">
        <v>0</v>
      </c>
      <c r="N2769" s="21">
        <v>0</v>
      </c>
    </row>
    <row r="2770" spans="1:14">
      <c r="A2770" t="str">
        <f>IFERROR(_xlfn.XLOOKUP(B2770,Cuentas!$C$1:$C$521,Cuentas!$A$1:$A$521),"")</f>
        <v>Alexandra</v>
      </c>
      <c r="B2770" t="s">
        <v>2952</v>
      </c>
      <c r="C2770" t="s">
        <v>2953</v>
      </c>
      <c r="D2770" t="s">
        <v>16</v>
      </c>
      <c r="E2770" t="s">
        <v>7</v>
      </c>
      <c r="F2770" t="s">
        <v>3066</v>
      </c>
      <c r="G2770" t="s">
        <v>3066</v>
      </c>
      <c r="H2770" s="2">
        <v>45740</v>
      </c>
      <c r="I2770" s="2">
        <v>45770</v>
      </c>
      <c r="J2770" t="s">
        <v>20</v>
      </c>
      <c r="K2770" s="21">
        <v>477</v>
      </c>
      <c r="L2770" s="21">
        <v>477</v>
      </c>
      <c r="M2770">
        <v>0</v>
      </c>
      <c r="N2770" s="21">
        <v>0</v>
      </c>
    </row>
    <row r="2771" spans="1:14">
      <c r="A2771" t="str">
        <f>IFERROR(_xlfn.XLOOKUP(B2771,Cuentas!$C$1:$C$521,Cuentas!$A$1:$A$521),"")</f>
        <v>Alexandra</v>
      </c>
      <c r="B2771" t="s">
        <v>2952</v>
      </c>
      <c r="C2771" t="s">
        <v>2953</v>
      </c>
      <c r="D2771" t="s">
        <v>16</v>
      </c>
      <c r="E2771" t="s">
        <v>7</v>
      </c>
      <c r="F2771" t="s">
        <v>3067</v>
      </c>
      <c r="G2771" t="s">
        <v>3067</v>
      </c>
      <c r="H2771" s="2">
        <v>45740</v>
      </c>
      <c r="I2771" s="2">
        <v>45770</v>
      </c>
      <c r="J2771" t="s">
        <v>20</v>
      </c>
      <c r="K2771" s="21">
        <v>159</v>
      </c>
      <c r="L2771" s="21">
        <v>159</v>
      </c>
      <c r="M2771">
        <v>0</v>
      </c>
      <c r="N2771" s="21">
        <v>0</v>
      </c>
    </row>
    <row r="2772" spans="1:14">
      <c r="A2772" t="str">
        <f>IFERROR(_xlfn.XLOOKUP(B2772,Cuentas!$C$1:$C$521,Cuentas!$A$1:$A$521),"")</f>
        <v>Alexandra</v>
      </c>
      <c r="B2772" t="s">
        <v>2952</v>
      </c>
      <c r="C2772" t="s">
        <v>2953</v>
      </c>
      <c r="D2772" t="s">
        <v>16</v>
      </c>
      <c r="E2772" t="s">
        <v>7</v>
      </c>
      <c r="F2772" t="s">
        <v>3068</v>
      </c>
      <c r="G2772" t="s">
        <v>3068</v>
      </c>
      <c r="H2772" s="2">
        <v>45740</v>
      </c>
      <c r="I2772" s="2">
        <v>45770</v>
      </c>
      <c r="J2772" t="s">
        <v>20</v>
      </c>
      <c r="K2772" s="21">
        <v>159</v>
      </c>
      <c r="L2772" s="21">
        <v>159</v>
      </c>
      <c r="M2772">
        <v>0</v>
      </c>
      <c r="N2772" s="21">
        <v>0</v>
      </c>
    </row>
    <row r="2773" spans="1:14">
      <c r="A2773" t="str">
        <f>IFERROR(_xlfn.XLOOKUP(B2773,Cuentas!$C$1:$C$521,Cuentas!$A$1:$A$521),"")</f>
        <v>Alexandra</v>
      </c>
      <c r="B2773" t="s">
        <v>2952</v>
      </c>
      <c r="C2773" t="s">
        <v>2953</v>
      </c>
      <c r="D2773" t="s">
        <v>16</v>
      </c>
      <c r="E2773" t="s">
        <v>7</v>
      </c>
      <c r="F2773" t="s">
        <v>3069</v>
      </c>
      <c r="G2773" t="s">
        <v>3069</v>
      </c>
      <c r="H2773" s="2">
        <v>45740</v>
      </c>
      <c r="I2773" s="2">
        <v>45770</v>
      </c>
      <c r="J2773" t="s">
        <v>20</v>
      </c>
      <c r="K2773" s="21">
        <v>159</v>
      </c>
      <c r="L2773" s="21">
        <v>159</v>
      </c>
      <c r="M2773">
        <v>0</v>
      </c>
      <c r="N2773" s="21">
        <v>0</v>
      </c>
    </row>
    <row r="2774" spans="1:14">
      <c r="A2774" t="str">
        <f>IFERROR(_xlfn.XLOOKUP(B2774,Cuentas!$C$1:$C$521,Cuentas!$A$1:$A$521),"")</f>
        <v>Alexandra</v>
      </c>
      <c r="B2774" t="s">
        <v>2952</v>
      </c>
      <c r="C2774" t="s">
        <v>2953</v>
      </c>
      <c r="D2774" t="s">
        <v>16</v>
      </c>
      <c r="E2774" t="s">
        <v>7</v>
      </c>
      <c r="F2774" t="s">
        <v>3070</v>
      </c>
      <c r="G2774" t="s">
        <v>3070</v>
      </c>
      <c r="H2774" s="2">
        <v>45740</v>
      </c>
      <c r="I2774" s="2">
        <v>45770</v>
      </c>
      <c r="J2774" t="s">
        <v>20</v>
      </c>
      <c r="K2774" s="21">
        <v>159</v>
      </c>
      <c r="L2774" s="21">
        <v>159</v>
      </c>
      <c r="M2774">
        <v>0</v>
      </c>
      <c r="N2774" s="21">
        <v>0</v>
      </c>
    </row>
    <row r="2775" spans="1:14">
      <c r="A2775" t="str">
        <f>IFERROR(_xlfn.XLOOKUP(B2775,Cuentas!$C$1:$C$521,Cuentas!$A$1:$A$521),"")</f>
        <v>Alexandra</v>
      </c>
      <c r="B2775" t="s">
        <v>2952</v>
      </c>
      <c r="C2775" t="s">
        <v>2953</v>
      </c>
      <c r="D2775" t="s">
        <v>16</v>
      </c>
      <c r="E2775" t="s">
        <v>7</v>
      </c>
      <c r="F2775" t="s">
        <v>3071</v>
      </c>
      <c r="G2775" t="s">
        <v>3071</v>
      </c>
      <c r="H2775" s="2">
        <v>45740</v>
      </c>
      <c r="I2775" s="2">
        <v>45770</v>
      </c>
      <c r="J2775" t="s">
        <v>20</v>
      </c>
      <c r="K2775" s="21">
        <v>159</v>
      </c>
      <c r="L2775" s="21">
        <v>159</v>
      </c>
      <c r="M2775">
        <v>0</v>
      </c>
      <c r="N2775" s="21">
        <v>0</v>
      </c>
    </row>
    <row r="2776" spans="1:14">
      <c r="A2776" t="str">
        <f>IFERROR(_xlfn.XLOOKUP(B2776,Cuentas!$C$1:$C$521,Cuentas!$A$1:$A$521),"")</f>
        <v>Alexandra</v>
      </c>
      <c r="B2776" t="s">
        <v>2952</v>
      </c>
      <c r="C2776" t="s">
        <v>2953</v>
      </c>
      <c r="D2776" t="s">
        <v>16</v>
      </c>
      <c r="E2776" t="s">
        <v>7</v>
      </c>
      <c r="F2776" t="s">
        <v>3072</v>
      </c>
      <c r="G2776" t="s">
        <v>3072</v>
      </c>
      <c r="H2776" s="2">
        <v>45740</v>
      </c>
      <c r="I2776" s="2">
        <v>45770</v>
      </c>
      <c r="J2776" t="s">
        <v>20</v>
      </c>
      <c r="K2776" s="21">
        <v>159</v>
      </c>
      <c r="L2776" s="21">
        <v>159</v>
      </c>
      <c r="M2776">
        <v>0</v>
      </c>
      <c r="N2776" s="21">
        <v>0</v>
      </c>
    </row>
    <row r="2777" spans="1:14">
      <c r="A2777" t="str">
        <f>IFERROR(_xlfn.XLOOKUP(B2777,Cuentas!$C$1:$C$521,Cuentas!$A$1:$A$521),"")</f>
        <v>Alexandra</v>
      </c>
      <c r="B2777" t="s">
        <v>2952</v>
      </c>
      <c r="C2777" t="s">
        <v>2953</v>
      </c>
      <c r="D2777" t="s">
        <v>16</v>
      </c>
      <c r="E2777" t="s">
        <v>7</v>
      </c>
      <c r="F2777" t="s">
        <v>3073</v>
      </c>
      <c r="G2777" t="s">
        <v>3073</v>
      </c>
      <c r="H2777" s="2">
        <v>45741</v>
      </c>
      <c r="I2777" s="2">
        <v>45771</v>
      </c>
      <c r="J2777" t="s">
        <v>20</v>
      </c>
      <c r="K2777" s="21">
        <v>477</v>
      </c>
      <c r="L2777" s="21">
        <v>477</v>
      </c>
      <c r="M2777">
        <v>0</v>
      </c>
      <c r="N2777" s="21">
        <v>0</v>
      </c>
    </row>
    <row r="2778" spans="1:14">
      <c r="A2778" t="str">
        <f>IFERROR(_xlfn.XLOOKUP(B2778,Cuentas!$C$1:$C$521,Cuentas!$A$1:$A$521),"")</f>
        <v>Alexandra</v>
      </c>
      <c r="B2778" t="s">
        <v>2952</v>
      </c>
      <c r="C2778" t="s">
        <v>2953</v>
      </c>
      <c r="D2778" t="s">
        <v>16</v>
      </c>
      <c r="E2778" t="s">
        <v>7</v>
      </c>
      <c r="F2778" t="s">
        <v>3074</v>
      </c>
      <c r="G2778" t="s">
        <v>3074</v>
      </c>
      <c r="H2778" s="2">
        <v>45741</v>
      </c>
      <c r="I2778" s="2">
        <v>45771</v>
      </c>
      <c r="J2778" t="s">
        <v>20</v>
      </c>
      <c r="K2778" s="21">
        <v>159</v>
      </c>
      <c r="L2778" s="21">
        <v>159</v>
      </c>
      <c r="M2778">
        <v>0</v>
      </c>
      <c r="N2778" s="21">
        <v>0</v>
      </c>
    </row>
    <row r="2779" spans="1:14">
      <c r="A2779" t="str">
        <f>IFERROR(_xlfn.XLOOKUP(B2779,Cuentas!$C$1:$C$521,Cuentas!$A$1:$A$521),"")</f>
        <v>Alexandra</v>
      </c>
      <c r="B2779" t="s">
        <v>2952</v>
      </c>
      <c r="C2779" t="s">
        <v>2953</v>
      </c>
      <c r="D2779" t="s">
        <v>16</v>
      </c>
      <c r="E2779" t="s">
        <v>7</v>
      </c>
      <c r="F2779" t="s">
        <v>3075</v>
      </c>
      <c r="G2779" t="s">
        <v>3075</v>
      </c>
      <c r="H2779" s="2">
        <v>45741</v>
      </c>
      <c r="I2779" s="2">
        <v>45771</v>
      </c>
      <c r="J2779" t="s">
        <v>20</v>
      </c>
      <c r="K2779" s="21">
        <v>159</v>
      </c>
      <c r="L2779" s="21">
        <v>159</v>
      </c>
      <c r="M2779">
        <v>0</v>
      </c>
      <c r="N2779" s="21">
        <v>0</v>
      </c>
    </row>
    <row r="2780" spans="1:14">
      <c r="A2780" t="str">
        <f>IFERROR(_xlfn.XLOOKUP(B2780,Cuentas!$C$1:$C$521,Cuentas!$A$1:$A$521),"")</f>
        <v>Alexandra</v>
      </c>
      <c r="B2780" t="s">
        <v>2952</v>
      </c>
      <c r="C2780" t="s">
        <v>2953</v>
      </c>
      <c r="D2780" t="s">
        <v>16</v>
      </c>
      <c r="E2780" t="s">
        <v>7</v>
      </c>
      <c r="F2780" t="s">
        <v>3076</v>
      </c>
      <c r="G2780" t="s">
        <v>3076</v>
      </c>
      <c r="H2780" s="2">
        <v>45741</v>
      </c>
      <c r="I2780" s="2">
        <v>45771</v>
      </c>
      <c r="J2780" t="s">
        <v>20</v>
      </c>
      <c r="K2780" s="21">
        <v>318</v>
      </c>
      <c r="L2780" s="21">
        <v>318</v>
      </c>
      <c r="M2780">
        <v>0</v>
      </c>
      <c r="N2780" s="21">
        <v>0</v>
      </c>
    </row>
    <row r="2781" spans="1:14">
      <c r="A2781" t="str">
        <f>IFERROR(_xlfn.XLOOKUP(B2781,Cuentas!$C$1:$C$521,Cuentas!$A$1:$A$521),"")</f>
        <v>Alexandra</v>
      </c>
      <c r="B2781" t="s">
        <v>2952</v>
      </c>
      <c r="C2781" t="s">
        <v>2953</v>
      </c>
      <c r="D2781" t="s">
        <v>16</v>
      </c>
      <c r="E2781" t="s">
        <v>7</v>
      </c>
      <c r="F2781" t="s">
        <v>3077</v>
      </c>
      <c r="G2781" t="s">
        <v>3077</v>
      </c>
      <c r="H2781" s="2">
        <v>45741</v>
      </c>
      <c r="I2781" s="2">
        <v>45771</v>
      </c>
      <c r="J2781" t="s">
        <v>20</v>
      </c>
      <c r="K2781" s="21">
        <v>318</v>
      </c>
      <c r="L2781" s="21">
        <v>318</v>
      </c>
      <c r="M2781">
        <v>0</v>
      </c>
      <c r="N2781" s="21">
        <v>0</v>
      </c>
    </row>
    <row r="2782" spans="1:14">
      <c r="A2782" t="str">
        <f>IFERROR(_xlfn.XLOOKUP(B2782,Cuentas!$C$1:$C$521,Cuentas!$A$1:$A$521),"")</f>
        <v>Alexandra</v>
      </c>
      <c r="B2782" t="s">
        <v>2952</v>
      </c>
      <c r="C2782" t="s">
        <v>2953</v>
      </c>
      <c r="D2782" t="s">
        <v>16</v>
      </c>
      <c r="E2782" t="s">
        <v>7</v>
      </c>
      <c r="F2782" t="s">
        <v>3078</v>
      </c>
      <c r="G2782" t="s">
        <v>3078</v>
      </c>
      <c r="H2782" s="2">
        <v>45741</v>
      </c>
      <c r="I2782" s="2">
        <v>45771</v>
      </c>
      <c r="J2782" t="s">
        <v>20</v>
      </c>
      <c r="K2782" s="21">
        <v>159</v>
      </c>
      <c r="L2782" s="21">
        <v>159</v>
      </c>
      <c r="M2782">
        <v>0</v>
      </c>
      <c r="N2782" s="21">
        <v>0</v>
      </c>
    </row>
    <row r="2783" spans="1:14">
      <c r="A2783" t="str">
        <f>IFERROR(_xlfn.XLOOKUP(B2783,Cuentas!$C$1:$C$521,Cuentas!$A$1:$A$521),"")</f>
        <v>Alexandra</v>
      </c>
      <c r="B2783" t="s">
        <v>2952</v>
      </c>
      <c r="C2783" t="s">
        <v>2953</v>
      </c>
      <c r="D2783" t="s">
        <v>16</v>
      </c>
      <c r="E2783" t="s">
        <v>7</v>
      </c>
      <c r="F2783" t="s">
        <v>3079</v>
      </c>
      <c r="G2783" t="s">
        <v>3079</v>
      </c>
      <c r="H2783" s="2">
        <v>45742</v>
      </c>
      <c r="I2783" s="2">
        <v>45772</v>
      </c>
      <c r="J2783" t="s">
        <v>20</v>
      </c>
      <c r="K2783" s="21">
        <v>636</v>
      </c>
      <c r="L2783" s="21">
        <v>636</v>
      </c>
      <c r="M2783">
        <v>0</v>
      </c>
      <c r="N2783" s="21">
        <v>0</v>
      </c>
    </row>
    <row r="2784" spans="1:14">
      <c r="A2784" t="str">
        <f>IFERROR(_xlfn.XLOOKUP(B2784,Cuentas!$C$1:$C$521,Cuentas!$A$1:$A$521),"")</f>
        <v>Alexandra</v>
      </c>
      <c r="B2784" t="s">
        <v>2952</v>
      </c>
      <c r="C2784" t="s">
        <v>2953</v>
      </c>
      <c r="D2784" t="s">
        <v>16</v>
      </c>
      <c r="E2784" t="s">
        <v>7</v>
      </c>
      <c r="F2784" t="s">
        <v>3080</v>
      </c>
      <c r="G2784" t="s">
        <v>3080</v>
      </c>
      <c r="H2784" s="2">
        <v>45742</v>
      </c>
      <c r="I2784" s="2">
        <v>45772</v>
      </c>
      <c r="J2784" t="s">
        <v>20</v>
      </c>
      <c r="K2784" s="21">
        <v>159</v>
      </c>
      <c r="L2784" s="21">
        <v>159</v>
      </c>
      <c r="M2784">
        <v>0</v>
      </c>
      <c r="N2784" s="21">
        <v>0</v>
      </c>
    </row>
    <row r="2785" spans="1:14">
      <c r="A2785" t="str">
        <f>IFERROR(_xlfn.XLOOKUP(B2785,Cuentas!$C$1:$C$521,Cuentas!$A$1:$A$521),"")</f>
        <v>Alexandra</v>
      </c>
      <c r="B2785" t="s">
        <v>2952</v>
      </c>
      <c r="C2785" t="s">
        <v>2953</v>
      </c>
      <c r="D2785" t="s">
        <v>16</v>
      </c>
      <c r="E2785" t="s">
        <v>7</v>
      </c>
      <c r="F2785" t="s">
        <v>3081</v>
      </c>
      <c r="G2785" t="s">
        <v>3081</v>
      </c>
      <c r="H2785" s="2">
        <v>45742</v>
      </c>
      <c r="I2785" s="2">
        <v>45772</v>
      </c>
      <c r="J2785" t="s">
        <v>20</v>
      </c>
      <c r="K2785" s="21">
        <v>318</v>
      </c>
      <c r="L2785" s="21">
        <v>318</v>
      </c>
      <c r="M2785">
        <v>0</v>
      </c>
      <c r="N2785" s="21">
        <v>0</v>
      </c>
    </row>
    <row r="2786" spans="1:14">
      <c r="A2786" t="str">
        <f>IFERROR(_xlfn.XLOOKUP(B2786,Cuentas!$C$1:$C$521,Cuentas!$A$1:$A$521),"")</f>
        <v/>
      </c>
      <c r="B2786" t="s">
        <v>3082</v>
      </c>
      <c r="C2786" t="s">
        <v>3083</v>
      </c>
      <c r="D2786" t="s">
        <v>347</v>
      </c>
      <c r="E2786" t="s">
        <v>7</v>
      </c>
      <c r="F2786" t="s">
        <v>3084</v>
      </c>
      <c r="G2786" t="s">
        <v>3084</v>
      </c>
      <c r="H2786" s="2">
        <v>45733</v>
      </c>
      <c r="I2786" s="2">
        <v>45733</v>
      </c>
      <c r="J2786" t="s">
        <v>20</v>
      </c>
      <c r="K2786" s="21">
        <v>4284</v>
      </c>
      <c r="L2786" s="21">
        <v>4284</v>
      </c>
      <c r="M2786">
        <v>12</v>
      </c>
      <c r="N2786" s="21">
        <v>4284</v>
      </c>
    </row>
    <row r="2787" spans="1:14">
      <c r="A2787" t="str">
        <f>IFERROR(_xlfn.XLOOKUP(B2787,Cuentas!$C$1:$C$521,Cuentas!$A$1:$A$521),"")</f>
        <v>Yuldor</v>
      </c>
      <c r="B2787" t="s">
        <v>3085</v>
      </c>
      <c r="C2787" t="s">
        <v>3086</v>
      </c>
      <c r="D2787" t="s">
        <v>213</v>
      </c>
      <c r="E2787" t="s">
        <v>7</v>
      </c>
      <c r="F2787" t="s">
        <v>3087</v>
      </c>
      <c r="G2787" t="s">
        <v>3087</v>
      </c>
      <c r="H2787" s="2">
        <v>45687</v>
      </c>
      <c r="I2787" s="2">
        <v>45687</v>
      </c>
      <c r="J2787" t="s">
        <v>20</v>
      </c>
      <c r="K2787" s="21">
        <v>20</v>
      </c>
      <c r="L2787" s="21">
        <v>20</v>
      </c>
      <c r="M2787">
        <v>0</v>
      </c>
      <c r="N2787" s="21">
        <v>20</v>
      </c>
    </row>
    <row r="2788" spans="1:14">
      <c r="A2788" t="str">
        <f>IFERROR(_xlfn.XLOOKUP(B2788,Cuentas!$C$1:$C$521,Cuentas!$A$1:$A$521),"")</f>
        <v/>
      </c>
      <c r="B2788" t="s">
        <v>3088</v>
      </c>
      <c r="C2788" t="s">
        <v>3089</v>
      </c>
      <c r="D2788" t="s">
        <v>213</v>
      </c>
      <c r="E2788" t="s">
        <v>3139</v>
      </c>
      <c r="F2788" t="s">
        <v>19</v>
      </c>
      <c r="G2788" t="s">
        <v>19</v>
      </c>
      <c r="I2788" s="2">
        <v>45706</v>
      </c>
      <c r="J2788" t="s">
        <v>20</v>
      </c>
      <c r="K2788" s="21">
        <v>-1159.54</v>
      </c>
      <c r="L2788" s="21">
        <v>-1159.54</v>
      </c>
      <c r="M2788">
        <v>0</v>
      </c>
      <c r="N2788" s="21">
        <v>-1159.54</v>
      </c>
    </row>
    <row r="2789" spans="1:14">
      <c r="A2789" t="str">
        <f>IFERROR(_xlfn.XLOOKUP(B2789,Cuentas!$C$1:$C$521,Cuentas!$A$1:$A$521),"")</f>
        <v/>
      </c>
      <c r="B2789" t="s">
        <v>3088</v>
      </c>
      <c r="C2789" t="s">
        <v>3089</v>
      </c>
      <c r="D2789" t="s">
        <v>213</v>
      </c>
      <c r="E2789" t="s">
        <v>3139</v>
      </c>
      <c r="F2789" t="s">
        <v>19</v>
      </c>
      <c r="G2789" t="s">
        <v>19</v>
      </c>
      <c r="I2789" s="2">
        <v>45706</v>
      </c>
      <c r="J2789" t="s">
        <v>20</v>
      </c>
      <c r="K2789" s="21">
        <v>-1528.05</v>
      </c>
      <c r="L2789" s="21">
        <v>-1528.05</v>
      </c>
      <c r="M2789">
        <v>0</v>
      </c>
      <c r="N2789" s="21">
        <v>-1528.05</v>
      </c>
    </row>
    <row r="2790" spans="1:14">
      <c r="A2790" t="str">
        <f>IFERROR(_xlfn.XLOOKUP(B2790,Cuentas!$C$1:$C$521,Cuentas!$A$1:$A$521),"")</f>
        <v/>
      </c>
    </row>
    <row r="2791" spans="1:14">
      <c r="A2791" t="str">
        <f>IFERROR(_xlfn.XLOOKUP(B2791,Cuentas!$C$1:$C$521,Cuentas!$A$1:$A$521),"")</f>
        <v/>
      </c>
    </row>
    <row r="2792" spans="1:14">
      <c r="A2792" t="str">
        <f>IFERROR(_xlfn.XLOOKUP(B2792,Cuentas!$C$1:$C$521,Cuentas!$A$1:$A$521),"")</f>
        <v/>
      </c>
    </row>
    <row r="2793" spans="1:14">
      <c r="A2793" t="str">
        <f>IFERROR(_xlfn.XLOOKUP(B2793,Cuentas!$C$1:$C$521,Cuentas!$A$1:$A$521),"")</f>
        <v/>
      </c>
    </row>
    <row r="2794" spans="1:14">
      <c r="A2794" t="str">
        <f>IFERROR(_xlfn.XLOOKUP(B2794,Cuentas!$C$1:$C$521,Cuentas!$A$1:$A$521),"")</f>
        <v/>
      </c>
    </row>
    <row r="2795" spans="1:14">
      <c r="A2795" t="str">
        <f>IFERROR(_xlfn.XLOOKUP(B2795,Cuentas!$C$1:$C$521,Cuentas!$A$1:$A$521),"")</f>
        <v/>
      </c>
    </row>
    <row r="2796" spans="1:14">
      <c r="A2796" t="str">
        <f>IFERROR(_xlfn.XLOOKUP(B2796,Cuentas!$C$1:$C$521,Cuentas!$A$1:$A$521),"")</f>
        <v/>
      </c>
    </row>
    <row r="2797" spans="1:14">
      <c r="A2797" t="str">
        <f>IFERROR(_xlfn.XLOOKUP(B2797,Cuentas!$C$1:$C$521,Cuentas!$A$1:$A$521),"")</f>
        <v/>
      </c>
    </row>
    <row r="2798" spans="1:14">
      <c r="A2798" t="str">
        <f>IFERROR(_xlfn.XLOOKUP(B2798,Cuentas!$C$1:$C$521,Cuentas!$A$1:$A$521),"")</f>
        <v/>
      </c>
    </row>
    <row r="2799" spans="1:14">
      <c r="A2799" t="str">
        <f>IFERROR(_xlfn.XLOOKUP(B2799,Cuentas!$C$1:$C$521,Cuentas!$A$1:$A$521),"")</f>
        <v/>
      </c>
    </row>
    <row r="2800" spans="1:14">
      <c r="A2800" t="str">
        <f>IFERROR(_xlfn.XLOOKUP(B2800,Cuentas!$C$1:$C$521,Cuentas!$A$1:$A$521),"")</f>
        <v/>
      </c>
    </row>
    <row r="2801" spans="1:1">
      <c r="A2801" t="str">
        <f>IFERROR(_xlfn.XLOOKUP(B2801,Cuentas!$C$1:$C$521,Cuentas!$A$1:$A$521),"")</f>
        <v/>
      </c>
    </row>
    <row r="2802" spans="1:1">
      <c r="A2802" t="str">
        <f>IFERROR(_xlfn.XLOOKUP(B2802,Cuentas!$C$1:$C$521,Cuentas!$A$1:$A$521),"")</f>
        <v/>
      </c>
    </row>
    <row r="2803" spans="1:1">
      <c r="A2803" t="str">
        <f>IFERROR(_xlfn.XLOOKUP(B2803,Cuentas!$C$1:$C$521,Cuentas!$A$1:$A$521),"")</f>
        <v/>
      </c>
    </row>
    <row r="2804" spans="1:1">
      <c r="A2804" t="str">
        <f>IFERROR(_xlfn.XLOOKUP(B2804,Cuentas!$C$1:$C$521,Cuentas!$A$1:$A$521),"")</f>
        <v/>
      </c>
    </row>
    <row r="2805" spans="1:1">
      <c r="A2805" t="str">
        <f>IFERROR(_xlfn.XLOOKUP(B2805,Cuentas!$C$1:$C$521,Cuentas!$A$1:$A$521),"")</f>
        <v/>
      </c>
    </row>
    <row r="2806" spans="1:1">
      <c r="A2806" t="str">
        <f>IFERROR(_xlfn.XLOOKUP(B2806,Cuentas!$C$1:$C$521,Cuentas!$A$1:$A$521),"")</f>
        <v/>
      </c>
    </row>
    <row r="2807" spans="1:1">
      <c r="A2807" t="str">
        <f>IFERROR(_xlfn.XLOOKUP(B2807,Cuentas!$C$1:$C$521,Cuentas!$A$1:$A$521),"")</f>
        <v/>
      </c>
    </row>
    <row r="2808" spans="1:1">
      <c r="A2808" t="str">
        <f>IFERROR(_xlfn.XLOOKUP(B2808,Cuentas!$C$1:$C$521,Cuentas!$A$1:$A$521),"")</f>
        <v/>
      </c>
    </row>
    <row r="2809" spans="1:1">
      <c r="A2809" t="str">
        <f>IFERROR(_xlfn.XLOOKUP(B2809,Cuentas!$C$1:$C$521,Cuentas!$A$1:$A$521),"")</f>
        <v/>
      </c>
    </row>
    <row r="2810" spans="1:1">
      <c r="A2810" t="str">
        <f>IFERROR(_xlfn.XLOOKUP(B2810,Cuentas!$C$1:$C$521,Cuentas!$A$1:$A$521),"")</f>
        <v/>
      </c>
    </row>
    <row r="2811" spans="1:1">
      <c r="A2811" t="str">
        <f>IFERROR(_xlfn.XLOOKUP(B2811,Cuentas!$C$1:$C$521,Cuentas!$A$1:$A$521),"")</f>
        <v/>
      </c>
    </row>
    <row r="2812" spans="1:1">
      <c r="A2812" t="str">
        <f>IFERROR(_xlfn.XLOOKUP(B2812,Cuentas!$C$1:$C$521,Cuentas!$A$1:$A$521),"")</f>
        <v/>
      </c>
    </row>
    <row r="2813" spans="1:1">
      <c r="A2813" t="str">
        <f>IFERROR(_xlfn.XLOOKUP(B2813,Cuentas!$C$1:$C$521,Cuentas!$A$1:$A$521),"")</f>
        <v/>
      </c>
    </row>
    <row r="2814" spans="1:1">
      <c r="A2814" t="str">
        <f>IFERROR(_xlfn.XLOOKUP(B2814,Cuentas!$C$1:$C$521,Cuentas!$A$1:$A$521),"")</f>
        <v/>
      </c>
    </row>
    <row r="2815" spans="1:1">
      <c r="A2815" t="str">
        <f>IFERROR(_xlfn.XLOOKUP(B2815,Cuentas!$C$1:$C$521,Cuentas!$A$1:$A$521),"")</f>
        <v/>
      </c>
    </row>
    <row r="2816" spans="1:1">
      <c r="A2816" t="str">
        <f>IFERROR(_xlfn.XLOOKUP(B2816,Cuentas!$C$1:$C$521,Cuentas!$A$1:$A$521),"")</f>
        <v/>
      </c>
    </row>
    <row r="2817" spans="1:1">
      <c r="A2817" t="str">
        <f>IFERROR(_xlfn.XLOOKUP(B2817,Cuentas!$C$1:$C$521,Cuentas!$A$1:$A$521),"")</f>
        <v/>
      </c>
    </row>
    <row r="2818" spans="1:1">
      <c r="A2818" t="str">
        <f>IFERROR(_xlfn.XLOOKUP(B2818,Cuentas!$C$1:$C$521,Cuentas!$A$1:$A$521),"")</f>
        <v/>
      </c>
    </row>
    <row r="2819" spans="1:1">
      <c r="A2819" t="str">
        <f>IFERROR(_xlfn.XLOOKUP(B2819,Cuentas!$C$1:$C$521,Cuentas!$A$1:$A$521),"")</f>
        <v/>
      </c>
    </row>
    <row r="2820" spans="1:1">
      <c r="A2820" t="str">
        <f>IFERROR(_xlfn.XLOOKUP(B2820,Cuentas!$C$1:$C$521,Cuentas!$A$1:$A$521),"")</f>
        <v/>
      </c>
    </row>
    <row r="2821" spans="1:1">
      <c r="A2821" t="str">
        <f>IFERROR(_xlfn.XLOOKUP(B2821,Cuentas!$C$1:$C$521,Cuentas!$A$1:$A$521),"")</f>
        <v/>
      </c>
    </row>
    <row r="2822" spans="1:1">
      <c r="A2822" t="str">
        <f>IFERROR(_xlfn.XLOOKUP(B2822,Cuentas!$C$1:$C$521,Cuentas!$A$1:$A$521),"")</f>
        <v/>
      </c>
    </row>
    <row r="2823" spans="1:1">
      <c r="A2823" t="str">
        <f>IFERROR(_xlfn.XLOOKUP(B2823,Cuentas!$C$1:$C$521,Cuentas!$A$1:$A$521),"")</f>
        <v/>
      </c>
    </row>
    <row r="2824" spans="1:1">
      <c r="A2824" t="str">
        <f>IFERROR(_xlfn.XLOOKUP(B2824,Cuentas!$C$1:$C$521,Cuentas!$A$1:$A$521),"")</f>
        <v/>
      </c>
    </row>
    <row r="2825" spans="1:1">
      <c r="A2825" t="str">
        <f>IFERROR(_xlfn.XLOOKUP(B2825,Cuentas!$C$1:$C$521,Cuentas!$A$1:$A$521),"")</f>
        <v/>
      </c>
    </row>
    <row r="2826" spans="1:1">
      <c r="A2826" t="str">
        <f>IFERROR(_xlfn.XLOOKUP(B2826,Cuentas!$C$1:$C$521,Cuentas!$A$1:$A$521),"")</f>
        <v/>
      </c>
    </row>
    <row r="2827" spans="1:1">
      <c r="A2827" t="str">
        <f>IFERROR(_xlfn.XLOOKUP(B2827,Cuentas!$C$1:$C$521,Cuentas!$A$1:$A$521),"")</f>
        <v/>
      </c>
    </row>
    <row r="2828" spans="1:1">
      <c r="A2828" t="str">
        <f>IFERROR(_xlfn.XLOOKUP(B2828,Cuentas!$C$1:$C$521,Cuentas!$A$1:$A$521),"")</f>
        <v/>
      </c>
    </row>
    <row r="2829" spans="1:1">
      <c r="A2829" t="str">
        <f>IFERROR(_xlfn.XLOOKUP(B2829,Cuentas!$C$1:$C$521,Cuentas!$A$1:$A$521),"")</f>
        <v/>
      </c>
    </row>
    <row r="2830" spans="1:1">
      <c r="A2830" t="str">
        <f>IFERROR(_xlfn.XLOOKUP(B2830,Cuentas!$C$1:$C$521,Cuentas!$A$1:$A$521),"")</f>
        <v/>
      </c>
    </row>
    <row r="2831" spans="1:1">
      <c r="A2831" t="str">
        <f>IFERROR(_xlfn.XLOOKUP(B2831,Cuentas!$C$1:$C$521,Cuentas!$A$1:$A$521),"")</f>
        <v/>
      </c>
    </row>
    <row r="2832" spans="1:1">
      <c r="A2832" t="str">
        <f>IFERROR(_xlfn.XLOOKUP(B2832,Cuentas!$C$1:$C$521,Cuentas!$A$1:$A$521),"")</f>
        <v/>
      </c>
    </row>
    <row r="2833" spans="1:1">
      <c r="A2833" t="str">
        <f>IFERROR(_xlfn.XLOOKUP(B2833,Cuentas!$C$1:$C$521,Cuentas!$A$1:$A$521),"")</f>
        <v/>
      </c>
    </row>
    <row r="2834" spans="1:1">
      <c r="A2834" t="str">
        <f>IFERROR(_xlfn.XLOOKUP(B2834,Cuentas!$C$1:$C$521,Cuentas!$A$1:$A$521),"")</f>
        <v/>
      </c>
    </row>
    <row r="2835" spans="1:1">
      <c r="A2835" t="str">
        <f>IFERROR(_xlfn.XLOOKUP(B2835,Cuentas!$C$1:$C$521,Cuentas!$A$1:$A$521),"")</f>
        <v/>
      </c>
    </row>
    <row r="2836" spans="1:1">
      <c r="A2836" t="str">
        <f>IFERROR(_xlfn.XLOOKUP(B2836,Cuentas!$C$1:$C$521,Cuentas!$A$1:$A$521),"")</f>
        <v/>
      </c>
    </row>
    <row r="2837" spans="1:1">
      <c r="A2837" t="str">
        <f>IFERROR(_xlfn.XLOOKUP(B2837,Cuentas!$C$1:$C$521,Cuentas!$A$1:$A$521),"")</f>
        <v/>
      </c>
    </row>
    <row r="2838" spans="1:1">
      <c r="A2838" t="str">
        <f>IFERROR(_xlfn.XLOOKUP(B2838,Cuentas!$C$1:$C$521,Cuentas!$A$1:$A$521),"")</f>
        <v/>
      </c>
    </row>
    <row r="2839" spans="1:1">
      <c r="A2839" t="str">
        <f>IFERROR(_xlfn.XLOOKUP(B2839,Cuentas!$C$1:$C$521,Cuentas!$A$1:$A$521),"")</f>
        <v/>
      </c>
    </row>
    <row r="2840" spans="1:1">
      <c r="A2840" t="str">
        <f>IFERROR(_xlfn.XLOOKUP(B2840,Cuentas!$C$1:$C$521,Cuentas!$A$1:$A$521),"")</f>
        <v/>
      </c>
    </row>
    <row r="2841" spans="1:1">
      <c r="A2841" t="str">
        <f>IFERROR(_xlfn.XLOOKUP(B2841,Cuentas!$C$1:$C$521,Cuentas!$A$1:$A$521),"")</f>
        <v/>
      </c>
    </row>
    <row r="2842" spans="1:1">
      <c r="A2842" t="str">
        <f>IFERROR(_xlfn.XLOOKUP(B2842,Cuentas!$C$1:$C$521,Cuentas!$A$1:$A$521),"")</f>
        <v/>
      </c>
    </row>
    <row r="2843" spans="1:1">
      <c r="A2843" t="str">
        <f>IFERROR(_xlfn.XLOOKUP(B2843,Cuentas!$C$1:$C$521,Cuentas!$A$1:$A$521),"")</f>
        <v/>
      </c>
    </row>
    <row r="2844" spans="1:1">
      <c r="A2844" t="str">
        <f>IFERROR(_xlfn.XLOOKUP(B2844,Cuentas!$C$1:$C$521,Cuentas!$A$1:$A$521),"")</f>
        <v/>
      </c>
    </row>
    <row r="2845" spans="1:1">
      <c r="A2845" t="str">
        <f>IFERROR(_xlfn.XLOOKUP(B2845,Cuentas!$C$1:$C$521,Cuentas!$A$1:$A$521),"")</f>
        <v/>
      </c>
    </row>
    <row r="2846" spans="1:1">
      <c r="A2846" t="str">
        <f>IFERROR(_xlfn.XLOOKUP(B2846,Cuentas!$C$1:$C$521,Cuentas!$A$1:$A$521),"")</f>
        <v/>
      </c>
    </row>
    <row r="2847" spans="1:1">
      <c r="A2847" t="str">
        <f>IFERROR(_xlfn.XLOOKUP(B2847,Cuentas!$C$1:$C$521,Cuentas!$A$1:$A$521),"")</f>
        <v/>
      </c>
    </row>
    <row r="2848" spans="1:1">
      <c r="A2848" t="str">
        <f>IFERROR(_xlfn.XLOOKUP(B2848,Cuentas!$C$1:$C$521,Cuentas!$A$1:$A$521),"")</f>
        <v/>
      </c>
    </row>
    <row r="2849" spans="1:1">
      <c r="A2849" t="str">
        <f>IFERROR(_xlfn.XLOOKUP(B2849,Cuentas!$C$1:$C$521,Cuentas!$A$1:$A$521),"")</f>
        <v/>
      </c>
    </row>
    <row r="2850" spans="1:1">
      <c r="A2850" t="str">
        <f>IFERROR(_xlfn.XLOOKUP(B2850,Cuentas!$C$1:$C$521,Cuentas!$A$1:$A$521),"")</f>
        <v/>
      </c>
    </row>
    <row r="2851" spans="1:1">
      <c r="A2851" t="str">
        <f>IFERROR(_xlfn.XLOOKUP(B2851,Cuentas!$C$1:$C$521,Cuentas!$A$1:$A$521),"")</f>
        <v/>
      </c>
    </row>
    <row r="2852" spans="1:1">
      <c r="A2852" t="str">
        <f>IFERROR(_xlfn.XLOOKUP(B2852,Cuentas!$C$1:$C$521,Cuentas!$A$1:$A$521),"")</f>
        <v/>
      </c>
    </row>
    <row r="2853" spans="1:1">
      <c r="A2853" t="str">
        <f>IFERROR(_xlfn.XLOOKUP(B2853,Cuentas!$C$1:$C$521,Cuentas!$A$1:$A$521),"")</f>
        <v/>
      </c>
    </row>
    <row r="2854" spans="1:1">
      <c r="A2854" t="str">
        <f>IFERROR(_xlfn.XLOOKUP(B2854,Cuentas!$C$1:$C$521,Cuentas!$A$1:$A$521),"")</f>
        <v/>
      </c>
    </row>
    <row r="2855" spans="1:1">
      <c r="A2855" t="str">
        <f>IFERROR(_xlfn.XLOOKUP(B2855,Cuentas!$C$1:$C$521,Cuentas!$A$1:$A$521),"")</f>
        <v/>
      </c>
    </row>
    <row r="2856" spans="1:1">
      <c r="A2856" t="str">
        <f>IFERROR(_xlfn.XLOOKUP(B2856,Cuentas!$C$1:$C$521,Cuentas!$A$1:$A$521),"")</f>
        <v/>
      </c>
    </row>
    <row r="2857" spans="1:1">
      <c r="A2857" t="str">
        <f>IFERROR(_xlfn.XLOOKUP(B2857,Cuentas!$C$1:$C$521,Cuentas!$A$1:$A$521),"")</f>
        <v/>
      </c>
    </row>
    <row r="2858" spans="1:1">
      <c r="A2858" t="str">
        <f>IFERROR(_xlfn.XLOOKUP(B2858,Cuentas!$C$1:$C$521,Cuentas!$A$1:$A$521),"")</f>
        <v/>
      </c>
    </row>
    <row r="2859" spans="1:1">
      <c r="A2859" t="str">
        <f>IFERROR(_xlfn.XLOOKUP(B2859,Cuentas!$C$1:$C$521,Cuentas!$A$1:$A$521),"")</f>
        <v/>
      </c>
    </row>
    <row r="2860" spans="1:1">
      <c r="A2860" t="str">
        <f>IFERROR(_xlfn.XLOOKUP(B2860,Cuentas!$C$1:$C$521,Cuentas!$A$1:$A$521),"")</f>
        <v/>
      </c>
    </row>
    <row r="2861" spans="1:1">
      <c r="A2861" t="str">
        <f>IFERROR(_xlfn.XLOOKUP(B2861,Cuentas!$C$1:$C$521,Cuentas!$A$1:$A$521),"")</f>
        <v/>
      </c>
    </row>
    <row r="2862" spans="1:1">
      <c r="A2862" t="str">
        <f>IFERROR(_xlfn.XLOOKUP(B2862,Cuentas!$C$1:$C$521,Cuentas!$A$1:$A$521),"")</f>
        <v/>
      </c>
    </row>
    <row r="2863" spans="1:1">
      <c r="A2863" t="str">
        <f>IFERROR(_xlfn.XLOOKUP(B2863,Cuentas!$C$1:$C$521,Cuentas!$A$1:$A$521),"")</f>
        <v/>
      </c>
    </row>
    <row r="2864" spans="1:1">
      <c r="A2864" t="str">
        <f>IFERROR(_xlfn.XLOOKUP(B2864,Cuentas!$C$1:$C$521,Cuentas!$A$1:$A$521),"")</f>
        <v/>
      </c>
    </row>
    <row r="2865" spans="1:1">
      <c r="A2865" t="str">
        <f>IFERROR(_xlfn.XLOOKUP(B2865,Cuentas!$C$1:$C$521,Cuentas!$A$1:$A$521),"")</f>
        <v/>
      </c>
    </row>
    <row r="2866" spans="1:1">
      <c r="A2866" t="str">
        <f>IFERROR(_xlfn.XLOOKUP(B2866,Cuentas!$C$1:$C$521,Cuentas!$A$1:$A$521),"")</f>
        <v/>
      </c>
    </row>
    <row r="2867" spans="1:1">
      <c r="A2867" t="str">
        <f>IFERROR(_xlfn.XLOOKUP(B2867,Cuentas!$C$1:$C$521,Cuentas!$A$1:$A$521),"")</f>
        <v/>
      </c>
    </row>
    <row r="2868" spans="1:1">
      <c r="A2868" t="str">
        <f>IFERROR(_xlfn.XLOOKUP(B2868,Cuentas!$C$1:$C$521,Cuentas!$A$1:$A$521),"")</f>
        <v/>
      </c>
    </row>
    <row r="2869" spans="1:1">
      <c r="A2869" t="str">
        <f>IFERROR(_xlfn.XLOOKUP(B2869,Cuentas!$C$1:$C$521,Cuentas!$A$1:$A$521),"")</f>
        <v/>
      </c>
    </row>
    <row r="2870" spans="1:1">
      <c r="A2870" t="str">
        <f>IFERROR(_xlfn.XLOOKUP(B2870,Cuentas!$C$1:$C$521,Cuentas!$A$1:$A$521),"")</f>
        <v/>
      </c>
    </row>
    <row r="2871" spans="1:1">
      <c r="A2871" t="str">
        <f>IFERROR(_xlfn.XLOOKUP(B2871,Cuentas!$C$1:$C$521,Cuentas!$A$1:$A$521),"")</f>
        <v/>
      </c>
    </row>
    <row r="2872" spans="1:1">
      <c r="A2872" t="str">
        <f>IFERROR(_xlfn.XLOOKUP(B2872,Cuentas!$C$1:$C$521,Cuentas!$A$1:$A$521),"")</f>
        <v/>
      </c>
    </row>
    <row r="2873" spans="1:1">
      <c r="A2873" t="str">
        <f>IFERROR(_xlfn.XLOOKUP(B2873,Cuentas!$C$1:$C$521,Cuentas!$A$1:$A$521),"")</f>
        <v/>
      </c>
    </row>
    <row r="2874" spans="1:1">
      <c r="A2874" t="str">
        <f>IFERROR(_xlfn.XLOOKUP(B2874,Cuentas!$C$1:$C$521,Cuentas!$A$1:$A$521),"")</f>
        <v/>
      </c>
    </row>
    <row r="2875" spans="1:1">
      <c r="A2875" t="str">
        <f>IFERROR(_xlfn.XLOOKUP(B2875,Cuentas!$C$1:$C$521,Cuentas!$A$1:$A$521),"")</f>
        <v/>
      </c>
    </row>
    <row r="2876" spans="1:1">
      <c r="A2876" t="str">
        <f>IFERROR(_xlfn.XLOOKUP(B2876,Cuentas!$C$1:$C$521,Cuentas!$A$1:$A$521),"")</f>
        <v/>
      </c>
    </row>
    <row r="2877" spans="1:1">
      <c r="A2877" t="str">
        <f>IFERROR(_xlfn.XLOOKUP(B2877,Cuentas!$C$1:$C$521,Cuentas!$A$1:$A$521),"")</f>
        <v/>
      </c>
    </row>
    <row r="2878" spans="1:1">
      <c r="A2878" t="str">
        <f>IFERROR(_xlfn.XLOOKUP(B2878,Cuentas!$C$1:$C$521,Cuentas!$A$1:$A$521),"")</f>
        <v/>
      </c>
    </row>
    <row r="2879" spans="1:1">
      <c r="A2879" t="str">
        <f>IFERROR(_xlfn.XLOOKUP(B2879,Cuentas!$C$1:$C$521,Cuentas!$A$1:$A$521),"")</f>
        <v/>
      </c>
    </row>
    <row r="2880" spans="1:1">
      <c r="A2880" t="str">
        <f>IFERROR(_xlfn.XLOOKUP(B2880,Cuentas!$C$1:$C$521,Cuentas!$A$1:$A$521),"")</f>
        <v/>
      </c>
    </row>
    <row r="2881" spans="1:1">
      <c r="A2881" t="str">
        <f>IFERROR(_xlfn.XLOOKUP(B2881,Cuentas!$C$1:$C$521,Cuentas!$A$1:$A$521),"")</f>
        <v/>
      </c>
    </row>
    <row r="2882" spans="1:1">
      <c r="A2882" t="str">
        <f>IFERROR(_xlfn.XLOOKUP(B2882,Cuentas!$C$1:$C$521,Cuentas!$A$1:$A$521),"")</f>
        <v/>
      </c>
    </row>
    <row r="2883" spans="1:1">
      <c r="A2883" t="str">
        <f>IFERROR(_xlfn.XLOOKUP(B2883,Cuentas!$C$1:$C$521,Cuentas!$A$1:$A$521),"")</f>
        <v/>
      </c>
    </row>
    <row r="2884" spans="1:1">
      <c r="A2884" t="str">
        <f>IFERROR(_xlfn.XLOOKUP(B2884,Cuentas!$C$1:$C$521,Cuentas!$A$1:$A$521),"")</f>
        <v/>
      </c>
    </row>
    <row r="2885" spans="1:1">
      <c r="A2885" t="str">
        <f>IFERROR(_xlfn.XLOOKUP(B2885,Cuentas!$C$1:$C$521,Cuentas!$A$1:$A$521),"")</f>
        <v/>
      </c>
    </row>
    <row r="2886" spans="1:1">
      <c r="A2886" t="str">
        <f>IFERROR(_xlfn.XLOOKUP(B2886,Cuentas!$C$1:$C$521,Cuentas!$A$1:$A$521),"")</f>
        <v/>
      </c>
    </row>
    <row r="2887" spans="1:1">
      <c r="A2887" t="str">
        <f>IFERROR(_xlfn.XLOOKUP(B2887,Cuentas!$C$1:$C$521,Cuentas!$A$1:$A$521),"")</f>
        <v/>
      </c>
    </row>
    <row r="2888" spans="1:1">
      <c r="A2888" t="str">
        <f>IFERROR(_xlfn.XLOOKUP(B2888,Cuentas!$C$1:$C$521,Cuentas!$A$1:$A$521),"")</f>
        <v/>
      </c>
    </row>
    <row r="2889" spans="1:1">
      <c r="A2889" t="str">
        <f>IFERROR(_xlfn.XLOOKUP(B2889,Cuentas!$C$1:$C$521,Cuentas!$A$1:$A$521),"")</f>
        <v/>
      </c>
    </row>
    <row r="2890" spans="1:1">
      <c r="A2890" t="str">
        <f>IFERROR(_xlfn.XLOOKUP(B2890,Cuentas!$C$1:$C$521,Cuentas!$A$1:$A$521),"")</f>
        <v/>
      </c>
    </row>
    <row r="2891" spans="1:1">
      <c r="A2891" t="str">
        <f>IFERROR(_xlfn.XLOOKUP(B2891,Cuentas!$C$1:$C$521,Cuentas!$A$1:$A$521),"")</f>
        <v/>
      </c>
    </row>
    <row r="2892" spans="1:1">
      <c r="A2892" t="str">
        <f>IFERROR(_xlfn.XLOOKUP(B2892,Cuentas!$C$1:$C$521,Cuentas!$A$1:$A$521),"")</f>
        <v/>
      </c>
    </row>
    <row r="2893" spans="1:1">
      <c r="A2893" t="str">
        <f>IFERROR(_xlfn.XLOOKUP(B2893,Cuentas!$C$1:$C$521,Cuentas!$A$1:$A$521),"")</f>
        <v/>
      </c>
    </row>
    <row r="2894" spans="1:1">
      <c r="A2894" t="str">
        <f>IFERROR(_xlfn.XLOOKUP(B2894,Cuentas!$C$1:$C$521,Cuentas!$A$1:$A$521),"")</f>
        <v/>
      </c>
    </row>
    <row r="2895" spans="1:1">
      <c r="A2895" t="str">
        <f>IFERROR(_xlfn.XLOOKUP(B2895,Cuentas!$C$1:$C$521,Cuentas!$A$1:$A$521),"")</f>
        <v/>
      </c>
    </row>
    <row r="2896" spans="1:1">
      <c r="A2896" t="str">
        <f>IFERROR(_xlfn.XLOOKUP(B2896,Cuentas!$C$1:$C$521,Cuentas!$A$1:$A$521),"")</f>
        <v/>
      </c>
    </row>
    <row r="2897" spans="1:1">
      <c r="A2897" t="str">
        <f>IFERROR(_xlfn.XLOOKUP(B2897,Cuentas!$C$1:$C$521,Cuentas!$A$1:$A$521),"")</f>
        <v/>
      </c>
    </row>
    <row r="2898" spans="1:1">
      <c r="A2898" t="str">
        <f>IFERROR(_xlfn.XLOOKUP(B2898,Cuentas!$C$1:$C$521,Cuentas!$A$1:$A$521),"")</f>
        <v/>
      </c>
    </row>
    <row r="2899" spans="1:1">
      <c r="A2899" t="str">
        <f>IFERROR(_xlfn.XLOOKUP(B2899,Cuentas!$C$1:$C$521,Cuentas!$A$1:$A$521),"")</f>
        <v/>
      </c>
    </row>
    <row r="2900" spans="1:1">
      <c r="A2900" t="str">
        <f>IFERROR(_xlfn.XLOOKUP(B2900,Cuentas!$C$1:$C$521,Cuentas!$A$1:$A$521),"")</f>
        <v/>
      </c>
    </row>
    <row r="2901" spans="1:1">
      <c r="A2901" t="str">
        <f>IFERROR(_xlfn.XLOOKUP(B2901,Cuentas!$C$1:$C$521,Cuentas!$A$1:$A$521),"")</f>
        <v/>
      </c>
    </row>
    <row r="2902" spans="1:1">
      <c r="A2902" t="str">
        <f>IFERROR(_xlfn.XLOOKUP(B2902,Cuentas!$C$1:$C$521,Cuentas!$A$1:$A$521),"")</f>
        <v/>
      </c>
    </row>
    <row r="2903" spans="1:1">
      <c r="A2903" t="str">
        <f>IFERROR(_xlfn.XLOOKUP(B2903,Cuentas!$C$1:$C$521,Cuentas!$A$1:$A$521),"")</f>
        <v/>
      </c>
    </row>
    <row r="2904" spans="1:1">
      <c r="A2904" t="str">
        <f>IFERROR(_xlfn.XLOOKUP(B2904,Cuentas!$C$1:$C$521,Cuentas!$A$1:$A$521),"")</f>
        <v/>
      </c>
    </row>
    <row r="2905" spans="1:1">
      <c r="A2905" t="str">
        <f>IFERROR(_xlfn.XLOOKUP(B2905,Cuentas!$C$1:$C$521,Cuentas!$A$1:$A$521),"")</f>
        <v/>
      </c>
    </row>
    <row r="2906" spans="1:1">
      <c r="A2906" t="str">
        <f>IFERROR(_xlfn.XLOOKUP(B2906,Cuentas!$C$1:$C$521,Cuentas!$A$1:$A$521),"")</f>
        <v/>
      </c>
    </row>
    <row r="2907" spans="1:1">
      <c r="A2907" t="str">
        <f>IFERROR(_xlfn.XLOOKUP(B2907,Cuentas!$C$1:$C$521,Cuentas!$A$1:$A$521),"")</f>
        <v/>
      </c>
    </row>
    <row r="2908" spans="1:1">
      <c r="A2908" t="str">
        <f>IFERROR(_xlfn.XLOOKUP(B2908,Cuentas!$C$1:$C$521,Cuentas!$A$1:$A$521),"")</f>
        <v/>
      </c>
    </row>
    <row r="2909" spans="1:1">
      <c r="A2909" t="str">
        <f>IFERROR(_xlfn.XLOOKUP(B2909,Cuentas!$C$1:$C$521,Cuentas!$A$1:$A$521),"")</f>
        <v/>
      </c>
    </row>
    <row r="2910" spans="1:1">
      <c r="A2910" t="str">
        <f>IFERROR(_xlfn.XLOOKUP(B2910,Cuentas!$C$1:$C$521,Cuentas!$A$1:$A$521),"")</f>
        <v/>
      </c>
    </row>
    <row r="2911" spans="1:1">
      <c r="A2911" t="str">
        <f>IFERROR(_xlfn.XLOOKUP(B2911,Cuentas!$C$1:$C$521,Cuentas!$A$1:$A$521),"")</f>
        <v/>
      </c>
    </row>
    <row r="2912" spans="1:1">
      <c r="A2912" t="str">
        <f>IFERROR(_xlfn.XLOOKUP(B2912,Cuentas!$C$1:$C$521,Cuentas!$A$1:$A$521),"")</f>
        <v/>
      </c>
    </row>
    <row r="2913" spans="1:1">
      <c r="A2913" t="str">
        <f>IFERROR(_xlfn.XLOOKUP(B2913,Cuentas!$C$1:$C$521,Cuentas!$A$1:$A$521),"")</f>
        <v/>
      </c>
    </row>
    <row r="2914" spans="1:1">
      <c r="A2914" t="str">
        <f>IFERROR(_xlfn.XLOOKUP(B2914,Cuentas!$C$1:$C$521,Cuentas!$A$1:$A$521),"")</f>
        <v/>
      </c>
    </row>
    <row r="2915" spans="1:1">
      <c r="A2915" t="str">
        <f>IFERROR(_xlfn.XLOOKUP(B2915,Cuentas!$C$1:$C$521,Cuentas!$A$1:$A$521),"")</f>
        <v/>
      </c>
    </row>
    <row r="2916" spans="1:1">
      <c r="A2916" t="str">
        <f>IFERROR(_xlfn.XLOOKUP(B2916,Cuentas!$C$1:$C$521,Cuentas!$A$1:$A$521),"")</f>
        <v/>
      </c>
    </row>
    <row r="2917" spans="1:1">
      <c r="A2917" t="str">
        <f>IFERROR(_xlfn.XLOOKUP(B2917,Cuentas!$C$1:$C$521,Cuentas!$A$1:$A$521),"")</f>
        <v/>
      </c>
    </row>
    <row r="2918" spans="1:1">
      <c r="A2918" t="str">
        <f>IFERROR(_xlfn.XLOOKUP(B2918,Cuentas!$C$1:$C$521,Cuentas!$A$1:$A$521),"")</f>
        <v/>
      </c>
    </row>
    <row r="2919" spans="1:1">
      <c r="A2919" t="str">
        <f>IFERROR(_xlfn.XLOOKUP(B2919,Cuentas!$C$1:$C$521,Cuentas!$A$1:$A$521),"")</f>
        <v/>
      </c>
    </row>
    <row r="2920" spans="1:1">
      <c r="A2920" t="str">
        <f>IFERROR(_xlfn.XLOOKUP(B2920,Cuentas!$C$1:$C$521,Cuentas!$A$1:$A$521),"")</f>
        <v/>
      </c>
    </row>
    <row r="2921" spans="1:1">
      <c r="A2921" t="str">
        <f>IFERROR(_xlfn.XLOOKUP(B2921,Cuentas!$C$1:$C$521,Cuentas!$A$1:$A$521),"")</f>
        <v/>
      </c>
    </row>
    <row r="2922" spans="1:1">
      <c r="A2922" t="str">
        <f>IFERROR(_xlfn.XLOOKUP(B2922,Cuentas!$C$1:$C$521,Cuentas!$A$1:$A$521),"")</f>
        <v/>
      </c>
    </row>
    <row r="2923" spans="1:1">
      <c r="A2923" t="str">
        <f>IFERROR(_xlfn.XLOOKUP(B2923,Cuentas!$C$1:$C$521,Cuentas!$A$1:$A$521),"")</f>
        <v/>
      </c>
    </row>
    <row r="2924" spans="1:1">
      <c r="A2924" t="str">
        <f>IFERROR(_xlfn.XLOOKUP(B2924,Cuentas!$C$1:$C$521,Cuentas!$A$1:$A$521),"")</f>
        <v/>
      </c>
    </row>
    <row r="2925" spans="1:1">
      <c r="A2925" t="str">
        <f>IFERROR(_xlfn.XLOOKUP(B2925,Cuentas!$C$1:$C$521,Cuentas!$A$1:$A$521),"")</f>
        <v/>
      </c>
    </row>
    <row r="2926" spans="1:1">
      <c r="A2926" t="str">
        <f>IFERROR(_xlfn.XLOOKUP(B2926,Cuentas!$C$1:$C$521,Cuentas!$A$1:$A$521),"")</f>
        <v/>
      </c>
    </row>
    <row r="2927" spans="1:1">
      <c r="A2927" t="str">
        <f>IFERROR(_xlfn.XLOOKUP(B2927,Cuentas!$C$1:$C$521,Cuentas!$A$1:$A$521),"")</f>
        <v/>
      </c>
    </row>
    <row r="2928" spans="1:1">
      <c r="A2928" t="str">
        <f>IFERROR(_xlfn.XLOOKUP(B2928,Cuentas!$C$1:$C$521,Cuentas!$A$1:$A$521),"")</f>
        <v/>
      </c>
    </row>
    <row r="2929" spans="1:1">
      <c r="A2929" t="str">
        <f>IFERROR(_xlfn.XLOOKUP(B2929,Cuentas!$C$1:$C$521,Cuentas!$A$1:$A$521),"")</f>
        <v/>
      </c>
    </row>
    <row r="2930" spans="1:1">
      <c r="A2930" t="str">
        <f>IFERROR(_xlfn.XLOOKUP(B2930,Cuentas!$C$1:$C$521,Cuentas!$A$1:$A$521),"")</f>
        <v/>
      </c>
    </row>
    <row r="2931" spans="1:1">
      <c r="A2931" t="str">
        <f>IFERROR(_xlfn.XLOOKUP(B2931,Cuentas!$C$1:$C$521,Cuentas!$A$1:$A$521),"")</f>
        <v/>
      </c>
    </row>
    <row r="2932" spans="1:1">
      <c r="A2932" t="str">
        <f>IFERROR(_xlfn.XLOOKUP(B2932,Cuentas!$C$1:$C$521,Cuentas!$A$1:$A$521),"")</f>
        <v/>
      </c>
    </row>
    <row r="2933" spans="1:1">
      <c r="A2933" t="str">
        <f>IFERROR(_xlfn.XLOOKUP(B2933,Cuentas!$C$1:$C$521,Cuentas!$A$1:$A$521),"")</f>
        <v/>
      </c>
    </row>
    <row r="2934" spans="1:1">
      <c r="A2934" t="str">
        <f>IFERROR(_xlfn.XLOOKUP(B2934,Cuentas!$C$1:$C$521,Cuentas!$A$1:$A$521),"")</f>
        <v/>
      </c>
    </row>
    <row r="2935" spans="1:1">
      <c r="A2935" t="str">
        <f>IFERROR(_xlfn.XLOOKUP(B2935,Cuentas!$C$1:$C$521,Cuentas!$A$1:$A$521),"")</f>
        <v/>
      </c>
    </row>
    <row r="2936" spans="1:1">
      <c r="A2936" t="str">
        <f>IFERROR(_xlfn.XLOOKUP(B2936,Cuentas!$C$1:$C$521,Cuentas!$A$1:$A$521),"")</f>
        <v/>
      </c>
    </row>
    <row r="2937" spans="1:1">
      <c r="A2937" t="str">
        <f>IFERROR(_xlfn.XLOOKUP(B2937,Cuentas!$C$1:$C$521,Cuentas!$A$1:$A$521),"")</f>
        <v/>
      </c>
    </row>
    <row r="2938" spans="1:1">
      <c r="A2938" t="str">
        <f>IFERROR(_xlfn.XLOOKUP(B2938,Cuentas!$C$1:$C$521,Cuentas!$A$1:$A$521),"")</f>
        <v/>
      </c>
    </row>
    <row r="2939" spans="1:1">
      <c r="A2939" t="str">
        <f>IFERROR(_xlfn.XLOOKUP(B2939,Cuentas!$C$1:$C$521,Cuentas!$A$1:$A$521),"")</f>
        <v/>
      </c>
    </row>
    <row r="2940" spans="1:1">
      <c r="A2940" t="str">
        <f>IFERROR(_xlfn.XLOOKUP(B2940,Cuentas!$C$1:$C$521,Cuentas!$A$1:$A$521),"")</f>
        <v/>
      </c>
    </row>
    <row r="2941" spans="1:1">
      <c r="A2941" t="str">
        <f>IFERROR(_xlfn.XLOOKUP(B2941,Cuentas!$C$1:$C$521,Cuentas!$A$1:$A$521),"")</f>
        <v/>
      </c>
    </row>
    <row r="2942" spans="1:1">
      <c r="A2942" t="str">
        <f>IFERROR(_xlfn.XLOOKUP(B2942,Cuentas!$C$1:$C$521,Cuentas!$A$1:$A$521),"")</f>
        <v/>
      </c>
    </row>
    <row r="2943" spans="1:1">
      <c r="A2943" t="str">
        <f>IFERROR(_xlfn.XLOOKUP(B2943,Cuentas!$C$1:$C$521,Cuentas!$A$1:$A$521),"")</f>
        <v/>
      </c>
    </row>
    <row r="2944" spans="1:1">
      <c r="A2944" t="str">
        <f>IFERROR(_xlfn.XLOOKUP(B2944,Cuentas!$C$1:$C$521,Cuentas!$A$1:$A$521),"")</f>
        <v/>
      </c>
    </row>
    <row r="2945" spans="1:1">
      <c r="A2945" t="str">
        <f>IFERROR(_xlfn.XLOOKUP(B2945,Cuentas!$C$1:$C$521,Cuentas!$A$1:$A$521),"")</f>
        <v/>
      </c>
    </row>
    <row r="2946" spans="1:1">
      <c r="A2946" t="str">
        <f>IFERROR(_xlfn.XLOOKUP(B2946,Cuentas!$C$1:$C$521,Cuentas!$A$1:$A$521),"")</f>
        <v/>
      </c>
    </row>
    <row r="2947" spans="1:1">
      <c r="A2947" t="str">
        <f>IFERROR(_xlfn.XLOOKUP(B2947,Cuentas!$C$1:$C$521,Cuentas!$A$1:$A$521),"")</f>
        <v/>
      </c>
    </row>
    <row r="2948" spans="1:1">
      <c r="A2948" t="str">
        <f>IFERROR(_xlfn.XLOOKUP(B2948,Cuentas!$C$1:$C$521,Cuentas!$A$1:$A$521),"")</f>
        <v/>
      </c>
    </row>
    <row r="2949" spans="1:1">
      <c r="A2949" t="str">
        <f>IFERROR(_xlfn.XLOOKUP(B2949,Cuentas!$C$1:$C$521,Cuentas!$A$1:$A$521),"")</f>
        <v/>
      </c>
    </row>
    <row r="2950" spans="1:1">
      <c r="A2950" t="str">
        <f>IFERROR(_xlfn.XLOOKUP(B2950,Cuentas!$C$1:$C$521,Cuentas!$A$1:$A$521),"")</f>
        <v/>
      </c>
    </row>
    <row r="2951" spans="1:1">
      <c r="A2951" t="str">
        <f>IFERROR(_xlfn.XLOOKUP(B2951,Cuentas!$C$1:$C$521,Cuentas!$A$1:$A$521),"")</f>
        <v/>
      </c>
    </row>
    <row r="2952" spans="1:1">
      <c r="A2952" t="str">
        <f>IFERROR(_xlfn.XLOOKUP(B2952,Cuentas!$C$1:$C$521,Cuentas!$A$1:$A$521),"")</f>
        <v/>
      </c>
    </row>
    <row r="2953" spans="1:1">
      <c r="A2953" t="str">
        <f>IFERROR(_xlfn.XLOOKUP(B2953,Cuentas!$C$1:$C$521,Cuentas!$A$1:$A$521),"")</f>
        <v/>
      </c>
    </row>
    <row r="2954" spans="1:1">
      <c r="A2954" t="str">
        <f>IFERROR(_xlfn.XLOOKUP(B2954,Cuentas!$C$1:$C$521,Cuentas!$A$1:$A$521),"")</f>
        <v/>
      </c>
    </row>
    <row r="2955" spans="1:1">
      <c r="A2955" t="str">
        <f>IFERROR(_xlfn.XLOOKUP(B2955,Cuentas!$C$1:$C$521,Cuentas!$A$1:$A$521),"")</f>
        <v/>
      </c>
    </row>
    <row r="2956" spans="1:1">
      <c r="A2956" t="str">
        <f>IFERROR(_xlfn.XLOOKUP(B2956,Cuentas!$C$1:$C$521,Cuentas!$A$1:$A$521),"")</f>
        <v/>
      </c>
    </row>
    <row r="2957" spans="1:1">
      <c r="A2957" t="str">
        <f>IFERROR(_xlfn.XLOOKUP(B2957,Cuentas!$C$1:$C$521,Cuentas!$A$1:$A$521),"")</f>
        <v/>
      </c>
    </row>
    <row r="2958" spans="1:1">
      <c r="A2958" t="str">
        <f>IFERROR(_xlfn.XLOOKUP(B2958,Cuentas!$C$1:$C$521,Cuentas!$A$1:$A$521),"")</f>
        <v/>
      </c>
    </row>
    <row r="2959" spans="1:1">
      <c r="A2959" t="str">
        <f>IFERROR(_xlfn.XLOOKUP(B2959,Cuentas!$C$1:$C$521,Cuentas!$A$1:$A$521),"")</f>
        <v/>
      </c>
    </row>
    <row r="2960" spans="1:1">
      <c r="A2960" t="str">
        <f>IFERROR(_xlfn.XLOOKUP(B2960,Cuentas!$C$1:$C$521,Cuentas!$A$1:$A$521),"")</f>
        <v/>
      </c>
    </row>
    <row r="2961" spans="1:1">
      <c r="A2961" t="str">
        <f>IFERROR(_xlfn.XLOOKUP(B2961,Cuentas!$C$1:$C$521,Cuentas!$A$1:$A$521),"")</f>
        <v/>
      </c>
    </row>
    <row r="2962" spans="1:1">
      <c r="A2962" t="str">
        <f>IFERROR(_xlfn.XLOOKUP(B2962,Cuentas!$C$1:$C$521,Cuentas!$A$1:$A$521),"")</f>
        <v/>
      </c>
    </row>
    <row r="2963" spans="1:1">
      <c r="A2963" t="str">
        <f>IFERROR(_xlfn.XLOOKUP(B2963,Cuentas!$C$1:$C$521,Cuentas!$A$1:$A$521),"")</f>
        <v/>
      </c>
    </row>
    <row r="2964" spans="1:1">
      <c r="A2964" t="str">
        <f>IFERROR(_xlfn.XLOOKUP(B2964,Cuentas!$C$1:$C$521,Cuentas!$A$1:$A$521),"")</f>
        <v/>
      </c>
    </row>
    <row r="2965" spans="1:1">
      <c r="A2965" t="str">
        <f>IFERROR(_xlfn.XLOOKUP(B2965,Cuentas!$C$1:$C$521,Cuentas!$A$1:$A$521),"")</f>
        <v/>
      </c>
    </row>
    <row r="2966" spans="1:1">
      <c r="A2966" t="str">
        <f>IFERROR(_xlfn.XLOOKUP(B2966,Cuentas!$C$1:$C$521,Cuentas!$A$1:$A$521),"")</f>
        <v/>
      </c>
    </row>
    <row r="2967" spans="1:1">
      <c r="A2967" t="str">
        <f>IFERROR(_xlfn.XLOOKUP(B2967,Cuentas!$C$1:$C$521,Cuentas!$A$1:$A$521),"")</f>
        <v/>
      </c>
    </row>
    <row r="2968" spans="1:1">
      <c r="A2968" t="str">
        <f>IFERROR(_xlfn.XLOOKUP(B2968,Cuentas!$C$1:$C$521,Cuentas!$A$1:$A$521),"")</f>
        <v/>
      </c>
    </row>
    <row r="2969" spans="1:1">
      <c r="A2969" t="str">
        <f>IFERROR(_xlfn.XLOOKUP(B2969,Cuentas!$C$1:$C$521,Cuentas!$A$1:$A$521),"")</f>
        <v/>
      </c>
    </row>
    <row r="2970" spans="1:1">
      <c r="A2970" t="str">
        <f>IFERROR(_xlfn.XLOOKUP(B2970,Cuentas!$C$1:$C$521,Cuentas!$A$1:$A$521),"")</f>
        <v/>
      </c>
    </row>
    <row r="2971" spans="1:1">
      <c r="A2971" t="str">
        <f>IFERROR(_xlfn.XLOOKUP(B2971,Cuentas!$C$1:$C$521,Cuentas!$A$1:$A$521),"")</f>
        <v/>
      </c>
    </row>
    <row r="2972" spans="1:1">
      <c r="A2972" t="str">
        <f>IFERROR(_xlfn.XLOOKUP(B2972,Cuentas!$C$1:$C$521,Cuentas!$A$1:$A$521),"")</f>
        <v/>
      </c>
    </row>
    <row r="2973" spans="1:1">
      <c r="A2973" t="str">
        <f>IFERROR(_xlfn.XLOOKUP(B2973,Cuentas!$C$1:$C$521,Cuentas!$A$1:$A$521),"")</f>
        <v/>
      </c>
    </row>
    <row r="2974" spans="1:1">
      <c r="A2974" t="str">
        <f>IFERROR(_xlfn.XLOOKUP(B2974,Cuentas!$C$1:$C$521,Cuentas!$A$1:$A$521),"")</f>
        <v/>
      </c>
    </row>
    <row r="2975" spans="1:1">
      <c r="A2975" t="str">
        <f>IFERROR(_xlfn.XLOOKUP(B2975,Cuentas!$C$1:$C$521,Cuentas!$A$1:$A$521),"")</f>
        <v/>
      </c>
    </row>
    <row r="2976" spans="1:1">
      <c r="A2976" t="str">
        <f>IFERROR(_xlfn.XLOOKUP(B2976,Cuentas!$C$1:$C$521,Cuentas!$A$1:$A$521),"")</f>
        <v/>
      </c>
    </row>
    <row r="2977" spans="1:1">
      <c r="A2977" t="str">
        <f>IFERROR(_xlfn.XLOOKUP(B2977,Cuentas!$C$1:$C$521,Cuentas!$A$1:$A$521),"")</f>
        <v/>
      </c>
    </row>
    <row r="2978" spans="1:1">
      <c r="A2978" t="str">
        <f>IFERROR(_xlfn.XLOOKUP(B2978,Cuentas!$C$1:$C$521,Cuentas!$A$1:$A$521),"")</f>
        <v/>
      </c>
    </row>
    <row r="2979" spans="1:1">
      <c r="A2979" t="str">
        <f>IFERROR(_xlfn.XLOOKUP(B2979,Cuentas!$C$1:$C$521,Cuentas!$A$1:$A$521),"")</f>
        <v/>
      </c>
    </row>
    <row r="2980" spans="1:1">
      <c r="A2980" t="str">
        <f>IFERROR(_xlfn.XLOOKUP(B2980,Cuentas!$C$1:$C$521,Cuentas!$A$1:$A$521),"")</f>
        <v/>
      </c>
    </row>
    <row r="2981" spans="1:1">
      <c r="A2981" t="str">
        <f>IFERROR(_xlfn.XLOOKUP(B2981,Cuentas!$C$1:$C$521,Cuentas!$A$1:$A$521),"")</f>
        <v/>
      </c>
    </row>
    <row r="2982" spans="1:1">
      <c r="A2982" t="str">
        <f>IFERROR(_xlfn.XLOOKUP(B2982,Cuentas!$C$1:$C$521,Cuentas!$A$1:$A$521),"")</f>
        <v/>
      </c>
    </row>
    <row r="2983" spans="1:1">
      <c r="A2983" t="str">
        <f>IFERROR(_xlfn.XLOOKUP(B2983,Cuentas!$C$1:$C$521,Cuentas!$A$1:$A$521),"")</f>
        <v/>
      </c>
    </row>
    <row r="2984" spans="1:1">
      <c r="A2984" t="str">
        <f>IFERROR(_xlfn.XLOOKUP(B2984,Cuentas!$C$1:$C$521,Cuentas!$A$1:$A$521),"")</f>
        <v/>
      </c>
    </row>
    <row r="2985" spans="1:1">
      <c r="A2985" t="str">
        <f>IFERROR(_xlfn.XLOOKUP(B2985,Cuentas!$C$1:$C$521,Cuentas!$A$1:$A$521),"")</f>
        <v/>
      </c>
    </row>
    <row r="2986" spans="1:1">
      <c r="A2986" t="str">
        <f>IFERROR(_xlfn.XLOOKUP(B2986,Cuentas!$C$1:$C$521,Cuentas!$A$1:$A$521),"")</f>
        <v/>
      </c>
    </row>
    <row r="2987" spans="1:1">
      <c r="A2987" t="str">
        <f>IFERROR(_xlfn.XLOOKUP(B2987,Cuentas!$C$1:$C$521,Cuentas!$A$1:$A$521),"")</f>
        <v/>
      </c>
    </row>
    <row r="2988" spans="1:1">
      <c r="A2988" t="str">
        <f>IFERROR(_xlfn.XLOOKUP(B2988,Cuentas!$C$1:$C$521,Cuentas!$A$1:$A$521),"")</f>
        <v/>
      </c>
    </row>
    <row r="2989" spans="1:1">
      <c r="A2989" t="str">
        <f>IFERROR(_xlfn.XLOOKUP(B2989,Cuentas!$C$1:$C$521,Cuentas!$A$1:$A$521),"")</f>
        <v/>
      </c>
    </row>
    <row r="2990" spans="1:1">
      <c r="A2990" t="str">
        <f>IFERROR(_xlfn.XLOOKUP(B2990,Cuentas!$C$1:$C$521,Cuentas!$A$1:$A$521),"")</f>
        <v/>
      </c>
    </row>
    <row r="2991" spans="1:1">
      <c r="A2991" t="str">
        <f>IFERROR(_xlfn.XLOOKUP(B2991,Cuentas!$C$1:$C$521,Cuentas!$A$1:$A$521),"")</f>
        <v/>
      </c>
    </row>
    <row r="2992" spans="1:1">
      <c r="A2992" t="str">
        <f>IFERROR(_xlfn.XLOOKUP(B2992,Cuentas!$C$1:$C$521,Cuentas!$A$1:$A$521),"")</f>
        <v/>
      </c>
    </row>
    <row r="2993" spans="1:1">
      <c r="A2993" t="str">
        <f>IFERROR(_xlfn.XLOOKUP(B2993,Cuentas!$C$1:$C$521,Cuentas!$A$1:$A$521),"")</f>
        <v/>
      </c>
    </row>
    <row r="2994" spans="1:1">
      <c r="A2994" t="str">
        <f>IFERROR(_xlfn.XLOOKUP(B2994,Cuentas!$C$1:$C$521,Cuentas!$A$1:$A$521),"")</f>
        <v/>
      </c>
    </row>
    <row r="2995" spans="1:1">
      <c r="A2995" t="str">
        <f>IFERROR(_xlfn.XLOOKUP(B2995,Cuentas!$C$1:$C$521,Cuentas!$A$1:$A$521),"")</f>
        <v/>
      </c>
    </row>
    <row r="2996" spans="1:1">
      <c r="A2996" t="str">
        <f>IFERROR(_xlfn.XLOOKUP(B2996,Cuentas!$C$1:$C$521,Cuentas!$A$1:$A$521),"")</f>
        <v/>
      </c>
    </row>
    <row r="2997" spans="1:1">
      <c r="A2997" t="str">
        <f>IFERROR(_xlfn.XLOOKUP(B2997,Cuentas!$C$1:$C$521,Cuentas!$A$1:$A$521),"")</f>
        <v/>
      </c>
    </row>
    <row r="2998" spans="1:1">
      <c r="A2998" t="str">
        <f>IFERROR(_xlfn.XLOOKUP(B2998,Cuentas!$C$1:$C$521,Cuentas!$A$1:$A$521),"")</f>
        <v/>
      </c>
    </row>
    <row r="2999" spans="1:1">
      <c r="A2999" t="str">
        <f>IFERROR(_xlfn.XLOOKUP(B2999,Cuentas!$C$1:$C$521,Cuentas!$A$1:$A$521),"")</f>
        <v/>
      </c>
    </row>
    <row r="3000" spans="1:1">
      <c r="A3000" t="str">
        <f>IFERROR(_xlfn.XLOOKUP(B3000,Cuentas!$C$1:$C$521,Cuentas!$A$1:$A$521),"")</f>
        <v/>
      </c>
    </row>
    <row r="3001" spans="1:1">
      <c r="A3001" t="str">
        <f>IFERROR(_xlfn.XLOOKUP(B3001,Cuentas!$C$1:$C$521,Cuentas!$A$1:$A$521),"")</f>
        <v/>
      </c>
    </row>
    <row r="3002" spans="1:1">
      <c r="A3002" t="str">
        <f>IFERROR(_xlfn.XLOOKUP(B3002,Cuentas!$C$1:$C$521,Cuentas!$A$1:$A$521),"")</f>
        <v/>
      </c>
    </row>
    <row r="3003" spans="1:1">
      <c r="A3003" t="str">
        <f>IFERROR(_xlfn.XLOOKUP(B3003,Cuentas!$C$1:$C$521,Cuentas!$A$1:$A$521),"")</f>
        <v/>
      </c>
    </row>
    <row r="3004" spans="1:1">
      <c r="A3004" t="str">
        <f>IFERROR(_xlfn.XLOOKUP(B3004,Cuentas!$C$1:$C$521,Cuentas!$A$1:$A$521),"")</f>
        <v/>
      </c>
    </row>
    <row r="3005" spans="1:1">
      <c r="A3005" t="str">
        <f>IFERROR(_xlfn.XLOOKUP(B3005,Cuentas!$C$1:$C$521,Cuentas!$A$1:$A$521),"")</f>
        <v/>
      </c>
    </row>
    <row r="3006" spans="1:1">
      <c r="A3006" t="str">
        <f>IFERROR(_xlfn.XLOOKUP(B3006,Cuentas!$C$1:$C$521,Cuentas!$A$1:$A$521),"")</f>
        <v/>
      </c>
    </row>
    <row r="3007" spans="1:1">
      <c r="A3007" t="str">
        <f>IFERROR(_xlfn.XLOOKUP(B3007,Cuentas!$C$1:$C$521,Cuentas!$A$1:$A$521),"")</f>
        <v/>
      </c>
    </row>
    <row r="3008" spans="1:1">
      <c r="A3008" t="str">
        <f>IFERROR(_xlfn.XLOOKUP(B3008,Cuentas!$C$1:$C$521,Cuentas!$A$1:$A$521),"")</f>
        <v/>
      </c>
    </row>
    <row r="3009" spans="1:1">
      <c r="A3009" t="str">
        <f>IFERROR(_xlfn.XLOOKUP(B3009,Cuentas!$C$1:$C$521,Cuentas!$A$1:$A$521),"")</f>
        <v/>
      </c>
    </row>
    <row r="3010" spans="1:1">
      <c r="A3010" t="str">
        <f>IFERROR(_xlfn.XLOOKUP(B3010,Cuentas!$C$1:$C$521,Cuentas!$A$1:$A$521),"")</f>
        <v/>
      </c>
    </row>
    <row r="3011" spans="1:1">
      <c r="A3011" t="str">
        <f>IFERROR(_xlfn.XLOOKUP(B3011,Cuentas!$C$1:$C$521,Cuentas!$A$1:$A$521),"")</f>
        <v/>
      </c>
    </row>
    <row r="3012" spans="1:1">
      <c r="A3012" t="str">
        <f>IFERROR(_xlfn.XLOOKUP(B3012,Cuentas!$C$1:$C$521,Cuentas!$A$1:$A$521),"")</f>
        <v/>
      </c>
    </row>
    <row r="3013" spans="1:1">
      <c r="A3013" t="str">
        <f>IFERROR(_xlfn.XLOOKUP(B3013,Cuentas!$C$1:$C$521,Cuentas!$A$1:$A$521),"")</f>
        <v/>
      </c>
    </row>
    <row r="3014" spans="1:1">
      <c r="A3014" t="str">
        <f>IFERROR(_xlfn.XLOOKUP(B3014,Cuentas!$C$1:$C$521,Cuentas!$A$1:$A$521),"")</f>
        <v/>
      </c>
    </row>
    <row r="3015" spans="1:1">
      <c r="A3015" t="str">
        <f>IFERROR(_xlfn.XLOOKUP(B3015,Cuentas!$C$1:$C$521,Cuentas!$A$1:$A$521),"")</f>
        <v/>
      </c>
    </row>
    <row r="3016" spans="1:1">
      <c r="A3016" t="str">
        <f>IFERROR(_xlfn.XLOOKUP(B3016,Cuentas!$C$1:$C$521,Cuentas!$A$1:$A$521),"")</f>
        <v/>
      </c>
    </row>
    <row r="3017" spans="1:1">
      <c r="A3017" t="str">
        <f>IFERROR(_xlfn.XLOOKUP(B3017,Cuentas!$C$1:$C$521,Cuentas!$A$1:$A$521),"")</f>
        <v/>
      </c>
    </row>
    <row r="3018" spans="1:1">
      <c r="A3018" t="str">
        <f>IFERROR(_xlfn.XLOOKUP(B3018,Cuentas!$C$1:$C$521,Cuentas!$A$1:$A$521),"")</f>
        <v/>
      </c>
    </row>
    <row r="3019" spans="1:1">
      <c r="A3019" t="str">
        <f>IFERROR(_xlfn.XLOOKUP(B3019,Cuentas!$C$1:$C$521,Cuentas!$A$1:$A$521),"")</f>
        <v/>
      </c>
    </row>
    <row r="3020" spans="1:1">
      <c r="A3020" t="str">
        <f>IFERROR(_xlfn.XLOOKUP(B3020,Cuentas!$C$1:$C$521,Cuentas!$A$1:$A$521),"")</f>
        <v/>
      </c>
    </row>
    <row r="3021" spans="1:1">
      <c r="A3021" t="str">
        <f>IFERROR(_xlfn.XLOOKUP(B3021,Cuentas!$C$1:$C$521,Cuentas!$A$1:$A$521),"")</f>
        <v/>
      </c>
    </row>
    <row r="3022" spans="1:1">
      <c r="A3022" t="str">
        <f>IFERROR(_xlfn.XLOOKUP(B3022,Cuentas!$C$1:$C$521,Cuentas!$A$1:$A$521),"")</f>
        <v/>
      </c>
    </row>
    <row r="3023" spans="1:1">
      <c r="A3023" t="str">
        <f>IFERROR(_xlfn.XLOOKUP(B3023,Cuentas!$C$1:$C$521,Cuentas!$A$1:$A$521),"")</f>
        <v/>
      </c>
    </row>
    <row r="3024" spans="1:1">
      <c r="A3024" t="str">
        <f>IFERROR(_xlfn.XLOOKUP(B3024,Cuentas!$C$1:$C$521,Cuentas!$A$1:$A$521),"")</f>
        <v/>
      </c>
    </row>
    <row r="3025" spans="1:1">
      <c r="A3025" t="str">
        <f>IFERROR(_xlfn.XLOOKUP(B3025,Cuentas!$C$1:$C$521,Cuentas!$A$1:$A$521),"")</f>
        <v/>
      </c>
    </row>
    <row r="3026" spans="1:1">
      <c r="A3026" t="str">
        <f>IFERROR(_xlfn.XLOOKUP(B3026,Cuentas!$C$1:$C$521,Cuentas!$A$1:$A$521),"")</f>
        <v/>
      </c>
    </row>
    <row r="3027" spans="1:1">
      <c r="A3027" t="str">
        <f>IFERROR(_xlfn.XLOOKUP(B3027,Cuentas!$C$1:$C$521,Cuentas!$A$1:$A$521),"")</f>
        <v/>
      </c>
    </row>
    <row r="3028" spans="1:1">
      <c r="A3028" t="str">
        <f>IFERROR(_xlfn.XLOOKUP(B3028,Cuentas!$C$1:$C$521,Cuentas!$A$1:$A$521),"")</f>
        <v/>
      </c>
    </row>
    <row r="3029" spans="1:1">
      <c r="A3029" t="str">
        <f>IFERROR(_xlfn.XLOOKUP(B3029,Cuentas!$C$1:$C$521,Cuentas!$A$1:$A$521),"")</f>
        <v/>
      </c>
    </row>
    <row r="3030" spans="1:1">
      <c r="A3030" t="str">
        <f>IFERROR(_xlfn.XLOOKUP(B3030,Cuentas!$C$1:$C$521,Cuentas!$A$1:$A$521),"")</f>
        <v/>
      </c>
    </row>
    <row r="3031" spans="1:1">
      <c r="A3031" t="str">
        <f>IFERROR(_xlfn.XLOOKUP(B3031,Cuentas!$C$1:$C$521,Cuentas!$A$1:$A$521),"")</f>
        <v/>
      </c>
    </row>
    <row r="3032" spans="1:1">
      <c r="A3032" t="str">
        <f>IFERROR(_xlfn.XLOOKUP(B3032,Cuentas!$C$1:$C$521,Cuentas!$A$1:$A$521),"")</f>
        <v/>
      </c>
    </row>
    <row r="3033" spans="1:1">
      <c r="A3033" t="str">
        <f>IFERROR(_xlfn.XLOOKUP(B3033,Cuentas!$C$1:$C$521,Cuentas!$A$1:$A$521),"")</f>
        <v/>
      </c>
    </row>
    <row r="3034" spans="1:1">
      <c r="A3034" t="str">
        <f>IFERROR(_xlfn.XLOOKUP(B3034,Cuentas!$C$1:$C$521,Cuentas!$A$1:$A$521),"")</f>
        <v/>
      </c>
    </row>
    <row r="3035" spans="1:1">
      <c r="A3035" t="str">
        <f>IFERROR(_xlfn.XLOOKUP(B3035,Cuentas!$C$1:$C$521,Cuentas!$A$1:$A$521),"")</f>
        <v/>
      </c>
    </row>
    <row r="3036" spans="1:1">
      <c r="A3036" t="str">
        <f>IFERROR(_xlfn.XLOOKUP(B3036,Cuentas!$C$1:$C$521,Cuentas!$A$1:$A$521),"")</f>
        <v/>
      </c>
    </row>
    <row r="3037" spans="1:1">
      <c r="A3037" t="str">
        <f>IFERROR(_xlfn.XLOOKUP(B3037,Cuentas!$C$1:$C$521,Cuentas!$A$1:$A$521),"")</f>
        <v/>
      </c>
    </row>
    <row r="3038" spans="1:1">
      <c r="A3038" t="str">
        <f>IFERROR(_xlfn.XLOOKUP(B3038,Cuentas!$C$1:$C$521,Cuentas!$A$1:$A$521),"")</f>
        <v/>
      </c>
    </row>
    <row r="3039" spans="1:1">
      <c r="A3039" t="str">
        <f>IFERROR(_xlfn.XLOOKUP(B3039,Cuentas!$C$1:$C$521,Cuentas!$A$1:$A$521),"")</f>
        <v/>
      </c>
    </row>
    <row r="3040" spans="1:1">
      <c r="A3040" t="str">
        <f>IFERROR(_xlfn.XLOOKUP(B3040,Cuentas!$C$1:$C$521,Cuentas!$A$1:$A$521),"")</f>
        <v/>
      </c>
    </row>
    <row r="3041" spans="1:1">
      <c r="A3041" t="str">
        <f>IFERROR(_xlfn.XLOOKUP(B3041,Cuentas!$C$1:$C$521,Cuentas!$A$1:$A$521),"")</f>
        <v/>
      </c>
    </row>
    <row r="3042" spans="1:1">
      <c r="A3042" t="str">
        <f>IFERROR(_xlfn.XLOOKUP(B3042,Cuentas!$C$1:$C$521,Cuentas!$A$1:$A$521),"")</f>
        <v/>
      </c>
    </row>
    <row r="3043" spans="1:1">
      <c r="A3043" t="str">
        <f>IFERROR(_xlfn.XLOOKUP(B3043,Cuentas!$C$1:$C$521,Cuentas!$A$1:$A$521),"")</f>
        <v/>
      </c>
    </row>
    <row r="3044" spans="1:1">
      <c r="A3044" t="str">
        <f>IFERROR(_xlfn.XLOOKUP(B3044,Cuentas!$C$1:$C$521,Cuentas!$A$1:$A$521),"")</f>
        <v/>
      </c>
    </row>
    <row r="3045" spans="1:1">
      <c r="A3045" t="str">
        <f>IFERROR(_xlfn.XLOOKUP(B3045,Cuentas!$C$1:$C$521,Cuentas!$A$1:$A$521),"")</f>
        <v/>
      </c>
    </row>
    <row r="3046" spans="1:1">
      <c r="A3046" t="str">
        <f>IFERROR(_xlfn.XLOOKUP(B3046,Cuentas!$C$1:$C$521,Cuentas!$A$1:$A$521),"")</f>
        <v/>
      </c>
    </row>
    <row r="3047" spans="1:1">
      <c r="A3047" t="str">
        <f>IFERROR(_xlfn.XLOOKUP(B3047,Cuentas!$C$1:$C$521,Cuentas!$A$1:$A$521),"")</f>
        <v/>
      </c>
    </row>
    <row r="3048" spans="1:1">
      <c r="A3048" t="str">
        <f>IFERROR(_xlfn.XLOOKUP(B3048,Cuentas!$C$1:$C$521,Cuentas!$A$1:$A$521),"")</f>
        <v/>
      </c>
    </row>
    <row r="3049" spans="1:1">
      <c r="A3049" t="str">
        <f>IFERROR(_xlfn.XLOOKUP(B3049,Cuentas!$C$1:$C$521,Cuentas!$A$1:$A$521),"")</f>
        <v/>
      </c>
    </row>
    <row r="3050" spans="1:1">
      <c r="A3050" t="str">
        <f>IFERROR(_xlfn.XLOOKUP(B3050,Cuentas!$C$1:$C$521,Cuentas!$A$1:$A$521),"")</f>
        <v/>
      </c>
    </row>
    <row r="3051" spans="1:1">
      <c r="A3051" t="str">
        <f>IFERROR(_xlfn.XLOOKUP(B3051,Cuentas!$C$1:$C$521,Cuentas!$A$1:$A$521),"")</f>
        <v/>
      </c>
    </row>
    <row r="3052" spans="1:1">
      <c r="A3052" t="str">
        <f>IFERROR(_xlfn.XLOOKUP(B3052,Cuentas!$C$1:$C$521,Cuentas!$A$1:$A$521),"")</f>
        <v/>
      </c>
    </row>
    <row r="3053" spans="1:1">
      <c r="A3053" t="str">
        <f>IFERROR(_xlfn.XLOOKUP(B3053,Cuentas!$C$1:$C$521,Cuentas!$A$1:$A$521),"")</f>
        <v/>
      </c>
    </row>
    <row r="3054" spans="1:1">
      <c r="A3054" t="str">
        <f>IFERROR(_xlfn.XLOOKUP(B3054,Cuentas!$C$1:$C$521,Cuentas!$A$1:$A$521),"")</f>
        <v/>
      </c>
    </row>
    <row r="3055" spans="1:1">
      <c r="A3055" t="str">
        <f>IFERROR(_xlfn.XLOOKUP(B3055,Cuentas!$C$1:$C$521,Cuentas!$A$1:$A$521),"")</f>
        <v/>
      </c>
    </row>
    <row r="3056" spans="1:1">
      <c r="A3056" t="str">
        <f>IFERROR(_xlfn.XLOOKUP(B3056,Cuentas!$C$1:$C$521,Cuentas!$A$1:$A$521),"")</f>
        <v/>
      </c>
    </row>
    <row r="3057" spans="1:1">
      <c r="A3057" t="str">
        <f>IFERROR(_xlfn.XLOOKUP(B3057,Cuentas!$C$1:$C$521,Cuentas!$A$1:$A$521),"")</f>
        <v/>
      </c>
    </row>
    <row r="3058" spans="1:1">
      <c r="A3058" t="str">
        <f>IFERROR(_xlfn.XLOOKUP(B3058,Cuentas!$C$1:$C$521,Cuentas!$A$1:$A$521),"")</f>
        <v/>
      </c>
    </row>
    <row r="3059" spans="1:1">
      <c r="A3059" t="str">
        <f>IFERROR(_xlfn.XLOOKUP(B3059,Cuentas!$C$1:$C$521,Cuentas!$A$1:$A$521),"")</f>
        <v/>
      </c>
    </row>
    <row r="3060" spans="1:1">
      <c r="A3060" t="str">
        <f>IFERROR(_xlfn.XLOOKUP(B3060,Cuentas!$C$1:$C$521,Cuentas!$A$1:$A$521),"")</f>
        <v/>
      </c>
    </row>
    <row r="3061" spans="1:1">
      <c r="A3061" t="str">
        <f>IFERROR(_xlfn.XLOOKUP(B3061,Cuentas!$C$1:$C$521,Cuentas!$A$1:$A$521),"")</f>
        <v/>
      </c>
    </row>
    <row r="3062" spans="1:1">
      <c r="A3062" t="str">
        <f>IFERROR(_xlfn.XLOOKUP(B3062,Cuentas!$C$1:$C$521,Cuentas!$A$1:$A$521),"")</f>
        <v/>
      </c>
    </row>
    <row r="3063" spans="1:1">
      <c r="A3063" t="str">
        <f>IFERROR(_xlfn.XLOOKUP(B3063,Cuentas!$C$1:$C$521,Cuentas!$A$1:$A$521),"")</f>
        <v/>
      </c>
    </row>
    <row r="3064" spans="1:1">
      <c r="A3064" t="str">
        <f>IFERROR(_xlfn.XLOOKUP(B3064,Cuentas!$C$1:$C$521,Cuentas!$A$1:$A$521),"")</f>
        <v/>
      </c>
    </row>
    <row r="3065" spans="1:1">
      <c r="A3065" t="str">
        <f>IFERROR(_xlfn.XLOOKUP(B3065,Cuentas!$C$1:$C$521,Cuentas!$A$1:$A$521),"")</f>
        <v/>
      </c>
    </row>
    <row r="3066" spans="1:1">
      <c r="A3066" t="str">
        <f>IFERROR(_xlfn.XLOOKUP(B3066,Cuentas!$C$1:$C$521,Cuentas!$A$1:$A$521),"")</f>
        <v/>
      </c>
    </row>
    <row r="3067" spans="1:1">
      <c r="A3067" t="str">
        <f>IFERROR(_xlfn.XLOOKUP(B3067,Cuentas!$C$1:$C$521,Cuentas!$A$1:$A$521),"")</f>
        <v/>
      </c>
    </row>
    <row r="3068" spans="1:1">
      <c r="A3068" t="str">
        <f>IFERROR(_xlfn.XLOOKUP(B3068,Cuentas!$C$1:$C$521,Cuentas!$A$1:$A$521),"")</f>
        <v/>
      </c>
    </row>
    <row r="3069" spans="1:1">
      <c r="A3069" t="str">
        <f>IFERROR(_xlfn.XLOOKUP(B3069,Cuentas!$C$1:$C$521,Cuentas!$A$1:$A$521),"")</f>
        <v/>
      </c>
    </row>
    <row r="3070" spans="1:1">
      <c r="A3070" t="str">
        <f>IFERROR(_xlfn.XLOOKUP(B3070,Cuentas!$C$1:$C$521,Cuentas!$A$1:$A$521),"")</f>
        <v/>
      </c>
    </row>
    <row r="3071" spans="1:1">
      <c r="A3071" t="str">
        <f>IFERROR(_xlfn.XLOOKUP(B3071,Cuentas!$C$1:$C$521,Cuentas!$A$1:$A$521),"")</f>
        <v/>
      </c>
    </row>
    <row r="3072" spans="1:1">
      <c r="A3072" t="str">
        <f>IFERROR(_xlfn.XLOOKUP(B3072,Cuentas!$C$1:$C$521,Cuentas!$A$1:$A$521),"")</f>
        <v/>
      </c>
    </row>
    <row r="3073" spans="1:1">
      <c r="A3073" t="str">
        <f>IFERROR(_xlfn.XLOOKUP(B3073,Cuentas!$C$1:$C$521,Cuentas!$A$1:$A$521),"")</f>
        <v/>
      </c>
    </row>
    <row r="3074" spans="1:1">
      <c r="A3074" t="str">
        <f>IFERROR(_xlfn.XLOOKUP(B3074,Cuentas!$C$1:$C$521,Cuentas!$A$1:$A$521),"")</f>
        <v/>
      </c>
    </row>
    <row r="3075" spans="1:1">
      <c r="A3075" t="str">
        <f>IFERROR(_xlfn.XLOOKUP(B3075,Cuentas!$C$1:$C$521,Cuentas!$A$1:$A$521),"")</f>
        <v/>
      </c>
    </row>
    <row r="3076" spans="1:1">
      <c r="A3076" t="str">
        <f>IFERROR(_xlfn.XLOOKUP(B3076,Cuentas!$C$1:$C$521,Cuentas!$A$1:$A$521),"")</f>
        <v/>
      </c>
    </row>
    <row r="3077" spans="1:1">
      <c r="A3077" t="str">
        <f>IFERROR(_xlfn.XLOOKUP(B3077,Cuentas!$C$1:$C$521,Cuentas!$A$1:$A$521),"")</f>
        <v/>
      </c>
    </row>
    <row r="3078" spans="1:1">
      <c r="A3078" t="str">
        <f>IFERROR(_xlfn.XLOOKUP(B3078,Cuentas!$C$1:$C$521,Cuentas!$A$1:$A$521),"")</f>
        <v/>
      </c>
    </row>
    <row r="3079" spans="1:1">
      <c r="A3079" t="str">
        <f>IFERROR(_xlfn.XLOOKUP(B3079,Cuentas!$C$1:$C$521,Cuentas!$A$1:$A$521),"")</f>
        <v/>
      </c>
    </row>
    <row r="3080" spans="1:1">
      <c r="A3080" t="str">
        <f>IFERROR(_xlfn.XLOOKUP(B3080,Cuentas!$C$1:$C$521,Cuentas!$A$1:$A$521),"")</f>
        <v/>
      </c>
    </row>
    <row r="3081" spans="1:1">
      <c r="A3081" t="str">
        <f>IFERROR(_xlfn.XLOOKUP(B3081,Cuentas!$C$1:$C$521,Cuentas!$A$1:$A$521),"")</f>
        <v/>
      </c>
    </row>
    <row r="3082" spans="1:1">
      <c r="A3082" t="str">
        <f>IFERROR(_xlfn.XLOOKUP(B3082,Cuentas!$C$1:$C$521,Cuentas!$A$1:$A$521),"")</f>
        <v/>
      </c>
    </row>
    <row r="3083" spans="1:1">
      <c r="A3083" t="str">
        <f>IFERROR(_xlfn.XLOOKUP(B3083,Cuentas!$C$1:$C$521,Cuentas!$A$1:$A$521),"")</f>
        <v/>
      </c>
    </row>
    <row r="3084" spans="1:1">
      <c r="A3084" t="str">
        <f>IFERROR(_xlfn.XLOOKUP(B3084,Cuentas!$C$1:$C$521,Cuentas!$A$1:$A$521),"")</f>
        <v/>
      </c>
    </row>
    <row r="3085" spans="1:1">
      <c r="A3085" t="str">
        <f>IFERROR(_xlfn.XLOOKUP(B3085,Cuentas!$C$1:$C$521,Cuentas!$A$1:$A$521),"")</f>
        <v/>
      </c>
    </row>
    <row r="3086" spans="1:1">
      <c r="A3086" t="str">
        <f>IFERROR(_xlfn.XLOOKUP(B3086,Cuentas!$C$1:$C$521,Cuentas!$A$1:$A$521),"")</f>
        <v/>
      </c>
    </row>
    <row r="3087" spans="1:1">
      <c r="A3087" t="str">
        <f>IFERROR(_xlfn.XLOOKUP(B3087,Cuentas!$C$1:$C$521,Cuentas!$A$1:$A$521),"")</f>
        <v/>
      </c>
    </row>
    <row r="3088" spans="1:1">
      <c r="A3088" t="str">
        <f>IFERROR(_xlfn.XLOOKUP(B3088,Cuentas!$C$1:$C$521,Cuentas!$A$1:$A$521),"")</f>
        <v/>
      </c>
    </row>
    <row r="3089" spans="1:1">
      <c r="A3089" t="str">
        <f>IFERROR(_xlfn.XLOOKUP(B3089,Cuentas!$C$1:$C$521,Cuentas!$A$1:$A$521),"")</f>
        <v/>
      </c>
    </row>
    <row r="3090" spans="1:1">
      <c r="A3090" t="str">
        <f>IFERROR(_xlfn.XLOOKUP(B3090,Cuentas!$C$1:$C$521,Cuentas!$A$1:$A$521),"")</f>
        <v/>
      </c>
    </row>
    <row r="3091" spans="1:1">
      <c r="A3091" t="str">
        <f>IFERROR(_xlfn.XLOOKUP(B3091,Cuentas!$C$1:$C$521,Cuentas!$A$1:$A$521),"")</f>
        <v/>
      </c>
    </row>
    <row r="3092" spans="1:1">
      <c r="A3092" t="str">
        <f>IFERROR(_xlfn.XLOOKUP(B3092,Cuentas!$C$1:$C$521,Cuentas!$A$1:$A$521),"")</f>
        <v/>
      </c>
    </row>
    <row r="3093" spans="1:1">
      <c r="A3093" t="str">
        <f>IFERROR(_xlfn.XLOOKUP(B3093,Cuentas!$C$1:$C$521,Cuentas!$A$1:$A$521),"")</f>
        <v/>
      </c>
    </row>
    <row r="3094" spans="1:1">
      <c r="A3094" t="str">
        <f>IFERROR(_xlfn.XLOOKUP(B3094,Cuentas!$C$1:$C$521,Cuentas!$A$1:$A$521),"")</f>
        <v/>
      </c>
    </row>
    <row r="3095" spans="1:1">
      <c r="A3095" t="str">
        <f>IFERROR(_xlfn.XLOOKUP(B3095,Cuentas!$C$1:$C$521,Cuentas!$A$1:$A$521),"")</f>
        <v/>
      </c>
    </row>
    <row r="3096" spans="1:1">
      <c r="A3096" t="str">
        <f>IFERROR(_xlfn.XLOOKUP(B3096,Cuentas!$C$1:$C$521,Cuentas!$A$1:$A$521),"")</f>
        <v/>
      </c>
    </row>
    <row r="3097" spans="1:1">
      <c r="A3097" t="str">
        <f>IFERROR(_xlfn.XLOOKUP(B3097,Cuentas!$C$1:$C$521,Cuentas!$A$1:$A$521),"")</f>
        <v/>
      </c>
    </row>
    <row r="3098" spans="1:1">
      <c r="A3098" t="str">
        <f>IFERROR(_xlfn.XLOOKUP(B3098,Cuentas!$C$1:$C$521,Cuentas!$A$1:$A$521),"")</f>
        <v/>
      </c>
    </row>
    <row r="3099" spans="1:1">
      <c r="A3099" t="str">
        <f>IFERROR(_xlfn.XLOOKUP(B3099,Cuentas!$C$1:$C$521,Cuentas!$A$1:$A$521),"")</f>
        <v/>
      </c>
    </row>
    <row r="3100" spans="1:1">
      <c r="A3100" t="str">
        <f>IFERROR(_xlfn.XLOOKUP(B3100,Cuentas!$C$1:$C$521,Cuentas!$A$1:$A$521),"")</f>
        <v/>
      </c>
    </row>
    <row r="3101" spans="1:1">
      <c r="A3101" t="str">
        <f>IFERROR(_xlfn.XLOOKUP(B3101,Cuentas!$C$1:$C$521,Cuentas!$A$1:$A$521),"")</f>
        <v/>
      </c>
    </row>
    <row r="3102" spans="1:1">
      <c r="A3102" t="str">
        <f>IFERROR(_xlfn.XLOOKUP(B3102,Cuentas!$C$1:$C$521,Cuentas!$A$1:$A$521),"")</f>
        <v/>
      </c>
    </row>
    <row r="3103" spans="1:1">
      <c r="A3103" t="str">
        <f>IFERROR(_xlfn.XLOOKUP(B3103,Cuentas!$C$1:$C$521,Cuentas!$A$1:$A$521),"")</f>
        <v/>
      </c>
    </row>
    <row r="3104" spans="1:1">
      <c r="A3104" t="str">
        <f>IFERROR(_xlfn.XLOOKUP(B3104,Cuentas!$C$1:$C$521,Cuentas!$A$1:$A$521),"")</f>
        <v/>
      </c>
    </row>
    <row r="3105" spans="1:1">
      <c r="A3105" t="str">
        <f>IFERROR(_xlfn.XLOOKUP(B3105,Cuentas!$C$1:$C$521,Cuentas!$A$1:$A$521),"")</f>
        <v/>
      </c>
    </row>
    <row r="3106" spans="1:1">
      <c r="A3106" t="str">
        <f>IFERROR(_xlfn.XLOOKUP(B3106,Cuentas!$C$1:$C$521,Cuentas!$A$1:$A$521),"")</f>
        <v/>
      </c>
    </row>
    <row r="3107" spans="1:1">
      <c r="A3107" t="str">
        <f>IFERROR(_xlfn.XLOOKUP(B3107,Cuentas!$C$1:$C$521,Cuentas!$A$1:$A$521),"")</f>
        <v/>
      </c>
    </row>
    <row r="3108" spans="1:1">
      <c r="A3108" t="str">
        <f>IFERROR(_xlfn.XLOOKUP(B3108,Cuentas!$C$1:$C$521,Cuentas!$A$1:$A$521),"")</f>
        <v/>
      </c>
    </row>
    <row r="3109" spans="1:1">
      <c r="A3109" t="str">
        <f>IFERROR(_xlfn.XLOOKUP(B3109,Cuentas!$C$1:$C$521,Cuentas!$A$1:$A$521),"")</f>
        <v/>
      </c>
    </row>
    <row r="3110" spans="1:1">
      <c r="A3110" t="str">
        <f>IFERROR(_xlfn.XLOOKUP(B3110,Cuentas!$C$1:$C$521,Cuentas!$A$1:$A$521),"")</f>
        <v/>
      </c>
    </row>
    <row r="3111" spans="1:1">
      <c r="A3111" t="str">
        <f>IFERROR(_xlfn.XLOOKUP(B3111,Cuentas!$C$1:$C$521,Cuentas!$A$1:$A$521),"")</f>
        <v/>
      </c>
    </row>
    <row r="3112" spans="1:1">
      <c r="A3112" t="str">
        <f>IFERROR(_xlfn.XLOOKUP(B3112,Cuentas!$C$1:$C$521,Cuentas!$A$1:$A$521),"")</f>
        <v/>
      </c>
    </row>
    <row r="3113" spans="1:1">
      <c r="A3113" t="str">
        <f>IFERROR(_xlfn.XLOOKUP(B3113,Cuentas!$C$1:$C$521,Cuentas!$A$1:$A$521),"")</f>
        <v/>
      </c>
    </row>
    <row r="3114" spans="1:1">
      <c r="A3114" t="str">
        <f>IFERROR(_xlfn.XLOOKUP(B3114,Cuentas!$C$1:$C$521,Cuentas!$A$1:$A$521),"")</f>
        <v/>
      </c>
    </row>
    <row r="3115" spans="1:1">
      <c r="A3115" t="str">
        <f>IFERROR(_xlfn.XLOOKUP(B3115,Cuentas!$C$1:$C$521,Cuentas!$A$1:$A$521),"")</f>
        <v/>
      </c>
    </row>
    <row r="3116" spans="1:1">
      <c r="A3116" t="str">
        <f>IFERROR(_xlfn.XLOOKUP(B3116,Cuentas!$C$1:$C$521,Cuentas!$A$1:$A$521),"")</f>
        <v/>
      </c>
    </row>
    <row r="3117" spans="1:1">
      <c r="A3117" t="str">
        <f>IFERROR(_xlfn.XLOOKUP(B3117,Cuentas!$C$1:$C$521,Cuentas!$A$1:$A$521),"")</f>
        <v/>
      </c>
    </row>
    <row r="3118" spans="1:1">
      <c r="A3118" t="str">
        <f>IFERROR(_xlfn.XLOOKUP(B3118,Cuentas!$C$1:$C$521,Cuentas!$A$1:$A$521),"")</f>
        <v/>
      </c>
    </row>
    <row r="3119" spans="1:1">
      <c r="A3119" t="str">
        <f>IFERROR(_xlfn.XLOOKUP(B3119,Cuentas!$C$1:$C$521,Cuentas!$A$1:$A$521),"")</f>
        <v/>
      </c>
    </row>
    <row r="3120" spans="1:1">
      <c r="A3120" t="str">
        <f>IFERROR(_xlfn.XLOOKUP(B3120,Cuentas!$C$1:$C$521,Cuentas!$A$1:$A$521),"")</f>
        <v/>
      </c>
    </row>
    <row r="3121" spans="1:1">
      <c r="A3121" t="str">
        <f>IFERROR(_xlfn.XLOOKUP(B3121,Cuentas!$C$1:$C$521,Cuentas!$A$1:$A$521),"")</f>
        <v/>
      </c>
    </row>
    <row r="3122" spans="1:1">
      <c r="A3122" t="str">
        <f>IFERROR(_xlfn.XLOOKUP(B3122,Cuentas!$C$1:$C$521,Cuentas!$A$1:$A$521),"")</f>
        <v/>
      </c>
    </row>
    <row r="3123" spans="1:1">
      <c r="A3123" t="str">
        <f>IFERROR(_xlfn.XLOOKUP(B3123,Cuentas!$C$1:$C$521,Cuentas!$A$1:$A$521),"")</f>
        <v/>
      </c>
    </row>
    <row r="3124" spans="1:1">
      <c r="A3124" t="str">
        <f>IFERROR(_xlfn.XLOOKUP(B3124,Cuentas!$C$1:$C$521,Cuentas!$A$1:$A$521),"")</f>
        <v/>
      </c>
    </row>
    <row r="3125" spans="1:1">
      <c r="A3125" t="str">
        <f>IFERROR(_xlfn.XLOOKUP(B3125,Cuentas!$C$1:$C$521,Cuentas!$A$1:$A$521),"")</f>
        <v/>
      </c>
    </row>
    <row r="3126" spans="1:1">
      <c r="A3126" t="str">
        <f>IFERROR(_xlfn.XLOOKUP(B3126,Cuentas!$C$1:$C$521,Cuentas!$A$1:$A$521),"")</f>
        <v/>
      </c>
    </row>
    <row r="3127" spans="1:1">
      <c r="A3127" t="str">
        <f>IFERROR(_xlfn.XLOOKUP(B3127,Cuentas!$C$1:$C$521,Cuentas!$A$1:$A$521),"")</f>
        <v/>
      </c>
    </row>
    <row r="3128" spans="1:1">
      <c r="A3128" t="str">
        <f>IFERROR(_xlfn.XLOOKUP(B3128,Cuentas!$C$1:$C$521,Cuentas!$A$1:$A$521),"")</f>
        <v/>
      </c>
    </row>
    <row r="3129" spans="1:1">
      <c r="A3129" t="str">
        <f>IFERROR(_xlfn.XLOOKUP(B3129,Cuentas!$C$1:$C$521,Cuentas!$A$1:$A$521),"")</f>
        <v/>
      </c>
    </row>
    <row r="3130" spans="1:1">
      <c r="A3130" t="str">
        <f>IFERROR(_xlfn.XLOOKUP(B3130,Cuentas!$C$1:$C$521,Cuentas!$A$1:$A$521),"")</f>
        <v/>
      </c>
    </row>
    <row r="3131" spans="1:1">
      <c r="A3131" t="str">
        <f>IFERROR(_xlfn.XLOOKUP(B3131,Cuentas!$C$1:$C$521,Cuentas!$A$1:$A$521),"")</f>
        <v/>
      </c>
    </row>
    <row r="3132" spans="1:1">
      <c r="A3132" t="str">
        <f>IFERROR(_xlfn.XLOOKUP(B3132,Cuentas!$C$1:$C$521,Cuentas!$A$1:$A$521),"")</f>
        <v/>
      </c>
    </row>
    <row r="3133" spans="1:1">
      <c r="A3133" t="str">
        <f>IFERROR(_xlfn.XLOOKUP(B3133,Cuentas!$C$1:$C$521,Cuentas!$A$1:$A$521),"")</f>
        <v/>
      </c>
    </row>
    <row r="3134" spans="1:1">
      <c r="A3134" t="str">
        <f>IFERROR(_xlfn.XLOOKUP(B3134,Cuentas!$C$1:$C$521,Cuentas!$A$1:$A$521),"")</f>
        <v/>
      </c>
    </row>
    <row r="3135" spans="1:1">
      <c r="A3135" t="str">
        <f>IFERROR(_xlfn.XLOOKUP(B3135,Cuentas!$C$1:$C$521,Cuentas!$A$1:$A$521),"")</f>
        <v/>
      </c>
    </row>
    <row r="3136" spans="1:1">
      <c r="A3136" t="str">
        <f>IFERROR(_xlfn.XLOOKUP(B3136,Cuentas!$C$1:$C$521,Cuentas!$A$1:$A$521),"")</f>
        <v/>
      </c>
    </row>
    <row r="3137" spans="1:1">
      <c r="A3137" t="str">
        <f>IFERROR(_xlfn.XLOOKUP(B3137,Cuentas!$C$1:$C$521,Cuentas!$A$1:$A$521),"")</f>
        <v/>
      </c>
    </row>
    <row r="3138" spans="1:1">
      <c r="A3138" t="str">
        <f>IFERROR(_xlfn.XLOOKUP(B3138,Cuentas!$C$1:$C$521,Cuentas!$A$1:$A$521),"")</f>
        <v/>
      </c>
    </row>
    <row r="3139" spans="1:1">
      <c r="A3139" t="str">
        <f>IFERROR(_xlfn.XLOOKUP(B3139,Cuentas!$C$1:$C$521,Cuentas!$A$1:$A$521),"")</f>
        <v/>
      </c>
    </row>
    <row r="3140" spans="1:1">
      <c r="A3140" t="str">
        <f>IFERROR(_xlfn.XLOOKUP(B3140,Cuentas!$C$1:$C$521,Cuentas!$A$1:$A$521),"")</f>
        <v/>
      </c>
    </row>
    <row r="3141" spans="1:1">
      <c r="A3141" t="str">
        <f>IFERROR(_xlfn.XLOOKUP(B3141,Cuentas!$C$1:$C$521,Cuentas!$A$1:$A$521),"")</f>
        <v/>
      </c>
    </row>
    <row r="3142" spans="1:1">
      <c r="A3142" t="str">
        <f>IFERROR(_xlfn.XLOOKUP(B3142,Cuentas!$C$1:$C$521,Cuentas!$A$1:$A$521),"")</f>
        <v/>
      </c>
    </row>
    <row r="3143" spans="1:1">
      <c r="A3143" t="str">
        <f>IFERROR(_xlfn.XLOOKUP(B3143,Cuentas!$C$1:$C$521,Cuentas!$A$1:$A$521),"")</f>
        <v/>
      </c>
    </row>
    <row r="3144" spans="1:1">
      <c r="A3144" t="str">
        <f>IFERROR(_xlfn.XLOOKUP(B3144,Cuentas!$C$1:$C$521,Cuentas!$A$1:$A$521),"")</f>
        <v/>
      </c>
    </row>
    <row r="3145" spans="1:1">
      <c r="A3145" t="str">
        <f>IFERROR(_xlfn.XLOOKUP(B3145,Cuentas!$C$1:$C$521,Cuentas!$A$1:$A$521),"")</f>
        <v/>
      </c>
    </row>
    <row r="3146" spans="1:1">
      <c r="A3146" t="str">
        <f>IFERROR(_xlfn.XLOOKUP(B3146,Cuentas!$C$1:$C$521,Cuentas!$A$1:$A$521),"")</f>
        <v/>
      </c>
    </row>
    <row r="3147" spans="1:1">
      <c r="A3147" t="str">
        <f>IFERROR(_xlfn.XLOOKUP(B3147,Cuentas!$C$1:$C$521,Cuentas!$A$1:$A$521),"")</f>
        <v/>
      </c>
    </row>
    <row r="3148" spans="1:1">
      <c r="A3148" t="str">
        <f>IFERROR(_xlfn.XLOOKUP(B3148,Cuentas!$C$1:$C$521,Cuentas!$A$1:$A$521),"")</f>
        <v/>
      </c>
    </row>
    <row r="3149" spans="1:1">
      <c r="A3149" t="str">
        <f>IFERROR(_xlfn.XLOOKUP(B3149,Cuentas!$C$1:$C$521,Cuentas!$A$1:$A$521),"")</f>
        <v/>
      </c>
    </row>
    <row r="3150" spans="1:1">
      <c r="A3150" t="str">
        <f>IFERROR(_xlfn.XLOOKUP(B3150,Cuentas!$C$1:$C$521,Cuentas!$A$1:$A$521),"")</f>
        <v/>
      </c>
    </row>
    <row r="3151" spans="1:1">
      <c r="A3151" t="str">
        <f>IFERROR(_xlfn.XLOOKUP(B3151,Cuentas!$C$1:$C$521,Cuentas!$A$1:$A$521),"")</f>
        <v/>
      </c>
    </row>
    <row r="3152" spans="1:1">
      <c r="A3152" t="str">
        <f>IFERROR(_xlfn.XLOOKUP(B3152,Cuentas!$C$1:$C$521,Cuentas!$A$1:$A$521),"")</f>
        <v/>
      </c>
    </row>
    <row r="3153" spans="1:1">
      <c r="A3153" t="str">
        <f>IFERROR(_xlfn.XLOOKUP(B3153,Cuentas!$C$1:$C$521,Cuentas!$A$1:$A$521),"")</f>
        <v/>
      </c>
    </row>
    <row r="3154" spans="1:1">
      <c r="A3154" t="str">
        <f>IFERROR(_xlfn.XLOOKUP(B3154,Cuentas!$C$1:$C$521,Cuentas!$A$1:$A$521),"")</f>
        <v/>
      </c>
    </row>
    <row r="3155" spans="1:1">
      <c r="A3155" t="str">
        <f>IFERROR(_xlfn.XLOOKUP(B3155,Cuentas!$C$1:$C$521,Cuentas!$A$1:$A$521),"")</f>
        <v/>
      </c>
    </row>
    <row r="3156" spans="1:1">
      <c r="A3156" t="str">
        <f>IFERROR(_xlfn.XLOOKUP(B3156,Cuentas!$C$1:$C$521,Cuentas!$A$1:$A$521),"")</f>
        <v/>
      </c>
    </row>
    <row r="3157" spans="1:1">
      <c r="A3157" t="str">
        <f>IFERROR(_xlfn.XLOOKUP(B3157,Cuentas!$C$1:$C$521,Cuentas!$A$1:$A$521),"")</f>
        <v/>
      </c>
    </row>
    <row r="3158" spans="1:1">
      <c r="A3158" t="str">
        <f>IFERROR(_xlfn.XLOOKUP(B3158,Cuentas!$C$1:$C$521,Cuentas!$A$1:$A$521),"")</f>
        <v/>
      </c>
    </row>
    <row r="3159" spans="1:1">
      <c r="A3159" t="str">
        <f>IFERROR(_xlfn.XLOOKUP(B3159,Cuentas!$C$1:$C$521,Cuentas!$A$1:$A$521),"")</f>
        <v/>
      </c>
    </row>
    <row r="3160" spans="1:1">
      <c r="A3160" t="str">
        <f>IFERROR(_xlfn.XLOOKUP(B3160,Cuentas!$C$1:$C$521,Cuentas!$A$1:$A$521),"")</f>
        <v/>
      </c>
    </row>
    <row r="3161" spans="1:1">
      <c r="A3161" t="str">
        <f>IFERROR(_xlfn.XLOOKUP(B3161,Cuentas!$C$1:$C$521,Cuentas!$A$1:$A$521),"")</f>
        <v/>
      </c>
    </row>
    <row r="3162" spans="1:1">
      <c r="A3162" t="str">
        <f>IFERROR(_xlfn.XLOOKUP(B3162,Cuentas!$C$1:$C$521,Cuentas!$A$1:$A$521),"")</f>
        <v/>
      </c>
    </row>
    <row r="3163" spans="1:1">
      <c r="A3163" t="str">
        <f>IFERROR(_xlfn.XLOOKUP(B3163,Cuentas!$C$1:$C$521,Cuentas!$A$1:$A$521),"")</f>
        <v/>
      </c>
    </row>
    <row r="3164" spans="1:1">
      <c r="A3164" t="str">
        <f>IFERROR(_xlfn.XLOOKUP(B3164,Cuentas!$C$1:$C$521,Cuentas!$A$1:$A$521),"")</f>
        <v/>
      </c>
    </row>
    <row r="3165" spans="1:1">
      <c r="A3165" t="str">
        <f>IFERROR(_xlfn.XLOOKUP(B3165,Cuentas!$C$1:$C$521,Cuentas!$A$1:$A$521),"")</f>
        <v/>
      </c>
    </row>
    <row r="3166" spans="1:1">
      <c r="A3166" t="str">
        <f>IFERROR(_xlfn.XLOOKUP(B3166,Cuentas!$C$1:$C$521,Cuentas!$A$1:$A$521),"")</f>
        <v/>
      </c>
    </row>
    <row r="3167" spans="1:1">
      <c r="A3167" t="str">
        <f>IFERROR(_xlfn.XLOOKUP(B3167,Cuentas!$C$1:$C$521,Cuentas!$A$1:$A$521),"")</f>
        <v/>
      </c>
    </row>
    <row r="3168" spans="1:1">
      <c r="A3168" t="str">
        <f>IFERROR(_xlfn.XLOOKUP(B3168,Cuentas!$C$1:$C$521,Cuentas!$A$1:$A$521),"")</f>
        <v/>
      </c>
    </row>
    <row r="3169" spans="1:1">
      <c r="A3169" t="str">
        <f>IFERROR(_xlfn.XLOOKUP(B3169,Cuentas!$C$1:$C$521,Cuentas!$A$1:$A$521),"")</f>
        <v/>
      </c>
    </row>
    <row r="3170" spans="1:1">
      <c r="A3170" t="str">
        <f>IFERROR(_xlfn.XLOOKUP(B3170,Cuentas!$C$1:$C$521,Cuentas!$A$1:$A$521),"")</f>
        <v/>
      </c>
    </row>
    <row r="3171" spans="1:1">
      <c r="A3171" t="str">
        <f>IFERROR(_xlfn.XLOOKUP(B3171,Cuentas!$C$1:$C$521,Cuentas!$A$1:$A$521),"")</f>
        <v/>
      </c>
    </row>
    <row r="3172" spans="1:1">
      <c r="A3172" t="str">
        <f>IFERROR(_xlfn.XLOOKUP(B3172,Cuentas!$C$1:$C$521,Cuentas!$A$1:$A$521),"")</f>
        <v/>
      </c>
    </row>
    <row r="3173" spans="1:1">
      <c r="A3173" t="str">
        <f>IFERROR(_xlfn.XLOOKUP(B3173,Cuentas!$C$1:$C$521,Cuentas!$A$1:$A$521),"")</f>
        <v/>
      </c>
    </row>
    <row r="3174" spans="1:1">
      <c r="A3174" t="str">
        <f>IFERROR(_xlfn.XLOOKUP(B3174,Cuentas!$C$1:$C$521,Cuentas!$A$1:$A$521),"")</f>
        <v/>
      </c>
    </row>
    <row r="3175" spans="1:1">
      <c r="A3175" t="str">
        <f>IFERROR(_xlfn.XLOOKUP(B3175,Cuentas!$C$1:$C$521,Cuentas!$A$1:$A$521),"")</f>
        <v/>
      </c>
    </row>
    <row r="3176" spans="1:1">
      <c r="A3176" t="str">
        <f>IFERROR(_xlfn.XLOOKUP(B3176,Cuentas!$C$1:$C$521,Cuentas!$A$1:$A$521),"")</f>
        <v/>
      </c>
    </row>
    <row r="3177" spans="1:1">
      <c r="A3177" t="str">
        <f>IFERROR(_xlfn.XLOOKUP(B3177,Cuentas!$C$1:$C$521,Cuentas!$A$1:$A$521),"")</f>
        <v/>
      </c>
    </row>
    <row r="3178" spans="1:1">
      <c r="A3178" t="str">
        <f>IFERROR(_xlfn.XLOOKUP(B3178,Cuentas!$C$1:$C$521,Cuentas!$A$1:$A$521),"")</f>
        <v/>
      </c>
    </row>
    <row r="3179" spans="1:1">
      <c r="A3179" t="str">
        <f>IFERROR(_xlfn.XLOOKUP(B3179,Cuentas!$C$1:$C$521,Cuentas!$A$1:$A$521),"")</f>
        <v/>
      </c>
    </row>
    <row r="3180" spans="1:1">
      <c r="A3180" t="str">
        <f>IFERROR(_xlfn.XLOOKUP(B3180,Cuentas!$C$1:$C$521,Cuentas!$A$1:$A$521),"")</f>
        <v/>
      </c>
    </row>
    <row r="3181" spans="1:1">
      <c r="A3181" t="str">
        <f>IFERROR(_xlfn.XLOOKUP(B3181,Cuentas!$C$1:$C$521,Cuentas!$A$1:$A$521),"")</f>
        <v/>
      </c>
    </row>
    <row r="3182" spans="1:1">
      <c r="A3182" t="str">
        <f>IFERROR(_xlfn.XLOOKUP(B3182,Cuentas!$C$1:$C$521,Cuentas!$A$1:$A$521),"")</f>
        <v/>
      </c>
    </row>
    <row r="3183" spans="1:1">
      <c r="A3183" t="str">
        <f>IFERROR(_xlfn.XLOOKUP(B3183,Cuentas!$C$1:$C$521,Cuentas!$A$1:$A$521),"")</f>
        <v/>
      </c>
    </row>
    <row r="3184" spans="1:1">
      <c r="A3184" t="str">
        <f>IFERROR(_xlfn.XLOOKUP(B3184,Cuentas!$C$1:$C$521,Cuentas!$A$1:$A$521),"")</f>
        <v/>
      </c>
    </row>
    <row r="3185" spans="1:1">
      <c r="A3185" t="str">
        <f>IFERROR(_xlfn.XLOOKUP(B3185,Cuentas!$C$1:$C$521,Cuentas!$A$1:$A$521),"")</f>
        <v/>
      </c>
    </row>
    <row r="3186" spans="1:1">
      <c r="A3186" t="str">
        <f>IFERROR(_xlfn.XLOOKUP(B3186,Cuentas!$C$1:$C$521,Cuentas!$A$1:$A$521),"")</f>
        <v/>
      </c>
    </row>
    <row r="3187" spans="1:1">
      <c r="A3187" t="str">
        <f>IFERROR(_xlfn.XLOOKUP(B3187,Cuentas!$C$1:$C$521,Cuentas!$A$1:$A$521),"")</f>
        <v/>
      </c>
    </row>
    <row r="3188" spans="1:1">
      <c r="A3188" t="str">
        <f>IFERROR(_xlfn.XLOOKUP(B3188,Cuentas!$C$1:$C$521,Cuentas!$A$1:$A$521),"")</f>
        <v/>
      </c>
    </row>
    <row r="3189" spans="1:1">
      <c r="A3189" t="str">
        <f>IFERROR(_xlfn.XLOOKUP(B3189,Cuentas!$C$1:$C$521,Cuentas!$A$1:$A$521),"")</f>
        <v/>
      </c>
    </row>
    <row r="3190" spans="1:1">
      <c r="A3190" t="str">
        <f>IFERROR(_xlfn.XLOOKUP(B3190,Cuentas!$C$1:$C$521,Cuentas!$A$1:$A$521),"")</f>
        <v/>
      </c>
    </row>
    <row r="3191" spans="1:1">
      <c r="A3191" t="str">
        <f>IFERROR(_xlfn.XLOOKUP(B3191,Cuentas!$C$1:$C$521,Cuentas!$A$1:$A$521),"")</f>
        <v/>
      </c>
    </row>
    <row r="3192" spans="1:1">
      <c r="A3192" t="str">
        <f>IFERROR(_xlfn.XLOOKUP(B3192,Cuentas!$C$1:$C$521,Cuentas!$A$1:$A$521),"")</f>
        <v/>
      </c>
    </row>
    <row r="3193" spans="1:1">
      <c r="A3193" t="str">
        <f>IFERROR(_xlfn.XLOOKUP(B3193,Cuentas!$C$1:$C$521,Cuentas!$A$1:$A$521),"")</f>
        <v/>
      </c>
    </row>
    <row r="3194" spans="1:1">
      <c r="A3194" t="str">
        <f>IFERROR(_xlfn.XLOOKUP(B3194,Cuentas!$C$1:$C$521,Cuentas!$A$1:$A$521),"")</f>
        <v/>
      </c>
    </row>
    <row r="3195" spans="1:1">
      <c r="A3195" t="str">
        <f>IFERROR(_xlfn.XLOOKUP(B3195,Cuentas!$C$1:$C$521,Cuentas!$A$1:$A$521),"")</f>
        <v/>
      </c>
    </row>
    <row r="3196" spans="1:1">
      <c r="A3196" t="str">
        <f>IFERROR(_xlfn.XLOOKUP(B3196,Cuentas!$C$1:$C$521,Cuentas!$A$1:$A$521),"")</f>
        <v/>
      </c>
    </row>
    <row r="3197" spans="1:1">
      <c r="A3197" t="str">
        <f>IFERROR(_xlfn.XLOOKUP(B3197,Cuentas!$C$1:$C$521,Cuentas!$A$1:$A$521),"")</f>
        <v/>
      </c>
    </row>
    <row r="3198" spans="1:1">
      <c r="A3198" t="str">
        <f>IFERROR(_xlfn.XLOOKUP(B3198,Cuentas!$C$1:$C$521,Cuentas!$A$1:$A$521),"")</f>
        <v/>
      </c>
    </row>
    <row r="3199" spans="1:1">
      <c r="A3199" t="str">
        <f>IFERROR(_xlfn.XLOOKUP(B3199,Cuentas!$C$1:$C$521,Cuentas!$A$1:$A$521),"")</f>
        <v/>
      </c>
    </row>
    <row r="3200" spans="1:1">
      <c r="A3200" t="str">
        <f>IFERROR(_xlfn.XLOOKUP(B3200,Cuentas!$C$1:$C$521,Cuentas!$A$1:$A$521),"")</f>
        <v/>
      </c>
    </row>
    <row r="3201" spans="1:1">
      <c r="A3201" t="str">
        <f>IFERROR(_xlfn.XLOOKUP(B3201,Cuentas!$C$1:$C$521,Cuentas!$A$1:$A$521),"")</f>
        <v/>
      </c>
    </row>
    <row r="3202" spans="1:1">
      <c r="A3202" t="str">
        <f>IFERROR(_xlfn.XLOOKUP(B3202,Cuentas!$C$1:$C$521,Cuentas!$A$1:$A$521),"")</f>
        <v/>
      </c>
    </row>
    <row r="3203" spans="1:1">
      <c r="A3203" t="str">
        <f>IFERROR(_xlfn.XLOOKUP(B3203,Cuentas!$C$1:$C$521,Cuentas!$A$1:$A$521),"")</f>
        <v/>
      </c>
    </row>
    <row r="3204" spans="1:1">
      <c r="A3204" t="str">
        <f>IFERROR(_xlfn.XLOOKUP(B3204,Cuentas!$C$1:$C$521,Cuentas!$A$1:$A$521),"")</f>
        <v/>
      </c>
    </row>
    <row r="3205" spans="1:1">
      <c r="A3205" t="str">
        <f>IFERROR(_xlfn.XLOOKUP(B3205,Cuentas!$C$1:$C$521,Cuentas!$A$1:$A$521),"")</f>
        <v/>
      </c>
    </row>
    <row r="3206" spans="1:1">
      <c r="A3206" t="str">
        <f>IFERROR(_xlfn.XLOOKUP(B3206,Cuentas!$C$1:$C$521,Cuentas!$A$1:$A$521),"")</f>
        <v/>
      </c>
    </row>
    <row r="3207" spans="1:1">
      <c r="A3207" t="str">
        <f>IFERROR(_xlfn.XLOOKUP(B3207,Cuentas!$C$1:$C$521,Cuentas!$A$1:$A$521),"")</f>
        <v/>
      </c>
    </row>
    <row r="3208" spans="1:1">
      <c r="A3208" t="str">
        <f>IFERROR(_xlfn.XLOOKUP(B3208,Cuentas!$C$1:$C$521,Cuentas!$A$1:$A$521),"")</f>
        <v/>
      </c>
    </row>
    <row r="3209" spans="1:1">
      <c r="A3209" t="str">
        <f>IFERROR(_xlfn.XLOOKUP(B3209,Cuentas!$C$1:$C$521,Cuentas!$A$1:$A$521),"")</f>
        <v/>
      </c>
    </row>
    <row r="3210" spans="1:1">
      <c r="A3210" t="str">
        <f>IFERROR(_xlfn.XLOOKUP(B3210,Cuentas!$C$1:$C$521,Cuentas!$A$1:$A$521),"")</f>
        <v/>
      </c>
    </row>
    <row r="3211" spans="1:1">
      <c r="A3211" t="str">
        <f>IFERROR(_xlfn.XLOOKUP(B3211,Cuentas!$C$1:$C$521,Cuentas!$A$1:$A$521),"")</f>
        <v/>
      </c>
    </row>
    <row r="3212" spans="1:1">
      <c r="A3212" t="str">
        <f>IFERROR(_xlfn.XLOOKUP(B3212,Cuentas!$C$1:$C$521,Cuentas!$A$1:$A$521),"")</f>
        <v/>
      </c>
    </row>
    <row r="3213" spans="1:1">
      <c r="A3213" t="str">
        <f>IFERROR(_xlfn.XLOOKUP(B3213,Cuentas!$C$1:$C$521,Cuentas!$A$1:$A$521),"")</f>
        <v/>
      </c>
    </row>
    <row r="3214" spans="1:1">
      <c r="A3214" t="str">
        <f>IFERROR(_xlfn.XLOOKUP(B3214,Cuentas!$C$1:$C$521,Cuentas!$A$1:$A$521),"")</f>
        <v/>
      </c>
    </row>
    <row r="3215" spans="1:1">
      <c r="A3215" t="str">
        <f>IFERROR(_xlfn.XLOOKUP(B3215,Cuentas!$C$1:$C$521,Cuentas!$A$1:$A$521),"")</f>
        <v/>
      </c>
    </row>
    <row r="3216" spans="1:1">
      <c r="A3216" t="str">
        <f>IFERROR(_xlfn.XLOOKUP(B3216,Cuentas!$C$1:$C$521,Cuentas!$A$1:$A$521),"")</f>
        <v/>
      </c>
    </row>
    <row r="3217" spans="1:1">
      <c r="A3217" t="str">
        <f>IFERROR(_xlfn.XLOOKUP(B3217,Cuentas!$C$1:$C$521,Cuentas!$A$1:$A$521),"")</f>
        <v/>
      </c>
    </row>
    <row r="3218" spans="1:1">
      <c r="A3218" t="str">
        <f>IFERROR(_xlfn.XLOOKUP(B3218,Cuentas!$C$1:$C$521,Cuentas!$A$1:$A$521),"")</f>
        <v/>
      </c>
    </row>
    <row r="3219" spans="1:1">
      <c r="A3219" t="str">
        <f>IFERROR(_xlfn.XLOOKUP(B3219,Cuentas!$C$1:$C$521,Cuentas!$A$1:$A$521),"")</f>
        <v/>
      </c>
    </row>
    <row r="3220" spans="1:1">
      <c r="A3220" t="str">
        <f>IFERROR(_xlfn.XLOOKUP(B3220,Cuentas!$C$1:$C$521,Cuentas!$A$1:$A$521),"")</f>
        <v/>
      </c>
    </row>
    <row r="3221" spans="1:1">
      <c r="A3221" t="str">
        <f>IFERROR(_xlfn.XLOOKUP(B3221,Cuentas!$C$1:$C$521,Cuentas!$A$1:$A$521),"")</f>
        <v/>
      </c>
    </row>
    <row r="3222" spans="1:1">
      <c r="A3222" t="str">
        <f>IFERROR(_xlfn.XLOOKUP(B3222,Cuentas!$C$1:$C$521,Cuentas!$A$1:$A$521),"")</f>
        <v/>
      </c>
    </row>
    <row r="3223" spans="1:1">
      <c r="A3223" t="str">
        <f>IFERROR(_xlfn.XLOOKUP(B3223,Cuentas!$C$1:$C$521,Cuentas!$A$1:$A$521),"")</f>
        <v/>
      </c>
    </row>
    <row r="3224" spans="1:1">
      <c r="A3224" t="str">
        <f>IFERROR(_xlfn.XLOOKUP(B3224,Cuentas!$C$1:$C$521,Cuentas!$A$1:$A$521),"")</f>
        <v/>
      </c>
    </row>
    <row r="3225" spans="1:1">
      <c r="A3225" t="str">
        <f>IFERROR(_xlfn.XLOOKUP(B3225,Cuentas!$C$1:$C$521,Cuentas!$A$1:$A$521),"")</f>
        <v/>
      </c>
    </row>
    <row r="3226" spans="1:1">
      <c r="A3226" t="str">
        <f>IFERROR(_xlfn.XLOOKUP(B3226,Cuentas!$C$1:$C$521,Cuentas!$A$1:$A$521),"")</f>
        <v/>
      </c>
    </row>
    <row r="3227" spans="1:1">
      <c r="A3227" t="str">
        <f>IFERROR(_xlfn.XLOOKUP(B3227,Cuentas!$C$1:$C$521,Cuentas!$A$1:$A$521),"")</f>
        <v/>
      </c>
    </row>
    <row r="3228" spans="1:1">
      <c r="A3228" t="str">
        <f>IFERROR(_xlfn.XLOOKUP(B3228,Cuentas!$C$1:$C$521,Cuentas!$A$1:$A$521),"")</f>
        <v/>
      </c>
    </row>
    <row r="3229" spans="1:1">
      <c r="A3229" t="str">
        <f>IFERROR(_xlfn.XLOOKUP(B3229,Cuentas!$C$1:$C$521,Cuentas!$A$1:$A$521),"")</f>
        <v/>
      </c>
    </row>
    <row r="3230" spans="1:1">
      <c r="A3230" t="str">
        <f>IFERROR(_xlfn.XLOOKUP(B3230,Cuentas!$C$1:$C$521,Cuentas!$A$1:$A$521),"")</f>
        <v/>
      </c>
    </row>
    <row r="3231" spans="1:1">
      <c r="A3231" t="str">
        <f>IFERROR(_xlfn.XLOOKUP(B3231,Cuentas!$C$1:$C$521,Cuentas!$A$1:$A$521),"")</f>
        <v/>
      </c>
    </row>
    <row r="3232" spans="1:1">
      <c r="A3232" t="str">
        <f>IFERROR(_xlfn.XLOOKUP(B3232,Cuentas!$C$1:$C$521,Cuentas!$A$1:$A$521),"")</f>
        <v/>
      </c>
    </row>
    <row r="3233" spans="1:1">
      <c r="A3233" t="str">
        <f>IFERROR(_xlfn.XLOOKUP(B3233,Cuentas!$C$1:$C$521,Cuentas!$A$1:$A$521),"")</f>
        <v/>
      </c>
    </row>
    <row r="3234" spans="1:1">
      <c r="A3234" t="str">
        <f>IFERROR(_xlfn.XLOOKUP(B3234,Cuentas!$C$1:$C$521,Cuentas!$A$1:$A$521),"")</f>
        <v/>
      </c>
    </row>
    <row r="3235" spans="1:1">
      <c r="A3235" t="str">
        <f>IFERROR(_xlfn.XLOOKUP(B3235,Cuentas!$C$1:$C$521,Cuentas!$A$1:$A$521),"")</f>
        <v/>
      </c>
    </row>
    <row r="3236" spans="1:1">
      <c r="A3236" t="str">
        <f>IFERROR(_xlfn.XLOOKUP(B3236,Cuentas!$C$1:$C$521,Cuentas!$A$1:$A$521),"")</f>
        <v/>
      </c>
    </row>
    <row r="3237" spans="1:1">
      <c r="A3237" t="str">
        <f>IFERROR(_xlfn.XLOOKUP(B3237,Cuentas!$C$1:$C$521,Cuentas!$A$1:$A$521),"")</f>
        <v/>
      </c>
    </row>
    <row r="3238" spans="1:1">
      <c r="A3238" t="str">
        <f>IFERROR(_xlfn.XLOOKUP(B3238,Cuentas!$C$1:$C$521,Cuentas!$A$1:$A$521),"")</f>
        <v/>
      </c>
    </row>
    <row r="3239" spans="1:1">
      <c r="A3239" t="str">
        <f>IFERROR(_xlfn.XLOOKUP(B3239,Cuentas!$C$1:$C$521,Cuentas!$A$1:$A$521),"")</f>
        <v/>
      </c>
    </row>
    <row r="3240" spans="1:1">
      <c r="A3240" t="str">
        <f>IFERROR(_xlfn.XLOOKUP(B3240,Cuentas!$C$1:$C$521,Cuentas!$A$1:$A$521),"")</f>
        <v/>
      </c>
    </row>
    <row r="3241" spans="1:1">
      <c r="A3241" t="str">
        <f>IFERROR(_xlfn.XLOOKUP(B3241,Cuentas!$C$1:$C$521,Cuentas!$A$1:$A$521),"")</f>
        <v/>
      </c>
    </row>
    <row r="3242" spans="1:1">
      <c r="A3242" t="str">
        <f>IFERROR(_xlfn.XLOOKUP(B3242,Cuentas!$C$1:$C$521,Cuentas!$A$1:$A$521),"")</f>
        <v/>
      </c>
    </row>
    <row r="3243" spans="1:1">
      <c r="A3243" t="str">
        <f>IFERROR(_xlfn.XLOOKUP(B3243,Cuentas!$C$1:$C$521,Cuentas!$A$1:$A$521),"")</f>
        <v/>
      </c>
    </row>
    <row r="3244" spans="1:1">
      <c r="A3244" t="str">
        <f>IFERROR(_xlfn.XLOOKUP(B3244,Cuentas!$C$1:$C$521,Cuentas!$A$1:$A$521),"")</f>
        <v/>
      </c>
    </row>
    <row r="3245" spans="1:1">
      <c r="A3245" t="str">
        <f>IFERROR(_xlfn.XLOOKUP(B3245,Cuentas!$C$1:$C$521,Cuentas!$A$1:$A$521),"")</f>
        <v/>
      </c>
    </row>
    <row r="3246" spans="1:1">
      <c r="A3246" t="str">
        <f>IFERROR(_xlfn.XLOOKUP(B3246,Cuentas!$C$1:$C$521,Cuentas!$A$1:$A$521),"")</f>
        <v/>
      </c>
    </row>
    <row r="3247" spans="1:1">
      <c r="A3247" t="str">
        <f>IFERROR(_xlfn.XLOOKUP(B3247,Cuentas!$C$1:$C$521,Cuentas!$A$1:$A$521),"")</f>
        <v/>
      </c>
    </row>
    <row r="3248" spans="1:1">
      <c r="A3248" t="str">
        <f>IFERROR(_xlfn.XLOOKUP(B3248,Cuentas!$C$1:$C$521,Cuentas!$A$1:$A$521),"")</f>
        <v/>
      </c>
    </row>
    <row r="3249" spans="1:1">
      <c r="A3249" t="str">
        <f>IFERROR(_xlfn.XLOOKUP(B3249,Cuentas!$C$1:$C$521,Cuentas!$A$1:$A$521),"")</f>
        <v/>
      </c>
    </row>
    <row r="3250" spans="1:1">
      <c r="A3250" t="str">
        <f>IFERROR(_xlfn.XLOOKUP(B3250,Cuentas!$C$1:$C$521,Cuentas!$A$1:$A$521),"")</f>
        <v/>
      </c>
    </row>
    <row r="3251" spans="1:1">
      <c r="A3251" t="str">
        <f>IFERROR(_xlfn.XLOOKUP(B3251,Cuentas!$C$1:$C$521,Cuentas!$A$1:$A$521),"")</f>
        <v/>
      </c>
    </row>
    <row r="3252" spans="1:1">
      <c r="A3252" t="str">
        <f>IFERROR(_xlfn.XLOOKUP(B3252,Cuentas!$C$1:$C$521,Cuentas!$A$1:$A$521),"")</f>
        <v/>
      </c>
    </row>
    <row r="3253" spans="1:1">
      <c r="A3253" t="str">
        <f>IFERROR(_xlfn.XLOOKUP(B3253,Cuentas!$C$1:$C$521,Cuentas!$A$1:$A$521),"")</f>
        <v/>
      </c>
    </row>
    <row r="3254" spans="1:1">
      <c r="A3254" t="str">
        <f>IFERROR(_xlfn.XLOOKUP(B3254,Cuentas!$C$1:$C$521,Cuentas!$A$1:$A$521),"")</f>
        <v/>
      </c>
    </row>
    <row r="3255" spans="1:1">
      <c r="A3255" t="str">
        <f>IFERROR(_xlfn.XLOOKUP(B3255,Cuentas!$C$1:$C$521,Cuentas!$A$1:$A$521),"")</f>
        <v/>
      </c>
    </row>
    <row r="3256" spans="1:1">
      <c r="A3256" t="str">
        <f>IFERROR(_xlfn.XLOOKUP(B3256,Cuentas!$C$1:$C$521,Cuentas!$A$1:$A$521),"")</f>
        <v/>
      </c>
    </row>
    <row r="3257" spans="1:1">
      <c r="A3257" t="str">
        <f>IFERROR(_xlfn.XLOOKUP(B3257,Cuentas!$C$1:$C$521,Cuentas!$A$1:$A$521),"")</f>
        <v/>
      </c>
    </row>
    <row r="3258" spans="1:1">
      <c r="A3258" t="str">
        <f>IFERROR(_xlfn.XLOOKUP(B3258,Cuentas!$C$1:$C$521,Cuentas!$A$1:$A$521),"")</f>
        <v/>
      </c>
    </row>
    <row r="3259" spans="1:1">
      <c r="A3259" t="str">
        <f>IFERROR(_xlfn.XLOOKUP(B3259,Cuentas!$C$1:$C$521,Cuentas!$A$1:$A$521),"")</f>
        <v/>
      </c>
    </row>
    <row r="3260" spans="1:1">
      <c r="A3260" t="str">
        <f>IFERROR(_xlfn.XLOOKUP(B3260,Cuentas!$C$1:$C$521,Cuentas!$A$1:$A$521),"")</f>
        <v/>
      </c>
    </row>
    <row r="3261" spans="1:1">
      <c r="A3261" t="str">
        <f>IFERROR(_xlfn.XLOOKUP(B3261,Cuentas!$C$1:$C$521,Cuentas!$A$1:$A$521),"")</f>
        <v/>
      </c>
    </row>
    <row r="3262" spans="1:1">
      <c r="A3262" t="str">
        <f>IFERROR(_xlfn.XLOOKUP(B3262,Cuentas!$C$1:$C$521,Cuentas!$A$1:$A$521),"")</f>
        <v/>
      </c>
    </row>
    <row r="3263" spans="1:1">
      <c r="A3263" t="str">
        <f>IFERROR(_xlfn.XLOOKUP(B3263,Cuentas!$C$1:$C$521,Cuentas!$A$1:$A$521),"")</f>
        <v/>
      </c>
    </row>
    <row r="3264" spans="1:1">
      <c r="A3264" t="str">
        <f>IFERROR(_xlfn.XLOOKUP(B3264,Cuentas!$C$1:$C$521,Cuentas!$A$1:$A$521),"")</f>
        <v/>
      </c>
    </row>
    <row r="3265" spans="1:1">
      <c r="A3265" t="str">
        <f>IFERROR(_xlfn.XLOOKUP(B3265,Cuentas!$C$1:$C$521,Cuentas!$A$1:$A$521),"")</f>
        <v/>
      </c>
    </row>
    <row r="3266" spans="1:1">
      <c r="A3266" t="str">
        <f>IFERROR(_xlfn.XLOOKUP(B3266,Cuentas!$C$1:$C$521,Cuentas!$A$1:$A$521),"")</f>
        <v/>
      </c>
    </row>
    <row r="3267" spans="1:1">
      <c r="A3267" t="str">
        <f>IFERROR(_xlfn.XLOOKUP(B3267,Cuentas!$C$1:$C$521,Cuentas!$A$1:$A$521),"")</f>
        <v/>
      </c>
    </row>
    <row r="3268" spans="1:1">
      <c r="A3268" t="str">
        <f>IFERROR(_xlfn.XLOOKUP(B3268,Cuentas!$C$1:$C$521,Cuentas!$A$1:$A$521),"")</f>
        <v/>
      </c>
    </row>
    <row r="3269" spans="1:1">
      <c r="A3269" t="str">
        <f>IFERROR(_xlfn.XLOOKUP(B3269,Cuentas!$C$1:$C$521,Cuentas!$A$1:$A$521),"")</f>
        <v/>
      </c>
    </row>
    <row r="3270" spans="1:1">
      <c r="A3270" t="str">
        <f>IFERROR(_xlfn.XLOOKUP(B3270,Cuentas!$C$1:$C$521,Cuentas!$A$1:$A$521),"")</f>
        <v/>
      </c>
    </row>
    <row r="3271" spans="1:1">
      <c r="A3271" t="str">
        <f>IFERROR(_xlfn.XLOOKUP(B3271,Cuentas!$C$1:$C$521,Cuentas!$A$1:$A$521),"")</f>
        <v/>
      </c>
    </row>
    <row r="3272" spans="1:1">
      <c r="A3272" t="str">
        <f>IFERROR(_xlfn.XLOOKUP(B3272,Cuentas!$C$1:$C$521,Cuentas!$A$1:$A$521),"")</f>
        <v/>
      </c>
    </row>
    <row r="3273" spans="1:1">
      <c r="A3273" t="str">
        <f>IFERROR(_xlfn.XLOOKUP(B3273,Cuentas!$C$1:$C$521,Cuentas!$A$1:$A$521),"")</f>
        <v/>
      </c>
    </row>
    <row r="3274" spans="1:1">
      <c r="A3274" t="str">
        <f>IFERROR(_xlfn.XLOOKUP(B3274,Cuentas!$C$1:$C$521,Cuentas!$A$1:$A$521),"")</f>
        <v/>
      </c>
    </row>
    <row r="3275" spans="1:1">
      <c r="A3275" t="str">
        <f>IFERROR(_xlfn.XLOOKUP(B3275,Cuentas!$C$1:$C$521,Cuentas!$A$1:$A$521),"")</f>
        <v/>
      </c>
    </row>
    <row r="3276" spans="1:1">
      <c r="A3276" t="str">
        <f>IFERROR(_xlfn.XLOOKUP(B3276,Cuentas!$C$1:$C$521,Cuentas!$A$1:$A$521),"")</f>
        <v/>
      </c>
    </row>
    <row r="3277" spans="1:1">
      <c r="A3277" t="str">
        <f>IFERROR(_xlfn.XLOOKUP(B3277,Cuentas!$C$1:$C$521,Cuentas!$A$1:$A$521),"")</f>
        <v/>
      </c>
    </row>
    <row r="3278" spans="1:1">
      <c r="A3278" t="str">
        <f>IFERROR(_xlfn.XLOOKUP(B3278,Cuentas!$C$1:$C$521,Cuentas!$A$1:$A$521),"")</f>
        <v/>
      </c>
    </row>
    <row r="3279" spans="1:1">
      <c r="A3279" t="str">
        <f>IFERROR(_xlfn.XLOOKUP(B3279,Cuentas!$C$1:$C$521,Cuentas!$A$1:$A$521),"")</f>
        <v/>
      </c>
    </row>
    <row r="3280" spans="1:1">
      <c r="A3280" t="str">
        <f>IFERROR(_xlfn.XLOOKUP(B3280,Cuentas!$C$1:$C$521,Cuentas!$A$1:$A$521),"")</f>
        <v/>
      </c>
    </row>
    <row r="3281" spans="1:1">
      <c r="A3281" t="str">
        <f>IFERROR(_xlfn.XLOOKUP(B3281,Cuentas!$C$1:$C$521,Cuentas!$A$1:$A$521),"")</f>
        <v/>
      </c>
    </row>
    <row r="3282" spans="1:1">
      <c r="A3282" t="str">
        <f>IFERROR(_xlfn.XLOOKUP(B3282,Cuentas!$C$1:$C$521,Cuentas!$A$1:$A$521),"")</f>
        <v/>
      </c>
    </row>
    <row r="3283" spans="1:1">
      <c r="A3283" t="str">
        <f>IFERROR(_xlfn.XLOOKUP(B3283,Cuentas!$C$1:$C$521,Cuentas!$A$1:$A$521),"")</f>
        <v/>
      </c>
    </row>
    <row r="3284" spans="1:1">
      <c r="A3284" t="str">
        <f>IFERROR(_xlfn.XLOOKUP(B3284,Cuentas!$C$1:$C$521,Cuentas!$A$1:$A$521),"")</f>
        <v/>
      </c>
    </row>
    <row r="3285" spans="1:1">
      <c r="A3285" t="str">
        <f>IFERROR(_xlfn.XLOOKUP(B3285,Cuentas!$C$1:$C$521,Cuentas!$A$1:$A$521),"")</f>
        <v/>
      </c>
    </row>
    <row r="3286" spans="1:1">
      <c r="A3286" t="str">
        <f>IFERROR(_xlfn.XLOOKUP(B3286,Cuentas!$C$1:$C$521,Cuentas!$A$1:$A$521),"")</f>
        <v/>
      </c>
    </row>
    <row r="3287" spans="1:1">
      <c r="A3287" t="str">
        <f>IFERROR(_xlfn.XLOOKUP(B3287,Cuentas!$C$1:$C$521,Cuentas!$A$1:$A$521),"")</f>
        <v/>
      </c>
    </row>
    <row r="3288" spans="1:1">
      <c r="A3288" t="str">
        <f>IFERROR(_xlfn.XLOOKUP(B3288,Cuentas!$C$1:$C$521,Cuentas!$A$1:$A$521),"")</f>
        <v/>
      </c>
    </row>
    <row r="3289" spans="1:1">
      <c r="A3289" t="str">
        <f>IFERROR(_xlfn.XLOOKUP(B3289,Cuentas!$C$1:$C$521,Cuentas!$A$1:$A$521),"")</f>
        <v/>
      </c>
    </row>
    <row r="3290" spans="1:1">
      <c r="A3290" t="str">
        <f>IFERROR(_xlfn.XLOOKUP(B3290,Cuentas!$C$1:$C$521,Cuentas!$A$1:$A$521),"")</f>
        <v/>
      </c>
    </row>
    <row r="3291" spans="1:1">
      <c r="A3291" t="str">
        <f>IFERROR(_xlfn.XLOOKUP(B3291,Cuentas!$C$1:$C$521,Cuentas!$A$1:$A$521),"")</f>
        <v/>
      </c>
    </row>
    <row r="3292" spans="1:1">
      <c r="A3292" t="str">
        <f>IFERROR(_xlfn.XLOOKUP(B3292,Cuentas!$C$1:$C$521,Cuentas!$A$1:$A$521),"")</f>
        <v/>
      </c>
    </row>
    <row r="3293" spans="1:1">
      <c r="A3293" t="str">
        <f>IFERROR(_xlfn.XLOOKUP(B3293,Cuentas!$C$1:$C$521,Cuentas!$A$1:$A$521),"")</f>
        <v/>
      </c>
    </row>
    <row r="3294" spans="1:1">
      <c r="A3294" t="str">
        <f>IFERROR(_xlfn.XLOOKUP(B3294,Cuentas!$C$1:$C$521,Cuentas!$A$1:$A$521),"")</f>
        <v/>
      </c>
    </row>
    <row r="3295" spans="1:1">
      <c r="A3295" t="str">
        <f>IFERROR(_xlfn.XLOOKUP(B3295,Cuentas!$C$1:$C$521,Cuentas!$A$1:$A$521),"")</f>
        <v/>
      </c>
    </row>
    <row r="3296" spans="1:1">
      <c r="A3296" t="str">
        <f>IFERROR(_xlfn.XLOOKUP(B3296,Cuentas!$C$1:$C$521,Cuentas!$A$1:$A$521),"")</f>
        <v/>
      </c>
    </row>
    <row r="3297" spans="1:1">
      <c r="A3297" t="str">
        <f>IFERROR(_xlfn.XLOOKUP(B3297,Cuentas!$C$1:$C$521,Cuentas!$A$1:$A$521),"")</f>
        <v/>
      </c>
    </row>
    <row r="3298" spans="1:1">
      <c r="A3298" t="str">
        <f>IFERROR(_xlfn.XLOOKUP(B3298,Cuentas!$C$1:$C$521,Cuentas!$A$1:$A$521),"")</f>
        <v/>
      </c>
    </row>
    <row r="3299" spans="1:1">
      <c r="A3299" t="str">
        <f>IFERROR(_xlfn.XLOOKUP(B3299,Cuentas!$C$1:$C$521,Cuentas!$A$1:$A$521),"")</f>
        <v/>
      </c>
    </row>
    <row r="3300" spans="1:1">
      <c r="A3300" t="str">
        <f>IFERROR(_xlfn.XLOOKUP(B3300,Cuentas!$C$1:$C$521,Cuentas!$A$1:$A$521),"")</f>
        <v/>
      </c>
    </row>
    <row r="3301" spans="1:1">
      <c r="A3301" t="str">
        <f>IFERROR(_xlfn.XLOOKUP(B3301,Cuentas!$C$1:$C$521,Cuentas!$A$1:$A$521),"")</f>
        <v/>
      </c>
    </row>
    <row r="3302" spans="1:1">
      <c r="A3302" t="str">
        <f>IFERROR(_xlfn.XLOOKUP(B3302,Cuentas!$C$1:$C$521,Cuentas!$A$1:$A$521),"")</f>
        <v/>
      </c>
    </row>
    <row r="3303" spans="1:1">
      <c r="A3303" t="str">
        <f>IFERROR(_xlfn.XLOOKUP(B3303,Cuentas!$C$1:$C$521,Cuentas!$A$1:$A$521),"")</f>
        <v/>
      </c>
    </row>
    <row r="3304" spans="1:1">
      <c r="A3304" t="str">
        <f>IFERROR(_xlfn.XLOOKUP(B3304,Cuentas!$C$1:$C$521,Cuentas!$A$1:$A$521),"")</f>
        <v/>
      </c>
    </row>
    <row r="3305" spans="1:1">
      <c r="A3305" t="str">
        <f>IFERROR(_xlfn.XLOOKUP(B3305,Cuentas!$C$1:$C$521,Cuentas!$A$1:$A$521),"")</f>
        <v/>
      </c>
    </row>
    <row r="3306" spans="1:1">
      <c r="A3306" t="str">
        <f>IFERROR(_xlfn.XLOOKUP(B3306,Cuentas!$C$1:$C$521,Cuentas!$A$1:$A$521),"")</f>
        <v/>
      </c>
    </row>
    <row r="3307" spans="1:1">
      <c r="A3307" t="str">
        <f>IFERROR(_xlfn.XLOOKUP(B3307,Cuentas!$C$1:$C$521,Cuentas!$A$1:$A$521),"")</f>
        <v/>
      </c>
    </row>
    <row r="3308" spans="1:1">
      <c r="A3308" t="str">
        <f>IFERROR(_xlfn.XLOOKUP(B3308,Cuentas!$C$1:$C$521,Cuentas!$A$1:$A$521),"")</f>
        <v/>
      </c>
    </row>
    <row r="3309" spans="1:1">
      <c r="A3309" t="str">
        <f>IFERROR(_xlfn.XLOOKUP(B3309,Cuentas!$C$1:$C$521,Cuentas!$A$1:$A$521),"")</f>
        <v/>
      </c>
    </row>
    <row r="3310" spans="1:1">
      <c r="A3310" t="str">
        <f>IFERROR(_xlfn.XLOOKUP(B3310,Cuentas!$C$1:$C$521,Cuentas!$A$1:$A$521),"")</f>
        <v/>
      </c>
    </row>
    <row r="3311" spans="1:1">
      <c r="A3311" t="str">
        <f>IFERROR(_xlfn.XLOOKUP(B3311,Cuentas!$C$1:$C$521,Cuentas!$A$1:$A$521),"")</f>
        <v/>
      </c>
    </row>
    <row r="3312" spans="1:1">
      <c r="A3312" t="str">
        <f>IFERROR(_xlfn.XLOOKUP(B3312,Cuentas!$C$1:$C$521,Cuentas!$A$1:$A$521),"")</f>
        <v/>
      </c>
    </row>
    <row r="3313" spans="1:1">
      <c r="A3313" t="str">
        <f>IFERROR(_xlfn.XLOOKUP(B3313,Cuentas!$C$1:$C$521,Cuentas!$A$1:$A$521),"")</f>
        <v/>
      </c>
    </row>
    <row r="3314" spans="1:1">
      <c r="A3314" t="str">
        <f>IFERROR(_xlfn.XLOOKUP(B3314,Cuentas!$C$1:$C$521,Cuentas!$A$1:$A$521),"")</f>
        <v/>
      </c>
    </row>
    <row r="3315" spans="1:1">
      <c r="A3315" t="str">
        <f>IFERROR(_xlfn.XLOOKUP(B3315,Cuentas!$C$1:$C$521,Cuentas!$A$1:$A$521),"")</f>
        <v/>
      </c>
    </row>
    <row r="3316" spans="1:1">
      <c r="A3316" t="str">
        <f>IFERROR(_xlfn.XLOOKUP(B3316,Cuentas!$C$1:$C$521,Cuentas!$A$1:$A$521),"")</f>
        <v/>
      </c>
    </row>
    <row r="3317" spans="1:1">
      <c r="A3317" t="str">
        <f>IFERROR(_xlfn.XLOOKUP(B3317,Cuentas!$C$1:$C$521,Cuentas!$A$1:$A$521),"")</f>
        <v/>
      </c>
    </row>
    <row r="3318" spans="1:1">
      <c r="A3318" t="str">
        <f>IFERROR(_xlfn.XLOOKUP(B3318,Cuentas!$C$1:$C$521,Cuentas!$A$1:$A$521),"")</f>
        <v/>
      </c>
    </row>
    <row r="3319" spans="1:1">
      <c r="A3319" t="str">
        <f>IFERROR(_xlfn.XLOOKUP(B3319,Cuentas!$C$1:$C$521,Cuentas!$A$1:$A$521),"")</f>
        <v/>
      </c>
    </row>
    <row r="3320" spans="1:1">
      <c r="A3320" t="str">
        <f>IFERROR(_xlfn.XLOOKUP(B3320,Cuentas!$C$1:$C$521,Cuentas!$A$1:$A$521),"")</f>
        <v/>
      </c>
    </row>
    <row r="3321" spans="1:1">
      <c r="A3321" t="str">
        <f>IFERROR(_xlfn.XLOOKUP(B3321,Cuentas!$C$1:$C$521,Cuentas!$A$1:$A$521),"")</f>
        <v/>
      </c>
    </row>
    <row r="3322" spans="1:1">
      <c r="A3322" t="str">
        <f>IFERROR(_xlfn.XLOOKUP(B3322,Cuentas!$C$1:$C$521,Cuentas!$A$1:$A$521),"")</f>
        <v/>
      </c>
    </row>
    <row r="3323" spans="1:1">
      <c r="A3323" t="str">
        <f>IFERROR(_xlfn.XLOOKUP(B3323,Cuentas!$C$1:$C$521,Cuentas!$A$1:$A$521),"")</f>
        <v/>
      </c>
    </row>
    <row r="3324" spans="1:1">
      <c r="A3324" t="str">
        <f>IFERROR(_xlfn.XLOOKUP(B3324,Cuentas!$C$1:$C$521,Cuentas!$A$1:$A$521),"")</f>
        <v/>
      </c>
    </row>
    <row r="3325" spans="1:1">
      <c r="A3325" t="str">
        <f>IFERROR(_xlfn.XLOOKUP(B3325,Cuentas!$C$1:$C$521,Cuentas!$A$1:$A$521),"")</f>
        <v/>
      </c>
    </row>
    <row r="3326" spans="1:1">
      <c r="A3326" t="str">
        <f>IFERROR(_xlfn.XLOOKUP(B3326,Cuentas!$C$1:$C$521,Cuentas!$A$1:$A$521),"")</f>
        <v/>
      </c>
    </row>
    <row r="3327" spans="1:1">
      <c r="A3327" t="str">
        <f>IFERROR(_xlfn.XLOOKUP(B3327,Cuentas!$C$1:$C$521,Cuentas!$A$1:$A$521),"")</f>
        <v/>
      </c>
    </row>
    <row r="3328" spans="1:1">
      <c r="A3328" t="str">
        <f>IFERROR(_xlfn.XLOOKUP(B3328,Cuentas!$C$1:$C$521,Cuentas!$A$1:$A$521),"")</f>
        <v/>
      </c>
    </row>
    <row r="3329" spans="1:1">
      <c r="A3329" t="str">
        <f>IFERROR(_xlfn.XLOOKUP(B3329,Cuentas!$C$1:$C$521,Cuentas!$A$1:$A$521),"")</f>
        <v/>
      </c>
    </row>
    <row r="3330" spans="1:1">
      <c r="A3330" t="str">
        <f>IFERROR(_xlfn.XLOOKUP(B3330,Cuentas!$C$1:$C$521,Cuentas!$A$1:$A$521),"")</f>
        <v/>
      </c>
    </row>
    <row r="3331" spans="1:1">
      <c r="A3331" t="str">
        <f>IFERROR(_xlfn.XLOOKUP(B3331,Cuentas!$C$1:$C$521,Cuentas!$A$1:$A$521),"")</f>
        <v/>
      </c>
    </row>
    <row r="3332" spans="1:1">
      <c r="A3332" t="str">
        <f>IFERROR(_xlfn.XLOOKUP(B3332,Cuentas!$C$1:$C$521,Cuentas!$A$1:$A$521),"")</f>
        <v/>
      </c>
    </row>
    <row r="3333" spans="1:1">
      <c r="A3333" t="str">
        <f>IFERROR(_xlfn.XLOOKUP(B3333,Cuentas!$C$1:$C$521,Cuentas!$A$1:$A$521),"")</f>
        <v/>
      </c>
    </row>
    <row r="3334" spans="1:1">
      <c r="A3334" t="str">
        <f>IFERROR(_xlfn.XLOOKUP(B3334,Cuentas!$C$1:$C$521,Cuentas!$A$1:$A$521),"")</f>
        <v/>
      </c>
    </row>
    <row r="3335" spans="1:1">
      <c r="A3335" t="str">
        <f>IFERROR(_xlfn.XLOOKUP(B3335,Cuentas!$C$1:$C$521,Cuentas!$A$1:$A$521),"")</f>
        <v/>
      </c>
    </row>
    <row r="3336" spans="1:1">
      <c r="A3336" t="str">
        <f>IFERROR(_xlfn.XLOOKUP(B3336,Cuentas!$C$1:$C$521,Cuentas!$A$1:$A$521),"")</f>
        <v/>
      </c>
    </row>
    <row r="3337" spans="1:1">
      <c r="A3337" t="str">
        <f>IFERROR(_xlfn.XLOOKUP(B3337,Cuentas!$C$1:$C$521,Cuentas!$A$1:$A$521),"")</f>
        <v/>
      </c>
    </row>
    <row r="3338" spans="1:1">
      <c r="A3338" t="str">
        <f>IFERROR(_xlfn.XLOOKUP(B3338,Cuentas!$C$1:$C$521,Cuentas!$A$1:$A$521),"")</f>
        <v/>
      </c>
    </row>
    <row r="3339" spans="1:1">
      <c r="A3339" t="str">
        <f>IFERROR(_xlfn.XLOOKUP(B3339,Cuentas!$C$1:$C$521,Cuentas!$A$1:$A$521),"")</f>
        <v/>
      </c>
    </row>
    <row r="3340" spans="1:1">
      <c r="A3340" t="str">
        <f>IFERROR(_xlfn.XLOOKUP(B3340,Cuentas!$C$1:$C$521,Cuentas!$A$1:$A$521),"")</f>
        <v/>
      </c>
    </row>
    <row r="3341" spans="1:1">
      <c r="A3341" t="str">
        <f>IFERROR(_xlfn.XLOOKUP(B3341,Cuentas!$C$1:$C$521,Cuentas!$A$1:$A$521),"")</f>
        <v/>
      </c>
    </row>
    <row r="3342" spans="1:1">
      <c r="A3342" t="str">
        <f>IFERROR(_xlfn.XLOOKUP(B3342,Cuentas!$C$1:$C$521,Cuentas!$A$1:$A$521),"")</f>
        <v/>
      </c>
    </row>
    <row r="3343" spans="1:1">
      <c r="A3343" t="str">
        <f>IFERROR(_xlfn.XLOOKUP(B3343,Cuentas!$C$1:$C$521,Cuentas!$A$1:$A$521),"")</f>
        <v/>
      </c>
    </row>
    <row r="3344" spans="1:1">
      <c r="A3344" t="str">
        <f>IFERROR(_xlfn.XLOOKUP(B3344,Cuentas!$C$1:$C$521,Cuentas!$A$1:$A$521),"")</f>
        <v/>
      </c>
    </row>
    <row r="3345" spans="1:1">
      <c r="A3345" t="str">
        <f>IFERROR(_xlfn.XLOOKUP(B3345,Cuentas!$C$1:$C$521,Cuentas!$A$1:$A$521),"")</f>
        <v/>
      </c>
    </row>
    <row r="3346" spans="1:1">
      <c r="A3346" t="str">
        <f>IFERROR(_xlfn.XLOOKUP(B3346,Cuentas!$C$1:$C$521,Cuentas!$A$1:$A$521),"")</f>
        <v/>
      </c>
    </row>
    <row r="3347" spans="1:1">
      <c r="A3347" t="str">
        <f>IFERROR(_xlfn.XLOOKUP(B3347,Cuentas!$C$1:$C$521,Cuentas!$A$1:$A$521),"")</f>
        <v/>
      </c>
    </row>
    <row r="3348" spans="1:1">
      <c r="A3348" t="str">
        <f>IFERROR(_xlfn.XLOOKUP(B3348,Cuentas!$C$1:$C$521,Cuentas!$A$1:$A$521),"")</f>
        <v/>
      </c>
    </row>
    <row r="3349" spans="1:1">
      <c r="A3349" t="str">
        <f>IFERROR(_xlfn.XLOOKUP(B3349,Cuentas!$C$1:$C$521,Cuentas!$A$1:$A$521),"")</f>
        <v/>
      </c>
    </row>
    <row r="3350" spans="1:1">
      <c r="A3350" t="str">
        <f>IFERROR(_xlfn.XLOOKUP(B3350,Cuentas!$C$1:$C$521,Cuentas!$A$1:$A$521),"")</f>
        <v/>
      </c>
    </row>
    <row r="3351" spans="1:1">
      <c r="A3351" t="str">
        <f>IFERROR(_xlfn.XLOOKUP(B3351,Cuentas!$C$1:$C$521,Cuentas!$A$1:$A$521),"")</f>
        <v/>
      </c>
    </row>
    <row r="3352" spans="1:1">
      <c r="A3352" t="str">
        <f>IFERROR(_xlfn.XLOOKUP(B3352,Cuentas!$C$1:$C$521,Cuentas!$A$1:$A$521),"")</f>
        <v/>
      </c>
    </row>
    <row r="3353" spans="1:1">
      <c r="A3353" t="str">
        <f>IFERROR(_xlfn.XLOOKUP(B3353,Cuentas!$C$1:$C$521,Cuentas!$A$1:$A$521),"")</f>
        <v/>
      </c>
    </row>
    <row r="3354" spans="1:1">
      <c r="A3354" t="str">
        <f>IFERROR(_xlfn.XLOOKUP(B3354,Cuentas!$C$1:$C$521,Cuentas!$A$1:$A$521),"")</f>
        <v/>
      </c>
    </row>
    <row r="3355" spans="1:1">
      <c r="A3355" t="str">
        <f>IFERROR(_xlfn.XLOOKUP(B3355,Cuentas!$C$1:$C$521,Cuentas!$A$1:$A$521),"")</f>
        <v/>
      </c>
    </row>
    <row r="3356" spans="1:1">
      <c r="A3356" t="str">
        <f>IFERROR(_xlfn.XLOOKUP(B3356,Cuentas!$C$1:$C$521,Cuentas!$A$1:$A$521),"")</f>
        <v/>
      </c>
    </row>
    <row r="3357" spans="1:1">
      <c r="A3357" t="str">
        <f>IFERROR(_xlfn.XLOOKUP(B3357,Cuentas!$C$1:$C$521,Cuentas!$A$1:$A$521),"")</f>
        <v/>
      </c>
    </row>
    <row r="3358" spans="1:1">
      <c r="A3358" t="str">
        <f>IFERROR(_xlfn.XLOOKUP(B3358,Cuentas!$C$1:$C$521,Cuentas!$A$1:$A$521),"")</f>
        <v/>
      </c>
    </row>
    <row r="3359" spans="1:1">
      <c r="A3359" t="str">
        <f>IFERROR(_xlfn.XLOOKUP(B3359,Cuentas!$C$1:$C$521,Cuentas!$A$1:$A$521),"")</f>
        <v/>
      </c>
    </row>
    <row r="3360" spans="1:1">
      <c r="A3360" t="str">
        <f>IFERROR(_xlfn.XLOOKUP(B3360,Cuentas!$C$1:$C$521,Cuentas!$A$1:$A$521),"")</f>
        <v/>
      </c>
    </row>
    <row r="3361" spans="1:1">
      <c r="A3361" t="str">
        <f>IFERROR(_xlfn.XLOOKUP(B3361,Cuentas!$C$1:$C$521,Cuentas!$A$1:$A$521),"")</f>
        <v/>
      </c>
    </row>
    <row r="3362" spans="1:1">
      <c r="A3362" t="str">
        <f>IFERROR(_xlfn.XLOOKUP(B3362,Cuentas!$C$1:$C$521,Cuentas!$A$1:$A$521),"")</f>
        <v/>
      </c>
    </row>
    <row r="3363" spans="1:1">
      <c r="A3363" t="str">
        <f>IFERROR(_xlfn.XLOOKUP(B3363,Cuentas!$C$1:$C$521,Cuentas!$A$1:$A$521),"")</f>
        <v/>
      </c>
    </row>
    <row r="3364" spans="1:1">
      <c r="A3364" t="str">
        <f>IFERROR(_xlfn.XLOOKUP(B3364,Cuentas!$C$1:$C$521,Cuentas!$A$1:$A$521),"")</f>
        <v/>
      </c>
    </row>
    <row r="3365" spans="1:1">
      <c r="A3365" t="str">
        <f>IFERROR(_xlfn.XLOOKUP(B3365,Cuentas!$C$1:$C$521,Cuentas!$A$1:$A$521),"")</f>
        <v/>
      </c>
    </row>
    <row r="3366" spans="1:1">
      <c r="A3366" t="str">
        <f>IFERROR(_xlfn.XLOOKUP(B3366,Cuentas!$C$1:$C$521,Cuentas!$A$1:$A$521),"")</f>
        <v/>
      </c>
    </row>
    <row r="3367" spans="1:1">
      <c r="A3367" t="str">
        <f>IFERROR(_xlfn.XLOOKUP(B3367,Cuentas!$C$1:$C$521,Cuentas!$A$1:$A$521),"")</f>
        <v/>
      </c>
    </row>
    <row r="3368" spans="1:1">
      <c r="A3368" t="str">
        <f>IFERROR(_xlfn.XLOOKUP(B3368,Cuentas!$C$1:$C$521,Cuentas!$A$1:$A$521),"")</f>
        <v/>
      </c>
    </row>
    <row r="3369" spans="1:1">
      <c r="A3369" t="str">
        <f>IFERROR(_xlfn.XLOOKUP(B3369,Cuentas!$C$1:$C$521,Cuentas!$A$1:$A$521),"")</f>
        <v/>
      </c>
    </row>
    <row r="3370" spans="1:1">
      <c r="A3370" t="str">
        <f>IFERROR(_xlfn.XLOOKUP(B3370,Cuentas!$C$1:$C$521,Cuentas!$A$1:$A$521),"")</f>
        <v/>
      </c>
    </row>
    <row r="3371" spans="1:1">
      <c r="A3371" t="str">
        <f>IFERROR(_xlfn.XLOOKUP(B3371,Cuentas!$C$1:$C$521,Cuentas!$A$1:$A$521),"")</f>
        <v/>
      </c>
    </row>
    <row r="3372" spans="1:1">
      <c r="A3372" t="str">
        <f>IFERROR(_xlfn.XLOOKUP(B3372,Cuentas!$C$1:$C$521,Cuentas!$A$1:$A$521),"")</f>
        <v/>
      </c>
    </row>
    <row r="3373" spans="1:1">
      <c r="A3373" t="str">
        <f>IFERROR(_xlfn.XLOOKUP(B3373,Cuentas!$C$1:$C$521,Cuentas!$A$1:$A$521),"")</f>
        <v/>
      </c>
    </row>
    <row r="3374" spans="1:1">
      <c r="A3374" t="str">
        <f>IFERROR(_xlfn.XLOOKUP(B3374,Cuentas!$C$1:$C$521,Cuentas!$A$1:$A$521),"")</f>
        <v/>
      </c>
    </row>
    <row r="3375" spans="1:1">
      <c r="A3375" t="str">
        <f>IFERROR(_xlfn.XLOOKUP(B3375,Cuentas!$C$1:$C$521,Cuentas!$A$1:$A$521),"")</f>
        <v/>
      </c>
    </row>
    <row r="3376" spans="1:1">
      <c r="A3376" t="str">
        <f>IFERROR(_xlfn.XLOOKUP(B3376,Cuentas!$C$1:$C$521,Cuentas!$A$1:$A$521),"")</f>
        <v/>
      </c>
    </row>
    <row r="3377" spans="1:1">
      <c r="A3377" t="str">
        <f>IFERROR(_xlfn.XLOOKUP(B3377,Cuentas!$C$1:$C$521,Cuentas!$A$1:$A$521),"")</f>
        <v/>
      </c>
    </row>
    <row r="3378" spans="1:1">
      <c r="A3378" t="str">
        <f>IFERROR(_xlfn.XLOOKUP(B3378,Cuentas!$C$1:$C$521,Cuentas!$A$1:$A$521),"")</f>
        <v/>
      </c>
    </row>
    <row r="3379" spans="1:1">
      <c r="A3379" t="str">
        <f>IFERROR(_xlfn.XLOOKUP(B3379,Cuentas!$C$1:$C$521,Cuentas!$A$1:$A$521),"")</f>
        <v/>
      </c>
    </row>
    <row r="3380" spans="1:1">
      <c r="A3380" t="str">
        <f>IFERROR(_xlfn.XLOOKUP(B3380,Cuentas!$C$1:$C$521,Cuentas!$A$1:$A$521),"")</f>
        <v/>
      </c>
    </row>
    <row r="3381" spans="1:1">
      <c r="A3381" t="str">
        <f>IFERROR(_xlfn.XLOOKUP(B3381,Cuentas!$C$1:$C$521,Cuentas!$A$1:$A$521),"")</f>
        <v/>
      </c>
    </row>
    <row r="3382" spans="1:1">
      <c r="A3382" t="str">
        <f>IFERROR(_xlfn.XLOOKUP(B3382,Cuentas!$C$1:$C$521,Cuentas!$A$1:$A$521),"")</f>
        <v/>
      </c>
    </row>
    <row r="3383" spans="1:1">
      <c r="A3383" t="str">
        <f>IFERROR(_xlfn.XLOOKUP(B3383,Cuentas!$C$1:$C$521,Cuentas!$A$1:$A$521),"")</f>
        <v/>
      </c>
    </row>
    <row r="3384" spans="1:1">
      <c r="A3384" t="str">
        <f>IFERROR(_xlfn.XLOOKUP(B3384,Cuentas!$C$1:$C$521,Cuentas!$A$1:$A$521),"")</f>
        <v/>
      </c>
    </row>
    <row r="3385" spans="1:1">
      <c r="A3385" t="str">
        <f>IFERROR(_xlfn.XLOOKUP(B3385,Cuentas!$C$1:$C$521,Cuentas!$A$1:$A$521),"")</f>
        <v/>
      </c>
    </row>
    <row r="3386" spans="1:1">
      <c r="A3386" t="str">
        <f>IFERROR(_xlfn.XLOOKUP(B3386,Cuentas!$C$1:$C$521,Cuentas!$A$1:$A$521),"")</f>
        <v/>
      </c>
    </row>
    <row r="3387" spans="1:1">
      <c r="A3387" t="str">
        <f>IFERROR(_xlfn.XLOOKUP(B3387,Cuentas!$C$1:$C$521,Cuentas!$A$1:$A$521),"")</f>
        <v/>
      </c>
    </row>
    <row r="3388" spans="1:1">
      <c r="A3388" t="str">
        <f>IFERROR(_xlfn.XLOOKUP(B3388,Cuentas!$C$1:$C$521,Cuentas!$A$1:$A$521),"")</f>
        <v/>
      </c>
    </row>
    <row r="3389" spans="1:1">
      <c r="A3389" t="str">
        <f>IFERROR(_xlfn.XLOOKUP(B3389,Cuentas!$C$1:$C$521,Cuentas!$A$1:$A$521),"")</f>
        <v/>
      </c>
    </row>
    <row r="3390" spans="1:1">
      <c r="A3390" t="str">
        <f>IFERROR(_xlfn.XLOOKUP(B3390,Cuentas!$C$1:$C$521,Cuentas!$A$1:$A$521),"")</f>
        <v/>
      </c>
    </row>
    <row r="3391" spans="1:1">
      <c r="A3391" t="str">
        <f>IFERROR(_xlfn.XLOOKUP(B3391,Cuentas!$C$1:$C$521,Cuentas!$A$1:$A$521),"")</f>
        <v/>
      </c>
    </row>
    <row r="3392" spans="1:1">
      <c r="A3392" t="str">
        <f>IFERROR(_xlfn.XLOOKUP(B3392,Cuentas!$C$1:$C$521,Cuentas!$A$1:$A$521),"")</f>
        <v/>
      </c>
    </row>
    <row r="3393" spans="1:1">
      <c r="A3393" t="str">
        <f>IFERROR(_xlfn.XLOOKUP(B3393,Cuentas!$C$1:$C$521,Cuentas!$A$1:$A$521),"")</f>
        <v/>
      </c>
    </row>
    <row r="3394" spans="1:1">
      <c r="A3394" t="str">
        <f>IFERROR(_xlfn.XLOOKUP(B3394,Cuentas!$C$1:$C$521,Cuentas!$A$1:$A$521),"")</f>
        <v/>
      </c>
    </row>
    <row r="3395" spans="1:1">
      <c r="A3395" t="str">
        <f>IFERROR(_xlfn.XLOOKUP(B3395,Cuentas!$C$1:$C$521,Cuentas!$A$1:$A$521),"")</f>
        <v/>
      </c>
    </row>
    <row r="3396" spans="1:1">
      <c r="A3396" t="str">
        <f>IFERROR(_xlfn.XLOOKUP(B3396,Cuentas!$C$1:$C$521,Cuentas!$A$1:$A$521),"")</f>
        <v/>
      </c>
    </row>
    <row r="3397" spans="1:1">
      <c r="A3397" t="str">
        <f>IFERROR(_xlfn.XLOOKUP(B3397,Cuentas!$C$1:$C$521,Cuentas!$A$1:$A$521),"")</f>
        <v/>
      </c>
    </row>
    <row r="3398" spans="1:1">
      <c r="A3398" t="str">
        <f>IFERROR(_xlfn.XLOOKUP(B3398,Cuentas!$C$1:$C$521,Cuentas!$A$1:$A$521),"")</f>
        <v/>
      </c>
    </row>
    <row r="3399" spans="1:1">
      <c r="A3399" t="str">
        <f>IFERROR(_xlfn.XLOOKUP(B3399,Cuentas!$C$1:$C$521,Cuentas!$A$1:$A$521),"")</f>
        <v/>
      </c>
    </row>
    <row r="3400" spans="1:1">
      <c r="A3400" t="str">
        <f>IFERROR(_xlfn.XLOOKUP(B3400,Cuentas!$C$1:$C$521,Cuentas!$A$1:$A$521),"")</f>
        <v/>
      </c>
    </row>
    <row r="3401" spans="1:1">
      <c r="A3401" t="str">
        <f>IFERROR(_xlfn.XLOOKUP(B3401,Cuentas!$C$1:$C$521,Cuentas!$A$1:$A$521),"")</f>
        <v/>
      </c>
    </row>
    <row r="3402" spans="1:1">
      <c r="A3402" t="str">
        <f>IFERROR(_xlfn.XLOOKUP(B3402,Cuentas!$C$1:$C$521,Cuentas!$A$1:$A$521),"")</f>
        <v/>
      </c>
    </row>
    <row r="3403" spans="1:1">
      <c r="A3403" t="str">
        <f>IFERROR(_xlfn.XLOOKUP(B3403,Cuentas!$C$1:$C$521,Cuentas!$A$1:$A$521),"")</f>
        <v/>
      </c>
    </row>
    <row r="3404" spans="1:1">
      <c r="A3404" t="str">
        <f>IFERROR(_xlfn.XLOOKUP(B3404,Cuentas!$C$1:$C$521,Cuentas!$A$1:$A$521),"")</f>
        <v/>
      </c>
    </row>
    <row r="3405" spans="1:1">
      <c r="A3405" t="str">
        <f>IFERROR(_xlfn.XLOOKUP(B3405,Cuentas!$C$1:$C$521,Cuentas!$A$1:$A$521),"")</f>
        <v/>
      </c>
    </row>
    <row r="3406" spans="1:1">
      <c r="A3406" t="str">
        <f>IFERROR(_xlfn.XLOOKUP(B3406,Cuentas!$C$1:$C$521,Cuentas!$A$1:$A$521),"")</f>
        <v/>
      </c>
    </row>
    <row r="3407" spans="1:1">
      <c r="A3407" t="str">
        <f>IFERROR(_xlfn.XLOOKUP(B3407,Cuentas!$C$1:$C$521,Cuentas!$A$1:$A$521),"")</f>
        <v/>
      </c>
    </row>
    <row r="3408" spans="1:1">
      <c r="A3408" t="str">
        <f>IFERROR(_xlfn.XLOOKUP(B3408,Cuentas!$C$1:$C$521,Cuentas!$A$1:$A$521),"")</f>
        <v/>
      </c>
    </row>
    <row r="3409" spans="1:1">
      <c r="A3409" t="str">
        <f>IFERROR(_xlfn.XLOOKUP(B3409,Cuentas!$C$1:$C$521,Cuentas!$A$1:$A$521),"")</f>
        <v/>
      </c>
    </row>
    <row r="3410" spans="1:1">
      <c r="A3410" t="str">
        <f>IFERROR(_xlfn.XLOOKUP(B3410,Cuentas!$C$1:$C$521,Cuentas!$A$1:$A$521),"")</f>
        <v/>
      </c>
    </row>
    <row r="3411" spans="1:1">
      <c r="A3411" t="str">
        <f>IFERROR(_xlfn.XLOOKUP(B3411,Cuentas!$C$1:$C$521,Cuentas!$A$1:$A$521),"")</f>
        <v/>
      </c>
    </row>
    <row r="3412" spans="1:1">
      <c r="A3412" t="str">
        <f>IFERROR(_xlfn.XLOOKUP(B3412,Cuentas!$C$1:$C$521,Cuentas!$A$1:$A$521),"")</f>
        <v/>
      </c>
    </row>
    <row r="3413" spans="1:1">
      <c r="A3413" t="str">
        <f>IFERROR(_xlfn.XLOOKUP(B3413,Cuentas!$C$1:$C$521,Cuentas!$A$1:$A$521),"")</f>
        <v/>
      </c>
    </row>
    <row r="3414" spans="1:1">
      <c r="A3414" t="str">
        <f>IFERROR(_xlfn.XLOOKUP(B3414,Cuentas!$C$1:$C$521,Cuentas!$A$1:$A$521),"")</f>
        <v/>
      </c>
    </row>
    <row r="3415" spans="1:1">
      <c r="A3415" t="str">
        <f>IFERROR(_xlfn.XLOOKUP(B3415,Cuentas!$C$1:$C$521,Cuentas!$A$1:$A$521),"")</f>
        <v/>
      </c>
    </row>
    <row r="3416" spans="1:1">
      <c r="A3416" t="str">
        <f>IFERROR(_xlfn.XLOOKUP(B3416,Cuentas!$C$1:$C$521,Cuentas!$A$1:$A$521),"")</f>
        <v/>
      </c>
    </row>
    <row r="3417" spans="1:1">
      <c r="A3417" t="str">
        <f>IFERROR(_xlfn.XLOOKUP(B3417,Cuentas!$C$1:$C$521,Cuentas!$A$1:$A$521),"")</f>
        <v/>
      </c>
    </row>
    <row r="3418" spans="1:1">
      <c r="A3418" t="str">
        <f>IFERROR(_xlfn.XLOOKUP(B3418,Cuentas!$C$1:$C$521,Cuentas!$A$1:$A$521),"")</f>
        <v/>
      </c>
    </row>
    <row r="3419" spans="1:1">
      <c r="A3419" t="str">
        <f>IFERROR(_xlfn.XLOOKUP(B3419,Cuentas!$C$1:$C$521,Cuentas!$A$1:$A$521),"")</f>
        <v/>
      </c>
    </row>
    <row r="3420" spans="1:1">
      <c r="A3420" t="str">
        <f>IFERROR(_xlfn.XLOOKUP(B3420,Cuentas!$C$1:$C$521,Cuentas!$A$1:$A$521),"")</f>
        <v/>
      </c>
    </row>
    <row r="3421" spans="1:1">
      <c r="A3421" t="str">
        <f>IFERROR(_xlfn.XLOOKUP(B3421,Cuentas!$C$1:$C$521,Cuentas!$A$1:$A$521),"")</f>
        <v/>
      </c>
    </row>
    <row r="3422" spans="1:1">
      <c r="A3422" t="str">
        <f>IFERROR(_xlfn.XLOOKUP(B3422,Cuentas!$C$1:$C$521,Cuentas!$A$1:$A$521),"")</f>
        <v/>
      </c>
    </row>
    <row r="3423" spans="1:1">
      <c r="A3423" t="str">
        <f>IFERROR(_xlfn.XLOOKUP(B3423,Cuentas!$C$1:$C$521,Cuentas!$A$1:$A$521),"")</f>
        <v/>
      </c>
    </row>
    <row r="3424" spans="1:1">
      <c r="A3424" t="str">
        <f>IFERROR(_xlfn.XLOOKUP(B3424,Cuentas!$C$1:$C$521,Cuentas!$A$1:$A$521),"")</f>
        <v/>
      </c>
    </row>
    <row r="3425" spans="1:1">
      <c r="A3425" t="str">
        <f>IFERROR(_xlfn.XLOOKUP(B3425,Cuentas!$C$1:$C$521,Cuentas!$A$1:$A$521),"")</f>
        <v/>
      </c>
    </row>
    <row r="3426" spans="1:1">
      <c r="A3426" t="str">
        <f>IFERROR(_xlfn.XLOOKUP(B3426,Cuentas!$C$1:$C$521,Cuentas!$A$1:$A$521),"")</f>
        <v/>
      </c>
    </row>
    <row r="3427" spans="1:1">
      <c r="A3427" t="str">
        <f>IFERROR(_xlfn.XLOOKUP(B3427,Cuentas!$C$1:$C$521,Cuentas!$A$1:$A$521),"")</f>
        <v/>
      </c>
    </row>
    <row r="3428" spans="1:1">
      <c r="A3428" t="str">
        <f>IFERROR(_xlfn.XLOOKUP(B3428,Cuentas!$C$1:$C$521,Cuentas!$A$1:$A$521),"")</f>
        <v/>
      </c>
    </row>
    <row r="3429" spans="1:1">
      <c r="A3429" t="str">
        <f>IFERROR(_xlfn.XLOOKUP(B3429,Cuentas!$C$1:$C$521,Cuentas!$A$1:$A$521),"")</f>
        <v/>
      </c>
    </row>
    <row r="3430" spans="1:1">
      <c r="A3430" t="str">
        <f>IFERROR(_xlfn.XLOOKUP(B3430,Cuentas!$C$1:$C$521,Cuentas!$A$1:$A$521),"")</f>
        <v/>
      </c>
    </row>
    <row r="3431" spans="1:1">
      <c r="A3431" t="str">
        <f>IFERROR(_xlfn.XLOOKUP(B3431,Cuentas!$C$1:$C$521,Cuentas!$A$1:$A$521),"")</f>
        <v/>
      </c>
    </row>
    <row r="3432" spans="1:1">
      <c r="A3432" t="str">
        <f>IFERROR(_xlfn.XLOOKUP(B3432,Cuentas!$C$1:$C$521,Cuentas!$A$1:$A$521),"")</f>
        <v/>
      </c>
    </row>
    <row r="3433" spans="1:1">
      <c r="A3433" t="str">
        <f>IFERROR(_xlfn.XLOOKUP(B3433,Cuentas!$C$1:$C$521,Cuentas!$A$1:$A$521),"")</f>
        <v/>
      </c>
    </row>
    <row r="3434" spans="1:1">
      <c r="A3434" t="str">
        <f>IFERROR(_xlfn.XLOOKUP(B3434,Cuentas!$C$1:$C$521,Cuentas!$A$1:$A$521),"")</f>
        <v/>
      </c>
    </row>
    <row r="3435" spans="1:1">
      <c r="A3435" t="str">
        <f>IFERROR(_xlfn.XLOOKUP(B3435,Cuentas!$C$1:$C$521,Cuentas!$A$1:$A$521),"")</f>
        <v/>
      </c>
    </row>
    <row r="3436" spans="1:1">
      <c r="A3436" t="str">
        <f>IFERROR(_xlfn.XLOOKUP(B3436,Cuentas!$C$1:$C$521,Cuentas!$A$1:$A$521),"")</f>
        <v/>
      </c>
    </row>
    <row r="3437" spans="1:1">
      <c r="A3437" t="str">
        <f>IFERROR(_xlfn.XLOOKUP(B3437,Cuentas!$C$1:$C$521,Cuentas!$A$1:$A$521),"")</f>
        <v/>
      </c>
    </row>
    <row r="3438" spans="1:1">
      <c r="A3438" t="str">
        <f>IFERROR(_xlfn.XLOOKUP(B3438,Cuentas!$C$1:$C$521,Cuentas!$A$1:$A$521),"")</f>
        <v/>
      </c>
    </row>
    <row r="3439" spans="1:1">
      <c r="A3439" t="str">
        <f>IFERROR(_xlfn.XLOOKUP(B3439,Cuentas!$C$1:$C$521,Cuentas!$A$1:$A$521),"")</f>
        <v/>
      </c>
    </row>
    <row r="3440" spans="1:1">
      <c r="A3440" t="str">
        <f>IFERROR(_xlfn.XLOOKUP(B3440,Cuentas!$C$1:$C$521,Cuentas!$A$1:$A$521),"")</f>
        <v/>
      </c>
    </row>
    <row r="3441" spans="1:1">
      <c r="A3441" t="str">
        <f>IFERROR(_xlfn.XLOOKUP(B3441,Cuentas!$C$1:$C$521,Cuentas!$A$1:$A$521),"")</f>
        <v/>
      </c>
    </row>
    <row r="3442" spans="1:1">
      <c r="A3442" t="str">
        <f>IFERROR(_xlfn.XLOOKUP(B3442,Cuentas!$C$1:$C$521,Cuentas!$A$1:$A$521),"")</f>
        <v/>
      </c>
    </row>
    <row r="3443" spans="1:1">
      <c r="A3443" t="str">
        <f>IFERROR(_xlfn.XLOOKUP(B3443,Cuentas!$C$1:$C$521,Cuentas!$A$1:$A$521),"")</f>
        <v/>
      </c>
    </row>
    <row r="3444" spans="1:1">
      <c r="A3444" t="str">
        <f>IFERROR(_xlfn.XLOOKUP(B3444,Cuentas!$C$1:$C$521,Cuentas!$A$1:$A$521),"")</f>
        <v/>
      </c>
    </row>
    <row r="3445" spans="1:1">
      <c r="A3445" t="str">
        <f>IFERROR(_xlfn.XLOOKUP(B3445,Cuentas!$C$1:$C$521,Cuentas!$A$1:$A$521),"")</f>
        <v/>
      </c>
    </row>
    <row r="3446" spans="1:1">
      <c r="A3446" t="str">
        <f>IFERROR(_xlfn.XLOOKUP(B3446,Cuentas!$C$1:$C$521,Cuentas!$A$1:$A$521),"")</f>
        <v/>
      </c>
    </row>
    <row r="3447" spans="1:1">
      <c r="A3447" t="str">
        <f>IFERROR(_xlfn.XLOOKUP(B3447,Cuentas!$C$1:$C$521,Cuentas!$A$1:$A$521),"")</f>
        <v/>
      </c>
    </row>
    <row r="3448" spans="1:1">
      <c r="A3448" t="str">
        <f>IFERROR(_xlfn.XLOOKUP(B3448,Cuentas!$C$1:$C$521,Cuentas!$A$1:$A$521),"")</f>
        <v/>
      </c>
    </row>
    <row r="3449" spans="1:1">
      <c r="A3449" t="str">
        <f>IFERROR(_xlfn.XLOOKUP(B3449,Cuentas!$C$1:$C$521,Cuentas!$A$1:$A$521),"")</f>
        <v/>
      </c>
    </row>
    <row r="3450" spans="1:1">
      <c r="A3450" t="str">
        <f>IFERROR(_xlfn.XLOOKUP(B3450,Cuentas!$C$1:$C$521,Cuentas!$A$1:$A$521),"")</f>
        <v/>
      </c>
    </row>
    <row r="3451" spans="1:1">
      <c r="A3451" t="str">
        <f>IFERROR(_xlfn.XLOOKUP(B3451,Cuentas!$C$1:$C$521,Cuentas!$A$1:$A$521),"")</f>
        <v/>
      </c>
    </row>
    <row r="3452" spans="1:1">
      <c r="A3452" t="str">
        <f>IFERROR(_xlfn.XLOOKUP(B3452,Cuentas!$C$1:$C$521,Cuentas!$A$1:$A$521),"")</f>
        <v/>
      </c>
    </row>
    <row r="3453" spans="1:1">
      <c r="A3453" t="str">
        <f>IFERROR(_xlfn.XLOOKUP(B3453,Cuentas!$C$1:$C$521,Cuentas!$A$1:$A$521),"")</f>
        <v/>
      </c>
    </row>
    <row r="3454" spans="1:1">
      <c r="A3454" t="str">
        <f>IFERROR(_xlfn.XLOOKUP(B3454,Cuentas!$C$1:$C$521,Cuentas!$A$1:$A$521),"")</f>
        <v/>
      </c>
    </row>
    <row r="3455" spans="1:1">
      <c r="A3455" t="str">
        <f>IFERROR(_xlfn.XLOOKUP(B3455,Cuentas!$C$1:$C$521,Cuentas!$A$1:$A$521),"")</f>
        <v/>
      </c>
    </row>
    <row r="3456" spans="1:1">
      <c r="A3456" t="str">
        <f>IFERROR(_xlfn.XLOOKUP(B3456,Cuentas!$C$1:$C$521,Cuentas!$A$1:$A$521),"")</f>
        <v/>
      </c>
    </row>
    <row r="3457" spans="1:1">
      <c r="A3457" t="str">
        <f>IFERROR(_xlfn.XLOOKUP(B3457,Cuentas!$C$1:$C$521,Cuentas!$A$1:$A$521),"")</f>
        <v/>
      </c>
    </row>
    <row r="3458" spans="1:1">
      <c r="A3458" t="str">
        <f>IFERROR(_xlfn.XLOOKUP(B3458,Cuentas!$C$1:$C$521,Cuentas!$A$1:$A$521),"")</f>
        <v/>
      </c>
    </row>
    <row r="3459" spans="1:1">
      <c r="A3459" t="str">
        <f>IFERROR(_xlfn.XLOOKUP(B3459,Cuentas!$C$1:$C$521,Cuentas!$A$1:$A$521),"")</f>
        <v/>
      </c>
    </row>
    <row r="3460" spans="1:1">
      <c r="A3460" t="str">
        <f>IFERROR(_xlfn.XLOOKUP(B3460,Cuentas!$C$1:$C$521,Cuentas!$A$1:$A$521),"")</f>
        <v/>
      </c>
    </row>
    <row r="3461" spans="1:1">
      <c r="A3461" t="str">
        <f>IFERROR(_xlfn.XLOOKUP(B3461,Cuentas!$C$1:$C$521,Cuentas!$A$1:$A$521),"")</f>
        <v/>
      </c>
    </row>
    <row r="3462" spans="1:1">
      <c r="A3462" t="str">
        <f>IFERROR(_xlfn.XLOOKUP(B3462,Cuentas!$C$1:$C$521,Cuentas!$A$1:$A$521),"")</f>
        <v/>
      </c>
    </row>
    <row r="3463" spans="1:1">
      <c r="A3463" t="str">
        <f>IFERROR(_xlfn.XLOOKUP(B3463,Cuentas!$C$1:$C$521,Cuentas!$A$1:$A$521),"")</f>
        <v/>
      </c>
    </row>
    <row r="3464" spans="1:1">
      <c r="A3464" t="str">
        <f>IFERROR(_xlfn.XLOOKUP(B3464,Cuentas!$C$1:$C$521,Cuentas!$A$1:$A$521),"")</f>
        <v/>
      </c>
    </row>
    <row r="3465" spans="1:1">
      <c r="A3465" t="str">
        <f>IFERROR(_xlfn.XLOOKUP(B3465,Cuentas!$C$1:$C$521,Cuentas!$A$1:$A$521),"")</f>
        <v/>
      </c>
    </row>
    <row r="3466" spans="1:1">
      <c r="A3466" t="str">
        <f>IFERROR(_xlfn.XLOOKUP(B3466,Cuentas!$C$1:$C$521,Cuentas!$A$1:$A$521),"")</f>
        <v/>
      </c>
    </row>
    <row r="3467" spans="1:1">
      <c r="A3467" t="str">
        <f>IFERROR(_xlfn.XLOOKUP(B3467,Cuentas!$C$1:$C$521,Cuentas!$A$1:$A$521),"")</f>
        <v/>
      </c>
    </row>
    <row r="3468" spans="1:1">
      <c r="A3468" t="str">
        <f>IFERROR(_xlfn.XLOOKUP(B3468,Cuentas!$C$1:$C$521,Cuentas!$A$1:$A$521),"")</f>
        <v/>
      </c>
    </row>
    <row r="3469" spans="1:1">
      <c r="A3469" t="str">
        <f>IFERROR(_xlfn.XLOOKUP(B3469,Cuentas!$C$1:$C$521,Cuentas!$A$1:$A$521),"")</f>
        <v/>
      </c>
    </row>
    <row r="3470" spans="1:1">
      <c r="A3470" t="str">
        <f>IFERROR(_xlfn.XLOOKUP(B3470,Cuentas!$C$1:$C$521,Cuentas!$A$1:$A$521),"")</f>
        <v/>
      </c>
    </row>
    <row r="3471" spans="1:1">
      <c r="A3471" t="str">
        <f>IFERROR(_xlfn.XLOOKUP(B3471,Cuentas!$C$1:$C$521,Cuentas!$A$1:$A$521),"")</f>
        <v/>
      </c>
    </row>
    <row r="3472" spans="1:1">
      <c r="A3472" t="str">
        <f>IFERROR(_xlfn.XLOOKUP(B3472,Cuentas!$C$1:$C$521,Cuentas!$A$1:$A$521),"")</f>
        <v/>
      </c>
    </row>
    <row r="3473" spans="1:1">
      <c r="A3473" t="str">
        <f>IFERROR(_xlfn.XLOOKUP(B3473,Cuentas!$C$1:$C$521,Cuentas!$A$1:$A$521),"")</f>
        <v/>
      </c>
    </row>
    <row r="3474" spans="1:1">
      <c r="A3474" t="str">
        <f>IFERROR(_xlfn.XLOOKUP(B3474,Cuentas!$C$1:$C$521,Cuentas!$A$1:$A$521),"")</f>
        <v/>
      </c>
    </row>
    <row r="3475" spans="1:1">
      <c r="A3475" t="str">
        <f>IFERROR(_xlfn.XLOOKUP(B3475,Cuentas!$C$1:$C$521,Cuentas!$A$1:$A$521),"")</f>
        <v/>
      </c>
    </row>
    <row r="3476" spans="1:1">
      <c r="A3476" t="str">
        <f>IFERROR(_xlfn.XLOOKUP(B3476,Cuentas!$C$1:$C$521,Cuentas!$A$1:$A$521),"")</f>
        <v/>
      </c>
    </row>
    <row r="3477" spans="1:1">
      <c r="A3477" t="str">
        <f>IFERROR(_xlfn.XLOOKUP(B3477,Cuentas!$C$1:$C$521,Cuentas!$A$1:$A$521),"")</f>
        <v/>
      </c>
    </row>
    <row r="3478" spans="1:1">
      <c r="A3478" t="str">
        <f>IFERROR(_xlfn.XLOOKUP(B3478,Cuentas!$C$1:$C$521,Cuentas!$A$1:$A$521),"")</f>
        <v/>
      </c>
    </row>
    <row r="3479" spans="1:1">
      <c r="A3479" t="str">
        <f>IFERROR(_xlfn.XLOOKUP(B3479,Cuentas!$C$1:$C$521,Cuentas!$A$1:$A$521),"")</f>
        <v/>
      </c>
    </row>
    <row r="3480" spans="1:1">
      <c r="A3480" t="str">
        <f>IFERROR(_xlfn.XLOOKUP(B3480,Cuentas!$C$1:$C$521,Cuentas!$A$1:$A$521),"")</f>
        <v/>
      </c>
    </row>
    <row r="3481" spans="1:1">
      <c r="A3481" t="str">
        <f>IFERROR(_xlfn.XLOOKUP(B3481,Cuentas!$C$1:$C$521,Cuentas!$A$1:$A$521),"")</f>
        <v/>
      </c>
    </row>
    <row r="3482" spans="1:1">
      <c r="A3482" t="str">
        <f>IFERROR(_xlfn.XLOOKUP(B3482,Cuentas!$C$1:$C$521,Cuentas!$A$1:$A$521),"")</f>
        <v/>
      </c>
    </row>
    <row r="3483" spans="1:1">
      <c r="A3483" t="str">
        <f>IFERROR(_xlfn.XLOOKUP(B3483,Cuentas!$C$1:$C$521,Cuentas!$A$1:$A$521),"")</f>
        <v/>
      </c>
    </row>
    <row r="3484" spans="1:1">
      <c r="A3484" t="str">
        <f>IFERROR(_xlfn.XLOOKUP(B3484,Cuentas!$C$1:$C$521,Cuentas!$A$1:$A$521),"")</f>
        <v/>
      </c>
    </row>
    <row r="3485" spans="1:1">
      <c r="A3485" t="str">
        <f>IFERROR(_xlfn.XLOOKUP(B3485,Cuentas!$C$1:$C$521,Cuentas!$A$1:$A$521),"")</f>
        <v/>
      </c>
    </row>
    <row r="3486" spans="1:1">
      <c r="A3486" t="str">
        <f>IFERROR(_xlfn.XLOOKUP(B3486,Cuentas!$C$1:$C$521,Cuentas!$A$1:$A$521),"")</f>
        <v/>
      </c>
    </row>
    <row r="3487" spans="1:1">
      <c r="A3487" t="str">
        <f>IFERROR(_xlfn.XLOOKUP(B3487,Cuentas!$C$1:$C$521,Cuentas!$A$1:$A$521),"")</f>
        <v/>
      </c>
    </row>
    <row r="3488" spans="1:1">
      <c r="A3488" t="str">
        <f>IFERROR(_xlfn.XLOOKUP(B3488,Cuentas!$C$1:$C$521,Cuentas!$A$1:$A$521),"")</f>
        <v/>
      </c>
    </row>
    <row r="3489" spans="1:1">
      <c r="A3489" t="str">
        <f>IFERROR(_xlfn.XLOOKUP(B3489,Cuentas!$C$1:$C$521,Cuentas!$A$1:$A$521),"")</f>
        <v/>
      </c>
    </row>
    <row r="3490" spans="1:1">
      <c r="A3490" t="str">
        <f>IFERROR(_xlfn.XLOOKUP(B3490,Cuentas!$C$1:$C$521,Cuentas!$A$1:$A$521),"")</f>
        <v/>
      </c>
    </row>
    <row r="3491" spans="1:1">
      <c r="A3491" t="str">
        <f>IFERROR(_xlfn.XLOOKUP(B3491,Cuentas!$C$1:$C$521,Cuentas!$A$1:$A$521),"")</f>
        <v/>
      </c>
    </row>
    <row r="3492" spans="1:1">
      <c r="A3492" t="str">
        <f>IFERROR(_xlfn.XLOOKUP(B3492,Cuentas!$C$1:$C$521,Cuentas!$A$1:$A$521),"")</f>
        <v/>
      </c>
    </row>
    <row r="3493" spans="1:1">
      <c r="A3493" t="str">
        <f>IFERROR(_xlfn.XLOOKUP(B3493,Cuentas!$C$1:$C$521,Cuentas!$A$1:$A$521),"")</f>
        <v/>
      </c>
    </row>
    <row r="3494" spans="1:1">
      <c r="A3494" t="str">
        <f>IFERROR(_xlfn.XLOOKUP(B3494,Cuentas!$C$1:$C$521,Cuentas!$A$1:$A$521),"")</f>
        <v/>
      </c>
    </row>
    <row r="3495" spans="1:1">
      <c r="A3495" t="str">
        <f>IFERROR(_xlfn.XLOOKUP(B3495,Cuentas!$C$1:$C$521,Cuentas!$A$1:$A$521),"")</f>
        <v/>
      </c>
    </row>
    <row r="3496" spans="1:1">
      <c r="A3496" t="str">
        <f>IFERROR(_xlfn.XLOOKUP(B3496,Cuentas!$C$1:$C$521,Cuentas!$A$1:$A$521),"")</f>
        <v/>
      </c>
    </row>
    <row r="3497" spans="1:1">
      <c r="A3497" t="str">
        <f>IFERROR(_xlfn.XLOOKUP(B3497,Cuentas!$C$1:$C$521,Cuentas!$A$1:$A$521),"")</f>
        <v/>
      </c>
    </row>
    <row r="3498" spans="1:1">
      <c r="A3498" t="str">
        <f>IFERROR(_xlfn.XLOOKUP(B3498,Cuentas!$C$1:$C$521,Cuentas!$A$1:$A$521),"")</f>
        <v/>
      </c>
    </row>
    <row r="3499" spans="1:1">
      <c r="A3499" t="str">
        <f>IFERROR(_xlfn.XLOOKUP(B3499,Cuentas!$C$1:$C$521,Cuentas!$A$1:$A$521),"")</f>
        <v/>
      </c>
    </row>
    <row r="3500" spans="1:1">
      <c r="A3500" t="str">
        <f>IFERROR(_xlfn.XLOOKUP(B3500,Cuentas!$C$1:$C$521,Cuentas!$A$1:$A$521),"")</f>
        <v/>
      </c>
    </row>
    <row r="3501" spans="1:1">
      <c r="A3501" t="str">
        <f>IFERROR(_xlfn.XLOOKUP(B3501,Cuentas!$C$1:$C$521,Cuentas!$A$1:$A$521),"")</f>
        <v/>
      </c>
    </row>
    <row r="3502" spans="1:1">
      <c r="A3502" t="str">
        <f>IFERROR(_xlfn.XLOOKUP(B3502,Cuentas!$C$1:$C$521,Cuentas!$A$1:$A$521),"")</f>
        <v/>
      </c>
    </row>
    <row r="3503" spans="1:1">
      <c r="A3503" t="str">
        <f>IFERROR(_xlfn.XLOOKUP(B3503,Cuentas!$C$1:$C$521,Cuentas!$A$1:$A$521),"")</f>
        <v/>
      </c>
    </row>
    <row r="3504" spans="1:1">
      <c r="A3504" t="str">
        <f>IFERROR(_xlfn.XLOOKUP(B3504,Cuentas!$C$1:$C$521,Cuentas!$A$1:$A$521),"")</f>
        <v/>
      </c>
    </row>
    <row r="3505" spans="1:1">
      <c r="A3505" t="str">
        <f>IFERROR(_xlfn.XLOOKUP(B3505,Cuentas!$C$1:$C$521,Cuentas!$A$1:$A$521),"")</f>
        <v/>
      </c>
    </row>
    <row r="3506" spans="1:1">
      <c r="A3506" t="str">
        <f>IFERROR(_xlfn.XLOOKUP(B3506,Cuentas!$C$1:$C$521,Cuentas!$A$1:$A$521),"")</f>
        <v/>
      </c>
    </row>
    <row r="3507" spans="1:1">
      <c r="A3507" t="str">
        <f>IFERROR(_xlfn.XLOOKUP(B3507,Cuentas!$C$1:$C$521,Cuentas!$A$1:$A$521),"")</f>
        <v/>
      </c>
    </row>
    <row r="3508" spans="1:1">
      <c r="A3508" t="str">
        <f>IFERROR(_xlfn.XLOOKUP(B3508,Cuentas!$C$1:$C$521,Cuentas!$A$1:$A$521),"")</f>
        <v/>
      </c>
    </row>
    <row r="3509" spans="1:1">
      <c r="A3509" t="str">
        <f>IFERROR(_xlfn.XLOOKUP(B3509,Cuentas!$C$1:$C$521,Cuentas!$A$1:$A$521),"")</f>
        <v/>
      </c>
    </row>
    <row r="3510" spans="1:1">
      <c r="A3510" t="str">
        <f>IFERROR(_xlfn.XLOOKUP(B3510,Cuentas!$C$1:$C$521,Cuentas!$A$1:$A$521),"")</f>
        <v/>
      </c>
    </row>
    <row r="3511" spans="1:1">
      <c r="A3511" t="str">
        <f>IFERROR(_xlfn.XLOOKUP(B3511,Cuentas!$C$1:$C$521,Cuentas!$A$1:$A$521),"")</f>
        <v/>
      </c>
    </row>
    <row r="3512" spans="1:1">
      <c r="A3512" t="str">
        <f>IFERROR(_xlfn.XLOOKUP(B3512,Cuentas!$C$1:$C$521,Cuentas!$A$1:$A$521),"")</f>
        <v/>
      </c>
    </row>
    <row r="3513" spans="1:1">
      <c r="A3513" t="str">
        <f>IFERROR(_xlfn.XLOOKUP(B3513,Cuentas!$C$1:$C$521,Cuentas!$A$1:$A$521),"")</f>
        <v/>
      </c>
    </row>
    <row r="3514" spans="1:1">
      <c r="A3514" t="str">
        <f>IFERROR(_xlfn.XLOOKUP(B3514,Cuentas!$C$1:$C$521,Cuentas!$A$1:$A$521),"")</f>
        <v/>
      </c>
    </row>
    <row r="3515" spans="1:1">
      <c r="A3515" t="str">
        <f>IFERROR(_xlfn.XLOOKUP(B3515,Cuentas!$C$1:$C$521,Cuentas!$A$1:$A$521),"")</f>
        <v/>
      </c>
    </row>
    <row r="3516" spans="1:1">
      <c r="A3516" t="str">
        <f>IFERROR(_xlfn.XLOOKUP(B3516,Cuentas!$C$1:$C$521,Cuentas!$A$1:$A$521),"")</f>
        <v/>
      </c>
    </row>
    <row r="3517" spans="1:1">
      <c r="A3517" t="str">
        <f>IFERROR(_xlfn.XLOOKUP(B3517,Cuentas!$C$1:$C$521,Cuentas!$A$1:$A$521),"")</f>
        <v/>
      </c>
    </row>
    <row r="3518" spans="1:1">
      <c r="A3518" t="str">
        <f>IFERROR(_xlfn.XLOOKUP(B3518,Cuentas!$C$1:$C$521,Cuentas!$A$1:$A$521),"")</f>
        <v/>
      </c>
    </row>
    <row r="3519" spans="1:1">
      <c r="A3519" t="str">
        <f>IFERROR(_xlfn.XLOOKUP(B3519,Cuentas!$C$1:$C$521,Cuentas!$A$1:$A$521),"")</f>
        <v/>
      </c>
    </row>
    <row r="3520" spans="1:1">
      <c r="A3520" t="str">
        <f>IFERROR(_xlfn.XLOOKUP(B3520,Cuentas!$C$1:$C$521,Cuentas!$A$1:$A$521),"")</f>
        <v/>
      </c>
    </row>
    <row r="3521" spans="1:1">
      <c r="A3521" t="str">
        <f>IFERROR(_xlfn.XLOOKUP(B3521,Cuentas!$C$1:$C$521,Cuentas!$A$1:$A$521),"")</f>
        <v/>
      </c>
    </row>
    <row r="3522" spans="1:1">
      <c r="A3522" t="str">
        <f>IFERROR(_xlfn.XLOOKUP(B3522,Cuentas!$C$1:$C$521,Cuentas!$A$1:$A$521),"")</f>
        <v/>
      </c>
    </row>
    <row r="3523" spans="1:1">
      <c r="A3523" t="str">
        <f>IFERROR(_xlfn.XLOOKUP(B3523,Cuentas!$C$1:$C$521,Cuentas!$A$1:$A$521),"")</f>
        <v/>
      </c>
    </row>
    <row r="3524" spans="1:1">
      <c r="A3524" t="str">
        <f>IFERROR(_xlfn.XLOOKUP(B3524,Cuentas!$C$1:$C$521,Cuentas!$A$1:$A$521),"")</f>
        <v/>
      </c>
    </row>
    <row r="3525" spans="1:1">
      <c r="A3525" t="str">
        <f>IFERROR(_xlfn.XLOOKUP(B3525,Cuentas!$C$1:$C$521,Cuentas!$A$1:$A$521),"")</f>
        <v/>
      </c>
    </row>
    <row r="3526" spans="1:1">
      <c r="A3526" t="str">
        <f>IFERROR(_xlfn.XLOOKUP(B3526,Cuentas!$C$1:$C$521,Cuentas!$A$1:$A$521),"")</f>
        <v/>
      </c>
    </row>
    <row r="3527" spans="1:1">
      <c r="A3527" t="str">
        <f>IFERROR(_xlfn.XLOOKUP(B3527,Cuentas!$C$1:$C$521,Cuentas!$A$1:$A$521),"")</f>
        <v/>
      </c>
    </row>
    <row r="3528" spans="1:1">
      <c r="A3528" t="str">
        <f>IFERROR(_xlfn.XLOOKUP(B3528,Cuentas!$C$1:$C$521,Cuentas!$A$1:$A$521),"")</f>
        <v/>
      </c>
    </row>
    <row r="3529" spans="1:1">
      <c r="A3529" t="str">
        <f>IFERROR(_xlfn.XLOOKUP(B3529,Cuentas!$C$1:$C$521,Cuentas!$A$1:$A$521),"")</f>
        <v/>
      </c>
    </row>
    <row r="3530" spans="1:1">
      <c r="A3530" t="str">
        <f>IFERROR(_xlfn.XLOOKUP(B3530,Cuentas!$C$1:$C$521,Cuentas!$A$1:$A$521),"")</f>
        <v/>
      </c>
    </row>
    <row r="3531" spans="1:1">
      <c r="A3531" t="str">
        <f>IFERROR(_xlfn.XLOOKUP(B3531,Cuentas!$C$1:$C$521,Cuentas!$A$1:$A$521),"")</f>
        <v/>
      </c>
    </row>
    <row r="3532" spans="1:1">
      <c r="A3532" t="str">
        <f>IFERROR(_xlfn.XLOOKUP(B3532,Cuentas!$C$1:$C$521,Cuentas!$A$1:$A$521),"")</f>
        <v/>
      </c>
    </row>
    <row r="3533" spans="1:1">
      <c r="A3533" t="str">
        <f>IFERROR(_xlfn.XLOOKUP(B3533,Cuentas!$C$1:$C$521,Cuentas!$A$1:$A$521),"")</f>
        <v/>
      </c>
    </row>
    <row r="3534" spans="1:1">
      <c r="A3534" t="str">
        <f>IFERROR(_xlfn.XLOOKUP(B3534,Cuentas!$C$1:$C$521,Cuentas!$A$1:$A$521),"")</f>
        <v/>
      </c>
    </row>
    <row r="3535" spans="1:1">
      <c r="A3535" t="str">
        <f>IFERROR(_xlfn.XLOOKUP(B3535,Cuentas!$C$1:$C$521,Cuentas!$A$1:$A$521),"")</f>
        <v/>
      </c>
    </row>
    <row r="3536" spans="1:1">
      <c r="A3536" t="str">
        <f>IFERROR(_xlfn.XLOOKUP(B3536,Cuentas!$C$1:$C$521,Cuentas!$A$1:$A$521),"")</f>
        <v/>
      </c>
    </row>
    <row r="3537" spans="1:1">
      <c r="A3537" t="str">
        <f>IFERROR(_xlfn.XLOOKUP(B3537,Cuentas!$C$1:$C$521,Cuentas!$A$1:$A$521),"")</f>
        <v/>
      </c>
    </row>
    <row r="3538" spans="1:1">
      <c r="A3538" t="str">
        <f>IFERROR(_xlfn.XLOOKUP(B3538,Cuentas!$C$1:$C$521,Cuentas!$A$1:$A$521),"")</f>
        <v/>
      </c>
    </row>
    <row r="3539" spans="1:1">
      <c r="A3539" t="str">
        <f>IFERROR(_xlfn.XLOOKUP(B3539,Cuentas!$C$1:$C$521,Cuentas!$A$1:$A$521),"")</f>
        <v/>
      </c>
    </row>
    <row r="3540" spans="1:1">
      <c r="A3540" t="str">
        <f>IFERROR(_xlfn.XLOOKUP(B3540,Cuentas!$C$1:$C$521,Cuentas!$A$1:$A$521),"")</f>
        <v/>
      </c>
    </row>
    <row r="3541" spans="1:1">
      <c r="A3541" t="str">
        <f>IFERROR(_xlfn.XLOOKUP(B3541,Cuentas!$C$1:$C$521,Cuentas!$A$1:$A$521),"")</f>
        <v/>
      </c>
    </row>
    <row r="3542" spans="1:1">
      <c r="A3542" t="str">
        <f>IFERROR(_xlfn.XLOOKUP(B3542,Cuentas!$C$1:$C$521,Cuentas!$A$1:$A$521),"")</f>
        <v/>
      </c>
    </row>
    <row r="3543" spans="1:1">
      <c r="A3543" t="str">
        <f>IFERROR(_xlfn.XLOOKUP(B3543,Cuentas!$C$1:$C$521,Cuentas!$A$1:$A$521),"")</f>
        <v/>
      </c>
    </row>
    <row r="3544" spans="1:1">
      <c r="A3544" t="str">
        <f>IFERROR(_xlfn.XLOOKUP(B3544,Cuentas!$C$1:$C$521,Cuentas!$A$1:$A$521),"")</f>
        <v/>
      </c>
    </row>
    <row r="3545" spans="1:1">
      <c r="A3545" t="str">
        <f>IFERROR(_xlfn.XLOOKUP(B3545,Cuentas!$C$1:$C$521,Cuentas!$A$1:$A$521),"")</f>
        <v/>
      </c>
    </row>
    <row r="3546" spans="1:1">
      <c r="A3546" t="str">
        <f>IFERROR(_xlfn.XLOOKUP(B3546,Cuentas!$C$1:$C$521,Cuentas!$A$1:$A$521),"")</f>
        <v/>
      </c>
    </row>
    <row r="3547" spans="1:1">
      <c r="A3547" t="str">
        <f>IFERROR(_xlfn.XLOOKUP(B3547,Cuentas!$C$1:$C$521,Cuentas!$A$1:$A$521),"")</f>
        <v/>
      </c>
    </row>
    <row r="3548" spans="1:1">
      <c r="A3548" t="str">
        <f>IFERROR(_xlfn.XLOOKUP(B3548,Cuentas!$C$1:$C$521,Cuentas!$A$1:$A$521),"")</f>
        <v/>
      </c>
    </row>
    <row r="3549" spans="1:1">
      <c r="A3549" t="str">
        <f>IFERROR(_xlfn.XLOOKUP(B3549,Cuentas!$C$1:$C$521,Cuentas!$A$1:$A$521),"")</f>
        <v/>
      </c>
    </row>
    <row r="3550" spans="1:1">
      <c r="A3550" t="str">
        <f>IFERROR(_xlfn.XLOOKUP(B3550,Cuentas!$C$1:$C$521,Cuentas!$A$1:$A$521),"")</f>
        <v/>
      </c>
    </row>
    <row r="3551" spans="1:1">
      <c r="A3551" t="str">
        <f>IFERROR(_xlfn.XLOOKUP(B3551,Cuentas!$C$1:$C$521,Cuentas!$A$1:$A$521),"")</f>
        <v/>
      </c>
    </row>
    <row r="3552" spans="1:1">
      <c r="A3552" t="str">
        <f>IFERROR(_xlfn.XLOOKUP(B3552,Cuentas!$C$1:$C$521,Cuentas!$A$1:$A$521),"")</f>
        <v/>
      </c>
    </row>
    <row r="3553" spans="1:1">
      <c r="A3553" t="str">
        <f>IFERROR(_xlfn.XLOOKUP(B3553,Cuentas!$C$1:$C$521,Cuentas!$A$1:$A$521),"")</f>
        <v/>
      </c>
    </row>
    <row r="3554" spans="1:1">
      <c r="A3554" t="str">
        <f>IFERROR(_xlfn.XLOOKUP(B3554,Cuentas!$C$1:$C$521,Cuentas!$A$1:$A$521),"")</f>
        <v/>
      </c>
    </row>
    <row r="3555" spans="1:1">
      <c r="A3555" t="str">
        <f>IFERROR(_xlfn.XLOOKUP(B3555,Cuentas!$C$1:$C$521,Cuentas!$A$1:$A$521),"")</f>
        <v/>
      </c>
    </row>
    <row r="3556" spans="1:1">
      <c r="A3556" t="str">
        <f>IFERROR(_xlfn.XLOOKUP(B3556,Cuentas!$C$1:$C$521,Cuentas!$A$1:$A$521),"")</f>
        <v/>
      </c>
    </row>
    <row r="3557" spans="1:1">
      <c r="A3557" t="str">
        <f>IFERROR(_xlfn.XLOOKUP(B3557,Cuentas!$C$1:$C$521,Cuentas!$A$1:$A$521),"")</f>
        <v/>
      </c>
    </row>
    <row r="3558" spans="1:1">
      <c r="A3558" t="str">
        <f>IFERROR(_xlfn.XLOOKUP(B3558,Cuentas!$C$1:$C$521,Cuentas!$A$1:$A$521),"")</f>
        <v/>
      </c>
    </row>
    <row r="3559" spans="1:1">
      <c r="A3559" t="str">
        <f>IFERROR(_xlfn.XLOOKUP(B3559,Cuentas!$C$1:$C$521,Cuentas!$A$1:$A$521),"")</f>
        <v/>
      </c>
    </row>
    <row r="3560" spans="1:1">
      <c r="A3560" t="str">
        <f>IFERROR(_xlfn.XLOOKUP(B3560,Cuentas!$C$1:$C$521,Cuentas!$A$1:$A$521),"")</f>
        <v/>
      </c>
    </row>
    <row r="3561" spans="1:1">
      <c r="A3561" t="str">
        <f>IFERROR(_xlfn.XLOOKUP(B3561,Cuentas!$C$1:$C$521,Cuentas!$A$1:$A$521),"")</f>
        <v/>
      </c>
    </row>
    <row r="3562" spans="1:1">
      <c r="A3562" t="str">
        <f>IFERROR(_xlfn.XLOOKUP(B3562,Cuentas!$C$1:$C$521,Cuentas!$A$1:$A$521),"")</f>
        <v/>
      </c>
    </row>
    <row r="3563" spans="1:1">
      <c r="A3563" t="str">
        <f>IFERROR(_xlfn.XLOOKUP(B3563,Cuentas!$C$1:$C$521,Cuentas!$A$1:$A$521),"")</f>
        <v/>
      </c>
    </row>
    <row r="3564" spans="1:1">
      <c r="A3564" t="str">
        <f>IFERROR(_xlfn.XLOOKUP(B3564,Cuentas!$C$1:$C$521,Cuentas!$A$1:$A$521),"")</f>
        <v/>
      </c>
    </row>
    <row r="3565" spans="1:1">
      <c r="A3565" t="str">
        <f>IFERROR(_xlfn.XLOOKUP(B3565,Cuentas!$C$1:$C$521,Cuentas!$A$1:$A$521),"")</f>
        <v/>
      </c>
    </row>
    <row r="3566" spans="1:1">
      <c r="A3566" t="str">
        <f>IFERROR(_xlfn.XLOOKUP(B3566,Cuentas!$C$1:$C$521,Cuentas!$A$1:$A$521),"")</f>
        <v/>
      </c>
    </row>
    <row r="3567" spans="1:1">
      <c r="A3567" t="str">
        <f>IFERROR(_xlfn.XLOOKUP(B3567,Cuentas!$C$1:$C$521,Cuentas!$A$1:$A$521),"")</f>
        <v/>
      </c>
    </row>
    <row r="3568" spans="1:1">
      <c r="A3568" t="str">
        <f>IFERROR(_xlfn.XLOOKUP(B3568,Cuentas!$C$1:$C$521,Cuentas!$A$1:$A$521),"")</f>
        <v/>
      </c>
    </row>
    <row r="3569" spans="1:1">
      <c r="A3569" t="str">
        <f>IFERROR(_xlfn.XLOOKUP(B3569,Cuentas!$C$1:$C$521,Cuentas!$A$1:$A$521),"")</f>
        <v/>
      </c>
    </row>
    <row r="3570" spans="1:1">
      <c r="A3570" t="str">
        <f>IFERROR(_xlfn.XLOOKUP(B3570,Cuentas!$C$1:$C$521,Cuentas!$A$1:$A$521),"")</f>
        <v/>
      </c>
    </row>
    <row r="3571" spans="1:1">
      <c r="A3571" t="str">
        <f>IFERROR(_xlfn.XLOOKUP(B3571,Cuentas!$C$1:$C$521,Cuentas!$A$1:$A$521),"")</f>
        <v/>
      </c>
    </row>
    <row r="3572" spans="1:1">
      <c r="A3572" t="str">
        <f>IFERROR(_xlfn.XLOOKUP(B3572,Cuentas!$C$1:$C$521,Cuentas!$A$1:$A$521),"")</f>
        <v/>
      </c>
    </row>
    <row r="3573" spans="1:1">
      <c r="A3573" t="str">
        <f>IFERROR(_xlfn.XLOOKUP(B3573,Cuentas!$C$1:$C$521,Cuentas!$A$1:$A$521),"")</f>
        <v/>
      </c>
    </row>
    <row r="3574" spans="1:1">
      <c r="A3574" t="str">
        <f>IFERROR(_xlfn.XLOOKUP(B3574,Cuentas!$C$1:$C$521,Cuentas!$A$1:$A$521),"")</f>
        <v/>
      </c>
    </row>
    <row r="3575" spans="1:1">
      <c r="A3575" t="str">
        <f>IFERROR(_xlfn.XLOOKUP(B3575,Cuentas!$C$1:$C$521,Cuentas!$A$1:$A$521),"")</f>
        <v/>
      </c>
    </row>
    <row r="3576" spans="1:1">
      <c r="A3576" t="str">
        <f>IFERROR(_xlfn.XLOOKUP(B3576,Cuentas!$C$1:$C$521,Cuentas!$A$1:$A$521),"")</f>
        <v/>
      </c>
    </row>
    <row r="3577" spans="1:1">
      <c r="A3577" t="str">
        <f>IFERROR(_xlfn.XLOOKUP(B3577,Cuentas!$C$1:$C$521,Cuentas!$A$1:$A$521),"")</f>
        <v/>
      </c>
    </row>
    <row r="3578" spans="1:1">
      <c r="A3578" t="str">
        <f>IFERROR(_xlfn.XLOOKUP(B3578,Cuentas!$C$1:$C$521,Cuentas!$A$1:$A$521),"")</f>
        <v/>
      </c>
    </row>
    <row r="3579" spans="1:1">
      <c r="A3579" t="str">
        <f>IFERROR(_xlfn.XLOOKUP(B3579,Cuentas!$C$1:$C$521,Cuentas!$A$1:$A$521),"")</f>
        <v/>
      </c>
    </row>
    <row r="3580" spans="1:1">
      <c r="A3580" t="str">
        <f>IFERROR(_xlfn.XLOOKUP(B3580,Cuentas!$C$1:$C$521,Cuentas!$A$1:$A$521),"")</f>
        <v/>
      </c>
    </row>
    <row r="3581" spans="1:1">
      <c r="A3581" t="str">
        <f>IFERROR(_xlfn.XLOOKUP(B3581,Cuentas!$C$1:$C$521,Cuentas!$A$1:$A$521),"")</f>
        <v/>
      </c>
    </row>
    <row r="3582" spans="1:1">
      <c r="A3582" t="str">
        <f>IFERROR(_xlfn.XLOOKUP(B3582,Cuentas!$C$1:$C$521,Cuentas!$A$1:$A$521),"")</f>
        <v/>
      </c>
    </row>
    <row r="3583" spans="1:1">
      <c r="A3583" t="str">
        <f>IFERROR(_xlfn.XLOOKUP(B3583,Cuentas!$C$1:$C$521,Cuentas!$A$1:$A$521),"")</f>
        <v/>
      </c>
    </row>
    <row r="3584" spans="1:1">
      <c r="A3584" t="str">
        <f>IFERROR(_xlfn.XLOOKUP(B3584,Cuentas!$C$1:$C$521,Cuentas!$A$1:$A$521),"")</f>
        <v/>
      </c>
    </row>
    <row r="3585" spans="1:1">
      <c r="A3585" t="str">
        <f>IFERROR(_xlfn.XLOOKUP(B3585,Cuentas!$C$1:$C$521,Cuentas!$A$1:$A$521),"")</f>
        <v/>
      </c>
    </row>
    <row r="3586" spans="1:1">
      <c r="A3586" t="str">
        <f>IFERROR(_xlfn.XLOOKUP(B3586,Cuentas!$C$1:$C$521,Cuentas!$A$1:$A$521),"")</f>
        <v/>
      </c>
    </row>
    <row r="3587" spans="1:1">
      <c r="A3587" t="str">
        <f>IFERROR(_xlfn.XLOOKUP(B3587,Cuentas!$C$1:$C$521,Cuentas!$A$1:$A$521),"")</f>
        <v/>
      </c>
    </row>
    <row r="3588" spans="1:1">
      <c r="A3588" t="str">
        <f>IFERROR(_xlfn.XLOOKUP(B3588,Cuentas!$C$1:$C$521,Cuentas!$A$1:$A$521),"")</f>
        <v/>
      </c>
    </row>
    <row r="3589" spans="1:1">
      <c r="A3589" t="str">
        <f>IFERROR(_xlfn.XLOOKUP(B3589,Cuentas!$C$1:$C$521,Cuentas!$A$1:$A$521),"")</f>
        <v/>
      </c>
    </row>
    <row r="3590" spans="1:1">
      <c r="A3590" t="str">
        <f>IFERROR(_xlfn.XLOOKUP(B3590,Cuentas!$C$1:$C$521,Cuentas!$A$1:$A$521),"")</f>
        <v/>
      </c>
    </row>
    <row r="3591" spans="1:1">
      <c r="A3591" t="str">
        <f>IFERROR(_xlfn.XLOOKUP(B3591,Cuentas!$C$1:$C$521,Cuentas!$A$1:$A$521),"")</f>
        <v/>
      </c>
    </row>
    <row r="3592" spans="1:1">
      <c r="A3592" t="str">
        <f>IFERROR(_xlfn.XLOOKUP(B3592,Cuentas!$C$1:$C$521,Cuentas!$A$1:$A$521),"")</f>
        <v/>
      </c>
    </row>
    <row r="3593" spans="1:1">
      <c r="A3593" t="str">
        <f>IFERROR(_xlfn.XLOOKUP(B3593,Cuentas!$C$1:$C$521,Cuentas!$A$1:$A$521),"")</f>
        <v/>
      </c>
    </row>
    <row r="3594" spans="1:1">
      <c r="A3594" t="str">
        <f>IFERROR(_xlfn.XLOOKUP(B3594,Cuentas!$C$1:$C$521,Cuentas!$A$1:$A$521),"")</f>
        <v/>
      </c>
    </row>
    <row r="3595" spans="1:1">
      <c r="A3595" t="str">
        <f>IFERROR(_xlfn.XLOOKUP(B3595,Cuentas!$C$1:$C$521,Cuentas!$A$1:$A$521),"")</f>
        <v/>
      </c>
    </row>
    <row r="3596" spans="1:1">
      <c r="A3596" t="str">
        <f>IFERROR(_xlfn.XLOOKUP(B3596,Cuentas!$C$1:$C$521,Cuentas!$A$1:$A$521),"")</f>
        <v/>
      </c>
    </row>
    <row r="3597" spans="1:1">
      <c r="A3597" t="str">
        <f>IFERROR(_xlfn.XLOOKUP(B3597,Cuentas!$C$1:$C$521,Cuentas!$A$1:$A$521),"")</f>
        <v/>
      </c>
    </row>
    <row r="3598" spans="1:1">
      <c r="A3598" t="str">
        <f>IFERROR(_xlfn.XLOOKUP(B3598,Cuentas!$C$1:$C$521,Cuentas!$A$1:$A$521),"")</f>
        <v/>
      </c>
    </row>
    <row r="3599" spans="1:1">
      <c r="A3599" t="str">
        <f>IFERROR(_xlfn.XLOOKUP(B3599,Cuentas!$C$1:$C$521,Cuentas!$A$1:$A$521),"")</f>
        <v/>
      </c>
    </row>
    <row r="3600" spans="1:1">
      <c r="A3600" t="str">
        <f>IFERROR(_xlfn.XLOOKUP(B3600,Cuentas!$C$1:$C$521,Cuentas!$A$1:$A$521),"")</f>
        <v/>
      </c>
    </row>
    <row r="3601" spans="1:1">
      <c r="A3601" t="str">
        <f>IFERROR(_xlfn.XLOOKUP(B3601,Cuentas!$C$1:$C$521,Cuentas!$A$1:$A$521),"")</f>
        <v/>
      </c>
    </row>
    <row r="3602" spans="1:1">
      <c r="A3602" t="str">
        <f>IFERROR(_xlfn.XLOOKUP(B3602,Cuentas!$C$1:$C$521,Cuentas!$A$1:$A$521),"")</f>
        <v/>
      </c>
    </row>
    <row r="3603" spans="1:1">
      <c r="A3603" t="str">
        <f>IFERROR(_xlfn.XLOOKUP(B3603,Cuentas!$C$1:$C$521,Cuentas!$A$1:$A$521),"")</f>
        <v/>
      </c>
    </row>
    <row r="3604" spans="1:1">
      <c r="A3604" t="str">
        <f>IFERROR(_xlfn.XLOOKUP(B3604,Cuentas!$C$1:$C$521,Cuentas!$A$1:$A$521),"")</f>
        <v/>
      </c>
    </row>
    <row r="3605" spans="1:1">
      <c r="A3605" t="str">
        <f>IFERROR(_xlfn.XLOOKUP(B3605,Cuentas!$C$1:$C$521,Cuentas!$A$1:$A$521),"")</f>
        <v/>
      </c>
    </row>
    <row r="3606" spans="1:1">
      <c r="A3606" t="str">
        <f>IFERROR(_xlfn.XLOOKUP(B3606,Cuentas!$C$1:$C$521,Cuentas!$A$1:$A$521),"")</f>
        <v/>
      </c>
    </row>
    <row r="3607" spans="1:1">
      <c r="A3607" t="str">
        <f>IFERROR(_xlfn.XLOOKUP(B3607,Cuentas!$C$1:$C$521,Cuentas!$A$1:$A$521),"")</f>
        <v/>
      </c>
    </row>
    <row r="3608" spans="1:1">
      <c r="A3608" t="str">
        <f>IFERROR(_xlfn.XLOOKUP(B3608,Cuentas!$C$1:$C$521,Cuentas!$A$1:$A$521),"")</f>
        <v/>
      </c>
    </row>
    <row r="3609" spans="1:1">
      <c r="A3609" t="str">
        <f>IFERROR(_xlfn.XLOOKUP(B3609,Cuentas!$C$1:$C$521,Cuentas!$A$1:$A$521),"")</f>
        <v/>
      </c>
    </row>
    <row r="3610" spans="1:1">
      <c r="A3610" t="str">
        <f>IFERROR(_xlfn.XLOOKUP(B3610,Cuentas!$C$1:$C$521,Cuentas!$A$1:$A$521),"")</f>
        <v/>
      </c>
    </row>
    <row r="3611" spans="1:1">
      <c r="A3611" t="str">
        <f>IFERROR(_xlfn.XLOOKUP(B3611,Cuentas!$C$1:$C$521,Cuentas!$A$1:$A$521),"")</f>
        <v/>
      </c>
    </row>
    <row r="3612" spans="1:1">
      <c r="A3612" t="str">
        <f>IFERROR(_xlfn.XLOOKUP(B3612,Cuentas!$C$1:$C$521,Cuentas!$A$1:$A$521),"")</f>
        <v/>
      </c>
    </row>
    <row r="3613" spans="1:1">
      <c r="A3613" t="str">
        <f>IFERROR(_xlfn.XLOOKUP(B3613,Cuentas!$C$1:$C$521,Cuentas!$A$1:$A$521),"")</f>
        <v/>
      </c>
    </row>
    <row r="3614" spans="1:1">
      <c r="A3614" t="str">
        <f>IFERROR(_xlfn.XLOOKUP(B3614,Cuentas!$C$1:$C$521,Cuentas!$A$1:$A$521),"")</f>
        <v/>
      </c>
    </row>
    <row r="3615" spans="1:1">
      <c r="A3615" t="str">
        <f>IFERROR(_xlfn.XLOOKUP(B3615,Cuentas!$C$1:$C$521,Cuentas!$A$1:$A$521),"")</f>
        <v/>
      </c>
    </row>
    <row r="3616" spans="1:1">
      <c r="A3616" t="str">
        <f>IFERROR(_xlfn.XLOOKUP(B3616,Cuentas!$C$1:$C$521,Cuentas!$A$1:$A$521),"")</f>
        <v/>
      </c>
    </row>
    <row r="3617" spans="1:1">
      <c r="A3617" t="str">
        <f>IFERROR(_xlfn.XLOOKUP(B3617,Cuentas!$C$1:$C$521,Cuentas!$A$1:$A$521),"")</f>
        <v/>
      </c>
    </row>
    <row r="3618" spans="1:1">
      <c r="A3618" t="str">
        <f>IFERROR(_xlfn.XLOOKUP(B3618,Cuentas!$C$1:$C$521,Cuentas!$A$1:$A$521),"")</f>
        <v/>
      </c>
    </row>
    <row r="3619" spans="1:1">
      <c r="A3619" t="str">
        <f>IFERROR(_xlfn.XLOOKUP(B3619,Cuentas!$C$1:$C$521,Cuentas!$A$1:$A$521),"")</f>
        <v/>
      </c>
    </row>
    <row r="3620" spans="1:1">
      <c r="A3620" t="str">
        <f>IFERROR(_xlfn.XLOOKUP(B3620,Cuentas!$C$1:$C$521,Cuentas!$A$1:$A$521),"")</f>
        <v/>
      </c>
    </row>
    <row r="3621" spans="1:1">
      <c r="A3621" t="str">
        <f>IFERROR(_xlfn.XLOOKUP(B3621,Cuentas!$C$1:$C$521,Cuentas!$A$1:$A$521),"")</f>
        <v/>
      </c>
    </row>
    <row r="3622" spans="1:1">
      <c r="A3622" t="str">
        <f>IFERROR(_xlfn.XLOOKUP(B3622,Cuentas!$C$1:$C$521,Cuentas!$A$1:$A$521),"")</f>
        <v/>
      </c>
    </row>
    <row r="3623" spans="1:1">
      <c r="A3623" t="str">
        <f>IFERROR(_xlfn.XLOOKUP(B3623,Cuentas!$C$1:$C$521,Cuentas!$A$1:$A$521),"")</f>
        <v/>
      </c>
    </row>
    <row r="3624" spans="1:1">
      <c r="A3624" t="str">
        <f>IFERROR(_xlfn.XLOOKUP(B3624,Cuentas!$C$1:$C$521,Cuentas!$A$1:$A$521),"")</f>
        <v/>
      </c>
    </row>
    <row r="3625" spans="1:1">
      <c r="A3625" t="str">
        <f>IFERROR(_xlfn.XLOOKUP(B3625,Cuentas!$C$1:$C$521,Cuentas!$A$1:$A$521),"")</f>
        <v/>
      </c>
    </row>
    <row r="3626" spans="1:1">
      <c r="A3626" t="str">
        <f>IFERROR(_xlfn.XLOOKUP(B3626,Cuentas!$C$1:$C$521,Cuentas!$A$1:$A$521),"")</f>
        <v/>
      </c>
    </row>
    <row r="3627" spans="1:1">
      <c r="A3627" t="str">
        <f>IFERROR(_xlfn.XLOOKUP(B3627,Cuentas!$C$1:$C$521,Cuentas!$A$1:$A$521),"")</f>
        <v/>
      </c>
    </row>
    <row r="3628" spans="1:1">
      <c r="A3628" t="str">
        <f>IFERROR(_xlfn.XLOOKUP(B3628,Cuentas!$C$1:$C$521,Cuentas!$A$1:$A$521),"")</f>
        <v/>
      </c>
    </row>
    <row r="3629" spans="1:1">
      <c r="A3629" t="str">
        <f>IFERROR(_xlfn.XLOOKUP(B3629,Cuentas!$C$1:$C$521,Cuentas!$A$1:$A$521),"")</f>
        <v/>
      </c>
    </row>
    <row r="3630" spans="1:1">
      <c r="A3630" t="str">
        <f>IFERROR(_xlfn.XLOOKUP(B3630,Cuentas!$C$1:$C$521,Cuentas!$A$1:$A$521),"")</f>
        <v/>
      </c>
    </row>
    <row r="3631" spans="1:1">
      <c r="A3631" t="str">
        <f>IFERROR(_xlfn.XLOOKUP(B3631,Cuentas!$C$1:$C$521,Cuentas!$A$1:$A$521),"")</f>
        <v/>
      </c>
    </row>
    <row r="3632" spans="1:1">
      <c r="A3632" t="str">
        <f>IFERROR(_xlfn.XLOOKUP(B3632,Cuentas!$C$1:$C$521,Cuentas!$A$1:$A$521),"")</f>
        <v/>
      </c>
    </row>
    <row r="3633" spans="1:1">
      <c r="A3633" t="str">
        <f>IFERROR(_xlfn.XLOOKUP(B3633,Cuentas!$C$1:$C$521,Cuentas!$A$1:$A$521),"")</f>
        <v/>
      </c>
    </row>
    <row r="3634" spans="1:1">
      <c r="A3634" t="str">
        <f>IFERROR(_xlfn.XLOOKUP(B3634,Cuentas!$C$1:$C$521,Cuentas!$A$1:$A$521),"")</f>
        <v/>
      </c>
    </row>
    <row r="3635" spans="1:1">
      <c r="A3635" t="str">
        <f>IFERROR(_xlfn.XLOOKUP(B3635,Cuentas!$C$1:$C$521,Cuentas!$A$1:$A$521),"")</f>
        <v/>
      </c>
    </row>
    <row r="3636" spans="1:1">
      <c r="A3636" t="str">
        <f>IFERROR(_xlfn.XLOOKUP(B3636,Cuentas!$C$1:$C$521,Cuentas!$A$1:$A$521),"")</f>
        <v/>
      </c>
    </row>
    <row r="3637" spans="1:1">
      <c r="A3637" t="str">
        <f>IFERROR(_xlfn.XLOOKUP(B3637,Cuentas!$C$1:$C$521,Cuentas!$A$1:$A$521),"")</f>
        <v/>
      </c>
    </row>
    <row r="3638" spans="1:1">
      <c r="A3638" t="str">
        <f>IFERROR(_xlfn.XLOOKUP(B3638,Cuentas!$C$1:$C$521,Cuentas!$A$1:$A$521),"")</f>
        <v/>
      </c>
    </row>
    <row r="3639" spans="1:1">
      <c r="A3639" t="str">
        <f>IFERROR(_xlfn.XLOOKUP(B3639,Cuentas!$C$1:$C$521,Cuentas!$A$1:$A$521),"")</f>
        <v/>
      </c>
    </row>
    <row r="3640" spans="1:1">
      <c r="A3640" t="str">
        <f>IFERROR(_xlfn.XLOOKUP(B3640,Cuentas!$C$1:$C$521,Cuentas!$A$1:$A$521),"")</f>
        <v/>
      </c>
    </row>
    <row r="3641" spans="1:1">
      <c r="A3641" t="str">
        <f>IFERROR(_xlfn.XLOOKUP(B3641,Cuentas!$C$1:$C$521,Cuentas!$A$1:$A$521),"")</f>
        <v/>
      </c>
    </row>
    <row r="3642" spans="1:1">
      <c r="A3642" t="str">
        <f>IFERROR(_xlfn.XLOOKUP(B3642,Cuentas!$C$1:$C$521,Cuentas!$A$1:$A$521),"")</f>
        <v/>
      </c>
    </row>
    <row r="3643" spans="1:1">
      <c r="A3643" t="str">
        <f>IFERROR(_xlfn.XLOOKUP(B3643,Cuentas!$C$1:$C$521,Cuentas!$A$1:$A$521),"")</f>
        <v/>
      </c>
    </row>
    <row r="3644" spans="1:1">
      <c r="A3644" t="str">
        <f>IFERROR(_xlfn.XLOOKUP(B3644,Cuentas!$C$1:$C$521,Cuentas!$A$1:$A$521),"")</f>
        <v/>
      </c>
    </row>
    <row r="3645" spans="1:1">
      <c r="A3645" t="str">
        <f>IFERROR(_xlfn.XLOOKUP(B3645,Cuentas!$C$1:$C$521,Cuentas!$A$1:$A$521),"")</f>
        <v/>
      </c>
    </row>
    <row r="3646" spans="1:1">
      <c r="A3646" t="str">
        <f>IFERROR(_xlfn.XLOOKUP(B3646,Cuentas!$C$1:$C$521,Cuentas!$A$1:$A$521),"")</f>
        <v/>
      </c>
    </row>
    <row r="3647" spans="1:1">
      <c r="A3647" t="str">
        <f>IFERROR(_xlfn.XLOOKUP(B3647,Cuentas!$C$1:$C$521,Cuentas!$A$1:$A$521),"")</f>
        <v/>
      </c>
    </row>
    <row r="3648" spans="1:1">
      <c r="A3648" t="str">
        <f>IFERROR(_xlfn.XLOOKUP(B3648,Cuentas!$C$1:$C$521,Cuentas!$A$1:$A$521),"")</f>
        <v/>
      </c>
    </row>
    <row r="3649" spans="1:1">
      <c r="A3649" t="str">
        <f>IFERROR(_xlfn.XLOOKUP(B3649,Cuentas!$C$1:$C$521,Cuentas!$A$1:$A$521),"")</f>
        <v/>
      </c>
    </row>
    <row r="3650" spans="1:1">
      <c r="A3650" t="str">
        <f>IFERROR(_xlfn.XLOOKUP(B3650,Cuentas!$C$1:$C$521,Cuentas!$A$1:$A$521),"")</f>
        <v/>
      </c>
    </row>
    <row r="3651" spans="1:1">
      <c r="A3651" t="str">
        <f>IFERROR(_xlfn.XLOOKUP(B3651,Cuentas!$C$1:$C$521,Cuentas!$A$1:$A$521),"")</f>
        <v/>
      </c>
    </row>
    <row r="3652" spans="1:1">
      <c r="A3652" t="str">
        <f>IFERROR(_xlfn.XLOOKUP(B3652,Cuentas!$C$1:$C$521,Cuentas!$A$1:$A$521),"")</f>
        <v/>
      </c>
    </row>
    <row r="3653" spans="1:1">
      <c r="A3653" t="str">
        <f>IFERROR(_xlfn.XLOOKUP(B3653,Cuentas!$C$1:$C$521,Cuentas!$A$1:$A$521),"")</f>
        <v/>
      </c>
    </row>
    <row r="3654" spans="1:1">
      <c r="A3654" t="str">
        <f>IFERROR(_xlfn.XLOOKUP(B3654,Cuentas!$C$1:$C$521,Cuentas!$A$1:$A$521),"")</f>
        <v/>
      </c>
    </row>
    <row r="3655" spans="1:1">
      <c r="A3655" t="str">
        <f>IFERROR(_xlfn.XLOOKUP(B3655,Cuentas!$C$1:$C$521,Cuentas!$A$1:$A$521),"")</f>
        <v/>
      </c>
    </row>
    <row r="3656" spans="1:1">
      <c r="A3656" t="str">
        <f>IFERROR(_xlfn.XLOOKUP(B3656,Cuentas!$C$1:$C$521,Cuentas!$A$1:$A$521),"")</f>
        <v/>
      </c>
    </row>
    <row r="3657" spans="1:1">
      <c r="A3657" t="str">
        <f>IFERROR(_xlfn.XLOOKUP(B3657,Cuentas!$C$1:$C$521,Cuentas!$A$1:$A$521),"")</f>
        <v/>
      </c>
    </row>
    <row r="3658" spans="1:1">
      <c r="A3658" t="str">
        <f>IFERROR(_xlfn.XLOOKUP(B3658,Cuentas!$C$1:$C$521,Cuentas!$A$1:$A$521),"")</f>
        <v/>
      </c>
    </row>
    <row r="3659" spans="1:1">
      <c r="A3659" t="str">
        <f>IFERROR(_xlfn.XLOOKUP(B3659,Cuentas!$C$1:$C$521,Cuentas!$A$1:$A$521),"")</f>
        <v/>
      </c>
    </row>
    <row r="3660" spans="1:1">
      <c r="A3660" t="str">
        <f>IFERROR(_xlfn.XLOOKUP(B3660,Cuentas!$C$1:$C$521,Cuentas!$A$1:$A$521),"")</f>
        <v/>
      </c>
    </row>
    <row r="3661" spans="1:1">
      <c r="A3661" t="str">
        <f>IFERROR(_xlfn.XLOOKUP(B3661,Cuentas!$C$1:$C$521,Cuentas!$A$1:$A$521),"")</f>
        <v/>
      </c>
    </row>
    <row r="3662" spans="1:1">
      <c r="A3662" t="str">
        <f>IFERROR(_xlfn.XLOOKUP(B3662,Cuentas!$C$1:$C$521,Cuentas!$A$1:$A$521),"")</f>
        <v/>
      </c>
    </row>
    <row r="3663" spans="1:1">
      <c r="A3663" t="str">
        <f>IFERROR(_xlfn.XLOOKUP(B3663,Cuentas!$C$1:$C$521,Cuentas!$A$1:$A$521),"")</f>
        <v/>
      </c>
    </row>
    <row r="3664" spans="1:1">
      <c r="A3664" t="str">
        <f>IFERROR(_xlfn.XLOOKUP(B3664,Cuentas!$C$1:$C$521,Cuentas!$A$1:$A$521),"")</f>
        <v/>
      </c>
    </row>
    <row r="3665" spans="1:1">
      <c r="A3665" t="str">
        <f>IFERROR(_xlfn.XLOOKUP(B3665,Cuentas!$C$1:$C$521,Cuentas!$A$1:$A$521),"")</f>
        <v/>
      </c>
    </row>
    <row r="3666" spans="1:1">
      <c r="A3666" t="str">
        <f>IFERROR(_xlfn.XLOOKUP(B3666,Cuentas!$C$1:$C$521,Cuentas!$A$1:$A$521),"")</f>
        <v/>
      </c>
    </row>
    <row r="3667" spans="1:1">
      <c r="A3667" t="str">
        <f>IFERROR(_xlfn.XLOOKUP(B3667,Cuentas!$C$1:$C$521,Cuentas!$A$1:$A$521),"")</f>
        <v/>
      </c>
    </row>
    <row r="3668" spans="1:1">
      <c r="A3668" t="str">
        <f>IFERROR(_xlfn.XLOOKUP(B3668,Cuentas!$C$1:$C$521,Cuentas!$A$1:$A$521),"")</f>
        <v/>
      </c>
    </row>
    <row r="3669" spans="1:1">
      <c r="A3669" t="str">
        <f>IFERROR(_xlfn.XLOOKUP(B3669,Cuentas!$C$1:$C$521,Cuentas!$A$1:$A$521),"")</f>
        <v/>
      </c>
    </row>
    <row r="3670" spans="1:1">
      <c r="A3670" t="str">
        <f>IFERROR(_xlfn.XLOOKUP(B3670,Cuentas!$C$1:$C$521,Cuentas!$A$1:$A$521),"")</f>
        <v/>
      </c>
    </row>
    <row r="3671" spans="1:1">
      <c r="A3671" t="str">
        <f>IFERROR(_xlfn.XLOOKUP(B3671,Cuentas!$C$1:$C$521,Cuentas!$A$1:$A$521),"")</f>
        <v/>
      </c>
    </row>
    <row r="3672" spans="1:1">
      <c r="A3672" t="str">
        <f>IFERROR(_xlfn.XLOOKUP(B3672,Cuentas!$C$1:$C$521,Cuentas!$A$1:$A$521),"")</f>
        <v/>
      </c>
    </row>
    <row r="3673" spans="1:1">
      <c r="A3673" t="str">
        <f>IFERROR(_xlfn.XLOOKUP(B3673,Cuentas!$C$1:$C$521,Cuentas!$A$1:$A$521),"")</f>
        <v/>
      </c>
    </row>
    <row r="3674" spans="1:1">
      <c r="A3674" t="str">
        <f>IFERROR(_xlfn.XLOOKUP(B3674,Cuentas!$C$1:$C$521,Cuentas!$A$1:$A$521),"")</f>
        <v/>
      </c>
    </row>
    <row r="3675" spans="1:1">
      <c r="A3675" t="str">
        <f>IFERROR(_xlfn.XLOOKUP(B3675,Cuentas!$C$1:$C$521,Cuentas!$A$1:$A$521),"")</f>
        <v/>
      </c>
    </row>
    <row r="3676" spans="1:1">
      <c r="A3676" t="str">
        <f>IFERROR(_xlfn.XLOOKUP(B3676,Cuentas!$C$1:$C$521,Cuentas!$A$1:$A$521),"")</f>
        <v/>
      </c>
    </row>
    <row r="3677" spans="1:1">
      <c r="A3677" t="str">
        <f>IFERROR(_xlfn.XLOOKUP(B3677,Cuentas!$C$1:$C$521,Cuentas!$A$1:$A$521),"")</f>
        <v/>
      </c>
    </row>
    <row r="3678" spans="1:1">
      <c r="A3678" t="str">
        <f>IFERROR(_xlfn.XLOOKUP(B3678,Cuentas!$C$1:$C$521,Cuentas!$A$1:$A$521),"")</f>
        <v/>
      </c>
    </row>
    <row r="3679" spans="1:1">
      <c r="A3679" t="str">
        <f>IFERROR(_xlfn.XLOOKUP(B3679,Cuentas!$C$1:$C$521,Cuentas!$A$1:$A$521),"")</f>
        <v/>
      </c>
    </row>
    <row r="3680" spans="1:1">
      <c r="A3680" t="str">
        <f>IFERROR(_xlfn.XLOOKUP(B3680,Cuentas!$C$1:$C$521,Cuentas!$A$1:$A$521),"")</f>
        <v/>
      </c>
    </row>
    <row r="3681" spans="1:1">
      <c r="A3681" t="str">
        <f>IFERROR(_xlfn.XLOOKUP(B3681,Cuentas!$C$1:$C$521,Cuentas!$A$1:$A$521),"")</f>
        <v/>
      </c>
    </row>
    <row r="3682" spans="1:1">
      <c r="A3682" t="str">
        <f>IFERROR(_xlfn.XLOOKUP(B3682,Cuentas!$C$1:$C$521,Cuentas!$A$1:$A$521),"")</f>
        <v/>
      </c>
    </row>
    <row r="3683" spans="1:1">
      <c r="A3683" t="str">
        <f>IFERROR(_xlfn.XLOOKUP(B3683,Cuentas!$C$1:$C$521,Cuentas!$A$1:$A$521),"")</f>
        <v/>
      </c>
    </row>
    <row r="3684" spans="1:1">
      <c r="A3684" t="str">
        <f>IFERROR(_xlfn.XLOOKUP(B3684,Cuentas!$C$1:$C$521,Cuentas!$A$1:$A$521),"")</f>
        <v/>
      </c>
    </row>
    <row r="3685" spans="1:1">
      <c r="A3685" t="str">
        <f>IFERROR(_xlfn.XLOOKUP(B3685,Cuentas!$C$1:$C$521,Cuentas!$A$1:$A$521),"")</f>
        <v/>
      </c>
    </row>
    <row r="3686" spans="1:1">
      <c r="A3686" t="str">
        <f>IFERROR(_xlfn.XLOOKUP(B3686,Cuentas!$C$1:$C$521,Cuentas!$A$1:$A$521),"")</f>
        <v/>
      </c>
    </row>
    <row r="3687" spans="1:1">
      <c r="A3687" t="str">
        <f>IFERROR(_xlfn.XLOOKUP(B3687,Cuentas!$C$1:$C$521,Cuentas!$A$1:$A$521),"")</f>
        <v/>
      </c>
    </row>
    <row r="3688" spans="1:1">
      <c r="A3688" t="str">
        <f>IFERROR(_xlfn.XLOOKUP(B3688,Cuentas!$C$1:$C$521,Cuentas!$A$1:$A$521),"")</f>
        <v/>
      </c>
    </row>
    <row r="3689" spans="1:1">
      <c r="A3689" t="str">
        <f>IFERROR(_xlfn.XLOOKUP(B3689,Cuentas!$C$1:$C$521,Cuentas!$A$1:$A$521),"")</f>
        <v/>
      </c>
    </row>
    <row r="3690" spans="1:1">
      <c r="A3690" t="str">
        <f>IFERROR(_xlfn.XLOOKUP(B3690,Cuentas!$C$1:$C$521,Cuentas!$A$1:$A$521),"")</f>
        <v/>
      </c>
    </row>
    <row r="3691" spans="1:1">
      <c r="A3691" t="str">
        <f>IFERROR(_xlfn.XLOOKUP(B3691,Cuentas!$C$1:$C$521,Cuentas!$A$1:$A$521),"")</f>
        <v/>
      </c>
    </row>
    <row r="3692" spans="1:1">
      <c r="A3692" t="str">
        <f>IFERROR(_xlfn.XLOOKUP(B3692,Cuentas!$C$1:$C$521,Cuentas!$A$1:$A$521),"")</f>
        <v/>
      </c>
    </row>
    <row r="3693" spans="1:1">
      <c r="A3693" t="str">
        <f>IFERROR(_xlfn.XLOOKUP(B3693,Cuentas!$C$1:$C$521,Cuentas!$A$1:$A$521),"")</f>
        <v/>
      </c>
    </row>
    <row r="3694" spans="1:1">
      <c r="A3694" t="str">
        <f>IFERROR(_xlfn.XLOOKUP(B3694,Cuentas!$C$1:$C$521,Cuentas!$A$1:$A$521),"")</f>
        <v/>
      </c>
    </row>
    <row r="3695" spans="1:1">
      <c r="A3695" t="str">
        <f>IFERROR(_xlfn.XLOOKUP(B3695,Cuentas!$C$1:$C$521,Cuentas!$A$1:$A$521),"")</f>
        <v/>
      </c>
    </row>
    <row r="3696" spans="1:1">
      <c r="A3696" t="str">
        <f>IFERROR(_xlfn.XLOOKUP(B3696,Cuentas!$C$1:$C$521,Cuentas!$A$1:$A$521),"")</f>
        <v/>
      </c>
    </row>
    <row r="3697" spans="1:1">
      <c r="A3697" t="str">
        <f>IFERROR(_xlfn.XLOOKUP(B3697,Cuentas!$C$1:$C$521,Cuentas!$A$1:$A$521),"")</f>
        <v/>
      </c>
    </row>
    <row r="3698" spans="1:1">
      <c r="A3698" t="str">
        <f>IFERROR(_xlfn.XLOOKUP(B3698,Cuentas!$C$1:$C$521,Cuentas!$A$1:$A$521),"")</f>
        <v/>
      </c>
    </row>
    <row r="3699" spans="1:1">
      <c r="A3699" t="str">
        <f>IFERROR(_xlfn.XLOOKUP(B3699,Cuentas!$C$1:$C$521,Cuentas!$A$1:$A$521),"")</f>
        <v/>
      </c>
    </row>
    <row r="3700" spans="1:1">
      <c r="A3700" t="str">
        <f>IFERROR(_xlfn.XLOOKUP(B3700,Cuentas!$C$1:$C$521,Cuentas!$A$1:$A$521),"")</f>
        <v/>
      </c>
    </row>
    <row r="3701" spans="1:1">
      <c r="A3701" t="str">
        <f>IFERROR(_xlfn.XLOOKUP(B3701,Cuentas!$C$1:$C$521,Cuentas!$A$1:$A$521),"")</f>
        <v/>
      </c>
    </row>
    <row r="3702" spans="1:1">
      <c r="A3702" t="str">
        <f>IFERROR(_xlfn.XLOOKUP(B3702,Cuentas!$C$1:$C$521,Cuentas!$A$1:$A$521),"")</f>
        <v/>
      </c>
    </row>
    <row r="3703" spans="1:1">
      <c r="A3703" t="str">
        <f>IFERROR(_xlfn.XLOOKUP(B3703,Cuentas!$C$1:$C$521,Cuentas!$A$1:$A$521),"")</f>
        <v/>
      </c>
    </row>
    <row r="3704" spans="1:1">
      <c r="A3704" t="str">
        <f>IFERROR(_xlfn.XLOOKUP(B3704,Cuentas!$C$1:$C$521,Cuentas!$A$1:$A$521),"")</f>
        <v/>
      </c>
    </row>
    <row r="3705" spans="1:1">
      <c r="A3705" t="str">
        <f>IFERROR(_xlfn.XLOOKUP(B3705,Cuentas!$C$1:$C$521,Cuentas!$A$1:$A$521),"")</f>
        <v/>
      </c>
    </row>
    <row r="3706" spans="1:1">
      <c r="A3706" t="str">
        <f>IFERROR(_xlfn.XLOOKUP(B3706,Cuentas!$C$1:$C$521,Cuentas!$A$1:$A$521),"")</f>
        <v/>
      </c>
    </row>
    <row r="3707" spans="1:1">
      <c r="A3707" t="str">
        <f>IFERROR(_xlfn.XLOOKUP(B3707,Cuentas!$C$1:$C$521,Cuentas!$A$1:$A$521),"")</f>
        <v/>
      </c>
    </row>
    <row r="3708" spans="1:1">
      <c r="A3708" t="str">
        <f>IFERROR(_xlfn.XLOOKUP(B3708,Cuentas!$C$1:$C$521,Cuentas!$A$1:$A$521),"")</f>
        <v/>
      </c>
    </row>
    <row r="3709" spans="1:1">
      <c r="A3709" t="str">
        <f>IFERROR(_xlfn.XLOOKUP(B3709,Cuentas!$C$1:$C$521,Cuentas!$A$1:$A$521),"")</f>
        <v/>
      </c>
    </row>
    <row r="3710" spans="1:1">
      <c r="A3710" t="str">
        <f>IFERROR(_xlfn.XLOOKUP(B3710,Cuentas!$C$1:$C$521,Cuentas!$A$1:$A$521),"")</f>
        <v/>
      </c>
    </row>
    <row r="3711" spans="1:1">
      <c r="A3711" t="str">
        <f>IFERROR(_xlfn.XLOOKUP(B3711,Cuentas!$C$1:$C$521,Cuentas!$A$1:$A$521),"")</f>
        <v/>
      </c>
    </row>
    <row r="3712" spans="1:1">
      <c r="A3712" t="str">
        <f>IFERROR(_xlfn.XLOOKUP(B3712,Cuentas!$C$1:$C$521,Cuentas!$A$1:$A$521),"")</f>
        <v/>
      </c>
    </row>
    <row r="3713" spans="1:1">
      <c r="A3713" t="str">
        <f>IFERROR(_xlfn.XLOOKUP(B3713,Cuentas!$C$1:$C$521,Cuentas!$A$1:$A$521),"")</f>
        <v/>
      </c>
    </row>
    <row r="3714" spans="1:1">
      <c r="A3714" t="str">
        <f>IFERROR(_xlfn.XLOOKUP(B3714,Cuentas!$C$1:$C$521,Cuentas!$A$1:$A$521),"")</f>
        <v/>
      </c>
    </row>
    <row r="3715" spans="1:1">
      <c r="A3715" t="str">
        <f>IFERROR(_xlfn.XLOOKUP(B3715,Cuentas!$C$1:$C$521,Cuentas!$A$1:$A$521),"")</f>
        <v/>
      </c>
    </row>
    <row r="3716" spans="1:1">
      <c r="A3716" t="str">
        <f>IFERROR(_xlfn.XLOOKUP(B3716,Cuentas!$C$1:$C$521,Cuentas!$A$1:$A$521),"")</f>
        <v/>
      </c>
    </row>
    <row r="3717" spans="1:1">
      <c r="A3717" t="str">
        <f>IFERROR(_xlfn.XLOOKUP(B3717,Cuentas!$C$1:$C$521,Cuentas!$A$1:$A$521),"")</f>
        <v/>
      </c>
    </row>
    <row r="3718" spans="1:1">
      <c r="A3718" t="str">
        <f>IFERROR(_xlfn.XLOOKUP(B3718,Cuentas!$C$1:$C$521,Cuentas!$A$1:$A$521),"")</f>
        <v/>
      </c>
    </row>
    <row r="3719" spans="1:1">
      <c r="A3719" t="str">
        <f>IFERROR(_xlfn.XLOOKUP(B3719,Cuentas!$C$1:$C$521,Cuentas!$A$1:$A$521),"")</f>
        <v/>
      </c>
    </row>
    <row r="3720" spans="1:1">
      <c r="A3720" t="str">
        <f>IFERROR(_xlfn.XLOOKUP(B3720,Cuentas!$C$1:$C$521,Cuentas!$A$1:$A$521),"")</f>
        <v/>
      </c>
    </row>
    <row r="3721" spans="1:1">
      <c r="A3721" t="str">
        <f>IFERROR(_xlfn.XLOOKUP(B3721,Cuentas!$C$1:$C$521,Cuentas!$A$1:$A$521),"")</f>
        <v/>
      </c>
    </row>
    <row r="3722" spans="1:1">
      <c r="A3722" t="str">
        <f>IFERROR(_xlfn.XLOOKUP(B3722,Cuentas!$C$1:$C$521,Cuentas!$A$1:$A$521),"")</f>
        <v/>
      </c>
    </row>
    <row r="3723" spans="1:1">
      <c r="A3723" t="str">
        <f>IFERROR(_xlfn.XLOOKUP(B3723,Cuentas!$C$1:$C$521,Cuentas!$A$1:$A$521),"")</f>
        <v/>
      </c>
    </row>
    <row r="3724" spans="1:1">
      <c r="A3724" t="str">
        <f>IFERROR(_xlfn.XLOOKUP(B3724,Cuentas!$C$1:$C$521,Cuentas!$A$1:$A$521),"")</f>
        <v/>
      </c>
    </row>
    <row r="3725" spans="1:1">
      <c r="A3725" t="str">
        <f>IFERROR(_xlfn.XLOOKUP(B3725,Cuentas!$C$1:$C$521,Cuentas!$A$1:$A$521),"")</f>
        <v/>
      </c>
    </row>
    <row r="3726" spans="1:1">
      <c r="A3726" t="str">
        <f>IFERROR(_xlfn.XLOOKUP(B3726,Cuentas!$C$1:$C$521,Cuentas!$A$1:$A$521),"")</f>
        <v/>
      </c>
    </row>
    <row r="3727" spans="1:1">
      <c r="A3727" t="str">
        <f>IFERROR(_xlfn.XLOOKUP(B3727,Cuentas!$C$1:$C$521,Cuentas!$A$1:$A$521),"")</f>
        <v/>
      </c>
    </row>
    <row r="3728" spans="1:1">
      <c r="A3728" t="str">
        <f>IFERROR(_xlfn.XLOOKUP(B3728,Cuentas!$C$1:$C$521,Cuentas!$A$1:$A$521),"")</f>
        <v/>
      </c>
    </row>
    <row r="3729" spans="1:1">
      <c r="A3729" t="str">
        <f>IFERROR(_xlfn.XLOOKUP(B3729,Cuentas!$C$1:$C$521,Cuentas!$A$1:$A$521),"")</f>
        <v/>
      </c>
    </row>
    <row r="3730" spans="1:1">
      <c r="A3730" t="str">
        <f>IFERROR(_xlfn.XLOOKUP(B3730,Cuentas!$C$1:$C$521,Cuentas!$A$1:$A$521),"")</f>
        <v/>
      </c>
    </row>
    <row r="3731" spans="1:1">
      <c r="A3731" t="str">
        <f>IFERROR(_xlfn.XLOOKUP(B3731,Cuentas!$C$1:$C$521,Cuentas!$A$1:$A$521),"")</f>
        <v/>
      </c>
    </row>
    <row r="3732" spans="1:1">
      <c r="A3732" t="str">
        <f>IFERROR(_xlfn.XLOOKUP(B3732,Cuentas!$C$1:$C$521,Cuentas!$A$1:$A$521),"")</f>
        <v/>
      </c>
    </row>
    <row r="3733" spans="1:1">
      <c r="A3733" t="str">
        <f>IFERROR(_xlfn.XLOOKUP(B3733,Cuentas!$C$1:$C$521,Cuentas!$A$1:$A$521),"")</f>
        <v/>
      </c>
    </row>
    <row r="3734" spans="1:1">
      <c r="A3734" t="str">
        <f>IFERROR(_xlfn.XLOOKUP(B3734,Cuentas!$C$1:$C$521,Cuentas!$A$1:$A$521),"")</f>
        <v/>
      </c>
    </row>
    <row r="3735" spans="1:1">
      <c r="A3735" t="str">
        <f>IFERROR(_xlfn.XLOOKUP(B3735,Cuentas!$C$1:$C$521,Cuentas!$A$1:$A$521),"")</f>
        <v/>
      </c>
    </row>
    <row r="3736" spans="1:1">
      <c r="A3736" t="str">
        <f>IFERROR(_xlfn.XLOOKUP(B3736,Cuentas!$C$1:$C$521,Cuentas!$A$1:$A$521),"")</f>
        <v/>
      </c>
    </row>
    <row r="3737" spans="1:1">
      <c r="A3737" t="str">
        <f>IFERROR(_xlfn.XLOOKUP(B3737,Cuentas!$C$1:$C$521,Cuentas!$A$1:$A$521),"")</f>
        <v/>
      </c>
    </row>
    <row r="3738" spans="1:1">
      <c r="A3738" t="str">
        <f>IFERROR(_xlfn.XLOOKUP(B3738,Cuentas!$C$1:$C$521,Cuentas!$A$1:$A$521),"")</f>
        <v/>
      </c>
    </row>
    <row r="3739" spans="1:1">
      <c r="A3739" t="str">
        <f>IFERROR(_xlfn.XLOOKUP(B3739,Cuentas!$C$1:$C$521,Cuentas!$A$1:$A$521),"")</f>
        <v/>
      </c>
    </row>
    <row r="3740" spans="1:1">
      <c r="A3740" t="str">
        <f>IFERROR(_xlfn.XLOOKUP(B3740,Cuentas!$C$1:$C$521,Cuentas!$A$1:$A$521),"")</f>
        <v/>
      </c>
    </row>
    <row r="3741" spans="1:1">
      <c r="A3741" t="str">
        <f>IFERROR(_xlfn.XLOOKUP(B3741,Cuentas!$C$1:$C$521,Cuentas!$A$1:$A$521),"")</f>
        <v/>
      </c>
    </row>
    <row r="3742" spans="1:1">
      <c r="A3742" t="str">
        <f>IFERROR(_xlfn.XLOOKUP(B3742,Cuentas!$C$1:$C$521,Cuentas!$A$1:$A$521),"")</f>
        <v/>
      </c>
    </row>
    <row r="3743" spans="1:1">
      <c r="A3743" t="str">
        <f>IFERROR(_xlfn.XLOOKUP(B3743,Cuentas!$C$1:$C$521,Cuentas!$A$1:$A$521),"")</f>
        <v/>
      </c>
    </row>
    <row r="3744" spans="1:1">
      <c r="A3744" t="str">
        <f>IFERROR(_xlfn.XLOOKUP(B3744,Cuentas!$C$1:$C$521,Cuentas!$A$1:$A$521),"")</f>
        <v/>
      </c>
    </row>
    <row r="3745" spans="1:1">
      <c r="A3745" t="str">
        <f>IFERROR(_xlfn.XLOOKUP(B3745,Cuentas!$C$1:$C$521,Cuentas!$A$1:$A$521),"")</f>
        <v/>
      </c>
    </row>
    <row r="3746" spans="1:1">
      <c r="A3746" t="str">
        <f>IFERROR(_xlfn.XLOOKUP(B3746,Cuentas!$C$1:$C$521,Cuentas!$A$1:$A$521),"")</f>
        <v/>
      </c>
    </row>
    <row r="3747" spans="1:1">
      <c r="A3747" t="str">
        <f>IFERROR(_xlfn.XLOOKUP(B3747,Cuentas!$C$1:$C$521,Cuentas!$A$1:$A$521),"")</f>
        <v/>
      </c>
    </row>
    <row r="3748" spans="1:1">
      <c r="A3748" t="str">
        <f>IFERROR(_xlfn.XLOOKUP(B3748,Cuentas!$C$1:$C$521,Cuentas!$A$1:$A$521),"")</f>
        <v/>
      </c>
    </row>
    <row r="3749" spans="1:1">
      <c r="A3749" t="str">
        <f>IFERROR(_xlfn.XLOOKUP(B3749,Cuentas!$C$1:$C$521,Cuentas!$A$1:$A$521),"")</f>
        <v/>
      </c>
    </row>
    <row r="3750" spans="1:1">
      <c r="A3750" t="str">
        <f>IFERROR(_xlfn.XLOOKUP(B3750,Cuentas!$C$1:$C$521,Cuentas!$A$1:$A$521),"")</f>
        <v/>
      </c>
    </row>
    <row r="3751" spans="1:1">
      <c r="A3751" t="str">
        <f>IFERROR(_xlfn.XLOOKUP(B3751,Cuentas!$C$1:$C$521,Cuentas!$A$1:$A$521),"")</f>
        <v/>
      </c>
    </row>
    <row r="3752" spans="1:1">
      <c r="A3752" t="str">
        <f>IFERROR(_xlfn.XLOOKUP(B3752,Cuentas!$C$1:$C$521,Cuentas!$A$1:$A$521),"")</f>
        <v/>
      </c>
    </row>
    <row r="3753" spans="1:1">
      <c r="A3753" t="str">
        <f>IFERROR(_xlfn.XLOOKUP(B3753,Cuentas!$C$1:$C$521,Cuentas!$A$1:$A$521),"")</f>
        <v/>
      </c>
    </row>
    <row r="3754" spans="1:1">
      <c r="A3754" t="str">
        <f>IFERROR(_xlfn.XLOOKUP(B3754,Cuentas!$C$1:$C$521,Cuentas!$A$1:$A$521),"")</f>
        <v/>
      </c>
    </row>
    <row r="3755" spans="1:1">
      <c r="A3755" t="str">
        <f>IFERROR(_xlfn.XLOOKUP(B3755,Cuentas!$C$1:$C$521,Cuentas!$A$1:$A$521),"")</f>
        <v/>
      </c>
    </row>
    <row r="3756" spans="1:1">
      <c r="A3756" t="str">
        <f>IFERROR(_xlfn.XLOOKUP(B3756,Cuentas!$C$1:$C$521,Cuentas!$A$1:$A$521),"")</f>
        <v/>
      </c>
    </row>
    <row r="3757" spans="1:1">
      <c r="A3757" t="str">
        <f>IFERROR(_xlfn.XLOOKUP(B3757,Cuentas!$C$1:$C$521,Cuentas!$A$1:$A$521),"")</f>
        <v/>
      </c>
    </row>
    <row r="3758" spans="1:1">
      <c r="A3758" t="str">
        <f>IFERROR(_xlfn.XLOOKUP(B3758,Cuentas!$C$1:$C$521,Cuentas!$A$1:$A$521),"")</f>
        <v/>
      </c>
    </row>
    <row r="3759" spans="1:1">
      <c r="A3759" t="str">
        <f>IFERROR(_xlfn.XLOOKUP(B3759,Cuentas!$C$1:$C$521,Cuentas!$A$1:$A$521),"")</f>
        <v/>
      </c>
    </row>
    <row r="3760" spans="1:1">
      <c r="A3760" t="str">
        <f>IFERROR(_xlfn.XLOOKUP(B3760,Cuentas!$C$1:$C$521,Cuentas!$A$1:$A$521),"")</f>
        <v/>
      </c>
    </row>
    <row r="3761" spans="1:1">
      <c r="A3761" t="str">
        <f>IFERROR(_xlfn.XLOOKUP(B3761,Cuentas!$C$1:$C$521,Cuentas!$A$1:$A$521),"")</f>
        <v/>
      </c>
    </row>
    <row r="3762" spans="1:1">
      <c r="A3762" t="str">
        <f>IFERROR(_xlfn.XLOOKUP(B3762,Cuentas!$C$1:$C$521,Cuentas!$A$1:$A$521),"")</f>
        <v/>
      </c>
    </row>
    <row r="3763" spans="1:1">
      <c r="A3763" t="str">
        <f>IFERROR(_xlfn.XLOOKUP(B3763,Cuentas!$C$1:$C$521,Cuentas!$A$1:$A$521),"")</f>
        <v/>
      </c>
    </row>
    <row r="3764" spans="1:1">
      <c r="A3764" t="str">
        <f>IFERROR(_xlfn.XLOOKUP(B3764,Cuentas!$C$1:$C$521,Cuentas!$A$1:$A$521),"")</f>
        <v/>
      </c>
    </row>
    <row r="3765" spans="1:1">
      <c r="A3765" t="str">
        <f>IFERROR(_xlfn.XLOOKUP(B3765,Cuentas!$C$1:$C$521,Cuentas!$A$1:$A$521),"")</f>
        <v/>
      </c>
    </row>
    <row r="3766" spans="1:1">
      <c r="A3766" t="str">
        <f>IFERROR(_xlfn.XLOOKUP(B3766,Cuentas!$C$1:$C$521,Cuentas!$A$1:$A$521),"")</f>
        <v/>
      </c>
    </row>
    <row r="3767" spans="1:1">
      <c r="A3767" t="str">
        <f>IFERROR(_xlfn.XLOOKUP(B3767,Cuentas!$C$1:$C$521,Cuentas!$A$1:$A$521),"")</f>
        <v/>
      </c>
    </row>
    <row r="3768" spans="1:1">
      <c r="A3768" t="str">
        <f>IFERROR(_xlfn.XLOOKUP(B3768,Cuentas!$C$1:$C$521,Cuentas!$A$1:$A$521),"")</f>
        <v/>
      </c>
    </row>
    <row r="3769" spans="1:1">
      <c r="A3769" t="str">
        <f>IFERROR(_xlfn.XLOOKUP(B3769,Cuentas!$C$1:$C$521,Cuentas!$A$1:$A$521),"")</f>
        <v/>
      </c>
    </row>
    <row r="3770" spans="1:1">
      <c r="A3770" t="str">
        <f>IFERROR(_xlfn.XLOOKUP(B3770,Cuentas!$C$1:$C$521,Cuentas!$A$1:$A$521),"")</f>
        <v/>
      </c>
    </row>
    <row r="3771" spans="1:1">
      <c r="A3771" t="str">
        <f>IFERROR(_xlfn.XLOOKUP(B3771,Cuentas!$C$1:$C$521,Cuentas!$A$1:$A$521),"")</f>
        <v/>
      </c>
    </row>
    <row r="3772" spans="1:1">
      <c r="A3772" t="str">
        <f>IFERROR(_xlfn.XLOOKUP(B3772,Cuentas!$C$1:$C$521,Cuentas!$A$1:$A$521),"")</f>
        <v/>
      </c>
    </row>
    <row r="3773" spans="1:1">
      <c r="A3773" t="str">
        <f>IFERROR(_xlfn.XLOOKUP(B3773,Cuentas!$C$1:$C$521,Cuentas!$A$1:$A$521),"")</f>
        <v/>
      </c>
    </row>
    <row r="3774" spans="1:1">
      <c r="A3774" t="str">
        <f>IFERROR(_xlfn.XLOOKUP(B3774,Cuentas!$C$1:$C$521,Cuentas!$A$1:$A$521),"")</f>
        <v/>
      </c>
    </row>
    <row r="3775" spans="1:1">
      <c r="A3775" t="str">
        <f>IFERROR(_xlfn.XLOOKUP(B3775,Cuentas!$C$1:$C$521,Cuentas!$A$1:$A$521),"")</f>
        <v/>
      </c>
    </row>
    <row r="3776" spans="1:1">
      <c r="A3776" t="str">
        <f>IFERROR(_xlfn.XLOOKUP(B3776,Cuentas!$C$1:$C$521,Cuentas!$A$1:$A$521),"")</f>
        <v/>
      </c>
    </row>
    <row r="3777" spans="1:1">
      <c r="A3777" t="str">
        <f>IFERROR(_xlfn.XLOOKUP(B3777,Cuentas!$C$1:$C$521,Cuentas!$A$1:$A$521),"")</f>
        <v/>
      </c>
    </row>
    <row r="3778" spans="1:1">
      <c r="A3778" t="str">
        <f>IFERROR(_xlfn.XLOOKUP(B3778,Cuentas!$C$1:$C$521,Cuentas!$A$1:$A$521),"")</f>
        <v/>
      </c>
    </row>
    <row r="3779" spans="1:1">
      <c r="A3779" t="str">
        <f>IFERROR(_xlfn.XLOOKUP(B3779,Cuentas!$C$1:$C$521,Cuentas!$A$1:$A$521),"")</f>
        <v/>
      </c>
    </row>
    <row r="3780" spans="1:1">
      <c r="A3780" t="str">
        <f>IFERROR(_xlfn.XLOOKUP(B3780,Cuentas!$C$1:$C$521,Cuentas!$A$1:$A$521),"")</f>
        <v/>
      </c>
    </row>
    <row r="3781" spans="1:1">
      <c r="A3781" t="str">
        <f>IFERROR(_xlfn.XLOOKUP(B3781,Cuentas!$C$1:$C$521,Cuentas!$A$1:$A$521),"")</f>
        <v/>
      </c>
    </row>
    <row r="3782" spans="1:1">
      <c r="A3782" t="str">
        <f>IFERROR(_xlfn.XLOOKUP(B3782,Cuentas!$C$1:$C$521,Cuentas!$A$1:$A$521),"")</f>
        <v/>
      </c>
    </row>
    <row r="3783" spans="1:1">
      <c r="A3783" t="str">
        <f>IFERROR(_xlfn.XLOOKUP(B3783,Cuentas!$C$1:$C$521,Cuentas!$A$1:$A$521),"")</f>
        <v/>
      </c>
    </row>
    <row r="3784" spans="1:1">
      <c r="A3784" t="str">
        <f>IFERROR(_xlfn.XLOOKUP(B3784,Cuentas!$C$1:$C$521,Cuentas!$A$1:$A$521),"")</f>
        <v/>
      </c>
    </row>
    <row r="3785" spans="1:1">
      <c r="A3785" t="str">
        <f>IFERROR(_xlfn.XLOOKUP(B3785,Cuentas!$C$1:$C$521,Cuentas!$A$1:$A$521),"")</f>
        <v/>
      </c>
    </row>
    <row r="3786" spans="1:1">
      <c r="A3786" t="str">
        <f>IFERROR(_xlfn.XLOOKUP(B3786,Cuentas!$C$1:$C$521,Cuentas!$A$1:$A$521),"")</f>
        <v/>
      </c>
    </row>
    <row r="3787" spans="1:1">
      <c r="A3787" t="str">
        <f>IFERROR(_xlfn.XLOOKUP(B3787,Cuentas!$C$1:$C$521,Cuentas!$A$1:$A$521),"")</f>
        <v/>
      </c>
    </row>
    <row r="3788" spans="1:1">
      <c r="A3788" t="str">
        <f>IFERROR(_xlfn.XLOOKUP(B3788,Cuentas!$C$1:$C$521,Cuentas!$A$1:$A$521),"")</f>
        <v/>
      </c>
    </row>
    <row r="3789" spans="1:1">
      <c r="A3789" t="str">
        <f>IFERROR(_xlfn.XLOOKUP(B3789,Cuentas!$C$1:$C$521,Cuentas!$A$1:$A$521),"")</f>
        <v/>
      </c>
    </row>
    <row r="3790" spans="1:1">
      <c r="A3790" t="str">
        <f>IFERROR(_xlfn.XLOOKUP(B3790,Cuentas!$C$1:$C$521,Cuentas!$A$1:$A$521),"")</f>
        <v/>
      </c>
    </row>
    <row r="3791" spans="1:1">
      <c r="A3791" t="str">
        <f>IFERROR(_xlfn.XLOOKUP(B3791,Cuentas!$C$1:$C$521,Cuentas!$A$1:$A$521),"")</f>
        <v/>
      </c>
    </row>
    <row r="3792" spans="1:1">
      <c r="A3792" t="str">
        <f>IFERROR(_xlfn.XLOOKUP(B3792,Cuentas!$C$1:$C$521,Cuentas!$A$1:$A$521),"")</f>
        <v/>
      </c>
    </row>
    <row r="3793" spans="1:1">
      <c r="A3793" t="str">
        <f>IFERROR(_xlfn.XLOOKUP(B3793,Cuentas!$C$1:$C$521,Cuentas!$A$1:$A$521),"")</f>
        <v/>
      </c>
    </row>
    <row r="3794" spans="1:1">
      <c r="A3794" t="str">
        <f>IFERROR(_xlfn.XLOOKUP(B3794,Cuentas!$C$1:$C$521,Cuentas!$A$1:$A$521),"")</f>
        <v/>
      </c>
    </row>
    <row r="3795" spans="1:1">
      <c r="A3795" t="str">
        <f>IFERROR(_xlfn.XLOOKUP(B3795,Cuentas!$C$1:$C$521,Cuentas!$A$1:$A$521),"")</f>
        <v/>
      </c>
    </row>
    <row r="3796" spans="1:1">
      <c r="A3796" t="str">
        <f>IFERROR(_xlfn.XLOOKUP(B3796,Cuentas!$C$1:$C$521,Cuentas!$A$1:$A$521),"")</f>
        <v/>
      </c>
    </row>
    <row r="3797" spans="1:1">
      <c r="A3797" t="str">
        <f>IFERROR(_xlfn.XLOOKUP(B3797,Cuentas!$C$1:$C$521,Cuentas!$A$1:$A$521),"")</f>
        <v/>
      </c>
    </row>
    <row r="3798" spans="1:1">
      <c r="A3798" t="str">
        <f>IFERROR(_xlfn.XLOOKUP(B3798,Cuentas!$C$1:$C$521,Cuentas!$A$1:$A$521),"")</f>
        <v/>
      </c>
    </row>
    <row r="3799" spans="1:1">
      <c r="A3799" t="str">
        <f>IFERROR(_xlfn.XLOOKUP(B3799,Cuentas!$C$1:$C$521,Cuentas!$A$1:$A$521),"")</f>
        <v/>
      </c>
    </row>
    <row r="3800" spans="1:1">
      <c r="A3800" t="str">
        <f>IFERROR(_xlfn.XLOOKUP(B3800,Cuentas!$C$1:$C$521,Cuentas!$A$1:$A$521),"")</f>
        <v/>
      </c>
    </row>
    <row r="3801" spans="1:1">
      <c r="A3801" t="str">
        <f>IFERROR(_xlfn.XLOOKUP(B3801,Cuentas!$C$1:$C$521,Cuentas!$A$1:$A$521),"")</f>
        <v/>
      </c>
    </row>
    <row r="3802" spans="1:1">
      <c r="A3802" t="str">
        <f>IFERROR(_xlfn.XLOOKUP(B3802,Cuentas!$C$1:$C$521,Cuentas!$A$1:$A$521),"")</f>
        <v/>
      </c>
    </row>
    <row r="3803" spans="1:1">
      <c r="A3803" t="str">
        <f>IFERROR(_xlfn.XLOOKUP(B3803,Cuentas!$C$1:$C$521,Cuentas!$A$1:$A$521),"")</f>
        <v/>
      </c>
    </row>
    <row r="3804" spans="1:1">
      <c r="A3804" t="str">
        <f>IFERROR(_xlfn.XLOOKUP(B3804,Cuentas!$C$1:$C$521,Cuentas!$A$1:$A$521),"")</f>
        <v/>
      </c>
    </row>
    <row r="3805" spans="1:1">
      <c r="A3805" t="str">
        <f>IFERROR(_xlfn.XLOOKUP(B3805,Cuentas!$C$1:$C$521,Cuentas!$A$1:$A$521),"")</f>
        <v/>
      </c>
    </row>
    <row r="3806" spans="1:1">
      <c r="A3806" t="str">
        <f>IFERROR(_xlfn.XLOOKUP(B3806,Cuentas!$C$1:$C$521,Cuentas!$A$1:$A$521),"")</f>
        <v/>
      </c>
    </row>
    <row r="3807" spans="1:1">
      <c r="A3807" t="str">
        <f>IFERROR(_xlfn.XLOOKUP(B3807,Cuentas!$C$1:$C$521,Cuentas!$A$1:$A$521),"")</f>
        <v/>
      </c>
    </row>
    <row r="3808" spans="1:1">
      <c r="A3808" t="str">
        <f>IFERROR(_xlfn.XLOOKUP(B3808,Cuentas!$C$1:$C$521,Cuentas!$A$1:$A$521),"")</f>
        <v/>
      </c>
    </row>
    <row r="3809" spans="1:1">
      <c r="A3809" t="str">
        <f>IFERROR(_xlfn.XLOOKUP(B3809,Cuentas!$C$1:$C$521,Cuentas!$A$1:$A$521),"")</f>
        <v/>
      </c>
    </row>
    <row r="3810" spans="1:1">
      <c r="A3810" t="str">
        <f>IFERROR(_xlfn.XLOOKUP(B3810,Cuentas!$C$1:$C$521,Cuentas!$A$1:$A$521),"")</f>
        <v/>
      </c>
    </row>
    <row r="3811" spans="1:1">
      <c r="A3811" t="str">
        <f>IFERROR(_xlfn.XLOOKUP(B3811,Cuentas!$C$1:$C$521,Cuentas!$A$1:$A$521),"")</f>
        <v/>
      </c>
    </row>
    <row r="3812" spans="1:1">
      <c r="A3812" t="str">
        <f>IFERROR(_xlfn.XLOOKUP(B3812,Cuentas!$C$1:$C$521,Cuentas!$A$1:$A$521),"")</f>
        <v/>
      </c>
    </row>
    <row r="3813" spans="1:1">
      <c r="A3813" t="str">
        <f>IFERROR(_xlfn.XLOOKUP(B3813,Cuentas!$C$1:$C$521,Cuentas!$A$1:$A$521),"")</f>
        <v/>
      </c>
    </row>
    <row r="3814" spans="1:1">
      <c r="A3814" t="str">
        <f>IFERROR(_xlfn.XLOOKUP(B3814,Cuentas!$C$1:$C$521,Cuentas!$A$1:$A$521),"")</f>
        <v/>
      </c>
    </row>
    <row r="3815" spans="1:1">
      <c r="A3815" t="str">
        <f>IFERROR(_xlfn.XLOOKUP(B3815,Cuentas!$C$1:$C$521,Cuentas!$A$1:$A$521),"")</f>
        <v/>
      </c>
    </row>
    <row r="3816" spans="1:1">
      <c r="A3816" t="str">
        <f>IFERROR(_xlfn.XLOOKUP(B3816,Cuentas!$C$1:$C$521,Cuentas!$A$1:$A$521),"")</f>
        <v/>
      </c>
    </row>
    <row r="3817" spans="1:1">
      <c r="A3817" t="str">
        <f>IFERROR(_xlfn.XLOOKUP(B3817,Cuentas!$C$1:$C$521,Cuentas!$A$1:$A$521),"")</f>
        <v/>
      </c>
    </row>
    <row r="3818" spans="1:1">
      <c r="A3818" t="str">
        <f>IFERROR(_xlfn.XLOOKUP(B3818,Cuentas!$C$1:$C$521,Cuentas!$A$1:$A$521),"")</f>
        <v/>
      </c>
    </row>
    <row r="3819" spans="1:1">
      <c r="A3819" t="str">
        <f>IFERROR(_xlfn.XLOOKUP(B3819,Cuentas!$C$1:$C$521,Cuentas!$A$1:$A$521),"")</f>
        <v/>
      </c>
    </row>
    <row r="3820" spans="1:1">
      <c r="A3820" t="str">
        <f>IFERROR(_xlfn.XLOOKUP(B3820,Cuentas!$C$1:$C$521,Cuentas!$A$1:$A$521),"")</f>
        <v/>
      </c>
    </row>
    <row r="3821" spans="1:1">
      <c r="A3821" t="str">
        <f>IFERROR(_xlfn.XLOOKUP(B3821,Cuentas!$C$1:$C$521,Cuentas!$A$1:$A$521),"")</f>
        <v/>
      </c>
    </row>
    <row r="3822" spans="1:1">
      <c r="A3822" t="str">
        <f>IFERROR(_xlfn.XLOOKUP(B3822,Cuentas!$C$1:$C$521,Cuentas!$A$1:$A$521),"")</f>
        <v/>
      </c>
    </row>
    <row r="3823" spans="1:1">
      <c r="A3823" t="str">
        <f>IFERROR(_xlfn.XLOOKUP(B3823,Cuentas!$C$1:$C$521,Cuentas!$A$1:$A$521),"")</f>
        <v/>
      </c>
    </row>
    <row r="3824" spans="1:1">
      <c r="A3824" t="str">
        <f>IFERROR(_xlfn.XLOOKUP(B3824,Cuentas!$C$1:$C$521,Cuentas!$A$1:$A$521),"")</f>
        <v/>
      </c>
    </row>
    <row r="3825" spans="1:1">
      <c r="A3825" t="str">
        <f>IFERROR(_xlfn.XLOOKUP(B3825,Cuentas!$C$1:$C$521,Cuentas!$A$1:$A$521),"")</f>
        <v/>
      </c>
    </row>
    <row r="3826" spans="1:1">
      <c r="A3826" t="str">
        <f>IFERROR(_xlfn.XLOOKUP(B3826,Cuentas!$C$1:$C$521,Cuentas!$A$1:$A$521),"")</f>
        <v/>
      </c>
    </row>
    <row r="3827" spans="1:1">
      <c r="A3827" t="str">
        <f>IFERROR(_xlfn.XLOOKUP(B3827,Cuentas!$C$1:$C$521,Cuentas!$A$1:$A$521),"")</f>
        <v/>
      </c>
    </row>
    <row r="3828" spans="1:1">
      <c r="A3828" t="str">
        <f>IFERROR(_xlfn.XLOOKUP(B3828,Cuentas!$C$1:$C$521,Cuentas!$A$1:$A$521),"")</f>
        <v/>
      </c>
    </row>
    <row r="3829" spans="1:1">
      <c r="A3829" t="str">
        <f>IFERROR(_xlfn.XLOOKUP(B3829,Cuentas!$C$1:$C$521,Cuentas!$A$1:$A$521),"")</f>
        <v/>
      </c>
    </row>
    <row r="3830" spans="1:1">
      <c r="A3830" t="str">
        <f>IFERROR(_xlfn.XLOOKUP(B3830,Cuentas!$C$1:$C$521,Cuentas!$A$1:$A$521),"")</f>
        <v/>
      </c>
    </row>
    <row r="3831" spans="1:1">
      <c r="A3831" t="str">
        <f>IFERROR(_xlfn.XLOOKUP(B3831,Cuentas!$C$1:$C$521,Cuentas!$A$1:$A$521),"")</f>
        <v/>
      </c>
    </row>
    <row r="3832" spans="1:1">
      <c r="A3832" t="str">
        <f>IFERROR(_xlfn.XLOOKUP(B3832,Cuentas!$C$1:$C$521,Cuentas!$A$1:$A$521),"")</f>
        <v/>
      </c>
    </row>
    <row r="3833" spans="1:1">
      <c r="A3833" t="str">
        <f>IFERROR(_xlfn.XLOOKUP(B3833,Cuentas!$C$1:$C$521,Cuentas!$A$1:$A$521),"")</f>
        <v/>
      </c>
    </row>
    <row r="3834" spans="1:1">
      <c r="A3834" t="str">
        <f>IFERROR(_xlfn.XLOOKUP(B3834,Cuentas!$C$1:$C$521,Cuentas!$A$1:$A$521),"")</f>
        <v/>
      </c>
    </row>
    <row r="3835" spans="1:1">
      <c r="A3835" t="str">
        <f>IFERROR(_xlfn.XLOOKUP(B3835,Cuentas!$C$1:$C$521,Cuentas!$A$1:$A$521),"")</f>
        <v/>
      </c>
    </row>
    <row r="3836" spans="1:1">
      <c r="A3836" t="str">
        <f>IFERROR(_xlfn.XLOOKUP(B3836,Cuentas!$C$1:$C$521,Cuentas!$A$1:$A$521),"")</f>
        <v/>
      </c>
    </row>
    <row r="3837" spans="1:1">
      <c r="A3837" t="str">
        <f>IFERROR(_xlfn.XLOOKUP(B3837,Cuentas!$C$1:$C$521,Cuentas!$A$1:$A$521),"")</f>
        <v/>
      </c>
    </row>
    <row r="3838" spans="1:1">
      <c r="A3838" t="str">
        <f>IFERROR(_xlfn.XLOOKUP(B3838,Cuentas!$C$1:$C$521,Cuentas!$A$1:$A$521),"")</f>
        <v/>
      </c>
    </row>
    <row r="3839" spans="1:1">
      <c r="A3839" t="str">
        <f>IFERROR(_xlfn.XLOOKUP(B3839,Cuentas!$C$1:$C$521,Cuentas!$A$1:$A$521),"")</f>
        <v/>
      </c>
    </row>
    <row r="3840" spans="1:1">
      <c r="A3840" t="str">
        <f>IFERROR(_xlfn.XLOOKUP(B3840,Cuentas!$C$1:$C$521,Cuentas!$A$1:$A$521),"")</f>
        <v/>
      </c>
    </row>
    <row r="3841" spans="1:1">
      <c r="A3841" t="str">
        <f>IFERROR(_xlfn.XLOOKUP(B3841,Cuentas!$C$1:$C$521,Cuentas!$A$1:$A$521),"")</f>
        <v/>
      </c>
    </row>
    <row r="3842" spans="1:1">
      <c r="A3842" t="str">
        <f>IFERROR(_xlfn.XLOOKUP(B3842,Cuentas!$C$1:$C$521,Cuentas!$A$1:$A$521),"")</f>
        <v/>
      </c>
    </row>
    <row r="3843" spans="1:1">
      <c r="A3843" t="str">
        <f>IFERROR(_xlfn.XLOOKUP(B3843,Cuentas!$C$1:$C$521,Cuentas!$A$1:$A$521),"")</f>
        <v/>
      </c>
    </row>
    <row r="3844" spans="1:1">
      <c r="A3844" t="str">
        <f>IFERROR(_xlfn.XLOOKUP(B3844,Cuentas!$C$1:$C$521,Cuentas!$A$1:$A$521),"")</f>
        <v/>
      </c>
    </row>
    <row r="3845" spans="1:1">
      <c r="A3845" t="str">
        <f>IFERROR(_xlfn.XLOOKUP(B3845,Cuentas!$C$1:$C$521,Cuentas!$A$1:$A$521),"")</f>
        <v/>
      </c>
    </row>
    <row r="3846" spans="1:1">
      <c r="A3846" t="str">
        <f>IFERROR(_xlfn.XLOOKUP(B3846,Cuentas!$C$1:$C$521,Cuentas!$A$1:$A$521),"")</f>
        <v/>
      </c>
    </row>
    <row r="3847" spans="1:1">
      <c r="A3847" t="str">
        <f>IFERROR(_xlfn.XLOOKUP(B3847,Cuentas!$C$1:$C$521,Cuentas!$A$1:$A$521),"")</f>
        <v/>
      </c>
    </row>
    <row r="3848" spans="1:1">
      <c r="A3848" t="str">
        <f>IFERROR(_xlfn.XLOOKUP(B3848,Cuentas!$C$1:$C$521,Cuentas!$A$1:$A$521),"")</f>
        <v/>
      </c>
    </row>
    <row r="3849" spans="1:1">
      <c r="A3849" t="str">
        <f>IFERROR(_xlfn.XLOOKUP(B3849,Cuentas!$C$1:$C$521,Cuentas!$A$1:$A$521),"")</f>
        <v/>
      </c>
    </row>
    <row r="3850" spans="1:1">
      <c r="A3850" t="str">
        <f>IFERROR(_xlfn.XLOOKUP(B3850,Cuentas!$C$1:$C$521,Cuentas!$A$1:$A$521),"")</f>
        <v/>
      </c>
    </row>
    <row r="3851" spans="1:1">
      <c r="A3851" t="str">
        <f>IFERROR(_xlfn.XLOOKUP(B3851,Cuentas!$C$1:$C$521,Cuentas!$A$1:$A$521),"")</f>
        <v/>
      </c>
    </row>
    <row r="3852" spans="1:1">
      <c r="A3852" t="str">
        <f>IFERROR(_xlfn.XLOOKUP(B3852,Cuentas!$C$1:$C$521,Cuentas!$A$1:$A$521),"")</f>
        <v/>
      </c>
    </row>
    <row r="3853" spans="1:1">
      <c r="A3853" t="str">
        <f>IFERROR(_xlfn.XLOOKUP(B3853,Cuentas!$C$1:$C$521,Cuentas!$A$1:$A$521),"")</f>
        <v/>
      </c>
    </row>
    <row r="3854" spans="1:1">
      <c r="A3854" t="str">
        <f>IFERROR(_xlfn.XLOOKUP(B3854,Cuentas!$C$1:$C$521,Cuentas!$A$1:$A$521),"")</f>
        <v/>
      </c>
    </row>
    <row r="3855" spans="1:1">
      <c r="A3855" t="str">
        <f>IFERROR(_xlfn.XLOOKUP(B3855,Cuentas!$C$1:$C$521,Cuentas!$A$1:$A$521),"")</f>
        <v/>
      </c>
    </row>
    <row r="3856" spans="1:1">
      <c r="A3856" t="str">
        <f>IFERROR(_xlfn.XLOOKUP(B3856,Cuentas!$C$1:$C$521,Cuentas!$A$1:$A$521),"")</f>
        <v/>
      </c>
    </row>
    <row r="3857" spans="1:1">
      <c r="A3857" t="str">
        <f>IFERROR(_xlfn.XLOOKUP(B3857,Cuentas!$C$1:$C$521,Cuentas!$A$1:$A$521),"")</f>
        <v/>
      </c>
    </row>
    <row r="3858" spans="1:1">
      <c r="A3858" t="str">
        <f>IFERROR(_xlfn.XLOOKUP(B3858,Cuentas!$C$1:$C$521,Cuentas!$A$1:$A$521),"")</f>
        <v/>
      </c>
    </row>
    <row r="3859" spans="1:1">
      <c r="A3859" t="str">
        <f>IFERROR(_xlfn.XLOOKUP(B3859,Cuentas!$C$1:$C$521,Cuentas!$A$1:$A$521),"")</f>
        <v/>
      </c>
    </row>
    <row r="3860" spans="1:1">
      <c r="A3860" t="str">
        <f>IFERROR(_xlfn.XLOOKUP(B3860,Cuentas!$C$1:$C$521,Cuentas!$A$1:$A$521),"")</f>
        <v/>
      </c>
    </row>
    <row r="3861" spans="1:1">
      <c r="A3861" t="str">
        <f>IFERROR(_xlfn.XLOOKUP(B3861,Cuentas!$C$1:$C$521,Cuentas!$A$1:$A$521),"")</f>
        <v/>
      </c>
    </row>
    <row r="3862" spans="1:1">
      <c r="A3862" t="str">
        <f>IFERROR(_xlfn.XLOOKUP(B3862,Cuentas!$C$1:$C$521,Cuentas!$A$1:$A$521),"")</f>
        <v/>
      </c>
    </row>
    <row r="3863" spans="1:1">
      <c r="A3863" t="str">
        <f>IFERROR(_xlfn.XLOOKUP(B3863,Cuentas!$C$1:$C$521,Cuentas!$A$1:$A$521),"")</f>
        <v/>
      </c>
    </row>
    <row r="3864" spans="1:1">
      <c r="A3864" t="str">
        <f>IFERROR(_xlfn.XLOOKUP(B3864,Cuentas!$C$1:$C$521,Cuentas!$A$1:$A$521),"")</f>
        <v/>
      </c>
    </row>
    <row r="3865" spans="1:1">
      <c r="A3865" t="str">
        <f>IFERROR(_xlfn.XLOOKUP(B3865,Cuentas!$C$1:$C$521,Cuentas!$A$1:$A$521),"")</f>
        <v/>
      </c>
    </row>
    <row r="3866" spans="1:1">
      <c r="A3866" t="str">
        <f>IFERROR(_xlfn.XLOOKUP(B3866,Cuentas!$C$1:$C$521,Cuentas!$A$1:$A$521),"")</f>
        <v/>
      </c>
    </row>
    <row r="3867" spans="1:1">
      <c r="A3867" t="str">
        <f>IFERROR(_xlfn.XLOOKUP(B3867,Cuentas!$C$1:$C$521,Cuentas!$A$1:$A$521),"")</f>
        <v/>
      </c>
    </row>
    <row r="3868" spans="1:1">
      <c r="A3868" t="str">
        <f>IFERROR(_xlfn.XLOOKUP(B3868,Cuentas!$C$1:$C$521,Cuentas!$A$1:$A$521),"")</f>
        <v/>
      </c>
    </row>
    <row r="3869" spans="1:1">
      <c r="A3869" t="str">
        <f>IFERROR(_xlfn.XLOOKUP(B3869,Cuentas!$C$1:$C$521,Cuentas!$A$1:$A$521),"")</f>
        <v/>
      </c>
    </row>
    <row r="3870" spans="1:1">
      <c r="A3870" t="str">
        <f>IFERROR(_xlfn.XLOOKUP(B3870,Cuentas!$C$1:$C$521,Cuentas!$A$1:$A$521),"")</f>
        <v/>
      </c>
    </row>
    <row r="3871" spans="1:1">
      <c r="A3871" t="str">
        <f>IFERROR(_xlfn.XLOOKUP(B3871,Cuentas!$C$1:$C$521,Cuentas!$A$1:$A$521),"")</f>
        <v/>
      </c>
    </row>
    <row r="3872" spans="1:1">
      <c r="A3872" t="str">
        <f>IFERROR(_xlfn.XLOOKUP(B3872,Cuentas!$C$1:$C$521,Cuentas!$A$1:$A$521),"")</f>
        <v/>
      </c>
    </row>
    <row r="3873" spans="1:1">
      <c r="A3873" t="str">
        <f>IFERROR(_xlfn.XLOOKUP(B3873,Cuentas!$C$1:$C$521,Cuentas!$A$1:$A$521),"")</f>
        <v/>
      </c>
    </row>
    <row r="3874" spans="1:1">
      <c r="A3874" t="str">
        <f>IFERROR(_xlfn.XLOOKUP(B3874,Cuentas!$C$1:$C$521,Cuentas!$A$1:$A$521),"")</f>
        <v/>
      </c>
    </row>
    <row r="3875" spans="1:1">
      <c r="A3875" t="str">
        <f>IFERROR(_xlfn.XLOOKUP(B3875,Cuentas!$C$1:$C$521,Cuentas!$A$1:$A$521),"")</f>
        <v/>
      </c>
    </row>
    <row r="3876" spans="1:1">
      <c r="A3876" t="str">
        <f>IFERROR(_xlfn.XLOOKUP(B3876,Cuentas!$C$1:$C$521,Cuentas!$A$1:$A$521),"")</f>
        <v/>
      </c>
    </row>
    <row r="3877" spans="1:1">
      <c r="A3877" t="str">
        <f>IFERROR(_xlfn.XLOOKUP(B3877,Cuentas!$C$1:$C$521,Cuentas!$A$1:$A$521),"")</f>
        <v/>
      </c>
    </row>
    <row r="3878" spans="1:1">
      <c r="A3878" t="str">
        <f>IFERROR(_xlfn.XLOOKUP(B3878,Cuentas!$C$1:$C$521,Cuentas!$A$1:$A$521),"")</f>
        <v/>
      </c>
    </row>
    <row r="3879" spans="1:1">
      <c r="A3879" t="str">
        <f>IFERROR(_xlfn.XLOOKUP(B3879,Cuentas!$C$1:$C$521,Cuentas!$A$1:$A$521),"")</f>
        <v/>
      </c>
    </row>
    <row r="3880" spans="1:1">
      <c r="A3880" t="str">
        <f>IFERROR(_xlfn.XLOOKUP(B3880,Cuentas!$C$1:$C$521,Cuentas!$A$1:$A$521),"")</f>
        <v/>
      </c>
    </row>
    <row r="3881" spans="1:1">
      <c r="A3881" t="str">
        <f>IFERROR(_xlfn.XLOOKUP(B3881,Cuentas!$C$1:$C$521,Cuentas!$A$1:$A$521),"")</f>
        <v/>
      </c>
    </row>
    <row r="3882" spans="1:1">
      <c r="A3882" t="str">
        <f>IFERROR(_xlfn.XLOOKUP(B3882,Cuentas!$C$1:$C$521,Cuentas!$A$1:$A$521),"")</f>
        <v/>
      </c>
    </row>
    <row r="3883" spans="1:1">
      <c r="A3883" t="str">
        <f>IFERROR(_xlfn.XLOOKUP(B3883,Cuentas!$C$1:$C$521,Cuentas!$A$1:$A$521),"")</f>
        <v/>
      </c>
    </row>
    <row r="3884" spans="1:1">
      <c r="A3884" t="str">
        <f>IFERROR(_xlfn.XLOOKUP(B3884,Cuentas!$C$1:$C$521,Cuentas!$A$1:$A$521),"")</f>
        <v/>
      </c>
    </row>
    <row r="3885" spans="1:1">
      <c r="A3885" t="str">
        <f>IFERROR(_xlfn.XLOOKUP(B3885,Cuentas!$C$1:$C$521,Cuentas!$A$1:$A$521),"")</f>
        <v/>
      </c>
    </row>
    <row r="3886" spans="1:1">
      <c r="A3886" t="str">
        <f>IFERROR(_xlfn.XLOOKUP(B3886,Cuentas!$C$1:$C$521,Cuentas!$A$1:$A$521),"")</f>
        <v/>
      </c>
    </row>
    <row r="3887" spans="1:1">
      <c r="A3887" t="str">
        <f>IFERROR(_xlfn.XLOOKUP(B3887,Cuentas!$C$1:$C$521,Cuentas!$A$1:$A$521),"")</f>
        <v/>
      </c>
    </row>
    <row r="3888" spans="1:1">
      <c r="A3888" t="str">
        <f>IFERROR(_xlfn.XLOOKUP(B3888,Cuentas!$C$1:$C$521,Cuentas!$A$1:$A$521),"")</f>
        <v/>
      </c>
    </row>
    <row r="3889" spans="1:1">
      <c r="A3889" t="str">
        <f>IFERROR(_xlfn.XLOOKUP(B3889,Cuentas!$C$1:$C$521,Cuentas!$A$1:$A$521),"")</f>
        <v/>
      </c>
    </row>
    <row r="3890" spans="1:1">
      <c r="A3890" t="str">
        <f>IFERROR(_xlfn.XLOOKUP(B3890,Cuentas!$C$1:$C$521,Cuentas!$A$1:$A$521),"")</f>
        <v/>
      </c>
    </row>
    <row r="3891" spans="1:1">
      <c r="A3891" t="str">
        <f>IFERROR(_xlfn.XLOOKUP(B3891,Cuentas!$C$1:$C$521,Cuentas!$A$1:$A$521),"")</f>
        <v/>
      </c>
    </row>
    <row r="3892" spans="1:1">
      <c r="A3892" t="str">
        <f>IFERROR(_xlfn.XLOOKUP(B3892,Cuentas!$C$1:$C$521,Cuentas!$A$1:$A$521),"")</f>
        <v/>
      </c>
    </row>
    <row r="3893" spans="1:1">
      <c r="A3893" t="str">
        <f>IFERROR(_xlfn.XLOOKUP(B3893,Cuentas!$C$1:$C$521,Cuentas!$A$1:$A$521),"")</f>
        <v/>
      </c>
    </row>
    <row r="3894" spans="1:1">
      <c r="A3894" t="str">
        <f>IFERROR(_xlfn.XLOOKUP(B3894,Cuentas!$C$1:$C$521,Cuentas!$A$1:$A$521),"")</f>
        <v/>
      </c>
    </row>
    <row r="3895" spans="1:1">
      <c r="A3895" t="str">
        <f>IFERROR(_xlfn.XLOOKUP(B3895,Cuentas!$C$1:$C$521,Cuentas!$A$1:$A$521),"")</f>
        <v/>
      </c>
    </row>
    <row r="3896" spans="1:1">
      <c r="A3896" t="str">
        <f>IFERROR(_xlfn.XLOOKUP(B3896,Cuentas!$C$1:$C$521,Cuentas!$A$1:$A$521),"")</f>
        <v/>
      </c>
    </row>
    <row r="3897" spans="1:1">
      <c r="A3897" t="str">
        <f>IFERROR(_xlfn.XLOOKUP(B3897,Cuentas!$C$1:$C$521,Cuentas!$A$1:$A$521),"")</f>
        <v/>
      </c>
    </row>
    <row r="3898" spans="1:1">
      <c r="A3898" t="str">
        <f>IFERROR(_xlfn.XLOOKUP(B3898,Cuentas!$C$1:$C$521,Cuentas!$A$1:$A$521),"")</f>
        <v/>
      </c>
    </row>
    <row r="3899" spans="1:1">
      <c r="A3899" t="str">
        <f>IFERROR(_xlfn.XLOOKUP(B3899,Cuentas!$C$1:$C$521,Cuentas!$A$1:$A$521),"")</f>
        <v/>
      </c>
    </row>
    <row r="3900" spans="1:1">
      <c r="A3900" t="str">
        <f>IFERROR(_xlfn.XLOOKUP(B3900,Cuentas!$C$1:$C$521,Cuentas!$A$1:$A$521),"")</f>
        <v/>
      </c>
    </row>
    <row r="3901" spans="1:1">
      <c r="A3901" t="str">
        <f>IFERROR(_xlfn.XLOOKUP(B3901,Cuentas!$C$1:$C$521,Cuentas!$A$1:$A$521),"")</f>
        <v/>
      </c>
    </row>
    <row r="3902" spans="1:1">
      <c r="A3902" t="str">
        <f>IFERROR(_xlfn.XLOOKUP(B3902,Cuentas!$C$1:$C$521,Cuentas!$A$1:$A$521),"")</f>
        <v/>
      </c>
    </row>
    <row r="3903" spans="1:1">
      <c r="A3903" t="str">
        <f>IFERROR(_xlfn.XLOOKUP(B3903,Cuentas!$C$1:$C$521,Cuentas!$A$1:$A$521),"")</f>
        <v/>
      </c>
    </row>
    <row r="3904" spans="1:1">
      <c r="A3904" t="str">
        <f>IFERROR(_xlfn.XLOOKUP(B3904,Cuentas!$C$1:$C$521,Cuentas!$A$1:$A$521),"")</f>
        <v/>
      </c>
    </row>
    <row r="3905" spans="1:1">
      <c r="A3905" t="str">
        <f>IFERROR(_xlfn.XLOOKUP(B3905,Cuentas!$C$1:$C$521,Cuentas!$A$1:$A$521),"")</f>
        <v/>
      </c>
    </row>
    <row r="3906" spans="1:1">
      <c r="A3906" t="str">
        <f>IFERROR(_xlfn.XLOOKUP(B3906,Cuentas!$C$1:$C$521,Cuentas!$A$1:$A$521),"")</f>
        <v/>
      </c>
    </row>
    <row r="3907" spans="1:1">
      <c r="A3907" t="str">
        <f>IFERROR(_xlfn.XLOOKUP(B3907,Cuentas!$C$1:$C$521,Cuentas!$A$1:$A$521),"")</f>
        <v/>
      </c>
    </row>
    <row r="3908" spans="1:1">
      <c r="A3908" t="str">
        <f>IFERROR(_xlfn.XLOOKUP(B3908,Cuentas!$C$1:$C$521,Cuentas!$A$1:$A$521),"")</f>
        <v/>
      </c>
    </row>
    <row r="3909" spans="1:1">
      <c r="A3909" t="str">
        <f>IFERROR(_xlfn.XLOOKUP(B3909,Cuentas!$C$1:$C$521,Cuentas!$A$1:$A$521),"")</f>
        <v/>
      </c>
    </row>
    <row r="3910" spans="1:1">
      <c r="A3910" t="str">
        <f>IFERROR(_xlfn.XLOOKUP(B3910,Cuentas!$C$1:$C$521,Cuentas!$A$1:$A$521),"")</f>
        <v/>
      </c>
    </row>
    <row r="3911" spans="1:1">
      <c r="A3911" t="str">
        <f>IFERROR(_xlfn.XLOOKUP(B3911,Cuentas!$C$1:$C$521,Cuentas!$A$1:$A$521),"")</f>
        <v/>
      </c>
    </row>
    <row r="3912" spans="1:1">
      <c r="A3912" t="str">
        <f>IFERROR(_xlfn.XLOOKUP(B3912,Cuentas!$C$1:$C$521,Cuentas!$A$1:$A$521),"")</f>
        <v/>
      </c>
    </row>
    <row r="3913" spans="1:1">
      <c r="A3913" t="str">
        <f>IFERROR(_xlfn.XLOOKUP(B3913,Cuentas!$C$1:$C$521,Cuentas!$A$1:$A$521),"")</f>
        <v/>
      </c>
    </row>
    <row r="3914" spans="1:1">
      <c r="A3914" t="str">
        <f>IFERROR(_xlfn.XLOOKUP(B3914,Cuentas!$C$1:$C$521,Cuentas!$A$1:$A$521),"")</f>
        <v/>
      </c>
    </row>
    <row r="3915" spans="1:1">
      <c r="A3915" t="str">
        <f>IFERROR(_xlfn.XLOOKUP(B3915,Cuentas!$C$1:$C$521,Cuentas!$A$1:$A$521),"")</f>
        <v/>
      </c>
    </row>
    <row r="3916" spans="1:1">
      <c r="A3916" t="str">
        <f>IFERROR(_xlfn.XLOOKUP(B3916,Cuentas!$C$1:$C$521,Cuentas!$A$1:$A$521),"")</f>
        <v/>
      </c>
    </row>
    <row r="3917" spans="1:1">
      <c r="A3917" t="str">
        <f>IFERROR(_xlfn.XLOOKUP(B3917,Cuentas!$C$1:$C$521,Cuentas!$A$1:$A$521),"")</f>
        <v/>
      </c>
    </row>
    <row r="3918" spans="1:1">
      <c r="A3918" t="str">
        <f>IFERROR(_xlfn.XLOOKUP(B3918,Cuentas!$C$1:$C$521,Cuentas!$A$1:$A$521),"")</f>
        <v/>
      </c>
    </row>
    <row r="3919" spans="1:1">
      <c r="A3919" t="str">
        <f>IFERROR(_xlfn.XLOOKUP(B3919,Cuentas!$C$1:$C$521,Cuentas!$A$1:$A$521),"")</f>
        <v/>
      </c>
    </row>
    <row r="3920" spans="1:1">
      <c r="A3920" t="str">
        <f>IFERROR(_xlfn.XLOOKUP(B3920,Cuentas!$C$1:$C$521,Cuentas!$A$1:$A$521),"")</f>
        <v/>
      </c>
    </row>
    <row r="3921" spans="1:1">
      <c r="A3921" t="str">
        <f>IFERROR(_xlfn.XLOOKUP(B3921,Cuentas!$C$1:$C$521,Cuentas!$A$1:$A$521),"")</f>
        <v/>
      </c>
    </row>
    <row r="3922" spans="1:1">
      <c r="A3922" t="str">
        <f>IFERROR(_xlfn.XLOOKUP(B3922,Cuentas!$C$1:$C$521,Cuentas!$A$1:$A$521),"")</f>
        <v/>
      </c>
    </row>
    <row r="3923" spans="1:1">
      <c r="A3923" t="str">
        <f>IFERROR(_xlfn.XLOOKUP(B3923,Cuentas!$C$1:$C$521,Cuentas!$A$1:$A$521),"")</f>
        <v/>
      </c>
    </row>
    <row r="3924" spans="1:1">
      <c r="A3924" t="str">
        <f>IFERROR(_xlfn.XLOOKUP(B3924,Cuentas!$C$1:$C$521,Cuentas!$A$1:$A$521),"")</f>
        <v/>
      </c>
    </row>
    <row r="3925" spans="1:1">
      <c r="A3925" t="str">
        <f>IFERROR(_xlfn.XLOOKUP(B3925,Cuentas!$C$1:$C$521,Cuentas!$A$1:$A$521),"")</f>
        <v/>
      </c>
    </row>
    <row r="3926" spans="1:1">
      <c r="A3926" t="str">
        <f>IFERROR(_xlfn.XLOOKUP(B3926,Cuentas!$C$1:$C$521,Cuentas!$A$1:$A$521),"")</f>
        <v/>
      </c>
    </row>
    <row r="3927" spans="1:1">
      <c r="A3927" t="str">
        <f>IFERROR(_xlfn.XLOOKUP(B3927,Cuentas!$C$1:$C$521,Cuentas!$A$1:$A$521),"")</f>
        <v/>
      </c>
    </row>
    <row r="3928" spans="1:1">
      <c r="A3928" t="str">
        <f>IFERROR(_xlfn.XLOOKUP(B3928,Cuentas!$C$1:$C$521,Cuentas!$A$1:$A$521),"")</f>
        <v/>
      </c>
    </row>
    <row r="3929" spans="1:1">
      <c r="A3929" t="str">
        <f>IFERROR(_xlfn.XLOOKUP(B3929,Cuentas!$C$1:$C$521,Cuentas!$A$1:$A$521),"")</f>
        <v/>
      </c>
    </row>
    <row r="3930" spans="1:1">
      <c r="A3930" t="str">
        <f>IFERROR(_xlfn.XLOOKUP(B3930,Cuentas!$C$1:$C$521,Cuentas!$A$1:$A$521),"")</f>
        <v/>
      </c>
    </row>
    <row r="3931" spans="1:1">
      <c r="A3931" t="str">
        <f>IFERROR(_xlfn.XLOOKUP(B3931,Cuentas!$C$1:$C$521,Cuentas!$A$1:$A$521),"")</f>
        <v/>
      </c>
    </row>
    <row r="3932" spans="1:1">
      <c r="A3932" t="str">
        <f>IFERROR(_xlfn.XLOOKUP(B3932,Cuentas!$C$1:$C$521,Cuentas!$A$1:$A$521),"")</f>
        <v/>
      </c>
    </row>
    <row r="3933" spans="1:1">
      <c r="A3933" t="str">
        <f>IFERROR(_xlfn.XLOOKUP(B3933,Cuentas!$C$1:$C$521,Cuentas!$A$1:$A$521),"")</f>
        <v/>
      </c>
    </row>
    <row r="3934" spans="1:1">
      <c r="A3934" t="str">
        <f>IFERROR(_xlfn.XLOOKUP(B3934,Cuentas!$C$1:$C$521,Cuentas!$A$1:$A$521),"")</f>
        <v/>
      </c>
    </row>
    <row r="3935" spans="1:1">
      <c r="A3935" t="str">
        <f>IFERROR(_xlfn.XLOOKUP(B3935,Cuentas!$C$1:$C$521,Cuentas!$A$1:$A$521),"")</f>
        <v/>
      </c>
    </row>
    <row r="3936" spans="1:1">
      <c r="A3936" t="str">
        <f>IFERROR(_xlfn.XLOOKUP(B3936,Cuentas!$C$1:$C$521,Cuentas!$A$1:$A$521),"")</f>
        <v/>
      </c>
    </row>
    <row r="3937" spans="1:1">
      <c r="A3937" t="str">
        <f>IFERROR(_xlfn.XLOOKUP(B3937,Cuentas!$C$1:$C$521,Cuentas!$A$1:$A$521),"")</f>
        <v/>
      </c>
    </row>
    <row r="3938" spans="1:1">
      <c r="A3938" t="str">
        <f>IFERROR(_xlfn.XLOOKUP(B3938,Cuentas!$C$1:$C$521,Cuentas!$A$1:$A$521),"")</f>
        <v/>
      </c>
    </row>
    <row r="3939" spans="1:1">
      <c r="A3939" t="str">
        <f>IFERROR(_xlfn.XLOOKUP(B3939,Cuentas!$C$1:$C$521,Cuentas!$A$1:$A$521),"")</f>
        <v/>
      </c>
    </row>
    <row r="3940" spans="1:1">
      <c r="A3940" t="str">
        <f>IFERROR(_xlfn.XLOOKUP(B3940,Cuentas!$C$1:$C$521,Cuentas!$A$1:$A$521),"")</f>
        <v/>
      </c>
    </row>
    <row r="3941" spans="1:1">
      <c r="A3941" t="str">
        <f>IFERROR(_xlfn.XLOOKUP(B3941,Cuentas!$C$1:$C$521,Cuentas!$A$1:$A$521),"")</f>
        <v/>
      </c>
    </row>
    <row r="3942" spans="1:1">
      <c r="A3942" t="str">
        <f>IFERROR(_xlfn.XLOOKUP(B3942,Cuentas!$C$1:$C$521,Cuentas!$A$1:$A$521),"")</f>
        <v/>
      </c>
    </row>
    <row r="3943" spans="1:1">
      <c r="A3943" t="str">
        <f>IFERROR(_xlfn.XLOOKUP(B3943,Cuentas!$C$1:$C$521,Cuentas!$A$1:$A$521),"")</f>
        <v/>
      </c>
    </row>
    <row r="3944" spans="1:1">
      <c r="A3944" t="str">
        <f>IFERROR(_xlfn.XLOOKUP(B3944,Cuentas!$C$1:$C$521,Cuentas!$A$1:$A$521),"")</f>
        <v/>
      </c>
    </row>
    <row r="3945" spans="1:1">
      <c r="A3945" t="str">
        <f>IFERROR(_xlfn.XLOOKUP(B3945,Cuentas!$C$1:$C$521,Cuentas!$A$1:$A$521),"")</f>
        <v/>
      </c>
    </row>
    <row r="3946" spans="1:1">
      <c r="A3946" t="str">
        <f>IFERROR(_xlfn.XLOOKUP(B3946,Cuentas!$C$1:$C$521,Cuentas!$A$1:$A$521),"")</f>
        <v/>
      </c>
    </row>
    <row r="3947" spans="1:1">
      <c r="A3947" t="str">
        <f>IFERROR(_xlfn.XLOOKUP(B3947,Cuentas!$C$1:$C$521,Cuentas!$A$1:$A$521),"")</f>
        <v/>
      </c>
    </row>
    <row r="3948" spans="1:1">
      <c r="A3948" t="str">
        <f>IFERROR(_xlfn.XLOOKUP(B3948,Cuentas!$C$1:$C$521,Cuentas!$A$1:$A$521),"")</f>
        <v/>
      </c>
    </row>
    <row r="3949" spans="1:1">
      <c r="A3949" t="str">
        <f>IFERROR(_xlfn.XLOOKUP(B3949,Cuentas!$C$1:$C$521,Cuentas!$A$1:$A$521),"")</f>
        <v/>
      </c>
    </row>
    <row r="3950" spans="1:1">
      <c r="A3950" t="str">
        <f>IFERROR(_xlfn.XLOOKUP(B3950,Cuentas!$C$1:$C$521,Cuentas!$A$1:$A$521),"")</f>
        <v/>
      </c>
    </row>
    <row r="3951" spans="1:1">
      <c r="A3951" t="str">
        <f>IFERROR(_xlfn.XLOOKUP(B3951,Cuentas!$C$1:$C$521,Cuentas!$A$1:$A$521),"")</f>
        <v/>
      </c>
    </row>
    <row r="3952" spans="1:1">
      <c r="A3952" t="str">
        <f>IFERROR(_xlfn.XLOOKUP(B3952,Cuentas!$C$1:$C$521,Cuentas!$A$1:$A$521),"")</f>
        <v/>
      </c>
    </row>
    <row r="3953" spans="1:1">
      <c r="A3953" t="str">
        <f>IFERROR(_xlfn.XLOOKUP(B3953,Cuentas!$C$1:$C$521,Cuentas!$A$1:$A$521),"")</f>
        <v/>
      </c>
    </row>
    <row r="3954" spans="1:1">
      <c r="A3954" t="str">
        <f>IFERROR(_xlfn.XLOOKUP(B3954,Cuentas!$C$1:$C$521,Cuentas!$A$1:$A$521),"")</f>
        <v/>
      </c>
    </row>
    <row r="3955" spans="1:1">
      <c r="A3955" t="str">
        <f>IFERROR(_xlfn.XLOOKUP(B3955,Cuentas!$C$1:$C$521,Cuentas!$A$1:$A$521),"")</f>
        <v/>
      </c>
    </row>
    <row r="3956" spans="1:1">
      <c r="A3956" t="str">
        <f>IFERROR(_xlfn.XLOOKUP(B3956,Cuentas!$C$1:$C$521,Cuentas!$A$1:$A$521),"")</f>
        <v/>
      </c>
    </row>
    <row r="3957" spans="1:1">
      <c r="A3957" t="str">
        <f>IFERROR(_xlfn.XLOOKUP(B3957,Cuentas!$C$1:$C$521,Cuentas!$A$1:$A$521),"")</f>
        <v/>
      </c>
    </row>
    <row r="3958" spans="1:1">
      <c r="A3958" t="str">
        <f>IFERROR(_xlfn.XLOOKUP(B3958,Cuentas!$C$1:$C$521,Cuentas!$A$1:$A$521),"")</f>
        <v/>
      </c>
    </row>
    <row r="3959" spans="1:1">
      <c r="A3959" t="str">
        <f>IFERROR(_xlfn.XLOOKUP(B3959,Cuentas!$C$1:$C$521,Cuentas!$A$1:$A$521),"")</f>
        <v/>
      </c>
    </row>
    <row r="3960" spans="1:1">
      <c r="A3960" t="str">
        <f>IFERROR(_xlfn.XLOOKUP(B3960,Cuentas!$C$1:$C$521,Cuentas!$A$1:$A$521),"")</f>
        <v/>
      </c>
    </row>
    <row r="3961" spans="1:1">
      <c r="A3961" t="str">
        <f>IFERROR(_xlfn.XLOOKUP(B3961,Cuentas!$C$1:$C$521,Cuentas!$A$1:$A$521),"")</f>
        <v/>
      </c>
    </row>
    <row r="3962" spans="1:1">
      <c r="A3962" t="str">
        <f>IFERROR(_xlfn.XLOOKUP(B3962,Cuentas!$C$1:$C$521,Cuentas!$A$1:$A$521),"")</f>
        <v/>
      </c>
    </row>
    <row r="3963" spans="1:1">
      <c r="A3963" t="str">
        <f>IFERROR(_xlfn.XLOOKUP(B3963,Cuentas!$C$1:$C$521,Cuentas!$A$1:$A$521),"")</f>
        <v/>
      </c>
    </row>
    <row r="3964" spans="1:1">
      <c r="A3964" t="str">
        <f>IFERROR(_xlfn.XLOOKUP(B3964,Cuentas!$C$1:$C$521,Cuentas!$A$1:$A$521),"")</f>
        <v/>
      </c>
    </row>
    <row r="3965" spans="1:1">
      <c r="A3965" t="str">
        <f>IFERROR(_xlfn.XLOOKUP(B3965,Cuentas!$C$1:$C$521,Cuentas!$A$1:$A$521),"")</f>
        <v/>
      </c>
    </row>
    <row r="3966" spans="1:1">
      <c r="A3966" t="str">
        <f>IFERROR(_xlfn.XLOOKUP(B3966,Cuentas!$C$1:$C$521,Cuentas!$A$1:$A$521),"")</f>
        <v/>
      </c>
    </row>
    <row r="3967" spans="1:1">
      <c r="A3967" t="str">
        <f>IFERROR(_xlfn.XLOOKUP(B3967,Cuentas!$C$1:$C$521,Cuentas!$A$1:$A$521),"")</f>
        <v/>
      </c>
    </row>
    <row r="3968" spans="1:1">
      <c r="A3968" t="str">
        <f>IFERROR(_xlfn.XLOOKUP(B3968,Cuentas!$C$1:$C$521,Cuentas!$A$1:$A$521),"")</f>
        <v/>
      </c>
    </row>
    <row r="3969" spans="1:1">
      <c r="A3969" t="str">
        <f>IFERROR(_xlfn.XLOOKUP(B3969,Cuentas!$C$1:$C$521,Cuentas!$A$1:$A$521),"")</f>
        <v/>
      </c>
    </row>
    <row r="3970" spans="1:1">
      <c r="A3970" t="str">
        <f>IFERROR(_xlfn.XLOOKUP(B3970,Cuentas!$C$1:$C$521,Cuentas!$A$1:$A$521),"")</f>
        <v/>
      </c>
    </row>
    <row r="3971" spans="1:1">
      <c r="A3971" t="str">
        <f>IFERROR(_xlfn.XLOOKUP(B3971,Cuentas!$C$1:$C$521,Cuentas!$A$1:$A$521),"")</f>
        <v/>
      </c>
    </row>
    <row r="3972" spans="1:1">
      <c r="A3972" t="str">
        <f>IFERROR(_xlfn.XLOOKUP(B3972,Cuentas!$C$1:$C$521,Cuentas!$A$1:$A$521),"")</f>
        <v/>
      </c>
    </row>
    <row r="3973" spans="1:1">
      <c r="A3973" t="str">
        <f>IFERROR(_xlfn.XLOOKUP(B3973,Cuentas!$C$1:$C$521,Cuentas!$A$1:$A$521),"")</f>
        <v/>
      </c>
    </row>
    <row r="3974" spans="1:1">
      <c r="A3974" t="str">
        <f>IFERROR(_xlfn.XLOOKUP(B3974,Cuentas!$C$1:$C$521,Cuentas!$A$1:$A$521),"")</f>
        <v/>
      </c>
    </row>
    <row r="3975" spans="1:1">
      <c r="A3975" t="str">
        <f>IFERROR(_xlfn.XLOOKUP(B3975,Cuentas!$C$1:$C$521,Cuentas!$A$1:$A$521),"")</f>
        <v/>
      </c>
    </row>
    <row r="3976" spans="1:1">
      <c r="A3976" t="str">
        <f>IFERROR(_xlfn.XLOOKUP(B3976,Cuentas!$C$1:$C$521,Cuentas!$A$1:$A$521),"")</f>
        <v/>
      </c>
    </row>
    <row r="3977" spans="1:1">
      <c r="A3977" t="str">
        <f>IFERROR(_xlfn.XLOOKUP(B3977,Cuentas!$C$1:$C$521,Cuentas!$A$1:$A$521),"")</f>
        <v/>
      </c>
    </row>
    <row r="3978" spans="1:1">
      <c r="A3978" t="str">
        <f>IFERROR(_xlfn.XLOOKUP(B3978,Cuentas!$C$1:$C$521,Cuentas!$A$1:$A$521),"")</f>
        <v/>
      </c>
    </row>
    <row r="3979" spans="1:1">
      <c r="A3979" t="str">
        <f>IFERROR(_xlfn.XLOOKUP(B3979,Cuentas!$C$1:$C$521,Cuentas!$A$1:$A$521),"")</f>
        <v/>
      </c>
    </row>
    <row r="3980" spans="1:1">
      <c r="A3980" t="str">
        <f>IFERROR(_xlfn.XLOOKUP(B3980,Cuentas!$C$1:$C$521,Cuentas!$A$1:$A$521),"")</f>
        <v/>
      </c>
    </row>
    <row r="3981" spans="1:1">
      <c r="A3981" t="str">
        <f>IFERROR(_xlfn.XLOOKUP(B3981,Cuentas!$C$1:$C$521,Cuentas!$A$1:$A$521),"")</f>
        <v/>
      </c>
    </row>
    <row r="3982" spans="1:1">
      <c r="A3982" t="str">
        <f>IFERROR(_xlfn.XLOOKUP(B3982,Cuentas!$C$1:$C$521,Cuentas!$A$1:$A$521),"")</f>
        <v/>
      </c>
    </row>
    <row r="3983" spans="1:1">
      <c r="A3983" t="str">
        <f>IFERROR(_xlfn.XLOOKUP(B3983,Cuentas!$C$1:$C$521,Cuentas!$A$1:$A$521),"")</f>
        <v/>
      </c>
    </row>
    <row r="3984" spans="1:1">
      <c r="A3984" t="str">
        <f>IFERROR(_xlfn.XLOOKUP(B3984,Cuentas!$C$1:$C$521,Cuentas!$A$1:$A$521),"")</f>
        <v/>
      </c>
    </row>
    <row r="3985" spans="1:1">
      <c r="A3985" t="str">
        <f>IFERROR(_xlfn.XLOOKUP(B3985,Cuentas!$C$1:$C$521,Cuentas!$A$1:$A$521),"")</f>
        <v/>
      </c>
    </row>
    <row r="3986" spans="1:1">
      <c r="A3986" t="str">
        <f>IFERROR(_xlfn.XLOOKUP(B3986,Cuentas!$C$1:$C$521,Cuentas!$A$1:$A$521),"")</f>
        <v/>
      </c>
    </row>
    <row r="3987" spans="1:1">
      <c r="A3987" t="str">
        <f>IFERROR(_xlfn.XLOOKUP(B3987,Cuentas!$C$1:$C$521,Cuentas!$A$1:$A$521),"")</f>
        <v/>
      </c>
    </row>
    <row r="3988" spans="1:1">
      <c r="A3988" t="str">
        <f>IFERROR(_xlfn.XLOOKUP(B3988,Cuentas!$C$1:$C$521,Cuentas!$A$1:$A$521),"")</f>
        <v/>
      </c>
    </row>
    <row r="3989" spans="1:1">
      <c r="A3989" t="str">
        <f>IFERROR(_xlfn.XLOOKUP(B3989,Cuentas!$C$1:$C$521,Cuentas!$A$1:$A$521),"")</f>
        <v/>
      </c>
    </row>
    <row r="3990" spans="1:1">
      <c r="A3990" t="str">
        <f>IFERROR(_xlfn.XLOOKUP(B3990,Cuentas!$C$1:$C$521,Cuentas!$A$1:$A$521),"")</f>
        <v/>
      </c>
    </row>
    <row r="3991" spans="1:1">
      <c r="A3991" t="str">
        <f>IFERROR(_xlfn.XLOOKUP(B3991,Cuentas!$C$1:$C$521,Cuentas!$A$1:$A$521),"")</f>
        <v/>
      </c>
    </row>
    <row r="3992" spans="1:1">
      <c r="A3992" t="str">
        <f>IFERROR(_xlfn.XLOOKUP(B3992,Cuentas!$C$1:$C$521,Cuentas!$A$1:$A$521),"")</f>
        <v/>
      </c>
    </row>
    <row r="3993" spans="1:1">
      <c r="A3993" t="str">
        <f>IFERROR(_xlfn.XLOOKUP(B3993,Cuentas!$C$1:$C$521,Cuentas!$A$1:$A$521),"")</f>
        <v/>
      </c>
    </row>
    <row r="3994" spans="1:1">
      <c r="A3994" t="str">
        <f>IFERROR(_xlfn.XLOOKUP(B3994,Cuentas!$C$1:$C$521,Cuentas!$A$1:$A$521),"")</f>
        <v/>
      </c>
    </row>
    <row r="3995" spans="1:1">
      <c r="A3995" t="str">
        <f>IFERROR(_xlfn.XLOOKUP(B3995,Cuentas!$C$1:$C$521,Cuentas!$A$1:$A$521),"")</f>
        <v/>
      </c>
    </row>
    <row r="3996" spans="1:1">
      <c r="A3996" t="str">
        <f>IFERROR(_xlfn.XLOOKUP(B3996,Cuentas!$C$1:$C$521,Cuentas!$A$1:$A$521),"")</f>
        <v/>
      </c>
    </row>
    <row r="3997" spans="1:1">
      <c r="A3997" t="str">
        <f>IFERROR(_xlfn.XLOOKUP(B3997,Cuentas!$C$1:$C$521,Cuentas!$A$1:$A$521),"")</f>
        <v/>
      </c>
    </row>
    <row r="3998" spans="1:1">
      <c r="A3998" t="str">
        <f>IFERROR(_xlfn.XLOOKUP(B3998,Cuentas!$C$1:$C$521,Cuentas!$A$1:$A$521),"")</f>
        <v/>
      </c>
    </row>
    <row r="3999" spans="1:1">
      <c r="A3999" t="str">
        <f>IFERROR(_xlfn.XLOOKUP(B3999,Cuentas!$C$1:$C$521,Cuentas!$A$1:$A$521),"")</f>
        <v/>
      </c>
    </row>
    <row r="4000" spans="1:1">
      <c r="A4000" t="str">
        <f>IFERROR(_xlfn.XLOOKUP(B4000,Cuentas!$C$1:$C$521,Cuentas!$A$1:$A$521),"")</f>
        <v/>
      </c>
    </row>
    <row r="4001" spans="1:1">
      <c r="A4001" t="str">
        <f>IFERROR(_xlfn.XLOOKUP(B4001,Cuentas!$C$1:$C$521,Cuentas!$A$1:$A$521),"")</f>
        <v/>
      </c>
    </row>
    <row r="4002" spans="1:1">
      <c r="A4002" t="str">
        <f>IFERROR(_xlfn.XLOOKUP(B4002,Cuentas!$C$1:$C$521,Cuentas!$A$1:$A$521),"")</f>
        <v/>
      </c>
    </row>
    <row r="4003" spans="1:1">
      <c r="A4003" t="str">
        <f>IFERROR(_xlfn.XLOOKUP(B4003,Cuentas!$C$1:$C$521,Cuentas!$A$1:$A$521),"")</f>
        <v/>
      </c>
    </row>
    <row r="4004" spans="1:1">
      <c r="A4004" t="str">
        <f>IFERROR(_xlfn.XLOOKUP(B4004,Cuentas!$C$1:$C$521,Cuentas!$A$1:$A$521),"")</f>
        <v/>
      </c>
    </row>
    <row r="4005" spans="1:1">
      <c r="A4005" t="str">
        <f>IFERROR(_xlfn.XLOOKUP(B4005,Cuentas!$C$1:$C$521,Cuentas!$A$1:$A$521),"")</f>
        <v/>
      </c>
    </row>
    <row r="4006" spans="1:1">
      <c r="A4006" t="str">
        <f>IFERROR(_xlfn.XLOOKUP(B4006,Cuentas!$C$1:$C$521,Cuentas!$A$1:$A$521),"")</f>
        <v/>
      </c>
    </row>
    <row r="4007" spans="1:1">
      <c r="A4007" t="str">
        <f>IFERROR(_xlfn.XLOOKUP(B4007,Cuentas!$C$1:$C$521,Cuentas!$A$1:$A$521),"")</f>
        <v/>
      </c>
    </row>
    <row r="4008" spans="1:1">
      <c r="A4008" t="str">
        <f>IFERROR(_xlfn.XLOOKUP(B4008,Cuentas!$C$1:$C$521,Cuentas!$A$1:$A$521),"")</f>
        <v/>
      </c>
    </row>
    <row r="4009" spans="1:1">
      <c r="A4009" t="str">
        <f>IFERROR(_xlfn.XLOOKUP(B4009,Cuentas!$C$1:$C$521,Cuentas!$A$1:$A$521),"")</f>
        <v/>
      </c>
    </row>
    <row r="4010" spans="1:1">
      <c r="A4010" t="str">
        <f>IFERROR(_xlfn.XLOOKUP(B4010,Cuentas!$C$1:$C$521,Cuentas!$A$1:$A$521),"")</f>
        <v/>
      </c>
    </row>
    <row r="4011" spans="1:1">
      <c r="A4011" t="str">
        <f>IFERROR(_xlfn.XLOOKUP(B4011,Cuentas!$C$1:$C$521,Cuentas!$A$1:$A$521),"")</f>
        <v/>
      </c>
    </row>
    <row r="4012" spans="1:1">
      <c r="A4012" t="str">
        <f>IFERROR(_xlfn.XLOOKUP(B4012,Cuentas!$C$1:$C$521,Cuentas!$A$1:$A$521),"")</f>
        <v/>
      </c>
    </row>
    <row r="4013" spans="1:1">
      <c r="A4013" t="str">
        <f>IFERROR(_xlfn.XLOOKUP(B4013,Cuentas!$C$1:$C$521,Cuentas!$A$1:$A$521),"")</f>
        <v/>
      </c>
    </row>
    <row r="4014" spans="1:1">
      <c r="A4014" t="str">
        <f>IFERROR(_xlfn.XLOOKUP(B4014,Cuentas!$C$1:$C$521,Cuentas!$A$1:$A$521),"")</f>
        <v/>
      </c>
    </row>
    <row r="4015" spans="1:1">
      <c r="A4015" t="str">
        <f>IFERROR(_xlfn.XLOOKUP(B4015,Cuentas!$C$1:$C$521,Cuentas!$A$1:$A$521),"")</f>
        <v/>
      </c>
    </row>
    <row r="4016" spans="1:1">
      <c r="A4016" t="str">
        <f>IFERROR(_xlfn.XLOOKUP(B4016,Cuentas!$C$1:$C$521,Cuentas!$A$1:$A$521),"")</f>
        <v/>
      </c>
    </row>
    <row r="4017" spans="1:1">
      <c r="A4017" t="str">
        <f>IFERROR(_xlfn.XLOOKUP(B4017,Cuentas!$C$1:$C$521,Cuentas!$A$1:$A$521),"")</f>
        <v/>
      </c>
    </row>
    <row r="4018" spans="1:1">
      <c r="A4018" t="str">
        <f>IFERROR(_xlfn.XLOOKUP(B4018,Cuentas!$C$1:$C$521,Cuentas!$A$1:$A$521),"")</f>
        <v/>
      </c>
    </row>
    <row r="4019" spans="1:1">
      <c r="A4019" t="str">
        <f>IFERROR(_xlfn.XLOOKUP(B4019,Cuentas!$C$1:$C$521,Cuentas!$A$1:$A$521),"")</f>
        <v/>
      </c>
    </row>
    <row r="4020" spans="1:1">
      <c r="A4020" t="str">
        <f>IFERROR(_xlfn.XLOOKUP(B4020,Cuentas!$C$1:$C$521,Cuentas!$A$1:$A$521),"")</f>
        <v/>
      </c>
    </row>
    <row r="4021" spans="1:1">
      <c r="A4021" t="str">
        <f>IFERROR(_xlfn.XLOOKUP(B4021,Cuentas!$C$1:$C$521,Cuentas!$A$1:$A$521),"")</f>
        <v/>
      </c>
    </row>
    <row r="4022" spans="1:1">
      <c r="A4022" t="str">
        <f>IFERROR(_xlfn.XLOOKUP(B4022,Cuentas!$C$1:$C$521,Cuentas!$A$1:$A$521),"")</f>
        <v/>
      </c>
    </row>
    <row r="4023" spans="1:1">
      <c r="A4023" t="str">
        <f>IFERROR(_xlfn.XLOOKUP(B4023,Cuentas!$C$1:$C$521,Cuentas!$A$1:$A$521),"")</f>
        <v/>
      </c>
    </row>
    <row r="4024" spans="1:1">
      <c r="A4024" t="str">
        <f>IFERROR(_xlfn.XLOOKUP(B4024,Cuentas!$C$1:$C$521,Cuentas!$A$1:$A$521),"")</f>
        <v/>
      </c>
    </row>
    <row r="4025" spans="1:1">
      <c r="A4025" t="str">
        <f>IFERROR(_xlfn.XLOOKUP(B4025,Cuentas!$C$1:$C$521,Cuentas!$A$1:$A$521),"")</f>
        <v/>
      </c>
    </row>
    <row r="4026" spans="1:1">
      <c r="A4026" t="str">
        <f>IFERROR(_xlfn.XLOOKUP(B4026,Cuentas!$C$1:$C$521,Cuentas!$A$1:$A$521),"")</f>
        <v/>
      </c>
    </row>
    <row r="4027" spans="1:1">
      <c r="A4027" t="str">
        <f>IFERROR(_xlfn.XLOOKUP(B4027,Cuentas!$C$1:$C$521,Cuentas!$A$1:$A$521),"")</f>
        <v/>
      </c>
    </row>
    <row r="4028" spans="1:1">
      <c r="A4028" t="str">
        <f>IFERROR(_xlfn.XLOOKUP(B4028,Cuentas!$C$1:$C$521,Cuentas!$A$1:$A$521),"")</f>
        <v/>
      </c>
    </row>
    <row r="4029" spans="1:1">
      <c r="A4029" t="str">
        <f>IFERROR(_xlfn.XLOOKUP(B4029,Cuentas!$C$1:$C$521,Cuentas!$A$1:$A$521),"")</f>
        <v/>
      </c>
    </row>
    <row r="4030" spans="1:1">
      <c r="A4030" t="str">
        <f>IFERROR(_xlfn.XLOOKUP(B4030,Cuentas!$C$1:$C$521,Cuentas!$A$1:$A$521),"")</f>
        <v/>
      </c>
    </row>
    <row r="4031" spans="1:1">
      <c r="A4031" t="str">
        <f>IFERROR(_xlfn.XLOOKUP(B4031,Cuentas!$C$1:$C$521,Cuentas!$A$1:$A$521),"")</f>
        <v/>
      </c>
    </row>
    <row r="4032" spans="1:1">
      <c r="A4032" t="str">
        <f>IFERROR(_xlfn.XLOOKUP(B4032,Cuentas!$C$1:$C$521,Cuentas!$A$1:$A$521),"")</f>
        <v/>
      </c>
    </row>
    <row r="4033" spans="1:1">
      <c r="A4033" t="str">
        <f>IFERROR(_xlfn.XLOOKUP(B4033,Cuentas!$C$1:$C$521,Cuentas!$A$1:$A$521),"")</f>
        <v/>
      </c>
    </row>
    <row r="4034" spans="1:1">
      <c r="A4034" t="str">
        <f>IFERROR(_xlfn.XLOOKUP(B4034,Cuentas!$C$1:$C$521,Cuentas!$A$1:$A$521),"")</f>
        <v/>
      </c>
    </row>
    <row r="4035" spans="1:1">
      <c r="A4035" t="str">
        <f>IFERROR(_xlfn.XLOOKUP(B4035,Cuentas!$C$1:$C$521,Cuentas!$A$1:$A$521),"")</f>
        <v/>
      </c>
    </row>
    <row r="4036" spans="1:1">
      <c r="A4036" t="str">
        <f>IFERROR(_xlfn.XLOOKUP(B4036,Cuentas!$C$1:$C$521,Cuentas!$A$1:$A$521),"")</f>
        <v/>
      </c>
    </row>
    <row r="4037" spans="1:1">
      <c r="A4037" t="str">
        <f>IFERROR(_xlfn.XLOOKUP(B4037,Cuentas!$C$1:$C$521,Cuentas!$A$1:$A$521),"")</f>
        <v/>
      </c>
    </row>
    <row r="4038" spans="1:1">
      <c r="A4038" t="str">
        <f>IFERROR(_xlfn.XLOOKUP(B4038,Cuentas!$C$1:$C$521,Cuentas!$A$1:$A$521),"")</f>
        <v/>
      </c>
    </row>
    <row r="4039" spans="1:1">
      <c r="A4039" t="str">
        <f>IFERROR(_xlfn.XLOOKUP(B4039,Cuentas!$C$1:$C$521,Cuentas!$A$1:$A$521),"")</f>
        <v/>
      </c>
    </row>
    <row r="4040" spans="1:1">
      <c r="A4040" t="str">
        <f>IFERROR(_xlfn.XLOOKUP(B4040,Cuentas!$C$1:$C$521,Cuentas!$A$1:$A$521),"")</f>
        <v/>
      </c>
    </row>
    <row r="4041" spans="1:1">
      <c r="A4041" t="str">
        <f>IFERROR(_xlfn.XLOOKUP(B4041,Cuentas!$C$1:$C$521,Cuentas!$A$1:$A$521),"")</f>
        <v/>
      </c>
    </row>
    <row r="4042" spans="1:1">
      <c r="A4042" t="str">
        <f>IFERROR(_xlfn.XLOOKUP(B4042,Cuentas!$C$1:$C$521,Cuentas!$A$1:$A$521),"")</f>
        <v/>
      </c>
    </row>
    <row r="4043" spans="1:1">
      <c r="A4043" t="str">
        <f>IFERROR(_xlfn.XLOOKUP(B4043,Cuentas!$C$1:$C$521,Cuentas!$A$1:$A$521),"")</f>
        <v/>
      </c>
    </row>
    <row r="4044" spans="1:1">
      <c r="A4044" t="str">
        <f>IFERROR(_xlfn.XLOOKUP(B4044,Cuentas!$C$1:$C$521,Cuentas!$A$1:$A$521),"")</f>
        <v/>
      </c>
    </row>
    <row r="4045" spans="1:1">
      <c r="A4045" t="str">
        <f>IFERROR(_xlfn.XLOOKUP(B4045,Cuentas!$C$1:$C$521,Cuentas!$A$1:$A$521),"")</f>
        <v/>
      </c>
    </row>
    <row r="4046" spans="1:1">
      <c r="A4046" t="str">
        <f>IFERROR(_xlfn.XLOOKUP(B4046,Cuentas!$C$1:$C$521,Cuentas!$A$1:$A$521),"")</f>
        <v/>
      </c>
    </row>
    <row r="4047" spans="1:1">
      <c r="A4047" t="str">
        <f>IFERROR(_xlfn.XLOOKUP(B4047,Cuentas!$C$1:$C$521,Cuentas!$A$1:$A$521),"")</f>
        <v/>
      </c>
    </row>
    <row r="4048" spans="1:1">
      <c r="A4048" t="str">
        <f>IFERROR(_xlfn.XLOOKUP(B4048,Cuentas!$C$1:$C$521,Cuentas!$A$1:$A$521),"")</f>
        <v/>
      </c>
    </row>
    <row r="4049" spans="1:1">
      <c r="A4049" t="str">
        <f>IFERROR(_xlfn.XLOOKUP(B4049,Cuentas!$C$1:$C$521,Cuentas!$A$1:$A$521),"")</f>
        <v/>
      </c>
    </row>
    <row r="4050" spans="1:1">
      <c r="A4050" t="str">
        <f>IFERROR(_xlfn.XLOOKUP(B4050,Cuentas!$C$1:$C$521,Cuentas!$A$1:$A$521),"")</f>
        <v/>
      </c>
    </row>
    <row r="4051" spans="1:1">
      <c r="A4051" t="str">
        <f>IFERROR(_xlfn.XLOOKUP(B4051,Cuentas!$C$1:$C$521,Cuentas!$A$1:$A$521),"")</f>
        <v/>
      </c>
    </row>
    <row r="4052" spans="1:1">
      <c r="A4052" t="str">
        <f>IFERROR(_xlfn.XLOOKUP(B4052,Cuentas!$C$1:$C$521,Cuentas!$A$1:$A$521),"")</f>
        <v/>
      </c>
    </row>
    <row r="4053" spans="1:1">
      <c r="A4053" t="str">
        <f>IFERROR(_xlfn.XLOOKUP(B4053,Cuentas!$C$1:$C$521,Cuentas!$A$1:$A$521),"")</f>
        <v/>
      </c>
    </row>
    <row r="4054" spans="1:1">
      <c r="A4054" t="str">
        <f>IFERROR(_xlfn.XLOOKUP(B4054,Cuentas!$C$1:$C$521,Cuentas!$A$1:$A$521),"")</f>
        <v/>
      </c>
    </row>
    <row r="4055" spans="1:1">
      <c r="A4055" t="str">
        <f>IFERROR(_xlfn.XLOOKUP(B4055,Cuentas!$C$1:$C$521,Cuentas!$A$1:$A$521),"")</f>
        <v/>
      </c>
    </row>
    <row r="4056" spans="1:1">
      <c r="A4056" t="str">
        <f>IFERROR(_xlfn.XLOOKUP(B4056,Cuentas!$C$1:$C$521,Cuentas!$A$1:$A$521),"")</f>
        <v/>
      </c>
    </row>
    <row r="4057" spans="1:1">
      <c r="A4057" t="str">
        <f>IFERROR(_xlfn.XLOOKUP(B4057,Cuentas!$C$1:$C$521,Cuentas!$A$1:$A$521),"")</f>
        <v/>
      </c>
    </row>
    <row r="4058" spans="1:1">
      <c r="A4058" t="str">
        <f>IFERROR(_xlfn.XLOOKUP(B4058,Cuentas!$C$1:$C$521,Cuentas!$A$1:$A$521),"")</f>
        <v/>
      </c>
    </row>
    <row r="4059" spans="1:1">
      <c r="A4059" t="str">
        <f>IFERROR(_xlfn.XLOOKUP(B4059,Cuentas!$C$1:$C$521,Cuentas!$A$1:$A$521),"")</f>
        <v/>
      </c>
    </row>
    <row r="4060" spans="1:1">
      <c r="A4060" t="str">
        <f>IFERROR(_xlfn.XLOOKUP(B4060,Cuentas!$C$1:$C$521,Cuentas!$A$1:$A$521),"")</f>
        <v/>
      </c>
    </row>
    <row r="4061" spans="1:1">
      <c r="A4061" t="str">
        <f>IFERROR(_xlfn.XLOOKUP(B4061,Cuentas!$C$1:$C$521,Cuentas!$A$1:$A$521),"")</f>
        <v/>
      </c>
    </row>
    <row r="4062" spans="1:1">
      <c r="A4062" t="str">
        <f>IFERROR(_xlfn.XLOOKUP(B4062,Cuentas!$C$1:$C$521,Cuentas!$A$1:$A$521),"")</f>
        <v/>
      </c>
    </row>
    <row r="4063" spans="1:1">
      <c r="A4063" t="str">
        <f>IFERROR(_xlfn.XLOOKUP(B4063,Cuentas!$C$1:$C$521,Cuentas!$A$1:$A$521),"")</f>
        <v/>
      </c>
    </row>
    <row r="4064" spans="1:1">
      <c r="A4064" t="str">
        <f>IFERROR(_xlfn.XLOOKUP(B4064,Cuentas!$C$1:$C$521,Cuentas!$A$1:$A$521),"")</f>
        <v/>
      </c>
    </row>
    <row r="4065" spans="1:1">
      <c r="A4065" t="str">
        <f>IFERROR(_xlfn.XLOOKUP(B4065,Cuentas!$C$1:$C$521,Cuentas!$A$1:$A$521),"")</f>
        <v/>
      </c>
    </row>
    <row r="4066" spans="1:1">
      <c r="A4066" t="str">
        <f>IFERROR(_xlfn.XLOOKUP(B4066,Cuentas!$C$1:$C$521,Cuentas!$A$1:$A$521),"")</f>
        <v/>
      </c>
    </row>
    <row r="4067" spans="1:1">
      <c r="A4067" t="str">
        <f>IFERROR(_xlfn.XLOOKUP(B4067,Cuentas!$C$1:$C$521,Cuentas!$A$1:$A$521),"")</f>
        <v/>
      </c>
    </row>
    <row r="4068" spans="1:1">
      <c r="A4068" t="str">
        <f>IFERROR(_xlfn.XLOOKUP(B4068,Cuentas!$C$1:$C$521,Cuentas!$A$1:$A$521),"")</f>
        <v/>
      </c>
    </row>
    <row r="4069" spans="1:1">
      <c r="A4069" t="str">
        <f>IFERROR(_xlfn.XLOOKUP(B4069,Cuentas!$C$1:$C$521,Cuentas!$A$1:$A$521),"")</f>
        <v/>
      </c>
    </row>
    <row r="4070" spans="1:1">
      <c r="A4070" t="str">
        <f>IFERROR(_xlfn.XLOOKUP(B4070,Cuentas!$C$1:$C$521,Cuentas!$A$1:$A$521),"")</f>
        <v/>
      </c>
    </row>
    <row r="4071" spans="1:1">
      <c r="A4071" t="str">
        <f>IFERROR(_xlfn.XLOOKUP(B4071,Cuentas!$C$1:$C$521,Cuentas!$A$1:$A$521),"")</f>
        <v/>
      </c>
    </row>
    <row r="4072" spans="1:1">
      <c r="A4072" t="str">
        <f>IFERROR(_xlfn.XLOOKUP(B4072,Cuentas!$C$1:$C$521,Cuentas!$A$1:$A$521),"")</f>
        <v/>
      </c>
    </row>
    <row r="4073" spans="1:1">
      <c r="A4073" t="str">
        <f>IFERROR(_xlfn.XLOOKUP(B4073,Cuentas!$C$1:$C$521,Cuentas!$A$1:$A$521),"")</f>
        <v/>
      </c>
    </row>
    <row r="4074" spans="1:1">
      <c r="A4074" t="str">
        <f>IFERROR(_xlfn.XLOOKUP(B4074,Cuentas!$C$1:$C$521,Cuentas!$A$1:$A$521),"")</f>
        <v/>
      </c>
    </row>
    <row r="4075" spans="1:1">
      <c r="A4075" t="str">
        <f>IFERROR(_xlfn.XLOOKUP(B4075,Cuentas!$C$1:$C$521,Cuentas!$A$1:$A$521),"")</f>
        <v/>
      </c>
    </row>
    <row r="4076" spans="1:1">
      <c r="A4076" t="str">
        <f>IFERROR(_xlfn.XLOOKUP(B4076,Cuentas!$C$1:$C$521,Cuentas!$A$1:$A$521),"")</f>
        <v/>
      </c>
    </row>
    <row r="4077" spans="1:1">
      <c r="A4077" t="str">
        <f>IFERROR(_xlfn.XLOOKUP(B4077,Cuentas!$C$1:$C$521,Cuentas!$A$1:$A$521),"")</f>
        <v/>
      </c>
    </row>
    <row r="4078" spans="1:1">
      <c r="A4078" t="str">
        <f>IFERROR(_xlfn.XLOOKUP(B4078,Cuentas!$C$1:$C$521,Cuentas!$A$1:$A$521),"")</f>
        <v/>
      </c>
    </row>
    <row r="4079" spans="1:1">
      <c r="A4079" t="str">
        <f>IFERROR(_xlfn.XLOOKUP(B4079,Cuentas!$C$1:$C$521,Cuentas!$A$1:$A$521),"")</f>
        <v/>
      </c>
    </row>
    <row r="4080" spans="1:1">
      <c r="A4080" t="str">
        <f>IFERROR(_xlfn.XLOOKUP(B4080,Cuentas!$C$1:$C$521,Cuentas!$A$1:$A$521),"")</f>
        <v/>
      </c>
    </row>
    <row r="4081" spans="1:1">
      <c r="A4081" t="str">
        <f>IFERROR(_xlfn.XLOOKUP(B4081,Cuentas!$C$1:$C$521,Cuentas!$A$1:$A$521),"")</f>
        <v/>
      </c>
    </row>
    <row r="4082" spans="1:1">
      <c r="A4082" t="str">
        <f>IFERROR(_xlfn.XLOOKUP(B4082,Cuentas!$C$1:$C$521,Cuentas!$A$1:$A$521),"")</f>
        <v/>
      </c>
    </row>
    <row r="4083" spans="1:1">
      <c r="A4083" t="str">
        <f>IFERROR(_xlfn.XLOOKUP(B4083,Cuentas!$C$1:$C$521,Cuentas!$A$1:$A$521),"")</f>
        <v/>
      </c>
    </row>
    <row r="4084" spans="1:1">
      <c r="A4084" t="str">
        <f>IFERROR(_xlfn.XLOOKUP(B4084,Cuentas!$C$1:$C$521,Cuentas!$A$1:$A$521),"")</f>
        <v/>
      </c>
    </row>
    <row r="4085" spans="1:1">
      <c r="A4085" t="str">
        <f>IFERROR(_xlfn.XLOOKUP(B4085,Cuentas!$C$1:$C$521,Cuentas!$A$1:$A$521),"")</f>
        <v/>
      </c>
    </row>
    <row r="4086" spans="1:1">
      <c r="A4086" t="str">
        <f>IFERROR(_xlfn.XLOOKUP(B4086,Cuentas!$C$1:$C$521,Cuentas!$A$1:$A$521),"")</f>
        <v/>
      </c>
    </row>
    <row r="4087" spans="1:1">
      <c r="A4087" t="str">
        <f>IFERROR(_xlfn.XLOOKUP(B4087,Cuentas!$C$1:$C$521,Cuentas!$A$1:$A$521),"")</f>
        <v/>
      </c>
    </row>
    <row r="4088" spans="1:1">
      <c r="A4088" t="str">
        <f>IFERROR(_xlfn.XLOOKUP(B4088,Cuentas!$C$1:$C$521,Cuentas!$A$1:$A$521),"")</f>
        <v/>
      </c>
    </row>
    <row r="4089" spans="1:1">
      <c r="A4089" t="str">
        <f>IFERROR(_xlfn.XLOOKUP(B4089,Cuentas!$C$1:$C$521,Cuentas!$A$1:$A$521),"")</f>
        <v/>
      </c>
    </row>
    <row r="4090" spans="1:1">
      <c r="A4090" t="str">
        <f>IFERROR(_xlfn.XLOOKUP(B4090,Cuentas!$C$1:$C$521,Cuentas!$A$1:$A$521),"")</f>
        <v/>
      </c>
    </row>
    <row r="4091" spans="1:1">
      <c r="A4091" t="str">
        <f>IFERROR(_xlfn.XLOOKUP(B4091,Cuentas!$C$1:$C$521,Cuentas!$A$1:$A$521),"")</f>
        <v/>
      </c>
    </row>
    <row r="4092" spans="1:1">
      <c r="A4092" t="str">
        <f>IFERROR(_xlfn.XLOOKUP(B4092,Cuentas!$C$1:$C$521,Cuentas!$A$1:$A$521),"")</f>
        <v/>
      </c>
    </row>
    <row r="4093" spans="1:1">
      <c r="A4093" t="str">
        <f>IFERROR(_xlfn.XLOOKUP(B4093,Cuentas!$C$1:$C$521,Cuentas!$A$1:$A$521),"")</f>
        <v/>
      </c>
    </row>
    <row r="4094" spans="1:1">
      <c r="A4094" t="str">
        <f>IFERROR(_xlfn.XLOOKUP(B4094,Cuentas!$C$1:$C$521,Cuentas!$A$1:$A$521),"")</f>
        <v/>
      </c>
    </row>
    <row r="4095" spans="1:1">
      <c r="A4095" t="str">
        <f>IFERROR(_xlfn.XLOOKUP(B4095,Cuentas!$C$1:$C$521,Cuentas!$A$1:$A$521),"")</f>
        <v/>
      </c>
    </row>
    <row r="4096" spans="1:1">
      <c r="A4096" t="str">
        <f>IFERROR(_xlfn.XLOOKUP(B4096,Cuentas!$C$1:$C$521,Cuentas!$A$1:$A$521),"")</f>
        <v/>
      </c>
    </row>
    <row r="4097" spans="1:1">
      <c r="A4097" t="str">
        <f>IFERROR(_xlfn.XLOOKUP(B4097,Cuentas!$C$1:$C$521,Cuentas!$A$1:$A$521),"")</f>
        <v/>
      </c>
    </row>
    <row r="4098" spans="1:1">
      <c r="A4098" t="str">
        <f>IFERROR(_xlfn.XLOOKUP(B4098,Cuentas!$C$1:$C$521,Cuentas!$A$1:$A$521),"")</f>
        <v/>
      </c>
    </row>
    <row r="4099" spans="1:1">
      <c r="A4099" t="str">
        <f>IFERROR(_xlfn.XLOOKUP(B4099,Cuentas!$C$1:$C$521,Cuentas!$A$1:$A$521),"")</f>
        <v/>
      </c>
    </row>
    <row r="4100" spans="1:1">
      <c r="A4100" t="str">
        <f>IFERROR(_xlfn.XLOOKUP(B4100,Cuentas!$C$1:$C$521,Cuentas!$A$1:$A$521),"")</f>
        <v/>
      </c>
    </row>
    <row r="4101" spans="1:1">
      <c r="A4101" t="str">
        <f>IFERROR(_xlfn.XLOOKUP(B4101,Cuentas!$C$1:$C$521,Cuentas!$A$1:$A$521),"")</f>
        <v/>
      </c>
    </row>
    <row r="4102" spans="1:1">
      <c r="A4102" t="str">
        <f>IFERROR(_xlfn.XLOOKUP(B4102,Cuentas!$C$1:$C$521,Cuentas!$A$1:$A$521),"")</f>
        <v/>
      </c>
    </row>
    <row r="4103" spans="1:1">
      <c r="A4103" t="str">
        <f>IFERROR(_xlfn.XLOOKUP(B4103,Cuentas!$C$1:$C$521,Cuentas!$A$1:$A$521),"")</f>
        <v/>
      </c>
    </row>
    <row r="4104" spans="1:1">
      <c r="A4104" t="str">
        <f>IFERROR(_xlfn.XLOOKUP(B4104,Cuentas!$C$1:$C$521,Cuentas!$A$1:$A$521),"")</f>
        <v/>
      </c>
    </row>
    <row r="4105" spans="1:1">
      <c r="A4105" t="str">
        <f>IFERROR(_xlfn.XLOOKUP(B4105,Cuentas!$C$1:$C$521,Cuentas!$A$1:$A$521),"")</f>
        <v/>
      </c>
    </row>
    <row r="4106" spans="1:1">
      <c r="A4106" t="str">
        <f>IFERROR(_xlfn.XLOOKUP(B4106,Cuentas!$C$1:$C$521,Cuentas!$A$1:$A$521),"")</f>
        <v/>
      </c>
    </row>
    <row r="4107" spans="1:1">
      <c r="A4107" t="str">
        <f>IFERROR(_xlfn.XLOOKUP(B4107,Cuentas!$C$1:$C$521,Cuentas!$A$1:$A$521),"")</f>
        <v/>
      </c>
    </row>
    <row r="4108" spans="1:1">
      <c r="A4108" t="str">
        <f>IFERROR(_xlfn.XLOOKUP(B4108,Cuentas!$C$1:$C$521,Cuentas!$A$1:$A$521),"")</f>
        <v/>
      </c>
    </row>
    <row r="4109" spans="1:1">
      <c r="A4109" t="str">
        <f>IFERROR(_xlfn.XLOOKUP(B4109,Cuentas!$C$1:$C$521,Cuentas!$A$1:$A$521),"")</f>
        <v/>
      </c>
    </row>
    <row r="4110" spans="1:1">
      <c r="A4110" t="str">
        <f>IFERROR(_xlfn.XLOOKUP(B4110,Cuentas!$C$1:$C$521,Cuentas!$A$1:$A$521),"")</f>
        <v/>
      </c>
    </row>
    <row r="4111" spans="1:1">
      <c r="A4111" t="str">
        <f>IFERROR(_xlfn.XLOOKUP(B4111,Cuentas!$C$1:$C$521,Cuentas!$A$1:$A$521),"")</f>
        <v/>
      </c>
    </row>
    <row r="4112" spans="1:1">
      <c r="A4112" t="str">
        <f>IFERROR(_xlfn.XLOOKUP(B4112,Cuentas!$C$1:$C$521,Cuentas!$A$1:$A$521),"")</f>
        <v/>
      </c>
    </row>
    <row r="4113" spans="1:1">
      <c r="A4113" t="str">
        <f>IFERROR(_xlfn.XLOOKUP(B4113,Cuentas!$C$1:$C$521,Cuentas!$A$1:$A$521),"")</f>
        <v/>
      </c>
    </row>
    <row r="4114" spans="1:1">
      <c r="A4114" t="str">
        <f>IFERROR(_xlfn.XLOOKUP(B4114,Cuentas!$C$1:$C$521,Cuentas!$A$1:$A$521),"")</f>
        <v/>
      </c>
    </row>
    <row r="4115" spans="1:1">
      <c r="A4115" t="str">
        <f>IFERROR(_xlfn.XLOOKUP(B4115,Cuentas!$C$1:$C$521,Cuentas!$A$1:$A$521),"")</f>
        <v/>
      </c>
    </row>
    <row r="4116" spans="1:1">
      <c r="A4116" t="str">
        <f>IFERROR(_xlfn.XLOOKUP(B4116,Cuentas!$C$1:$C$521,Cuentas!$A$1:$A$521),"")</f>
        <v/>
      </c>
    </row>
    <row r="4117" spans="1:1">
      <c r="A4117" t="str">
        <f>IFERROR(_xlfn.XLOOKUP(B4117,Cuentas!$C$1:$C$521,Cuentas!$A$1:$A$521),"")</f>
        <v/>
      </c>
    </row>
    <row r="4118" spans="1:1">
      <c r="A4118" t="str">
        <f>IFERROR(_xlfn.XLOOKUP(B4118,Cuentas!$C$1:$C$521,Cuentas!$A$1:$A$521),"")</f>
        <v/>
      </c>
    </row>
    <row r="4119" spans="1:1">
      <c r="A4119" t="str">
        <f>IFERROR(_xlfn.XLOOKUP(B4119,Cuentas!$C$1:$C$521,Cuentas!$A$1:$A$521),"")</f>
        <v/>
      </c>
    </row>
    <row r="4120" spans="1:1">
      <c r="A4120" t="str">
        <f>IFERROR(_xlfn.XLOOKUP(B4120,Cuentas!$C$1:$C$521,Cuentas!$A$1:$A$521),"")</f>
        <v/>
      </c>
    </row>
    <row r="4121" spans="1:1">
      <c r="A4121" t="str">
        <f>IFERROR(_xlfn.XLOOKUP(B4121,Cuentas!$C$1:$C$521,Cuentas!$A$1:$A$521),"")</f>
        <v/>
      </c>
    </row>
    <row r="4122" spans="1:1">
      <c r="A4122" t="str">
        <f>IFERROR(_xlfn.XLOOKUP(B4122,Cuentas!$C$1:$C$521,Cuentas!$A$1:$A$521),"")</f>
        <v/>
      </c>
    </row>
    <row r="4123" spans="1:1">
      <c r="A4123" t="str">
        <f>IFERROR(_xlfn.XLOOKUP(B4123,Cuentas!$C$1:$C$521,Cuentas!$A$1:$A$521),"")</f>
        <v/>
      </c>
    </row>
    <row r="4124" spans="1:1">
      <c r="A4124" t="str">
        <f>IFERROR(_xlfn.XLOOKUP(B4124,Cuentas!$C$1:$C$521,Cuentas!$A$1:$A$521),"")</f>
        <v/>
      </c>
    </row>
    <row r="4125" spans="1:1">
      <c r="A4125" t="str">
        <f>IFERROR(_xlfn.XLOOKUP(B4125,Cuentas!$C$1:$C$521,Cuentas!$A$1:$A$521),"")</f>
        <v/>
      </c>
    </row>
    <row r="4126" spans="1:1">
      <c r="A4126" t="str">
        <f>IFERROR(_xlfn.XLOOKUP(B4126,Cuentas!$C$1:$C$521,Cuentas!$A$1:$A$521),"")</f>
        <v/>
      </c>
    </row>
    <row r="4127" spans="1:1">
      <c r="A4127" t="str">
        <f>IFERROR(_xlfn.XLOOKUP(B4127,Cuentas!$C$1:$C$521,Cuentas!$A$1:$A$521),"")</f>
        <v/>
      </c>
    </row>
    <row r="4128" spans="1:1">
      <c r="A4128" t="str">
        <f>IFERROR(_xlfn.XLOOKUP(B4128,Cuentas!$C$1:$C$521,Cuentas!$A$1:$A$521),"")</f>
        <v/>
      </c>
    </row>
    <row r="4129" spans="1:1">
      <c r="A4129" t="str">
        <f>IFERROR(_xlfn.XLOOKUP(B4129,Cuentas!$C$1:$C$521,Cuentas!$A$1:$A$521),"")</f>
        <v/>
      </c>
    </row>
    <row r="4130" spans="1:1">
      <c r="A4130" t="str">
        <f>IFERROR(_xlfn.XLOOKUP(B4130,Cuentas!$C$1:$C$521,Cuentas!$A$1:$A$521),"")</f>
        <v/>
      </c>
    </row>
    <row r="4131" spans="1:1">
      <c r="A4131" t="str">
        <f>IFERROR(_xlfn.XLOOKUP(B4131,Cuentas!$C$1:$C$521,Cuentas!$A$1:$A$521),"")</f>
        <v/>
      </c>
    </row>
    <row r="4132" spans="1:1">
      <c r="A4132" t="str">
        <f>IFERROR(_xlfn.XLOOKUP(B4132,Cuentas!$C$1:$C$521,Cuentas!$A$1:$A$521),"")</f>
        <v/>
      </c>
    </row>
    <row r="4133" spans="1:1">
      <c r="A4133" t="str">
        <f>IFERROR(_xlfn.XLOOKUP(B4133,Cuentas!$C$1:$C$521,Cuentas!$A$1:$A$521),"")</f>
        <v/>
      </c>
    </row>
    <row r="4134" spans="1:1">
      <c r="A4134" t="str">
        <f>IFERROR(_xlfn.XLOOKUP(B4134,Cuentas!$C$1:$C$521,Cuentas!$A$1:$A$521),"")</f>
        <v/>
      </c>
    </row>
    <row r="4135" spans="1:1">
      <c r="A4135" t="str">
        <f>IFERROR(_xlfn.XLOOKUP(B4135,Cuentas!$C$1:$C$521,Cuentas!$A$1:$A$521),"")</f>
        <v/>
      </c>
    </row>
    <row r="4136" spans="1:1">
      <c r="A4136" t="str">
        <f>IFERROR(_xlfn.XLOOKUP(B4136,Cuentas!$C$1:$C$521,Cuentas!$A$1:$A$521),"")</f>
        <v/>
      </c>
    </row>
    <row r="4137" spans="1:1">
      <c r="A4137" t="str">
        <f>IFERROR(_xlfn.XLOOKUP(B4137,Cuentas!$C$1:$C$521,Cuentas!$A$1:$A$521),"")</f>
        <v/>
      </c>
    </row>
    <row r="4138" spans="1:1">
      <c r="A4138" t="str">
        <f>IFERROR(_xlfn.XLOOKUP(B4138,Cuentas!$C$1:$C$521,Cuentas!$A$1:$A$521),"")</f>
        <v/>
      </c>
    </row>
    <row r="4139" spans="1:1">
      <c r="A4139" t="str">
        <f>IFERROR(_xlfn.XLOOKUP(B4139,Cuentas!$C$1:$C$521,Cuentas!$A$1:$A$521),"")</f>
        <v/>
      </c>
    </row>
    <row r="4140" spans="1:1">
      <c r="A4140" t="str">
        <f>IFERROR(_xlfn.XLOOKUP(B4140,Cuentas!$C$1:$C$521,Cuentas!$A$1:$A$521),"")</f>
        <v/>
      </c>
    </row>
    <row r="4141" spans="1:1">
      <c r="A4141" t="str">
        <f>IFERROR(_xlfn.XLOOKUP(B4141,Cuentas!$C$1:$C$521,Cuentas!$A$1:$A$521),"")</f>
        <v/>
      </c>
    </row>
    <row r="4142" spans="1:1">
      <c r="A4142" t="str">
        <f>IFERROR(_xlfn.XLOOKUP(B4142,Cuentas!$C$1:$C$521,Cuentas!$A$1:$A$521),"")</f>
        <v/>
      </c>
    </row>
    <row r="4143" spans="1:1">
      <c r="A4143" t="str">
        <f>IFERROR(_xlfn.XLOOKUP(B4143,Cuentas!$C$1:$C$521,Cuentas!$A$1:$A$521),"")</f>
        <v/>
      </c>
    </row>
    <row r="4144" spans="1:1">
      <c r="A4144" t="str">
        <f>IFERROR(_xlfn.XLOOKUP(B4144,Cuentas!$C$1:$C$521,Cuentas!$A$1:$A$521),"")</f>
        <v/>
      </c>
    </row>
    <row r="4145" spans="1:1">
      <c r="A4145" t="str">
        <f>IFERROR(_xlfn.XLOOKUP(B4145,Cuentas!$C$1:$C$521,Cuentas!$A$1:$A$521),"")</f>
        <v/>
      </c>
    </row>
    <row r="4146" spans="1:1">
      <c r="A4146" t="str">
        <f>IFERROR(_xlfn.XLOOKUP(B4146,Cuentas!$C$1:$C$521,Cuentas!$A$1:$A$521),"")</f>
        <v/>
      </c>
    </row>
    <row r="4147" spans="1:1">
      <c r="A4147" t="str">
        <f>IFERROR(_xlfn.XLOOKUP(B4147,Cuentas!$C$1:$C$521,Cuentas!$A$1:$A$521),"")</f>
        <v/>
      </c>
    </row>
    <row r="4148" spans="1:1">
      <c r="A4148" t="str">
        <f>IFERROR(_xlfn.XLOOKUP(B4148,Cuentas!$C$1:$C$521,Cuentas!$A$1:$A$521),"")</f>
        <v/>
      </c>
    </row>
    <row r="4149" spans="1:1">
      <c r="A4149" t="str">
        <f>IFERROR(_xlfn.XLOOKUP(B4149,Cuentas!$C$1:$C$521,Cuentas!$A$1:$A$521),"")</f>
        <v/>
      </c>
    </row>
    <row r="4150" spans="1:1">
      <c r="A4150" t="str">
        <f>IFERROR(_xlfn.XLOOKUP(B4150,Cuentas!$C$1:$C$521,Cuentas!$A$1:$A$521),"")</f>
        <v/>
      </c>
    </row>
    <row r="4151" spans="1:1">
      <c r="A4151" t="str">
        <f>IFERROR(_xlfn.XLOOKUP(B4151,Cuentas!$C$1:$C$521,Cuentas!$A$1:$A$521),"")</f>
        <v/>
      </c>
    </row>
    <row r="4152" spans="1:1">
      <c r="A4152" t="str">
        <f>IFERROR(_xlfn.XLOOKUP(B4152,Cuentas!$C$1:$C$521,Cuentas!$A$1:$A$521),"")</f>
        <v/>
      </c>
    </row>
    <row r="4153" spans="1:1">
      <c r="A4153" t="str">
        <f>IFERROR(_xlfn.XLOOKUP(B4153,Cuentas!$C$1:$C$521,Cuentas!$A$1:$A$521),"")</f>
        <v/>
      </c>
    </row>
    <row r="4154" spans="1:1">
      <c r="A4154" t="str">
        <f>IFERROR(_xlfn.XLOOKUP(B4154,Cuentas!$C$1:$C$521,Cuentas!$A$1:$A$521),"")</f>
        <v/>
      </c>
    </row>
    <row r="4155" spans="1:1">
      <c r="A4155" t="str">
        <f>IFERROR(_xlfn.XLOOKUP(B4155,Cuentas!$C$1:$C$521,Cuentas!$A$1:$A$521),"")</f>
        <v/>
      </c>
    </row>
    <row r="4156" spans="1:1">
      <c r="A4156" t="str">
        <f>IFERROR(_xlfn.XLOOKUP(B4156,Cuentas!$C$1:$C$521,Cuentas!$A$1:$A$521),"")</f>
        <v/>
      </c>
    </row>
    <row r="4157" spans="1:1">
      <c r="A4157" t="str">
        <f>IFERROR(_xlfn.XLOOKUP(B4157,Cuentas!$C$1:$C$521,Cuentas!$A$1:$A$521),"")</f>
        <v/>
      </c>
    </row>
    <row r="4158" spans="1:1">
      <c r="A4158" t="str">
        <f>IFERROR(_xlfn.XLOOKUP(B4158,Cuentas!$C$1:$C$521,Cuentas!$A$1:$A$521),"")</f>
        <v/>
      </c>
    </row>
    <row r="4159" spans="1:1">
      <c r="A4159" t="str">
        <f>IFERROR(_xlfn.XLOOKUP(B4159,Cuentas!$C$1:$C$521,Cuentas!$A$1:$A$521),"")</f>
        <v/>
      </c>
    </row>
    <row r="4160" spans="1:1">
      <c r="A4160" t="str">
        <f>IFERROR(_xlfn.XLOOKUP(B4160,Cuentas!$C$1:$C$521,Cuentas!$A$1:$A$521),"")</f>
        <v/>
      </c>
    </row>
    <row r="4161" spans="1:1">
      <c r="A4161" t="str">
        <f>IFERROR(_xlfn.XLOOKUP(B4161,Cuentas!$C$1:$C$521,Cuentas!$A$1:$A$521),"")</f>
        <v/>
      </c>
    </row>
    <row r="4162" spans="1:1">
      <c r="A4162" t="str">
        <f>IFERROR(_xlfn.XLOOKUP(B4162,Cuentas!$C$1:$C$521,Cuentas!$A$1:$A$521),"")</f>
        <v/>
      </c>
    </row>
    <row r="4163" spans="1:1">
      <c r="A4163" t="str">
        <f>IFERROR(_xlfn.XLOOKUP(B4163,Cuentas!$C$1:$C$521,Cuentas!$A$1:$A$521),"")</f>
        <v/>
      </c>
    </row>
    <row r="4164" spans="1:1">
      <c r="A4164" t="str">
        <f>IFERROR(_xlfn.XLOOKUP(B4164,Cuentas!$C$1:$C$521,Cuentas!$A$1:$A$521),"")</f>
        <v/>
      </c>
    </row>
    <row r="4165" spans="1:1">
      <c r="A4165" t="str">
        <f>IFERROR(_xlfn.XLOOKUP(B4165,Cuentas!$C$1:$C$521,Cuentas!$A$1:$A$521),"")</f>
        <v/>
      </c>
    </row>
    <row r="4166" spans="1:1">
      <c r="A4166" t="str">
        <f>IFERROR(_xlfn.XLOOKUP(B4166,Cuentas!$C$1:$C$521,Cuentas!$A$1:$A$521),"")</f>
        <v/>
      </c>
    </row>
    <row r="4167" spans="1:1">
      <c r="A4167" t="str">
        <f>IFERROR(_xlfn.XLOOKUP(B4167,Cuentas!$C$1:$C$521,Cuentas!$A$1:$A$521),"")</f>
        <v/>
      </c>
    </row>
    <row r="4168" spans="1:1">
      <c r="A4168" t="str">
        <f>IFERROR(_xlfn.XLOOKUP(B4168,Cuentas!$C$1:$C$521,Cuentas!$A$1:$A$521),"")</f>
        <v/>
      </c>
    </row>
    <row r="4169" spans="1:1">
      <c r="A4169" t="str">
        <f>IFERROR(_xlfn.XLOOKUP(B4169,Cuentas!$C$1:$C$521,Cuentas!$A$1:$A$521),"")</f>
        <v/>
      </c>
    </row>
    <row r="4170" spans="1:1">
      <c r="A4170" t="str">
        <f>IFERROR(_xlfn.XLOOKUP(B4170,Cuentas!$C$1:$C$521,Cuentas!$A$1:$A$521),"")</f>
        <v/>
      </c>
    </row>
    <row r="4171" spans="1:1">
      <c r="A4171" t="str">
        <f>IFERROR(_xlfn.XLOOKUP(B4171,Cuentas!$C$1:$C$521,Cuentas!$A$1:$A$521),"")</f>
        <v/>
      </c>
    </row>
    <row r="4172" spans="1:1">
      <c r="A4172" t="str">
        <f>IFERROR(_xlfn.XLOOKUP(B4172,Cuentas!$C$1:$C$521,Cuentas!$A$1:$A$521),"")</f>
        <v/>
      </c>
    </row>
    <row r="4173" spans="1:1">
      <c r="A4173" t="str">
        <f>IFERROR(_xlfn.XLOOKUP(B4173,Cuentas!$C$1:$C$521,Cuentas!$A$1:$A$521),"")</f>
        <v/>
      </c>
    </row>
    <row r="4174" spans="1:1">
      <c r="A4174" t="str">
        <f>IFERROR(_xlfn.XLOOKUP(B4174,Cuentas!$C$1:$C$521,Cuentas!$A$1:$A$521),"")</f>
        <v/>
      </c>
    </row>
    <row r="4175" spans="1:1">
      <c r="A4175" t="str">
        <f>IFERROR(_xlfn.XLOOKUP(B4175,Cuentas!$C$1:$C$521,Cuentas!$A$1:$A$521),"")</f>
        <v/>
      </c>
    </row>
    <row r="4176" spans="1:1">
      <c r="A4176" t="str">
        <f>IFERROR(_xlfn.XLOOKUP(B4176,Cuentas!$C$1:$C$521,Cuentas!$A$1:$A$521),"")</f>
        <v/>
      </c>
    </row>
    <row r="4177" spans="1:1">
      <c r="A4177" t="str">
        <f>IFERROR(_xlfn.XLOOKUP(B4177,Cuentas!$C$1:$C$521,Cuentas!$A$1:$A$521),"")</f>
        <v/>
      </c>
    </row>
    <row r="4178" spans="1:1">
      <c r="A4178" t="str">
        <f>IFERROR(_xlfn.XLOOKUP(B4178,Cuentas!$C$1:$C$521,Cuentas!$A$1:$A$521),"")</f>
        <v/>
      </c>
    </row>
    <row r="4179" spans="1:1">
      <c r="A4179" t="str">
        <f>IFERROR(_xlfn.XLOOKUP(B4179,Cuentas!$C$1:$C$521,Cuentas!$A$1:$A$521),"")</f>
        <v/>
      </c>
    </row>
    <row r="4180" spans="1:1">
      <c r="A4180" t="str">
        <f>IFERROR(_xlfn.XLOOKUP(B4180,Cuentas!$C$1:$C$521,Cuentas!$A$1:$A$521),"")</f>
        <v/>
      </c>
    </row>
    <row r="4181" spans="1:1">
      <c r="A4181" t="str">
        <f>IFERROR(_xlfn.XLOOKUP(B4181,Cuentas!$C$1:$C$521,Cuentas!$A$1:$A$521),"")</f>
        <v/>
      </c>
    </row>
    <row r="4182" spans="1:1">
      <c r="A4182" t="str">
        <f>IFERROR(_xlfn.XLOOKUP(B4182,Cuentas!$C$1:$C$521,Cuentas!$A$1:$A$521),"")</f>
        <v/>
      </c>
    </row>
    <row r="4183" spans="1:1">
      <c r="A4183" t="str">
        <f>IFERROR(_xlfn.XLOOKUP(B4183,Cuentas!$C$1:$C$521,Cuentas!$A$1:$A$521),"")</f>
        <v/>
      </c>
    </row>
    <row r="4184" spans="1:1">
      <c r="A4184" t="str">
        <f>IFERROR(_xlfn.XLOOKUP(B4184,Cuentas!$C$1:$C$521,Cuentas!$A$1:$A$521),"")</f>
        <v/>
      </c>
    </row>
    <row r="4185" spans="1:1">
      <c r="A4185" t="str">
        <f>IFERROR(_xlfn.XLOOKUP(B4185,Cuentas!$C$1:$C$521,Cuentas!$A$1:$A$521),"")</f>
        <v/>
      </c>
    </row>
    <row r="4186" spans="1:1">
      <c r="A4186" t="str">
        <f>IFERROR(_xlfn.XLOOKUP(B4186,Cuentas!$C$1:$C$521,Cuentas!$A$1:$A$521),"")</f>
        <v/>
      </c>
    </row>
    <row r="4187" spans="1:1">
      <c r="A4187" t="str">
        <f>IFERROR(_xlfn.XLOOKUP(B4187,Cuentas!$C$1:$C$521,Cuentas!$A$1:$A$521),"")</f>
        <v/>
      </c>
    </row>
    <row r="4188" spans="1:1">
      <c r="A4188" t="str">
        <f>IFERROR(_xlfn.XLOOKUP(B4188,Cuentas!$C$1:$C$521,Cuentas!$A$1:$A$521),"")</f>
        <v/>
      </c>
    </row>
    <row r="4189" spans="1:1">
      <c r="A4189" t="str">
        <f>IFERROR(_xlfn.XLOOKUP(B4189,Cuentas!$C$1:$C$521,Cuentas!$A$1:$A$521),"")</f>
        <v/>
      </c>
    </row>
    <row r="4190" spans="1:1">
      <c r="A4190" t="str">
        <f>IFERROR(_xlfn.XLOOKUP(B4190,Cuentas!$C$1:$C$521,Cuentas!$A$1:$A$521),"")</f>
        <v/>
      </c>
    </row>
    <row r="4191" spans="1:1">
      <c r="A4191" t="str">
        <f>IFERROR(_xlfn.XLOOKUP(B4191,Cuentas!$C$1:$C$521,Cuentas!$A$1:$A$521),"")</f>
        <v/>
      </c>
    </row>
    <row r="4192" spans="1:1">
      <c r="A4192" t="str">
        <f>IFERROR(_xlfn.XLOOKUP(B4192,Cuentas!$C$1:$C$521,Cuentas!$A$1:$A$521),"")</f>
        <v/>
      </c>
    </row>
    <row r="4193" spans="1:1">
      <c r="A4193" t="str">
        <f>IFERROR(_xlfn.XLOOKUP(B4193,Cuentas!$C$1:$C$521,Cuentas!$A$1:$A$521),"")</f>
        <v/>
      </c>
    </row>
    <row r="4194" spans="1:1">
      <c r="A4194" t="str">
        <f>IFERROR(_xlfn.XLOOKUP(B4194,Cuentas!$C$1:$C$521,Cuentas!$A$1:$A$521),"")</f>
        <v/>
      </c>
    </row>
    <row r="4195" spans="1:1">
      <c r="A4195" t="str">
        <f>IFERROR(_xlfn.XLOOKUP(B4195,Cuentas!$C$1:$C$521,Cuentas!$A$1:$A$521),"")</f>
        <v/>
      </c>
    </row>
    <row r="4196" spans="1:1">
      <c r="A4196" t="str">
        <f>IFERROR(_xlfn.XLOOKUP(B4196,Cuentas!$C$1:$C$521,Cuentas!$A$1:$A$521),"")</f>
        <v/>
      </c>
    </row>
    <row r="4197" spans="1:1">
      <c r="A4197" t="str">
        <f>IFERROR(_xlfn.XLOOKUP(B4197,Cuentas!$C$1:$C$521,Cuentas!$A$1:$A$521),"")</f>
        <v/>
      </c>
    </row>
    <row r="4198" spans="1:1">
      <c r="A4198" t="str">
        <f>IFERROR(_xlfn.XLOOKUP(B4198,Cuentas!$C$1:$C$521,Cuentas!$A$1:$A$521),"")</f>
        <v/>
      </c>
    </row>
    <row r="4199" spans="1:1">
      <c r="A4199" t="str">
        <f>IFERROR(_xlfn.XLOOKUP(B4199,Cuentas!$C$1:$C$521,Cuentas!$A$1:$A$521),"")</f>
        <v/>
      </c>
    </row>
    <row r="4200" spans="1:1">
      <c r="A4200" t="str">
        <f>IFERROR(_xlfn.XLOOKUP(B4200,Cuentas!$C$1:$C$521,Cuentas!$A$1:$A$521),"")</f>
        <v/>
      </c>
    </row>
    <row r="4201" spans="1:1">
      <c r="A4201" t="str">
        <f>IFERROR(_xlfn.XLOOKUP(B4201,Cuentas!$C$1:$C$521,Cuentas!$A$1:$A$521),"")</f>
        <v/>
      </c>
    </row>
    <row r="4202" spans="1:1">
      <c r="A4202" t="str">
        <f>IFERROR(_xlfn.XLOOKUP(B4202,Cuentas!$C$1:$C$521,Cuentas!$A$1:$A$521),"")</f>
        <v/>
      </c>
    </row>
    <row r="4203" spans="1:1">
      <c r="A4203" t="str">
        <f>IFERROR(_xlfn.XLOOKUP(B4203,Cuentas!$C$1:$C$521,Cuentas!$A$1:$A$521),"")</f>
        <v/>
      </c>
    </row>
    <row r="4204" spans="1:1">
      <c r="A4204" t="str">
        <f>IFERROR(_xlfn.XLOOKUP(B4204,Cuentas!$C$1:$C$521,Cuentas!$A$1:$A$521),"")</f>
        <v/>
      </c>
    </row>
    <row r="4205" spans="1:1">
      <c r="A4205" t="str">
        <f>IFERROR(_xlfn.XLOOKUP(B4205,Cuentas!$C$1:$C$521,Cuentas!$A$1:$A$521),"")</f>
        <v/>
      </c>
    </row>
    <row r="4206" spans="1:1">
      <c r="A4206" t="str">
        <f>IFERROR(_xlfn.XLOOKUP(B4206,Cuentas!$C$1:$C$521,Cuentas!$A$1:$A$521),"")</f>
        <v/>
      </c>
    </row>
    <row r="4207" spans="1:1">
      <c r="A4207" t="str">
        <f>IFERROR(_xlfn.XLOOKUP(B4207,Cuentas!$C$1:$C$521,Cuentas!$A$1:$A$521),"")</f>
        <v/>
      </c>
    </row>
    <row r="4208" spans="1:1">
      <c r="A4208" t="str">
        <f>IFERROR(_xlfn.XLOOKUP(B4208,Cuentas!$C$1:$C$521,Cuentas!$A$1:$A$521),"")</f>
        <v/>
      </c>
    </row>
    <row r="4209" spans="1:1">
      <c r="A4209" t="str">
        <f>IFERROR(_xlfn.XLOOKUP(B4209,Cuentas!$C$1:$C$521,Cuentas!$A$1:$A$521),"")</f>
        <v/>
      </c>
    </row>
    <row r="4210" spans="1:1">
      <c r="A4210" t="str">
        <f>IFERROR(_xlfn.XLOOKUP(B4210,Cuentas!$C$1:$C$521,Cuentas!$A$1:$A$521),"")</f>
        <v/>
      </c>
    </row>
    <row r="4211" spans="1:1">
      <c r="A4211" t="str">
        <f>IFERROR(_xlfn.XLOOKUP(B4211,Cuentas!$C$1:$C$521,Cuentas!$A$1:$A$521),"")</f>
        <v/>
      </c>
    </row>
    <row r="4212" spans="1:1">
      <c r="A4212" t="str">
        <f>IFERROR(_xlfn.XLOOKUP(B4212,Cuentas!$C$1:$C$521,Cuentas!$A$1:$A$521),"")</f>
        <v/>
      </c>
    </row>
    <row r="4213" spans="1:1">
      <c r="A4213" t="str">
        <f>IFERROR(_xlfn.XLOOKUP(B4213,Cuentas!$C$1:$C$521,Cuentas!$A$1:$A$521),"")</f>
        <v/>
      </c>
    </row>
    <row r="4214" spans="1:1">
      <c r="A4214" t="str">
        <f>IFERROR(_xlfn.XLOOKUP(B4214,Cuentas!$C$1:$C$521,Cuentas!$A$1:$A$521),"")</f>
        <v/>
      </c>
    </row>
    <row r="4215" spans="1:1">
      <c r="A4215" t="str">
        <f>IFERROR(_xlfn.XLOOKUP(B4215,Cuentas!$C$1:$C$521,Cuentas!$A$1:$A$521),"")</f>
        <v/>
      </c>
    </row>
    <row r="4216" spans="1:1">
      <c r="A4216" t="str">
        <f>IFERROR(_xlfn.XLOOKUP(B4216,Cuentas!$C$1:$C$521,Cuentas!$A$1:$A$521),"")</f>
        <v/>
      </c>
    </row>
    <row r="4217" spans="1:1">
      <c r="A4217" t="str">
        <f>IFERROR(_xlfn.XLOOKUP(B4217,Cuentas!$C$1:$C$521,Cuentas!$A$1:$A$521),"")</f>
        <v/>
      </c>
    </row>
    <row r="4218" spans="1:1">
      <c r="A4218" t="str">
        <f>IFERROR(_xlfn.XLOOKUP(B4218,Cuentas!$C$1:$C$521,Cuentas!$A$1:$A$521),"")</f>
        <v/>
      </c>
    </row>
    <row r="4219" spans="1:1">
      <c r="A4219" t="str">
        <f>IFERROR(_xlfn.XLOOKUP(B4219,Cuentas!$C$1:$C$521,Cuentas!$A$1:$A$521),"")</f>
        <v/>
      </c>
    </row>
    <row r="4220" spans="1:1">
      <c r="A4220" t="str">
        <f>IFERROR(_xlfn.XLOOKUP(B4220,Cuentas!$C$1:$C$521,Cuentas!$A$1:$A$521),"")</f>
        <v/>
      </c>
    </row>
    <row r="4221" spans="1:1">
      <c r="A4221" t="str">
        <f>IFERROR(_xlfn.XLOOKUP(B4221,Cuentas!$C$1:$C$521,Cuentas!$A$1:$A$521),"")</f>
        <v/>
      </c>
    </row>
    <row r="4222" spans="1:1">
      <c r="A4222" t="str">
        <f>IFERROR(_xlfn.XLOOKUP(B4222,Cuentas!$C$1:$C$521,Cuentas!$A$1:$A$521),"")</f>
        <v/>
      </c>
    </row>
    <row r="4223" spans="1:1">
      <c r="A4223" t="str">
        <f>IFERROR(_xlfn.XLOOKUP(B4223,Cuentas!$C$1:$C$521,Cuentas!$A$1:$A$521),"")</f>
        <v/>
      </c>
    </row>
    <row r="4224" spans="1:1">
      <c r="A4224" t="str">
        <f>IFERROR(_xlfn.XLOOKUP(B4224,Cuentas!$C$1:$C$521,Cuentas!$A$1:$A$521),"")</f>
        <v/>
      </c>
    </row>
    <row r="4225" spans="1:1">
      <c r="A4225" t="str">
        <f>IFERROR(_xlfn.XLOOKUP(B4225,Cuentas!$C$1:$C$521,Cuentas!$A$1:$A$521),"")</f>
        <v/>
      </c>
    </row>
    <row r="4226" spans="1:1">
      <c r="A4226" t="str">
        <f>IFERROR(_xlfn.XLOOKUP(B4226,Cuentas!$C$1:$C$521,Cuentas!$A$1:$A$521),"")</f>
        <v/>
      </c>
    </row>
    <row r="4227" spans="1:1">
      <c r="A4227" t="str">
        <f>IFERROR(_xlfn.XLOOKUP(B4227,Cuentas!$C$1:$C$521,Cuentas!$A$1:$A$521),"")</f>
        <v/>
      </c>
    </row>
    <row r="4228" spans="1:1">
      <c r="A4228" t="str">
        <f>IFERROR(_xlfn.XLOOKUP(B4228,Cuentas!$C$1:$C$521,Cuentas!$A$1:$A$521),"")</f>
        <v/>
      </c>
    </row>
    <row r="4229" spans="1:1">
      <c r="A4229" t="str">
        <f>IFERROR(_xlfn.XLOOKUP(B4229,Cuentas!$C$1:$C$521,Cuentas!$A$1:$A$521),"")</f>
        <v/>
      </c>
    </row>
    <row r="4230" spans="1:1">
      <c r="A4230" t="str">
        <f>IFERROR(_xlfn.XLOOKUP(B4230,Cuentas!$C$1:$C$521,Cuentas!$A$1:$A$521),"")</f>
        <v/>
      </c>
    </row>
    <row r="4231" spans="1:1">
      <c r="A4231" t="str">
        <f>IFERROR(_xlfn.XLOOKUP(B4231,Cuentas!$C$1:$C$521,Cuentas!$A$1:$A$521),"")</f>
        <v/>
      </c>
    </row>
    <row r="4232" spans="1:1">
      <c r="A4232" t="str">
        <f>IFERROR(_xlfn.XLOOKUP(B4232,Cuentas!$C$1:$C$521,Cuentas!$A$1:$A$521),"")</f>
        <v/>
      </c>
    </row>
    <row r="4233" spans="1:1">
      <c r="A4233" t="str">
        <f>IFERROR(_xlfn.XLOOKUP(B4233,Cuentas!$C$1:$C$521,Cuentas!$A$1:$A$521),"")</f>
        <v/>
      </c>
    </row>
    <row r="4234" spans="1:1">
      <c r="A4234" t="str">
        <f>IFERROR(_xlfn.XLOOKUP(B4234,Cuentas!$C$1:$C$521,Cuentas!$A$1:$A$521),"")</f>
        <v/>
      </c>
    </row>
    <row r="4235" spans="1:1">
      <c r="A4235" t="str">
        <f>IFERROR(_xlfn.XLOOKUP(B4235,Cuentas!$C$1:$C$521,Cuentas!$A$1:$A$521),"")</f>
        <v/>
      </c>
    </row>
    <row r="4236" spans="1:1">
      <c r="A4236" t="str">
        <f>IFERROR(_xlfn.XLOOKUP(B4236,Cuentas!$C$1:$C$521,Cuentas!$A$1:$A$521),"")</f>
        <v/>
      </c>
    </row>
    <row r="4237" spans="1:1">
      <c r="A4237" t="str">
        <f>IFERROR(_xlfn.XLOOKUP(B4237,Cuentas!$C$1:$C$521,Cuentas!$A$1:$A$521),"")</f>
        <v/>
      </c>
    </row>
    <row r="4238" spans="1:1">
      <c r="A4238" t="str">
        <f>IFERROR(_xlfn.XLOOKUP(B4238,Cuentas!$C$1:$C$521,Cuentas!$A$1:$A$521),"")</f>
        <v/>
      </c>
    </row>
    <row r="4239" spans="1:1">
      <c r="A4239" t="str">
        <f>IFERROR(_xlfn.XLOOKUP(B4239,Cuentas!$C$1:$C$521,Cuentas!$A$1:$A$521),"")</f>
        <v/>
      </c>
    </row>
    <row r="4240" spans="1:1">
      <c r="A4240" t="str">
        <f>IFERROR(_xlfn.XLOOKUP(B4240,Cuentas!$C$1:$C$521,Cuentas!$A$1:$A$521),"")</f>
        <v/>
      </c>
    </row>
    <row r="4241" spans="1:1">
      <c r="A4241" t="str">
        <f>IFERROR(_xlfn.XLOOKUP(B4241,Cuentas!$C$1:$C$521,Cuentas!$A$1:$A$521),"")</f>
        <v/>
      </c>
    </row>
    <row r="4242" spans="1:1">
      <c r="A4242" t="str">
        <f>IFERROR(_xlfn.XLOOKUP(B4242,Cuentas!$C$1:$C$521,Cuentas!$A$1:$A$521),"")</f>
        <v/>
      </c>
    </row>
    <row r="4243" spans="1:1">
      <c r="A4243" t="str">
        <f>IFERROR(_xlfn.XLOOKUP(B4243,Cuentas!$C$1:$C$521,Cuentas!$A$1:$A$521),"")</f>
        <v/>
      </c>
    </row>
    <row r="4244" spans="1:1">
      <c r="A4244" t="str">
        <f>IFERROR(_xlfn.XLOOKUP(B4244,Cuentas!$C$1:$C$521,Cuentas!$A$1:$A$521),"")</f>
        <v/>
      </c>
    </row>
    <row r="4245" spans="1:1">
      <c r="A4245" t="str">
        <f>IFERROR(_xlfn.XLOOKUP(B4245,Cuentas!$C$1:$C$521,Cuentas!$A$1:$A$521),"")</f>
        <v/>
      </c>
    </row>
    <row r="4246" spans="1:1">
      <c r="A4246" t="str">
        <f>IFERROR(_xlfn.XLOOKUP(B4246,Cuentas!$C$1:$C$521,Cuentas!$A$1:$A$521),"")</f>
        <v/>
      </c>
    </row>
    <row r="4247" spans="1:1">
      <c r="A4247" t="str">
        <f>IFERROR(_xlfn.XLOOKUP(B4247,Cuentas!$C$1:$C$521,Cuentas!$A$1:$A$521),"")</f>
        <v/>
      </c>
    </row>
    <row r="4248" spans="1:1">
      <c r="A4248" t="str">
        <f>IFERROR(_xlfn.XLOOKUP(B4248,Cuentas!$C$1:$C$521,Cuentas!$A$1:$A$521),"")</f>
        <v/>
      </c>
    </row>
    <row r="4249" spans="1:1">
      <c r="A4249" t="str">
        <f>IFERROR(_xlfn.XLOOKUP(B4249,Cuentas!$C$1:$C$521,Cuentas!$A$1:$A$521),"")</f>
        <v/>
      </c>
    </row>
    <row r="4250" spans="1:1">
      <c r="A4250" t="str">
        <f>IFERROR(_xlfn.XLOOKUP(B4250,Cuentas!$C$1:$C$521,Cuentas!$A$1:$A$521),"")</f>
        <v/>
      </c>
    </row>
    <row r="4251" spans="1:1">
      <c r="A4251" t="str">
        <f>IFERROR(_xlfn.XLOOKUP(B4251,Cuentas!$C$1:$C$521,Cuentas!$A$1:$A$521),"")</f>
        <v/>
      </c>
    </row>
    <row r="4252" spans="1:1">
      <c r="A4252" t="str">
        <f>IFERROR(_xlfn.XLOOKUP(B4252,Cuentas!$C$1:$C$521,Cuentas!$A$1:$A$521),"")</f>
        <v/>
      </c>
    </row>
    <row r="4253" spans="1:1">
      <c r="A4253" t="str">
        <f>IFERROR(_xlfn.XLOOKUP(B4253,Cuentas!$C$1:$C$521,Cuentas!$A$1:$A$521),"")</f>
        <v/>
      </c>
    </row>
    <row r="4254" spans="1:1">
      <c r="A4254" t="str">
        <f>IFERROR(_xlfn.XLOOKUP(B4254,Cuentas!$C$1:$C$521,Cuentas!$A$1:$A$521),"")</f>
        <v/>
      </c>
    </row>
    <row r="4255" spans="1:1">
      <c r="A4255" t="str">
        <f>IFERROR(_xlfn.XLOOKUP(B4255,Cuentas!$C$1:$C$521,Cuentas!$A$1:$A$521),"")</f>
        <v/>
      </c>
    </row>
    <row r="4256" spans="1:1">
      <c r="A4256" t="str">
        <f>IFERROR(_xlfn.XLOOKUP(B4256,Cuentas!$C$1:$C$521,Cuentas!$A$1:$A$521),"")</f>
        <v/>
      </c>
    </row>
    <row r="4257" spans="1:1">
      <c r="A4257" t="str">
        <f>IFERROR(_xlfn.XLOOKUP(B4257,Cuentas!$C$1:$C$521,Cuentas!$A$1:$A$521),"")</f>
        <v/>
      </c>
    </row>
    <row r="4258" spans="1:1">
      <c r="A4258" t="str">
        <f>IFERROR(_xlfn.XLOOKUP(B4258,Cuentas!$C$1:$C$521,Cuentas!$A$1:$A$521),"")</f>
        <v/>
      </c>
    </row>
    <row r="4259" spans="1:1">
      <c r="A4259" t="str">
        <f>IFERROR(_xlfn.XLOOKUP(B4259,Cuentas!$C$1:$C$521,Cuentas!$A$1:$A$521),"")</f>
        <v/>
      </c>
    </row>
    <row r="4260" spans="1:1">
      <c r="A4260" t="str">
        <f>IFERROR(_xlfn.XLOOKUP(B4260,Cuentas!$C$1:$C$521,Cuentas!$A$1:$A$521),"")</f>
        <v/>
      </c>
    </row>
    <row r="4261" spans="1:1">
      <c r="A4261" t="str">
        <f>IFERROR(_xlfn.XLOOKUP(B4261,Cuentas!$C$1:$C$521,Cuentas!$A$1:$A$521),"")</f>
        <v/>
      </c>
    </row>
    <row r="4262" spans="1:1">
      <c r="A4262" t="str">
        <f>IFERROR(_xlfn.XLOOKUP(B4262,Cuentas!$C$1:$C$521,Cuentas!$A$1:$A$521),"")</f>
        <v/>
      </c>
    </row>
    <row r="4263" spans="1:1">
      <c r="A4263" t="str">
        <f>IFERROR(_xlfn.XLOOKUP(B4263,Cuentas!$C$1:$C$521,Cuentas!$A$1:$A$521),"")</f>
        <v/>
      </c>
    </row>
    <row r="4264" spans="1:1">
      <c r="A4264" t="str">
        <f>IFERROR(_xlfn.XLOOKUP(B4264,Cuentas!$C$1:$C$521,Cuentas!$A$1:$A$521),"")</f>
        <v/>
      </c>
    </row>
    <row r="4265" spans="1:1">
      <c r="A4265" t="str">
        <f>IFERROR(_xlfn.XLOOKUP(B4265,Cuentas!$C$1:$C$521,Cuentas!$A$1:$A$521),"")</f>
        <v/>
      </c>
    </row>
    <row r="4266" spans="1:1">
      <c r="A4266" t="str">
        <f>IFERROR(_xlfn.XLOOKUP(B4266,Cuentas!$C$1:$C$521,Cuentas!$A$1:$A$521),"")</f>
        <v/>
      </c>
    </row>
    <row r="4267" spans="1:1">
      <c r="A4267" t="str">
        <f>IFERROR(_xlfn.XLOOKUP(B4267,Cuentas!$C$1:$C$521,Cuentas!$A$1:$A$521),"")</f>
        <v/>
      </c>
    </row>
    <row r="4268" spans="1:1">
      <c r="A4268" t="str">
        <f>IFERROR(_xlfn.XLOOKUP(B4268,Cuentas!$C$1:$C$521,Cuentas!$A$1:$A$521),"")</f>
        <v/>
      </c>
    </row>
    <row r="4269" spans="1:1">
      <c r="A4269" t="str">
        <f>IFERROR(_xlfn.XLOOKUP(B4269,Cuentas!$C$1:$C$521,Cuentas!$A$1:$A$521),"")</f>
        <v/>
      </c>
    </row>
    <row r="4270" spans="1:1">
      <c r="A4270" t="str">
        <f>IFERROR(_xlfn.XLOOKUP(B4270,Cuentas!$C$1:$C$521,Cuentas!$A$1:$A$521),"")</f>
        <v/>
      </c>
    </row>
    <row r="4271" spans="1:1">
      <c r="A4271" t="str">
        <f>IFERROR(_xlfn.XLOOKUP(B4271,Cuentas!$C$1:$C$521,Cuentas!$A$1:$A$521),"")</f>
        <v/>
      </c>
    </row>
    <row r="4272" spans="1:1">
      <c r="A4272" t="str">
        <f>IFERROR(_xlfn.XLOOKUP(B4272,Cuentas!$C$1:$C$521,Cuentas!$A$1:$A$521),"")</f>
        <v/>
      </c>
    </row>
    <row r="4273" spans="1:1">
      <c r="A4273" t="str">
        <f>IFERROR(_xlfn.XLOOKUP(B4273,Cuentas!$C$1:$C$521,Cuentas!$A$1:$A$521),"")</f>
        <v/>
      </c>
    </row>
    <row r="4274" spans="1:1">
      <c r="A4274" t="str">
        <f>IFERROR(_xlfn.XLOOKUP(B4274,Cuentas!$C$1:$C$521,Cuentas!$A$1:$A$521),"")</f>
        <v/>
      </c>
    </row>
    <row r="4275" spans="1:1">
      <c r="A4275" t="str">
        <f>IFERROR(_xlfn.XLOOKUP(B4275,Cuentas!$C$1:$C$521,Cuentas!$A$1:$A$521),"")</f>
        <v/>
      </c>
    </row>
    <row r="4276" spans="1:1">
      <c r="A4276" t="str">
        <f>IFERROR(_xlfn.XLOOKUP(B4276,Cuentas!$C$1:$C$521,Cuentas!$A$1:$A$521),"")</f>
        <v/>
      </c>
    </row>
    <row r="4277" spans="1:1">
      <c r="A4277" t="str">
        <f>IFERROR(_xlfn.XLOOKUP(B4277,Cuentas!$C$1:$C$521,Cuentas!$A$1:$A$521),"")</f>
        <v/>
      </c>
    </row>
    <row r="4278" spans="1:1">
      <c r="A4278" t="str">
        <f>IFERROR(_xlfn.XLOOKUP(B4278,Cuentas!$C$1:$C$521,Cuentas!$A$1:$A$521),"")</f>
        <v/>
      </c>
    </row>
    <row r="4279" spans="1:1">
      <c r="A4279" t="str">
        <f>IFERROR(_xlfn.XLOOKUP(B4279,Cuentas!$C$1:$C$521,Cuentas!$A$1:$A$521),"")</f>
        <v/>
      </c>
    </row>
    <row r="4280" spans="1:1">
      <c r="A4280" t="str">
        <f>IFERROR(_xlfn.XLOOKUP(B4280,Cuentas!$C$1:$C$521,Cuentas!$A$1:$A$521),"")</f>
        <v/>
      </c>
    </row>
    <row r="4281" spans="1:1">
      <c r="A4281" t="str">
        <f>IFERROR(_xlfn.XLOOKUP(B4281,Cuentas!$C$1:$C$521,Cuentas!$A$1:$A$521),"")</f>
        <v/>
      </c>
    </row>
    <row r="4282" spans="1:1">
      <c r="A4282" t="str">
        <f>IFERROR(_xlfn.XLOOKUP(B4282,Cuentas!$C$1:$C$521,Cuentas!$A$1:$A$521),"")</f>
        <v/>
      </c>
    </row>
    <row r="4283" spans="1:1">
      <c r="A4283" t="str">
        <f>IFERROR(_xlfn.XLOOKUP(B4283,Cuentas!$C$1:$C$521,Cuentas!$A$1:$A$521),"")</f>
        <v/>
      </c>
    </row>
    <row r="4284" spans="1:1">
      <c r="A4284" t="str">
        <f>IFERROR(_xlfn.XLOOKUP(B4284,Cuentas!$C$1:$C$521,Cuentas!$A$1:$A$521),"")</f>
        <v/>
      </c>
    </row>
    <row r="4285" spans="1:1">
      <c r="A4285" t="str">
        <f>IFERROR(_xlfn.XLOOKUP(B4285,Cuentas!$C$1:$C$521,Cuentas!$A$1:$A$521),"")</f>
        <v/>
      </c>
    </row>
    <row r="4286" spans="1:1">
      <c r="A4286" t="str">
        <f>IFERROR(_xlfn.XLOOKUP(B4286,Cuentas!$C$1:$C$521,Cuentas!$A$1:$A$521),"")</f>
        <v/>
      </c>
    </row>
    <row r="4287" spans="1:1">
      <c r="A4287" t="str">
        <f>IFERROR(_xlfn.XLOOKUP(B4287,Cuentas!$C$1:$C$521,Cuentas!$A$1:$A$521),"")</f>
        <v/>
      </c>
    </row>
    <row r="4288" spans="1:1">
      <c r="A4288" t="str">
        <f>IFERROR(_xlfn.XLOOKUP(B4288,Cuentas!$C$1:$C$521,Cuentas!$A$1:$A$521),"")</f>
        <v/>
      </c>
    </row>
    <row r="4289" spans="1:1">
      <c r="A4289" t="str">
        <f>IFERROR(_xlfn.XLOOKUP(B4289,Cuentas!$C$1:$C$521,Cuentas!$A$1:$A$521),"")</f>
        <v/>
      </c>
    </row>
    <row r="4290" spans="1:1">
      <c r="A4290" t="str">
        <f>IFERROR(_xlfn.XLOOKUP(B4290,Cuentas!$C$1:$C$521,Cuentas!$A$1:$A$521),"")</f>
        <v/>
      </c>
    </row>
    <row r="4291" spans="1:1">
      <c r="A4291" t="str">
        <f>IFERROR(_xlfn.XLOOKUP(B4291,Cuentas!$C$1:$C$521,Cuentas!$A$1:$A$521),"")</f>
        <v/>
      </c>
    </row>
    <row r="4292" spans="1:1">
      <c r="A4292" t="str">
        <f>IFERROR(_xlfn.XLOOKUP(B4292,Cuentas!$C$1:$C$521,Cuentas!$A$1:$A$521),"")</f>
        <v/>
      </c>
    </row>
    <row r="4293" spans="1:1">
      <c r="A4293" t="str">
        <f>IFERROR(_xlfn.XLOOKUP(B4293,Cuentas!$C$1:$C$521,Cuentas!$A$1:$A$521),"")</f>
        <v/>
      </c>
    </row>
    <row r="4294" spans="1:1">
      <c r="A4294" t="str">
        <f>IFERROR(_xlfn.XLOOKUP(B4294,Cuentas!$C$1:$C$521,Cuentas!$A$1:$A$521),"")</f>
        <v/>
      </c>
    </row>
    <row r="4295" spans="1:1">
      <c r="A4295" t="str">
        <f>IFERROR(_xlfn.XLOOKUP(B4295,Cuentas!$C$1:$C$521,Cuentas!$A$1:$A$521),"")</f>
        <v/>
      </c>
    </row>
    <row r="4296" spans="1:1">
      <c r="A4296" t="str">
        <f>IFERROR(_xlfn.XLOOKUP(B4296,Cuentas!$C$1:$C$521,Cuentas!$A$1:$A$521),"")</f>
        <v/>
      </c>
    </row>
    <row r="4297" spans="1:1">
      <c r="A4297" t="str">
        <f>IFERROR(_xlfn.XLOOKUP(B4297,Cuentas!$C$1:$C$521,Cuentas!$A$1:$A$521),"")</f>
        <v/>
      </c>
    </row>
    <row r="4298" spans="1:1">
      <c r="A4298" t="str">
        <f>IFERROR(_xlfn.XLOOKUP(B4298,Cuentas!$C$1:$C$521,Cuentas!$A$1:$A$521),"")</f>
        <v/>
      </c>
    </row>
    <row r="4299" spans="1:1">
      <c r="A4299" t="str">
        <f>IFERROR(_xlfn.XLOOKUP(B4299,Cuentas!$C$1:$C$521,Cuentas!$A$1:$A$521),"")</f>
        <v/>
      </c>
    </row>
    <row r="4300" spans="1:1">
      <c r="A4300" t="str">
        <f>IFERROR(_xlfn.XLOOKUP(B4300,Cuentas!$C$1:$C$521,Cuentas!$A$1:$A$521),"")</f>
        <v/>
      </c>
    </row>
    <row r="4301" spans="1:1">
      <c r="A4301" t="str">
        <f>IFERROR(_xlfn.XLOOKUP(B4301,Cuentas!$C$1:$C$521,Cuentas!$A$1:$A$521),"")</f>
        <v/>
      </c>
    </row>
    <row r="4302" spans="1:1">
      <c r="A4302" t="str">
        <f>IFERROR(_xlfn.XLOOKUP(B4302,Cuentas!$C$1:$C$521,Cuentas!$A$1:$A$521),"")</f>
        <v/>
      </c>
    </row>
    <row r="4303" spans="1:1">
      <c r="A4303" t="str">
        <f>IFERROR(_xlfn.XLOOKUP(B4303,Cuentas!$C$1:$C$521,Cuentas!$A$1:$A$521),"")</f>
        <v/>
      </c>
    </row>
    <row r="4304" spans="1:1">
      <c r="A4304" t="str">
        <f>IFERROR(_xlfn.XLOOKUP(B4304,Cuentas!$C$1:$C$521,Cuentas!$A$1:$A$521),"")</f>
        <v/>
      </c>
    </row>
    <row r="4305" spans="1:1">
      <c r="A4305" t="str">
        <f>IFERROR(_xlfn.XLOOKUP(B4305,Cuentas!$C$1:$C$521,Cuentas!$A$1:$A$521),"")</f>
        <v/>
      </c>
    </row>
    <row r="4306" spans="1:1">
      <c r="A4306" t="str">
        <f>IFERROR(_xlfn.XLOOKUP(B4306,Cuentas!$C$1:$C$521,Cuentas!$A$1:$A$521),"")</f>
        <v/>
      </c>
    </row>
    <row r="4307" spans="1:1">
      <c r="A4307" t="str">
        <f>IFERROR(_xlfn.XLOOKUP(B4307,Cuentas!$C$1:$C$521,Cuentas!$A$1:$A$521),"")</f>
        <v/>
      </c>
    </row>
    <row r="4308" spans="1:1">
      <c r="A4308" t="str">
        <f>IFERROR(_xlfn.XLOOKUP(B4308,Cuentas!$C$1:$C$521,Cuentas!$A$1:$A$521),"")</f>
        <v/>
      </c>
    </row>
    <row r="4309" spans="1:1">
      <c r="A4309" t="str">
        <f>IFERROR(_xlfn.XLOOKUP(B4309,Cuentas!$C$1:$C$521,Cuentas!$A$1:$A$521),"")</f>
        <v/>
      </c>
    </row>
    <row r="4310" spans="1:1">
      <c r="A4310" t="str">
        <f>IFERROR(_xlfn.XLOOKUP(B4310,Cuentas!$C$1:$C$521,Cuentas!$A$1:$A$521),"")</f>
        <v/>
      </c>
    </row>
    <row r="4311" spans="1:1">
      <c r="A4311" t="str">
        <f>IFERROR(_xlfn.XLOOKUP(B4311,Cuentas!$C$1:$C$521,Cuentas!$A$1:$A$521),"")</f>
        <v/>
      </c>
    </row>
    <row r="4312" spans="1:1">
      <c r="A4312" t="str">
        <f>IFERROR(_xlfn.XLOOKUP(B4312,Cuentas!$C$1:$C$521,Cuentas!$A$1:$A$521),"")</f>
        <v/>
      </c>
    </row>
    <row r="4313" spans="1:1">
      <c r="A4313" t="str">
        <f>IFERROR(_xlfn.XLOOKUP(B4313,Cuentas!$C$1:$C$521,Cuentas!$A$1:$A$521),"")</f>
        <v/>
      </c>
    </row>
    <row r="4314" spans="1:1">
      <c r="A4314" t="str">
        <f>IFERROR(_xlfn.XLOOKUP(B4314,Cuentas!$C$1:$C$521,Cuentas!$A$1:$A$521),"")</f>
        <v/>
      </c>
    </row>
    <row r="4315" spans="1:1">
      <c r="A4315" t="str">
        <f>IFERROR(_xlfn.XLOOKUP(B4315,Cuentas!$C$1:$C$521,Cuentas!$A$1:$A$521),"")</f>
        <v/>
      </c>
    </row>
    <row r="4316" spans="1:1">
      <c r="A4316" t="str">
        <f>IFERROR(_xlfn.XLOOKUP(B4316,Cuentas!$C$1:$C$521,Cuentas!$A$1:$A$521),"")</f>
        <v/>
      </c>
    </row>
    <row r="4317" spans="1:1">
      <c r="A4317" t="str">
        <f>IFERROR(_xlfn.XLOOKUP(B4317,Cuentas!$C$1:$C$521,Cuentas!$A$1:$A$521),"")</f>
        <v/>
      </c>
    </row>
    <row r="4318" spans="1:1">
      <c r="A4318" t="str">
        <f>IFERROR(_xlfn.XLOOKUP(B4318,Cuentas!$C$1:$C$521,Cuentas!$A$1:$A$521),"")</f>
        <v/>
      </c>
    </row>
    <row r="4319" spans="1:1">
      <c r="A4319" t="str">
        <f>IFERROR(_xlfn.XLOOKUP(B4319,Cuentas!$C$1:$C$521,Cuentas!$A$1:$A$521),"")</f>
        <v/>
      </c>
    </row>
    <row r="4320" spans="1:1">
      <c r="A4320" t="str">
        <f>IFERROR(_xlfn.XLOOKUP(B4320,Cuentas!$C$1:$C$521,Cuentas!$A$1:$A$521),"")</f>
        <v/>
      </c>
    </row>
    <row r="4321" spans="1:1">
      <c r="A4321" t="str">
        <f>IFERROR(_xlfn.XLOOKUP(B4321,Cuentas!$C$1:$C$521,Cuentas!$A$1:$A$521),"")</f>
        <v/>
      </c>
    </row>
    <row r="4322" spans="1:1">
      <c r="A4322" t="str">
        <f>IFERROR(_xlfn.XLOOKUP(B4322,Cuentas!$C$1:$C$521,Cuentas!$A$1:$A$521),"")</f>
        <v/>
      </c>
    </row>
    <row r="4323" spans="1:1">
      <c r="A4323" t="str">
        <f>IFERROR(_xlfn.XLOOKUP(B4323,Cuentas!$C$1:$C$521,Cuentas!$A$1:$A$521),"")</f>
        <v/>
      </c>
    </row>
    <row r="4324" spans="1:1">
      <c r="A4324" t="str">
        <f>IFERROR(_xlfn.XLOOKUP(B4324,Cuentas!$C$1:$C$521,Cuentas!$A$1:$A$521),"")</f>
        <v/>
      </c>
    </row>
    <row r="4325" spans="1:1">
      <c r="A4325" t="str">
        <f>IFERROR(_xlfn.XLOOKUP(B4325,Cuentas!$C$1:$C$521,Cuentas!$A$1:$A$521),"")</f>
        <v/>
      </c>
    </row>
    <row r="4326" spans="1:1">
      <c r="A4326" t="str">
        <f>IFERROR(_xlfn.XLOOKUP(B4326,Cuentas!$C$1:$C$521,Cuentas!$A$1:$A$521),"")</f>
        <v/>
      </c>
    </row>
    <row r="4327" spans="1:1">
      <c r="A4327" t="str">
        <f>IFERROR(_xlfn.XLOOKUP(B4327,Cuentas!$C$1:$C$521,Cuentas!$A$1:$A$521),"")</f>
        <v/>
      </c>
    </row>
    <row r="4328" spans="1:1">
      <c r="A4328" t="str">
        <f>IFERROR(_xlfn.XLOOKUP(B4328,Cuentas!$C$1:$C$521,Cuentas!$A$1:$A$521),"")</f>
        <v/>
      </c>
    </row>
    <row r="4329" spans="1:1">
      <c r="A4329" t="str">
        <f>IFERROR(_xlfn.XLOOKUP(B4329,Cuentas!$C$1:$C$521,Cuentas!$A$1:$A$521),"")</f>
        <v/>
      </c>
    </row>
    <row r="4330" spans="1:1">
      <c r="A4330" t="str">
        <f>IFERROR(_xlfn.XLOOKUP(B4330,Cuentas!$C$1:$C$521,Cuentas!$A$1:$A$521),"")</f>
        <v/>
      </c>
    </row>
    <row r="4331" spans="1:1">
      <c r="A4331" t="str">
        <f>IFERROR(_xlfn.XLOOKUP(B4331,Cuentas!$C$1:$C$521,Cuentas!$A$1:$A$521),"")</f>
        <v/>
      </c>
    </row>
    <row r="4332" spans="1:1">
      <c r="A4332" t="str">
        <f>IFERROR(_xlfn.XLOOKUP(B4332,Cuentas!$C$1:$C$521,Cuentas!$A$1:$A$521),"")</f>
        <v/>
      </c>
    </row>
    <row r="4333" spans="1:1">
      <c r="A4333" t="str">
        <f>IFERROR(_xlfn.XLOOKUP(B4333,Cuentas!$C$1:$C$521,Cuentas!$A$1:$A$521),"")</f>
        <v/>
      </c>
    </row>
    <row r="4334" spans="1:1">
      <c r="A4334" t="str">
        <f>IFERROR(_xlfn.XLOOKUP(B4334,Cuentas!$C$1:$C$521,Cuentas!$A$1:$A$521),"")</f>
        <v/>
      </c>
    </row>
    <row r="4335" spans="1:1">
      <c r="A4335" t="str">
        <f>IFERROR(_xlfn.XLOOKUP(B4335,Cuentas!$C$1:$C$521,Cuentas!$A$1:$A$521),"")</f>
        <v/>
      </c>
    </row>
    <row r="4336" spans="1:1">
      <c r="A4336" t="str">
        <f>IFERROR(_xlfn.XLOOKUP(B4336,Cuentas!$C$1:$C$521,Cuentas!$A$1:$A$521),"")</f>
        <v/>
      </c>
    </row>
    <row r="4337" spans="1:1">
      <c r="A4337" t="str">
        <f>IFERROR(_xlfn.XLOOKUP(B4337,Cuentas!$C$1:$C$521,Cuentas!$A$1:$A$521),"")</f>
        <v/>
      </c>
    </row>
    <row r="4338" spans="1:1">
      <c r="A4338" t="str">
        <f>IFERROR(_xlfn.XLOOKUP(B4338,Cuentas!$C$1:$C$521,Cuentas!$A$1:$A$521),"")</f>
        <v/>
      </c>
    </row>
    <row r="4339" spans="1:1">
      <c r="A4339" t="str">
        <f>IFERROR(_xlfn.XLOOKUP(B4339,Cuentas!$C$1:$C$521,Cuentas!$A$1:$A$521),"")</f>
        <v/>
      </c>
    </row>
    <row r="4340" spans="1:1">
      <c r="A4340" t="str">
        <f>IFERROR(_xlfn.XLOOKUP(B4340,Cuentas!$C$1:$C$521,Cuentas!$A$1:$A$521),"")</f>
        <v/>
      </c>
    </row>
    <row r="4341" spans="1:1">
      <c r="A4341" t="str">
        <f>IFERROR(_xlfn.XLOOKUP(B4341,Cuentas!$C$1:$C$521,Cuentas!$A$1:$A$521),"")</f>
        <v/>
      </c>
    </row>
    <row r="4342" spans="1:1">
      <c r="A4342" t="str">
        <f>IFERROR(_xlfn.XLOOKUP(B4342,Cuentas!$C$1:$C$521,Cuentas!$A$1:$A$521),"")</f>
        <v/>
      </c>
    </row>
    <row r="4343" spans="1:1">
      <c r="A4343" t="str">
        <f>IFERROR(_xlfn.XLOOKUP(B4343,Cuentas!$C$1:$C$521,Cuentas!$A$1:$A$521),"")</f>
        <v/>
      </c>
    </row>
    <row r="4344" spans="1:1">
      <c r="A4344" t="str">
        <f>IFERROR(_xlfn.XLOOKUP(B4344,Cuentas!$C$1:$C$521,Cuentas!$A$1:$A$521),"")</f>
        <v/>
      </c>
    </row>
    <row r="4345" spans="1:1">
      <c r="A4345" t="str">
        <f>IFERROR(_xlfn.XLOOKUP(B4345,Cuentas!$C$1:$C$521,Cuentas!$A$1:$A$521),"")</f>
        <v/>
      </c>
    </row>
    <row r="4346" spans="1:1">
      <c r="A4346" t="str">
        <f>IFERROR(_xlfn.XLOOKUP(B4346,Cuentas!$C$1:$C$521,Cuentas!$A$1:$A$521),"")</f>
        <v/>
      </c>
    </row>
    <row r="4347" spans="1:1">
      <c r="A4347" t="str">
        <f>IFERROR(_xlfn.XLOOKUP(B4347,Cuentas!$C$1:$C$521,Cuentas!$A$1:$A$521),"")</f>
        <v/>
      </c>
    </row>
    <row r="4348" spans="1:1">
      <c r="A4348" t="str">
        <f>IFERROR(_xlfn.XLOOKUP(B4348,Cuentas!$C$1:$C$521,Cuentas!$A$1:$A$521),"")</f>
        <v/>
      </c>
    </row>
    <row r="4349" spans="1:1">
      <c r="A4349" t="str">
        <f>IFERROR(_xlfn.XLOOKUP(B4349,Cuentas!$C$1:$C$521,Cuentas!$A$1:$A$521),"")</f>
        <v/>
      </c>
    </row>
    <row r="4350" spans="1:1">
      <c r="A4350" t="str">
        <f>IFERROR(_xlfn.XLOOKUP(B4350,Cuentas!$C$1:$C$521,Cuentas!$A$1:$A$521),"")</f>
        <v/>
      </c>
    </row>
    <row r="4351" spans="1:1">
      <c r="A4351" t="str">
        <f>IFERROR(_xlfn.XLOOKUP(B4351,Cuentas!$C$1:$C$521,Cuentas!$A$1:$A$521),"")</f>
        <v/>
      </c>
    </row>
    <row r="4352" spans="1:1">
      <c r="A4352" t="str">
        <f>IFERROR(_xlfn.XLOOKUP(B4352,Cuentas!$C$1:$C$521,Cuentas!$A$1:$A$521),"")</f>
        <v/>
      </c>
    </row>
    <row r="4353" spans="1:1">
      <c r="A4353" t="str">
        <f>IFERROR(_xlfn.XLOOKUP(B4353,Cuentas!$C$1:$C$521,Cuentas!$A$1:$A$521),"")</f>
        <v/>
      </c>
    </row>
    <row r="4354" spans="1:1">
      <c r="A4354" t="str">
        <f>IFERROR(_xlfn.XLOOKUP(B4354,Cuentas!$C$1:$C$521,Cuentas!$A$1:$A$521),"")</f>
        <v/>
      </c>
    </row>
    <row r="4355" spans="1:1">
      <c r="A4355" t="str">
        <f>IFERROR(_xlfn.XLOOKUP(B4355,Cuentas!$C$1:$C$521,Cuentas!$A$1:$A$521),"")</f>
        <v/>
      </c>
    </row>
    <row r="4356" spans="1:1">
      <c r="A4356" t="str">
        <f>IFERROR(_xlfn.XLOOKUP(B4356,Cuentas!$C$1:$C$521,Cuentas!$A$1:$A$521),"")</f>
        <v/>
      </c>
    </row>
    <row r="4357" spans="1:1">
      <c r="A4357" t="str">
        <f>IFERROR(_xlfn.XLOOKUP(B4357,Cuentas!$C$1:$C$521,Cuentas!$A$1:$A$521),"")</f>
        <v/>
      </c>
    </row>
    <row r="4358" spans="1:1">
      <c r="A4358" t="str">
        <f>IFERROR(_xlfn.XLOOKUP(B4358,Cuentas!$C$1:$C$521,Cuentas!$A$1:$A$521),"")</f>
        <v/>
      </c>
    </row>
    <row r="4359" spans="1:1">
      <c r="A4359" t="str">
        <f>IFERROR(_xlfn.XLOOKUP(B4359,Cuentas!$C$1:$C$521,Cuentas!$A$1:$A$521),"")</f>
        <v/>
      </c>
    </row>
    <row r="4360" spans="1:1">
      <c r="A4360" t="str">
        <f>IFERROR(_xlfn.XLOOKUP(B4360,Cuentas!$C$1:$C$521,Cuentas!$A$1:$A$521),"")</f>
        <v/>
      </c>
    </row>
    <row r="4361" spans="1:1">
      <c r="A4361" t="str">
        <f>IFERROR(_xlfn.XLOOKUP(B4361,Cuentas!$C$1:$C$521,Cuentas!$A$1:$A$521),"")</f>
        <v/>
      </c>
    </row>
    <row r="4362" spans="1:1">
      <c r="A4362" t="str">
        <f>IFERROR(_xlfn.XLOOKUP(B4362,Cuentas!$C$1:$C$521,Cuentas!$A$1:$A$521),"")</f>
        <v/>
      </c>
    </row>
    <row r="4363" spans="1:1">
      <c r="A4363" t="str">
        <f>IFERROR(_xlfn.XLOOKUP(B4363,Cuentas!$C$1:$C$521,Cuentas!$A$1:$A$521),"")</f>
        <v/>
      </c>
    </row>
    <row r="4364" spans="1:1">
      <c r="A4364" t="str">
        <f>IFERROR(_xlfn.XLOOKUP(B4364,Cuentas!$C$1:$C$521,Cuentas!$A$1:$A$521),"")</f>
        <v/>
      </c>
    </row>
    <row r="4365" spans="1:1">
      <c r="A4365" t="str">
        <f>IFERROR(_xlfn.XLOOKUP(B4365,Cuentas!$C$1:$C$521,Cuentas!$A$1:$A$521),"")</f>
        <v/>
      </c>
    </row>
    <row r="4366" spans="1:1">
      <c r="A4366" t="str">
        <f>IFERROR(_xlfn.XLOOKUP(B4366,Cuentas!$C$1:$C$521,Cuentas!$A$1:$A$521),"")</f>
        <v/>
      </c>
    </row>
    <row r="4367" spans="1:1">
      <c r="A4367" t="str">
        <f>IFERROR(_xlfn.XLOOKUP(B4367,Cuentas!$C$1:$C$521,Cuentas!$A$1:$A$521),"")</f>
        <v/>
      </c>
    </row>
    <row r="4368" spans="1:1">
      <c r="A4368" t="str">
        <f>IFERROR(_xlfn.XLOOKUP(B4368,Cuentas!$C$1:$C$521,Cuentas!$A$1:$A$521),"")</f>
        <v/>
      </c>
    </row>
    <row r="4369" spans="1:1">
      <c r="A4369" t="str">
        <f>IFERROR(_xlfn.XLOOKUP(B4369,Cuentas!$C$1:$C$521,Cuentas!$A$1:$A$521),"")</f>
        <v/>
      </c>
    </row>
    <row r="4370" spans="1:1">
      <c r="A4370" t="str">
        <f>IFERROR(_xlfn.XLOOKUP(B4370,Cuentas!$C$1:$C$521,Cuentas!$A$1:$A$521),"")</f>
        <v/>
      </c>
    </row>
    <row r="4371" spans="1:1">
      <c r="A4371" t="str">
        <f>IFERROR(_xlfn.XLOOKUP(B4371,Cuentas!$C$1:$C$521,Cuentas!$A$1:$A$521),"")</f>
        <v/>
      </c>
    </row>
    <row r="4372" spans="1:1">
      <c r="A4372" t="str">
        <f>IFERROR(_xlfn.XLOOKUP(B4372,Cuentas!$C$1:$C$521,Cuentas!$A$1:$A$521),"")</f>
        <v/>
      </c>
    </row>
    <row r="4373" spans="1:1">
      <c r="A4373" t="str">
        <f>IFERROR(_xlfn.XLOOKUP(B4373,Cuentas!$C$1:$C$521,Cuentas!$A$1:$A$521),"")</f>
        <v/>
      </c>
    </row>
    <row r="4374" spans="1:1">
      <c r="A4374" t="str">
        <f>IFERROR(_xlfn.XLOOKUP(B4374,Cuentas!$C$1:$C$521,Cuentas!$A$1:$A$521),"")</f>
        <v/>
      </c>
    </row>
    <row r="4375" spans="1:1">
      <c r="A4375" t="str">
        <f>IFERROR(_xlfn.XLOOKUP(B4375,Cuentas!$C$1:$C$521,Cuentas!$A$1:$A$521),"")</f>
        <v/>
      </c>
    </row>
    <row r="4376" spans="1:1">
      <c r="A4376" t="str">
        <f>IFERROR(_xlfn.XLOOKUP(B4376,Cuentas!$C$1:$C$521,Cuentas!$A$1:$A$521),"")</f>
        <v/>
      </c>
    </row>
    <row r="4377" spans="1:1">
      <c r="A4377" t="str">
        <f>IFERROR(_xlfn.XLOOKUP(B4377,Cuentas!$C$1:$C$521,Cuentas!$A$1:$A$521),"")</f>
        <v/>
      </c>
    </row>
    <row r="4378" spans="1:1">
      <c r="A4378" t="str">
        <f>IFERROR(_xlfn.XLOOKUP(B4378,Cuentas!$C$1:$C$521,Cuentas!$A$1:$A$521),"")</f>
        <v/>
      </c>
    </row>
    <row r="4379" spans="1:1">
      <c r="A4379" t="str">
        <f>IFERROR(_xlfn.XLOOKUP(B4379,Cuentas!$C$1:$C$521,Cuentas!$A$1:$A$521),"")</f>
        <v/>
      </c>
    </row>
    <row r="4380" spans="1:1">
      <c r="A4380" t="str">
        <f>IFERROR(_xlfn.XLOOKUP(B4380,Cuentas!$C$1:$C$521,Cuentas!$A$1:$A$521),"")</f>
        <v/>
      </c>
    </row>
    <row r="4381" spans="1:1">
      <c r="A4381" t="str">
        <f>IFERROR(_xlfn.XLOOKUP(B4381,Cuentas!$C$1:$C$521,Cuentas!$A$1:$A$521),"")</f>
        <v/>
      </c>
    </row>
    <row r="4382" spans="1:1">
      <c r="A4382" t="str">
        <f>IFERROR(_xlfn.XLOOKUP(B4382,Cuentas!$C$1:$C$521,Cuentas!$A$1:$A$521),"")</f>
        <v/>
      </c>
    </row>
    <row r="4383" spans="1:1">
      <c r="A4383" t="str">
        <f>IFERROR(_xlfn.XLOOKUP(B4383,Cuentas!$C$1:$C$521,Cuentas!$A$1:$A$521),"")</f>
        <v/>
      </c>
    </row>
    <row r="4384" spans="1:1">
      <c r="A4384" t="str">
        <f>IFERROR(_xlfn.XLOOKUP(B4384,Cuentas!$C$1:$C$521,Cuentas!$A$1:$A$521),"")</f>
        <v/>
      </c>
    </row>
    <row r="4385" spans="1:1">
      <c r="A4385" t="str">
        <f>IFERROR(_xlfn.XLOOKUP(B4385,Cuentas!$C$1:$C$521,Cuentas!$A$1:$A$521),"")</f>
        <v/>
      </c>
    </row>
    <row r="4386" spans="1:1">
      <c r="A4386" t="str">
        <f>IFERROR(_xlfn.XLOOKUP(B4386,Cuentas!$C$1:$C$521,Cuentas!$A$1:$A$521),"")</f>
        <v/>
      </c>
    </row>
    <row r="4387" spans="1:1">
      <c r="A4387" t="str">
        <f>IFERROR(_xlfn.XLOOKUP(B4387,Cuentas!$C$1:$C$521,Cuentas!$A$1:$A$521),"")</f>
        <v/>
      </c>
    </row>
    <row r="4388" spans="1:1">
      <c r="A4388" t="str">
        <f>IFERROR(_xlfn.XLOOKUP(B4388,Cuentas!$C$1:$C$521,Cuentas!$A$1:$A$521),"")</f>
        <v/>
      </c>
    </row>
    <row r="4389" spans="1:1">
      <c r="A4389" t="str">
        <f>IFERROR(_xlfn.XLOOKUP(B4389,Cuentas!$C$1:$C$521,Cuentas!$A$1:$A$521),"")</f>
        <v/>
      </c>
    </row>
    <row r="4390" spans="1:1">
      <c r="A4390" t="str">
        <f>IFERROR(_xlfn.XLOOKUP(B4390,Cuentas!$C$1:$C$521,Cuentas!$A$1:$A$521),"")</f>
        <v/>
      </c>
    </row>
    <row r="4391" spans="1:1">
      <c r="A4391" t="str">
        <f>IFERROR(_xlfn.XLOOKUP(B4391,Cuentas!$C$1:$C$521,Cuentas!$A$1:$A$521),"")</f>
        <v/>
      </c>
    </row>
    <row r="4392" spans="1:1">
      <c r="A4392" t="str">
        <f>IFERROR(_xlfn.XLOOKUP(B4392,Cuentas!$C$1:$C$521,Cuentas!$A$1:$A$521),"")</f>
        <v/>
      </c>
    </row>
    <row r="4393" spans="1:1">
      <c r="A4393" t="str">
        <f>IFERROR(_xlfn.XLOOKUP(B4393,Cuentas!$C$1:$C$521,Cuentas!$A$1:$A$521),"")</f>
        <v/>
      </c>
    </row>
    <row r="4394" spans="1:1">
      <c r="A4394" t="str">
        <f>IFERROR(_xlfn.XLOOKUP(B4394,Cuentas!$C$1:$C$521,Cuentas!$A$1:$A$521),"")</f>
        <v/>
      </c>
    </row>
    <row r="4395" spans="1:1">
      <c r="A4395" t="str">
        <f>IFERROR(_xlfn.XLOOKUP(B4395,Cuentas!$C$1:$C$521,Cuentas!$A$1:$A$521),"")</f>
        <v/>
      </c>
    </row>
    <row r="4396" spans="1:1">
      <c r="A4396" t="str">
        <f>IFERROR(_xlfn.XLOOKUP(B4396,Cuentas!$C$1:$C$521,Cuentas!$A$1:$A$521),"")</f>
        <v/>
      </c>
    </row>
    <row r="4397" spans="1:1">
      <c r="A4397" t="str">
        <f>IFERROR(_xlfn.XLOOKUP(B4397,Cuentas!$C$1:$C$521,Cuentas!$A$1:$A$521),"")</f>
        <v/>
      </c>
    </row>
    <row r="4398" spans="1:1">
      <c r="A4398" t="str">
        <f>IFERROR(_xlfn.XLOOKUP(B4398,Cuentas!$C$1:$C$521,Cuentas!$A$1:$A$521),"")</f>
        <v/>
      </c>
    </row>
    <row r="4399" spans="1:1">
      <c r="A4399" t="str">
        <f>IFERROR(_xlfn.XLOOKUP(B4399,Cuentas!$C$1:$C$521,Cuentas!$A$1:$A$521),"")</f>
        <v/>
      </c>
    </row>
    <row r="4400" spans="1:1">
      <c r="A4400" t="str">
        <f>IFERROR(_xlfn.XLOOKUP(B4400,Cuentas!$C$1:$C$521,Cuentas!$A$1:$A$521),"")</f>
        <v/>
      </c>
    </row>
    <row r="4401" spans="1:1">
      <c r="A4401" t="str">
        <f>IFERROR(_xlfn.XLOOKUP(B4401,Cuentas!$C$1:$C$521,Cuentas!$A$1:$A$521),"")</f>
        <v/>
      </c>
    </row>
    <row r="4402" spans="1:1">
      <c r="A4402" t="str">
        <f>IFERROR(_xlfn.XLOOKUP(B4402,Cuentas!$C$1:$C$521,Cuentas!$A$1:$A$521),"")</f>
        <v/>
      </c>
    </row>
    <row r="4403" spans="1:1">
      <c r="A4403" t="str">
        <f>IFERROR(_xlfn.XLOOKUP(B4403,Cuentas!$C$1:$C$521,Cuentas!$A$1:$A$521),"")</f>
        <v/>
      </c>
    </row>
    <row r="4404" spans="1:1">
      <c r="A4404" t="str">
        <f>IFERROR(_xlfn.XLOOKUP(B4404,Cuentas!$C$1:$C$521,Cuentas!$A$1:$A$521),"")</f>
        <v/>
      </c>
    </row>
    <row r="4405" spans="1:1">
      <c r="A4405" t="str">
        <f>IFERROR(_xlfn.XLOOKUP(B4405,Cuentas!$C$1:$C$521,Cuentas!$A$1:$A$521),"")</f>
        <v/>
      </c>
    </row>
    <row r="4406" spans="1:1">
      <c r="A4406" t="str">
        <f>IFERROR(_xlfn.XLOOKUP(B4406,Cuentas!$C$1:$C$521,Cuentas!$A$1:$A$521),"")</f>
        <v/>
      </c>
    </row>
    <row r="4407" spans="1:1">
      <c r="A4407" t="str">
        <f>IFERROR(_xlfn.XLOOKUP(B4407,Cuentas!$C$1:$C$521,Cuentas!$A$1:$A$521),"")</f>
        <v/>
      </c>
    </row>
    <row r="4408" spans="1:1">
      <c r="A4408" t="str">
        <f>IFERROR(_xlfn.XLOOKUP(B4408,Cuentas!$C$1:$C$521,Cuentas!$A$1:$A$521),"")</f>
        <v/>
      </c>
    </row>
    <row r="4409" spans="1:1">
      <c r="A4409" t="str">
        <f>IFERROR(_xlfn.XLOOKUP(B4409,Cuentas!$C$1:$C$521,Cuentas!$A$1:$A$521),"")</f>
        <v/>
      </c>
    </row>
    <row r="4410" spans="1:1">
      <c r="A4410" t="str">
        <f>IFERROR(_xlfn.XLOOKUP(B4410,Cuentas!$C$1:$C$521,Cuentas!$A$1:$A$521),"")</f>
        <v/>
      </c>
    </row>
    <row r="4411" spans="1:1">
      <c r="A4411" t="str">
        <f>IFERROR(_xlfn.XLOOKUP(B4411,Cuentas!$C$1:$C$521,Cuentas!$A$1:$A$521),"")</f>
        <v/>
      </c>
    </row>
    <row r="4412" spans="1:1">
      <c r="A4412" t="str">
        <f>IFERROR(_xlfn.XLOOKUP(B4412,Cuentas!$C$1:$C$521,Cuentas!$A$1:$A$521),"")</f>
        <v/>
      </c>
    </row>
    <row r="4413" spans="1:1">
      <c r="A4413" t="str">
        <f>IFERROR(_xlfn.XLOOKUP(B4413,Cuentas!$C$1:$C$521,Cuentas!$A$1:$A$521),"")</f>
        <v/>
      </c>
    </row>
    <row r="4414" spans="1:1">
      <c r="A4414" t="str">
        <f>IFERROR(_xlfn.XLOOKUP(B4414,Cuentas!$C$1:$C$521,Cuentas!$A$1:$A$521),"")</f>
        <v/>
      </c>
    </row>
    <row r="4415" spans="1:1">
      <c r="A4415" t="str">
        <f>IFERROR(_xlfn.XLOOKUP(B4415,Cuentas!$C$1:$C$521,Cuentas!$A$1:$A$521),"")</f>
        <v/>
      </c>
    </row>
    <row r="4416" spans="1:1">
      <c r="A4416" t="str">
        <f>IFERROR(_xlfn.XLOOKUP(B4416,Cuentas!$C$1:$C$521,Cuentas!$A$1:$A$521),"")</f>
        <v/>
      </c>
    </row>
    <row r="4417" spans="1:1">
      <c r="A4417" t="str">
        <f>IFERROR(_xlfn.XLOOKUP(B4417,Cuentas!$C$1:$C$521,Cuentas!$A$1:$A$521),"")</f>
        <v/>
      </c>
    </row>
    <row r="4418" spans="1:1">
      <c r="A4418" t="str">
        <f>IFERROR(_xlfn.XLOOKUP(B4418,Cuentas!$C$1:$C$521,Cuentas!$A$1:$A$521),"")</f>
        <v/>
      </c>
    </row>
    <row r="4419" spans="1:1">
      <c r="A4419" t="str">
        <f>IFERROR(_xlfn.XLOOKUP(B4419,Cuentas!$C$1:$C$521,Cuentas!$A$1:$A$521),"")</f>
        <v/>
      </c>
    </row>
    <row r="4420" spans="1:1">
      <c r="A4420" t="str">
        <f>IFERROR(_xlfn.XLOOKUP(B4420,Cuentas!$C$1:$C$521,Cuentas!$A$1:$A$521),"")</f>
        <v/>
      </c>
    </row>
    <row r="4421" spans="1:1">
      <c r="A4421" t="str">
        <f>IFERROR(_xlfn.XLOOKUP(B4421,Cuentas!$C$1:$C$521,Cuentas!$A$1:$A$521),"")</f>
        <v/>
      </c>
    </row>
    <row r="4422" spans="1:1">
      <c r="A4422" t="str">
        <f>IFERROR(_xlfn.XLOOKUP(B4422,Cuentas!$C$1:$C$521,Cuentas!$A$1:$A$521),"")</f>
        <v/>
      </c>
    </row>
    <row r="4423" spans="1:1">
      <c r="A4423" t="str">
        <f>IFERROR(_xlfn.XLOOKUP(B4423,Cuentas!$C$1:$C$521,Cuentas!$A$1:$A$521),"")</f>
        <v/>
      </c>
    </row>
    <row r="4424" spans="1:1">
      <c r="A4424" t="str">
        <f>IFERROR(_xlfn.XLOOKUP(B4424,Cuentas!$C$1:$C$521,Cuentas!$A$1:$A$521),"")</f>
        <v/>
      </c>
    </row>
    <row r="4425" spans="1:1">
      <c r="A4425" t="str">
        <f>IFERROR(_xlfn.XLOOKUP(B4425,Cuentas!$C$1:$C$521,Cuentas!$A$1:$A$521),"")</f>
        <v/>
      </c>
    </row>
    <row r="4426" spans="1:1">
      <c r="A4426" t="str">
        <f>IFERROR(_xlfn.XLOOKUP(B4426,Cuentas!$C$1:$C$521,Cuentas!$A$1:$A$521),"")</f>
        <v/>
      </c>
    </row>
    <row r="4427" spans="1:1">
      <c r="A4427" t="str">
        <f>IFERROR(_xlfn.XLOOKUP(B4427,Cuentas!$C$1:$C$521,Cuentas!$A$1:$A$521),"")</f>
        <v/>
      </c>
    </row>
    <row r="4428" spans="1:1">
      <c r="A4428" t="str">
        <f>IFERROR(_xlfn.XLOOKUP(B4428,Cuentas!$C$1:$C$521,Cuentas!$A$1:$A$521),"")</f>
        <v/>
      </c>
    </row>
    <row r="4429" spans="1:1">
      <c r="A4429" t="str">
        <f>IFERROR(_xlfn.XLOOKUP(B4429,Cuentas!$C$1:$C$521,Cuentas!$A$1:$A$521),"")</f>
        <v/>
      </c>
    </row>
    <row r="4430" spans="1:1">
      <c r="A4430" t="str">
        <f>IFERROR(_xlfn.XLOOKUP(B4430,Cuentas!$C$1:$C$521,Cuentas!$A$1:$A$521),"")</f>
        <v/>
      </c>
    </row>
    <row r="4431" spans="1:1">
      <c r="A4431" t="str">
        <f>IFERROR(_xlfn.XLOOKUP(B4431,Cuentas!$C$1:$C$521,Cuentas!$A$1:$A$521),"")</f>
        <v/>
      </c>
    </row>
    <row r="4432" spans="1:1">
      <c r="A4432" t="str">
        <f>IFERROR(_xlfn.XLOOKUP(B4432,Cuentas!$C$1:$C$521,Cuentas!$A$1:$A$521),"")</f>
        <v/>
      </c>
    </row>
    <row r="4433" spans="1:1">
      <c r="A4433" t="str">
        <f>IFERROR(_xlfn.XLOOKUP(B4433,Cuentas!$C$1:$C$521,Cuentas!$A$1:$A$521),"")</f>
        <v/>
      </c>
    </row>
    <row r="4434" spans="1:1">
      <c r="A4434" t="str">
        <f>IFERROR(_xlfn.XLOOKUP(B4434,Cuentas!$C$1:$C$521,Cuentas!$A$1:$A$521),"")</f>
        <v/>
      </c>
    </row>
    <row r="4435" spans="1:1">
      <c r="A4435" t="str">
        <f>IFERROR(_xlfn.XLOOKUP(B4435,Cuentas!$C$1:$C$521,Cuentas!$A$1:$A$521),"")</f>
        <v/>
      </c>
    </row>
    <row r="4436" spans="1:1">
      <c r="A4436" t="str">
        <f>IFERROR(_xlfn.XLOOKUP(B4436,Cuentas!$C$1:$C$521,Cuentas!$A$1:$A$521),"")</f>
        <v/>
      </c>
    </row>
    <row r="4437" spans="1:1">
      <c r="A4437" t="str">
        <f>IFERROR(_xlfn.XLOOKUP(B4437,Cuentas!$C$1:$C$521,Cuentas!$A$1:$A$521),"")</f>
        <v/>
      </c>
    </row>
    <row r="4438" spans="1:1">
      <c r="A4438" t="str">
        <f>IFERROR(_xlfn.XLOOKUP(B4438,Cuentas!$C$1:$C$521,Cuentas!$A$1:$A$521),"")</f>
        <v/>
      </c>
    </row>
    <row r="4439" spans="1:1">
      <c r="A4439" t="str">
        <f>IFERROR(_xlfn.XLOOKUP(B4439,Cuentas!$C$1:$C$521,Cuentas!$A$1:$A$521),"")</f>
        <v/>
      </c>
    </row>
    <row r="4440" spans="1:1">
      <c r="A4440" t="str">
        <f>IFERROR(_xlfn.XLOOKUP(B4440,Cuentas!$C$1:$C$521,Cuentas!$A$1:$A$521),"")</f>
        <v/>
      </c>
    </row>
    <row r="4441" spans="1:1">
      <c r="A4441" t="str">
        <f>IFERROR(_xlfn.XLOOKUP(B4441,Cuentas!$C$1:$C$521,Cuentas!$A$1:$A$521),"")</f>
        <v/>
      </c>
    </row>
    <row r="4442" spans="1:1">
      <c r="A4442" t="str">
        <f>IFERROR(_xlfn.XLOOKUP(B4442,Cuentas!$C$1:$C$521,Cuentas!$A$1:$A$521),"")</f>
        <v/>
      </c>
    </row>
    <row r="4443" spans="1:1">
      <c r="A4443" t="str">
        <f>IFERROR(_xlfn.XLOOKUP(B4443,Cuentas!$C$1:$C$521,Cuentas!$A$1:$A$521),"")</f>
        <v/>
      </c>
    </row>
    <row r="4444" spans="1:1">
      <c r="A4444" t="str">
        <f>IFERROR(_xlfn.XLOOKUP(B4444,Cuentas!$C$1:$C$521,Cuentas!$A$1:$A$521),"")</f>
        <v/>
      </c>
    </row>
    <row r="4445" spans="1:1">
      <c r="A4445" t="str">
        <f>IFERROR(_xlfn.XLOOKUP(B4445,Cuentas!$C$1:$C$521,Cuentas!$A$1:$A$521),"")</f>
        <v/>
      </c>
    </row>
    <row r="4446" spans="1:1">
      <c r="A4446" t="str">
        <f>IFERROR(_xlfn.XLOOKUP(B4446,Cuentas!$C$1:$C$521,Cuentas!$A$1:$A$521),"")</f>
        <v/>
      </c>
    </row>
    <row r="4447" spans="1:1">
      <c r="A4447" t="str">
        <f>IFERROR(_xlfn.XLOOKUP(B4447,Cuentas!$C$1:$C$521,Cuentas!$A$1:$A$521),"")</f>
        <v/>
      </c>
    </row>
    <row r="4448" spans="1:1">
      <c r="A4448" t="str">
        <f>IFERROR(_xlfn.XLOOKUP(B4448,Cuentas!$C$1:$C$521,Cuentas!$A$1:$A$521),"")</f>
        <v/>
      </c>
    </row>
    <row r="4449" spans="1:1">
      <c r="A4449" t="str">
        <f>IFERROR(_xlfn.XLOOKUP(B4449,Cuentas!$C$1:$C$521,Cuentas!$A$1:$A$521),"")</f>
        <v/>
      </c>
    </row>
    <row r="4450" spans="1:1">
      <c r="A4450" t="str">
        <f>IFERROR(_xlfn.XLOOKUP(B4450,Cuentas!$C$1:$C$521,Cuentas!$A$1:$A$521),"")</f>
        <v/>
      </c>
    </row>
    <row r="4451" spans="1:1">
      <c r="A4451" t="str">
        <f>IFERROR(_xlfn.XLOOKUP(B4451,Cuentas!$C$1:$C$521,Cuentas!$A$1:$A$521),"")</f>
        <v/>
      </c>
    </row>
    <row r="4452" spans="1:1">
      <c r="A4452" t="str">
        <f>IFERROR(_xlfn.XLOOKUP(B4452,Cuentas!$C$1:$C$521,Cuentas!$A$1:$A$521),"")</f>
        <v/>
      </c>
    </row>
    <row r="4453" spans="1:1">
      <c r="A4453" t="str">
        <f>IFERROR(_xlfn.XLOOKUP(B4453,Cuentas!$C$1:$C$521,Cuentas!$A$1:$A$521),"")</f>
        <v/>
      </c>
    </row>
    <row r="4454" spans="1:1">
      <c r="A4454" t="str">
        <f>IFERROR(_xlfn.XLOOKUP(B4454,Cuentas!$C$1:$C$521,Cuentas!$A$1:$A$521),"")</f>
        <v/>
      </c>
    </row>
    <row r="4455" spans="1:1">
      <c r="A4455" t="str">
        <f>IFERROR(_xlfn.XLOOKUP(B4455,Cuentas!$C$1:$C$521,Cuentas!$A$1:$A$521),"")</f>
        <v/>
      </c>
    </row>
    <row r="4456" spans="1:1">
      <c r="A4456" t="str">
        <f>IFERROR(_xlfn.XLOOKUP(B4456,Cuentas!$C$1:$C$521,Cuentas!$A$1:$A$521),"")</f>
        <v/>
      </c>
    </row>
    <row r="4457" spans="1:1">
      <c r="A4457" t="str">
        <f>IFERROR(_xlfn.XLOOKUP(B4457,Cuentas!$C$1:$C$521,Cuentas!$A$1:$A$521),"")</f>
        <v/>
      </c>
    </row>
    <row r="4458" spans="1:1">
      <c r="A4458" t="str">
        <f>IFERROR(_xlfn.XLOOKUP(B4458,Cuentas!$C$1:$C$521,Cuentas!$A$1:$A$521),"")</f>
        <v/>
      </c>
    </row>
    <row r="4459" spans="1:1">
      <c r="A4459" t="str">
        <f>IFERROR(_xlfn.XLOOKUP(B4459,Cuentas!$C$1:$C$521,Cuentas!$A$1:$A$521),"")</f>
        <v/>
      </c>
    </row>
    <row r="4460" spans="1:1">
      <c r="A4460" t="str">
        <f>IFERROR(_xlfn.XLOOKUP(B4460,Cuentas!$C$1:$C$521,Cuentas!$A$1:$A$521),"")</f>
        <v/>
      </c>
    </row>
    <row r="4461" spans="1:1">
      <c r="A4461" t="str">
        <f>IFERROR(_xlfn.XLOOKUP(B4461,Cuentas!$C$1:$C$521,Cuentas!$A$1:$A$521),"")</f>
        <v/>
      </c>
    </row>
    <row r="4462" spans="1:1">
      <c r="A4462" t="str">
        <f>IFERROR(_xlfn.XLOOKUP(B4462,Cuentas!$C$1:$C$521,Cuentas!$A$1:$A$521),"")</f>
        <v/>
      </c>
    </row>
    <row r="4463" spans="1:1">
      <c r="A4463" t="str">
        <f>IFERROR(_xlfn.XLOOKUP(B4463,Cuentas!$C$1:$C$521,Cuentas!$A$1:$A$521),"")</f>
        <v/>
      </c>
    </row>
    <row r="4464" spans="1:1">
      <c r="A4464" t="str">
        <f>IFERROR(_xlfn.XLOOKUP(B4464,Cuentas!$C$1:$C$521,Cuentas!$A$1:$A$521),"")</f>
        <v/>
      </c>
    </row>
    <row r="4465" spans="1:1">
      <c r="A4465" t="str">
        <f>IFERROR(_xlfn.XLOOKUP(B4465,Cuentas!$C$1:$C$521,Cuentas!$A$1:$A$521),"")</f>
        <v/>
      </c>
    </row>
    <row r="4466" spans="1:1">
      <c r="A4466" t="str">
        <f>IFERROR(_xlfn.XLOOKUP(B4466,Cuentas!$C$1:$C$521,Cuentas!$A$1:$A$521),"")</f>
        <v/>
      </c>
    </row>
    <row r="4467" spans="1:1">
      <c r="A4467" t="str">
        <f>IFERROR(_xlfn.XLOOKUP(B4467,Cuentas!$C$1:$C$521,Cuentas!$A$1:$A$521),"")</f>
        <v/>
      </c>
    </row>
    <row r="4468" spans="1:1">
      <c r="A4468" t="str">
        <f>IFERROR(_xlfn.XLOOKUP(B4468,Cuentas!$C$1:$C$521,Cuentas!$A$1:$A$521),"")</f>
        <v/>
      </c>
    </row>
    <row r="4469" spans="1:1">
      <c r="A4469" t="str">
        <f>IFERROR(_xlfn.XLOOKUP(B4469,Cuentas!$C$1:$C$521,Cuentas!$A$1:$A$521),"")</f>
        <v/>
      </c>
    </row>
    <row r="4470" spans="1:1">
      <c r="A4470" t="str">
        <f>IFERROR(_xlfn.XLOOKUP(B4470,Cuentas!$C$1:$C$521,Cuentas!$A$1:$A$521),"")</f>
        <v/>
      </c>
    </row>
    <row r="4471" spans="1:1">
      <c r="A4471" t="str">
        <f>IFERROR(_xlfn.XLOOKUP(B4471,Cuentas!$C$1:$C$521,Cuentas!$A$1:$A$521),"")</f>
        <v/>
      </c>
    </row>
    <row r="4472" spans="1:1">
      <c r="A4472" t="str">
        <f>IFERROR(_xlfn.XLOOKUP(B4472,Cuentas!$C$1:$C$521,Cuentas!$A$1:$A$521),"")</f>
        <v/>
      </c>
    </row>
    <row r="4473" spans="1:1">
      <c r="A4473" t="str">
        <f>IFERROR(_xlfn.XLOOKUP(B4473,Cuentas!$C$1:$C$521,Cuentas!$A$1:$A$521),"")</f>
        <v/>
      </c>
    </row>
    <row r="4474" spans="1:1">
      <c r="A4474" t="str">
        <f>IFERROR(_xlfn.XLOOKUP(B4474,Cuentas!$C$1:$C$521,Cuentas!$A$1:$A$521),"")</f>
        <v/>
      </c>
    </row>
    <row r="4475" spans="1:1">
      <c r="A4475" t="str">
        <f>IFERROR(_xlfn.XLOOKUP(B4475,Cuentas!$C$1:$C$521,Cuentas!$A$1:$A$521),"")</f>
        <v/>
      </c>
    </row>
    <row r="4476" spans="1:1">
      <c r="A4476" t="str">
        <f>IFERROR(_xlfn.XLOOKUP(B4476,Cuentas!$C$1:$C$521,Cuentas!$A$1:$A$521),"")</f>
        <v/>
      </c>
    </row>
    <row r="4477" spans="1:1">
      <c r="A4477" t="str">
        <f>IFERROR(_xlfn.XLOOKUP(B4477,Cuentas!$C$1:$C$521,Cuentas!$A$1:$A$521),"")</f>
        <v/>
      </c>
    </row>
    <row r="4478" spans="1:1">
      <c r="A4478" t="str">
        <f>IFERROR(_xlfn.XLOOKUP(B4478,Cuentas!$C$1:$C$521,Cuentas!$A$1:$A$521),"")</f>
        <v/>
      </c>
    </row>
    <row r="4479" spans="1:1">
      <c r="A4479" t="str">
        <f>IFERROR(_xlfn.XLOOKUP(B4479,Cuentas!$C$1:$C$521,Cuentas!$A$1:$A$521),"")</f>
        <v/>
      </c>
    </row>
    <row r="4480" spans="1:1">
      <c r="A4480" t="str">
        <f>IFERROR(_xlfn.XLOOKUP(B4480,Cuentas!$C$1:$C$521,Cuentas!$A$1:$A$521),"")</f>
        <v/>
      </c>
    </row>
    <row r="4481" spans="1:1">
      <c r="A4481" t="str">
        <f>IFERROR(_xlfn.XLOOKUP(B4481,Cuentas!$C$1:$C$521,Cuentas!$A$1:$A$521),"")</f>
        <v/>
      </c>
    </row>
    <row r="4482" spans="1:1">
      <c r="A4482" t="str">
        <f>IFERROR(_xlfn.XLOOKUP(B4482,Cuentas!$C$1:$C$521,Cuentas!$A$1:$A$521),"")</f>
        <v/>
      </c>
    </row>
    <row r="4483" spans="1:1">
      <c r="A4483" t="str">
        <f>IFERROR(_xlfn.XLOOKUP(B4483,Cuentas!$C$1:$C$521,Cuentas!$A$1:$A$521),"")</f>
        <v/>
      </c>
    </row>
    <row r="4484" spans="1:1">
      <c r="A4484" t="str">
        <f>IFERROR(_xlfn.XLOOKUP(B4484,Cuentas!$C$1:$C$521,Cuentas!$A$1:$A$521),"")</f>
        <v/>
      </c>
    </row>
    <row r="4485" spans="1:1">
      <c r="A4485" t="str">
        <f>IFERROR(_xlfn.XLOOKUP(B4485,Cuentas!$C$1:$C$521,Cuentas!$A$1:$A$521),"")</f>
        <v/>
      </c>
    </row>
    <row r="4486" spans="1:1">
      <c r="A4486" t="str">
        <f>IFERROR(_xlfn.XLOOKUP(B4486,Cuentas!$C$1:$C$521,Cuentas!$A$1:$A$521),"")</f>
        <v/>
      </c>
    </row>
    <row r="4487" spans="1:1">
      <c r="A4487" t="str">
        <f>IFERROR(_xlfn.XLOOKUP(B4487,Cuentas!$C$1:$C$521,Cuentas!$A$1:$A$521),"")</f>
        <v/>
      </c>
    </row>
    <row r="4488" spans="1:1">
      <c r="A4488" t="str">
        <f>IFERROR(_xlfn.XLOOKUP(B4488,Cuentas!$C$1:$C$521,Cuentas!$A$1:$A$521),"")</f>
        <v/>
      </c>
    </row>
    <row r="4489" spans="1:1">
      <c r="A4489" t="str">
        <f>IFERROR(_xlfn.XLOOKUP(B4489,Cuentas!$C$1:$C$521,Cuentas!$A$1:$A$521),"")</f>
        <v/>
      </c>
    </row>
    <row r="4490" spans="1:1">
      <c r="A4490" t="str">
        <f>IFERROR(_xlfn.XLOOKUP(B4490,Cuentas!$C$1:$C$521,Cuentas!$A$1:$A$521),"")</f>
        <v/>
      </c>
    </row>
    <row r="4491" spans="1:1">
      <c r="A4491" t="str">
        <f>IFERROR(_xlfn.XLOOKUP(B4491,Cuentas!$C$1:$C$521,Cuentas!$A$1:$A$521),"")</f>
        <v/>
      </c>
    </row>
    <row r="4492" spans="1:1">
      <c r="A4492" t="str">
        <f>IFERROR(_xlfn.XLOOKUP(B4492,Cuentas!$C$1:$C$521,Cuentas!$A$1:$A$521),"")</f>
        <v/>
      </c>
    </row>
    <row r="4493" spans="1:1">
      <c r="A4493" t="str">
        <f>IFERROR(_xlfn.XLOOKUP(B4493,Cuentas!$C$1:$C$521,Cuentas!$A$1:$A$521),"")</f>
        <v/>
      </c>
    </row>
    <row r="4494" spans="1:1">
      <c r="A4494" t="str">
        <f>IFERROR(_xlfn.XLOOKUP(B4494,Cuentas!$C$1:$C$521,Cuentas!$A$1:$A$521),"")</f>
        <v/>
      </c>
    </row>
    <row r="4495" spans="1:1">
      <c r="A4495" t="str">
        <f>IFERROR(_xlfn.XLOOKUP(B4495,Cuentas!$C$1:$C$521,Cuentas!$A$1:$A$521),"")</f>
        <v/>
      </c>
    </row>
    <row r="4496" spans="1:1">
      <c r="A4496" t="str">
        <f>IFERROR(_xlfn.XLOOKUP(B4496,Cuentas!$C$1:$C$521,Cuentas!$A$1:$A$521),"")</f>
        <v/>
      </c>
    </row>
    <row r="4497" spans="1:1">
      <c r="A4497" t="str">
        <f>IFERROR(_xlfn.XLOOKUP(B4497,Cuentas!$C$1:$C$521,Cuentas!$A$1:$A$521),"")</f>
        <v/>
      </c>
    </row>
    <row r="4498" spans="1:1">
      <c r="A4498" t="str">
        <f>IFERROR(_xlfn.XLOOKUP(B4498,Cuentas!$C$1:$C$521,Cuentas!$A$1:$A$521),"")</f>
        <v/>
      </c>
    </row>
    <row r="4499" spans="1:1">
      <c r="A4499" t="str">
        <f>IFERROR(_xlfn.XLOOKUP(B4499,Cuentas!$C$1:$C$521,Cuentas!$A$1:$A$521),"")</f>
        <v/>
      </c>
    </row>
    <row r="4500" spans="1:1">
      <c r="A4500" t="str">
        <f>IFERROR(_xlfn.XLOOKUP(B4500,Cuentas!$C$1:$C$521,Cuentas!$A$1:$A$521),"")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318DFB-C845-48F7-94A8-FDF07F32DB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Cabral</dc:creator>
  <cp:keywords/>
  <dc:description/>
  <cp:lastModifiedBy/>
  <cp:revision/>
  <dcterms:created xsi:type="dcterms:W3CDTF">2025-03-27T19:13:37Z</dcterms:created>
  <dcterms:modified xsi:type="dcterms:W3CDTF">2025-10-16T01:22:55Z</dcterms:modified>
  <cp:category/>
  <cp:contentStatus/>
</cp:coreProperties>
</file>